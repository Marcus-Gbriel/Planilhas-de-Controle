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Marcus Gabriel\Desktop\Projeto\Base de Clientes\"/>
    </mc:Choice>
  </mc:AlternateContent>
  <xr:revisionPtr revIDLastSave="0" documentId="13_ncr:1_{86134A65-300E-409C-AE7A-33920A8B7A4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enu" sheetId="1" r:id="rId1"/>
    <sheet name="Pesquisa" sheetId="9" r:id="rId2"/>
    <sheet name="Base Completa" sheetId="5" r:id="rId3"/>
    <sheet name="Base de Clientes Extra" sheetId="13" r:id="rId4"/>
    <sheet name="base 804" sheetId="10" r:id="rId5"/>
    <sheet name="base 805" sheetId="11" r:id="rId6"/>
    <sheet name="Calculos" sheetId="8" state="hidden" r:id="rId7"/>
    <sheet name="base 806" sheetId="12" r:id="rId8"/>
    <sheet name="Calculos de Data" sheetId="6" r:id="rId9"/>
    <sheet name="Calc" sheetId="14" r:id="rId10"/>
  </sheets>
  <definedNames>
    <definedName name="Clientes">Tabela5[#All]</definedName>
    <definedName name="DadosExternos_1" localSheetId="4" hidden="1">'base 804'!$A$1:$H$4439</definedName>
    <definedName name="DadosExternos_2" localSheetId="5" hidden="1">'base 805'!$A$1:$G$4439</definedName>
    <definedName name="DadosExternos_3" localSheetId="7" hidden="1">'base 806'!$A$1:$F$4439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" i="13" l="1"/>
  <c r="C3" i="14" l="1"/>
  <c r="C4" i="14"/>
  <c r="C5" i="14"/>
  <c r="C6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49" i="14"/>
  <c r="C50" i="14"/>
  <c r="C51" i="14"/>
  <c r="C52" i="14"/>
  <c r="C53" i="14"/>
  <c r="C54" i="14"/>
  <c r="C55" i="14"/>
  <c r="C56" i="14"/>
  <c r="C57" i="14"/>
  <c r="C58" i="14"/>
  <c r="C59" i="14"/>
  <c r="C60" i="14"/>
  <c r="C61" i="14"/>
  <c r="C62" i="14"/>
  <c r="C63" i="14"/>
  <c r="C64" i="14"/>
  <c r="C65" i="14"/>
  <c r="C66" i="14"/>
  <c r="C67" i="14"/>
  <c r="C68" i="14"/>
  <c r="C69" i="14"/>
  <c r="C70" i="14"/>
  <c r="C71" i="14"/>
  <c r="C72" i="14"/>
  <c r="C73" i="14"/>
  <c r="C74" i="14"/>
  <c r="C75" i="14"/>
  <c r="C76" i="14"/>
  <c r="C77" i="14"/>
  <c r="C78" i="14"/>
  <c r="C79" i="14"/>
  <c r="C80" i="14"/>
  <c r="C81" i="14"/>
  <c r="C82" i="14"/>
  <c r="C83" i="14"/>
  <c r="C84" i="14"/>
  <c r="C85" i="14"/>
  <c r="C86" i="14"/>
  <c r="C87" i="14"/>
  <c r="C88" i="14"/>
  <c r="C89" i="14"/>
  <c r="C90" i="14"/>
  <c r="C91" i="14"/>
  <c r="C92" i="14"/>
  <c r="C93" i="14"/>
  <c r="C94" i="14"/>
  <c r="C95" i="14"/>
  <c r="C96" i="14"/>
  <c r="C97" i="14"/>
  <c r="C98" i="14"/>
  <c r="C99" i="14"/>
  <c r="C100" i="14"/>
  <c r="C101" i="14"/>
  <c r="C102" i="14"/>
  <c r="C103" i="14"/>
  <c r="C104" i="14"/>
  <c r="C105" i="14"/>
  <c r="C106" i="14"/>
  <c r="C107" i="14"/>
  <c r="C108" i="14"/>
  <c r="C109" i="14"/>
  <c r="C110" i="14"/>
  <c r="C111" i="14"/>
  <c r="C112" i="14"/>
  <c r="C113" i="14"/>
  <c r="C114" i="14"/>
  <c r="C115" i="14"/>
  <c r="C116" i="14"/>
  <c r="C117" i="14"/>
  <c r="C118" i="14"/>
  <c r="C119" i="14"/>
  <c r="C120" i="14"/>
  <c r="C121" i="14"/>
  <c r="C122" i="14"/>
  <c r="C123" i="14"/>
  <c r="C124" i="14"/>
  <c r="C125" i="14"/>
  <c r="C126" i="14"/>
  <c r="C127" i="14"/>
  <c r="C128" i="14"/>
  <c r="C129" i="14"/>
  <c r="C130" i="14"/>
  <c r="C131" i="14"/>
  <c r="C132" i="14"/>
  <c r="C133" i="14"/>
  <c r="C134" i="14"/>
  <c r="C135" i="14"/>
  <c r="C136" i="14"/>
  <c r="C137" i="14"/>
  <c r="C138" i="14"/>
  <c r="C139" i="14"/>
  <c r="C140" i="14"/>
  <c r="C141" i="14"/>
  <c r="C142" i="14"/>
  <c r="C143" i="14"/>
  <c r="C144" i="14"/>
  <c r="C145" i="14"/>
  <c r="C146" i="14"/>
  <c r="C147" i="14"/>
  <c r="C148" i="14"/>
  <c r="C149" i="14"/>
  <c r="C150" i="14"/>
  <c r="C151" i="14"/>
  <c r="C152" i="14"/>
  <c r="C153" i="14"/>
  <c r="C154" i="14"/>
  <c r="C155" i="14"/>
  <c r="C156" i="14"/>
  <c r="C157" i="14"/>
  <c r="C158" i="14"/>
  <c r="C159" i="14"/>
  <c r="C160" i="14"/>
  <c r="C161" i="14"/>
  <c r="C162" i="14"/>
  <c r="C163" i="14"/>
  <c r="C164" i="14"/>
  <c r="C165" i="14"/>
  <c r="C166" i="14"/>
  <c r="C167" i="14"/>
  <c r="C168" i="14"/>
  <c r="C169" i="14"/>
  <c r="C170" i="14"/>
  <c r="C171" i="14"/>
  <c r="C172" i="14"/>
  <c r="C173" i="14"/>
  <c r="C174" i="14"/>
  <c r="C175" i="14"/>
  <c r="C176" i="14"/>
  <c r="C177" i="14"/>
  <c r="C178" i="14"/>
  <c r="C179" i="14"/>
  <c r="C180" i="14"/>
  <c r="C181" i="14"/>
  <c r="C182" i="14"/>
  <c r="C183" i="14"/>
  <c r="C184" i="14"/>
  <c r="C185" i="14"/>
  <c r="C186" i="14"/>
  <c r="C187" i="14"/>
  <c r="C188" i="14"/>
  <c r="C189" i="14"/>
  <c r="C190" i="14"/>
  <c r="C191" i="14"/>
  <c r="C192" i="14"/>
  <c r="C193" i="14"/>
  <c r="C194" i="14"/>
  <c r="C195" i="14"/>
  <c r="C196" i="14"/>
  <c r="C197" i="14"/>
  <c r="C198" i="14"/>
  <c r="C199" i="14"/>
  <c r="C200" i="14"/>
  <c r="C201" i="14"/>
  <c r="C202" i="14"/>
  <c r="C203" i="14"/>
  <c r="C204" i="14"/>
  <c r="C205" i="14"/>
  <c r="C206" i="14"/>
  <c r="C207" i="14"/>
  <c r="C208" i="14"/>
  <c r="C209" i="14"/>
  <c r="C210" i="14"/>
  <c r="C211" i="14"/>
  <c r="C212" i="14"/>
  <c r="C213" i="14"/>
  <c r="C214" i="14"/>
  <c r="C215" i="14"/>
  <c r="C216" i="14"/>
  <c r="C217" i="14"/>
  <c r="C218" i="14"/>
  <c r="C219" i="14"/>
  <c r="C220" i="14"/>
  <c r="C221" i="14"/>
  <c r="C222" i="14"/>
  <c r="C223" i="14"/>
  <c r="C224" i="14"/>
  <c r="C225" i="14"/>
  <c r="C226" i="14"/>
  <c r="C227" i="14"/>
  <c r="C228" i="14"/>
  <c r="C229" i="14"/>
  <c r="C230" i="14"/>
  <c r="C231" i="14"/>
  <c r="C232" i="14"/>
  <c r="C233" i="14"/>
  <c r="C234" i="14"/>
  <c r="C235" i="14"/>
  <c r="C236" i="14"/>
  <c r="C237" i="14"/>
  <c r="C238" i="14"/>
  <c r="C239" i="14"/>
  <c r="C240" i="14"/>
  <c r="C241" i="14"/>
  <c r="C242" i="14"/>
  <c r="C243" i="14"/>
  <c r="C244" i="14"/>
  <c r="C245" i="14"/>
  <c r="C246" i="14"/>
  <c r="C247" i="14"/>
  <c r="C248" i="14"/>
  <c r="C249" i="14"/>
  <c r="C250" i="14"/>
  <c r="C251" i="14"/>
  <c r="C252" i="14"/>
  <c r="C253" i="14"/>
  <c r="C254" i="14"/>
  <c r="C255" i="14"/>
  <c r="C256" i="14"/>
  <c r="C257" i="14"/>
  <c r="C258" i="14"/>
  <c r="C259" i="14"/>
  <c r="C260" i="14"/>
  <c r="C261" i="14"/>
  <c r="C262" i="14"/>
  <c r="C263" i="14"/>
  <c r="C264" i="14"/>
  <c r="C265" i="14"/>
  <c r="C266" i="14"/>
  <c r="C267" i="14"/>
  <c r="C268" i="14"/>
  <c r="C269" i="14"/>
  <c r="C270" i="14"/>
  <c r="C271" i="14"/>
  <c r="C272" i="14"/>
  <c r="C273" i="14"/>
  <c r="C274" i="14"/>
  <c r="C275" i="14"/>
  <c r="C276" i="14"/>
  <c r="C277" i="14"/>
  <c r="C278" i="14"/>
  <c r="C279" i="14"/>
  <c r="C280" i="14"/>
  <c r="C281" i="14"/>
  <c r="C282" i="14"/>
  <c r="C283" i="14"/>
  <c r="C284" i="14"/>
  <c r="C285" i="14"/>
  <c r="C286" i="14"/>
  <c r="C287" i="14"/>
  <c r="C288" i="14"/>
  <c r="C289" i="14"/>
  <c r="C290" i="14"/>
  <c r="C291" i="14"/>
  <c r="C292" i="14"/>
  <c r="C293" i="14"/>
  <c r="C294" i="14"/>
  <c r="C295" i="14"/>
  <c r="C296" i="14"/>
  <c r="C297" i="14"/>
  <c r="C298" i="14"/>
  <c r="C299" i="14"/>
  <c r="C300" i="14"/>
  <c r="C301" i="14"/>
  <c r="C302" i="14"/>
  <c r="C303" i="14"/>
  <c r="C304" i="14"/>
  <c r="C305" i="14"/>
  <c r="C306" i="14"/>
  <c r="C307" i="14"/>
  <c r="C308" i="14"/>
  <c r="C309" i="14"/>
  <c r="C310" i="14"/>
  <c r="C311" i="14"/>
  <c r="C312" i="14"/>
  <c r="C313" i="14"/>
  <c r="C314" i="14"/>
  <c r="C315" i="14"/>
  <c r="C316" i="14"/>
  <c r="C317" i="14"/>
  <c r="C318" i="14"/>
  <c r="C319" i="14"/>
  <c r="C320" i="14"/>
  <c r="C321" i="14"/>
  <c r="C322" i="14"/>
  <c r="C323" i="14"/>
  <c r="C324" i="14"/>
  <c r="C325" i="14"/>
  <c r="C326" i="14"/>
  <c r="C327" i="14"/>
  <c r="C328" i="14"/>
  <c r="C329" i="14"/>
  <c r="C330" i="14"/>
  <c r="C331" i="14"/>
  <c r="C332" i="14"/>
  <c r="C333" i="14"/>
  <c r="C334" i="14"/>
  <c r="C335" i="14"/>
  <c r="C336" i="14"/>
  <c r="C337" i="14"/>
  <c r="C338" i="14"/>
  <c r="C339" i="14"/>
  <c r="C340" i="14"/>
  <c r="C341" i="14"/>
  <c r="C342" i="14"/>
  <c r="C343" i="14"/>
  <c r="C344" i="14"/>
  <c r="C345" i="14"/>
  <c r="C346" i="14"/>
  <c r="C347" i="14"/>
  <c r="C348" i="14"/>
  <c r="C349" i="14"/>
  <c r="C350" i="14"/>
  <c r="C351" i="14"/>
  <c r="C352" i="14"/>
  <c r="C353" i="14"/>
  <c r="C354" i="14"/>
  <c r="C355" i="14"/>
  <c r="C356" i="14"/>
  <c r="C357" i="14"/>
  <c r="C358" i="14"/>
  <c r="C359" i="14"/>
  <c r="C360" i="14"/>
  <c r="C361" i="14"/>
  <c r="C362" i="14"/>
  <c r="C363" i="14"/>
  <c r="C364" i="14"/>
  <c r="C365" i="14"/>
  <c r="C366" i="14"/>
  <c r="C367" i="14"/>
  <c r="C368" i="14"/>
  <c r="C369" i="14"/>
  <c r="C370" i="14"/>
  <c r="C371" i="14"/>
  <c r="C372" i="14"/>
  <c r="C373" i="14"/>
  <c r="C374" i="14"/>
  <c r="C375" i="14"/>
  <c r="C376" i="14"/>
  <c r="C377" i="14"/>
  <c r="C378" i="14"/>
  <c r="C379" i="14"/>
  <c r="C380" i="14"/>
  <c r="C381" i="14"/>
  <c r="C382" i="14"/>
  <c r="C383" i="14"/>
  <c r="C384" i="14"/>
  <c r="C385" i="14"/>
  <c r="C386" i="14"/>
  <c r="C387" i="14"/>
  <c r="C388" i="14"/>
  <c r="C389" i="14"/>
  <c r="C390" i="14"/>
  <c r="C391" i="14"/>
  <c r="C392" i="14"/>
  <c r="C393" i="14"/>
  <c r="C394" i="14"/>
  <c r="C395" i="14"/>
  <c r="C396" i="14"/>
  <c r="C397" i="14"/>
  <c r="C398" i="14"/>
  <c r="C399" i="14"/>
  <c r="C400" i="14"/>
  <c r="C401" i="14"/>
  <c r="C402" i="14"/>
  <c r="C403" i="14"/>
  <c r="C404" i="14"/>
  <c r="C405" i="14"/>
  <c r="C406" i="14"/>
  <c r="C407" i="14"/>
  <c r="C408" i="14"/>
  <c r="C409" i="14"/>
  <c r="C410" i="14"/>
  <c r="C411" i="14"/>
  <c r="C412" i="14"/>
  <c r="C413" i="14"/>
  <c r="C414" i="14"/>
  <c r="C415" i="14"/>
  <c r="C416" i="14"/>
  <c r="C417" i="14"/>
  <c r="C418" i="14"/>
  <c r="C419" i="14"/>
  <c r="C420" i="14"/>
  <c r="C421" i="14"/>
  <c r="C422" i="14"/>
  <c r="C423" i="14"/>
  <c r="C424" i="14"/>
  <c r="C425" i="14"/>
  <c r="C426" i="14"/>
  <c r="C427" i="14"/>
  <c r="C428" i="14"/>
  <c r="C429" i="14"/>
  <c r="C430" i="14"/>
  <c r="C431" i="14"/>
  <c r="C432" i="14"/>
  <c r="C433" i="14"/>
  <c r="C434" i="14"/>
  <c r="C435" i="14"/>
  <c r="C436" i="14"/>
  <c r="C437" i="14"/>
  <c r="C438" i="14"/>
  <c r="C439" i="14"/>
  <c r="C440" i="14"/>
  <c r="C441" i="14"/>
  <c r="C442" i="14"/>
  <c r="C443" i="14"/>
  <c r="C444" i="14"/>
  <c r="C445" i="14"/>
  <c r="C446" i="14"/>
  <c r="C447" i="14"/>
  <c r="C448" i="14"/>
  <c r="C449" i="14"/>
  <c r="C450" i="14"/>
  <c r="C451" i="14"/>
  <c r="C452" i="14"/>
  <c r="C453" i="14"/>
  <c r="C454" i="14"/>
  <c r="C455" i="14"/>
  <c r="C456" i="14"/>
  <c r="C457" i="14"/>
  <c r="C458" i="14"/>
  <c r="C459" i="14"/>
  <c r="C460" i="14"/>
  <c r="C461" i="14"/>
  <c r="C462" i="14"/>
  <c r="C463" i="14"/>
  <c r="C464" i="14"/>
  <c r="C465" i="14"/>
  <c r="C466" i="14"/>
  <c r="C467" i="14"/>
  <c r="C468" i="14"/>
  <c r="C469" i="14"/>
  <c r="C470" i="14"/>
  <c r="C471" i="14"/>
  <c r="C472" i="14"/>
  <c r="C473" i="14"/>
  <c r="C474" i="14"/>
  <c r="C475" i="14"/>
  <c r="C476" i="14"/>
  <c r="C477" i="14"/>
  <c r="C478" i="14"/>
  <c r="C479" i="14"/>
  <c r="C480" i="14"/>
  <c r="C481" i="14"/>
  <c r="C482" i="14"/>
  <c r="C483" i="14"/>
  <c r="C484" i="14"/>
  <c r="C485" i="14"/>
  <c r="C486" i="14"/>
  <c r="C487" i="14"/>
  <c r="C488" i="14"/>
  <c r="C489" i="14"/>
  <c r="C490" i="14"/>
  <c r="C491" i="14"/>
  <c r="C492" i="14"/>
  <c r="C493" i="14"/>
  <c r="C494" i="14"/>
  <c r="C495" i="14"/>
  <c r="C496" i="14"/>
  <c r="C497" i="14"/>
  <c r="C498" i="14"/>
  <c r="C499" i="14"/>
  <c r="C500" i="14"/>
  <c r="C501" i="14"/>
  <c r="C502" i="14"/>
  <c r="C503" i="14"/>
  <c r="C504" i="14"/>
  <c r="C505" i="14"/>
  <c r="C506" i="14"/>
  <c r="C507" i="14"/>
  <c r="C508" i="14"/>
  <c r="C509" i="14"/>
  <c r="C510" i="14"/>
  <c r="C511" i="14"/>
  <c r="C512" i="14"/>
  <c r="C513" i="14"/>
  <c r="C514" i="14"/>
  <c r="C515" i="14"/>
  <c r="C516" i="14"/>
  <c r="C517" i="14"/>
  <c r="C518" i="14"/>
  <c r="C519" i="14"/>
  <c r="C520" i="14"/>
  <c r="C521" i="14"/>
  <c r="C522" i="14"/>
  <c r="C523" i="14"/>
  <c r="C524" i="14"/>
  <c r="C525" i="14"/>
  <c r="C526" i="14"/>
  <c r="C527" i="14"/>
  <c r="C528" i="14"/>
  <c r="C529" i="14"/>
  <c r="C530" i="14"/>
  <c r="C531" i="14"/>
  <c r="C532" i="14"/>
  <c r="C533" i="14"/>
  <c r="C534" i="14"/>
  <c r="C535" i="14"/>
  <c r="C536" i="14"/>
  <c r="C537" i="14"/>
  <c r="C538" i="14"/>
  <c r="C539" i="14"/>
  <c r="C540" i="14"/>
  <c r="C541" i="14"/>
  <c r="C542" i="14"/>
  <c r="C543" i="14"/>
  <c r="C544" i="14"/>
  <c r="C545" i="14"/>
  <c r="C546" i="14"/>
  <c r="C547" i="14"/>
  <c r="C548" i="14"/>
  <c r="C549" i="14"/>
  <c r="C550" i="14"/>
  <c r="C551" i="14"/>
  <c r="C552" i="14"/>
  <c r="C553" i="14"/>
  <c r="C554" i="14"/>
  <c r="C555" i="14"/>
  <c r="C556" i="14"/>
  <c r="C557" i="14"/>
  <c r="C558" i="14"/>
  <c r="C559" i="14"/>
  <c r="C560" i="14"/>
  <c r="C561" i="14"/>
  <c r="C562" i="14"/>
  <c r="C563" i="14"/>
  <c r="C564" i="14"/>
  <c r="C565" i="14"/>
  <c r="C566" i="14"/>
  <c r="C567" i="14"/>
  <c r="C568" i="14"/>
  <c r="C569" i="14"/>
  <c r="C570" i="14"/>
  <c r="C571" i="14"/>
  <c r="C572" i="14"/>
  <c r="C573" i="14"/>
  <c r="C574" i="14"/>
  <c r="C575" i="14"/>
  <c r="C576" i="14"/>
  <c r="C577" i="14"/>
  <c r="C578" i="14"/>
  <c r="C579" i="14"/>
  <c r="C580" i="14"/>
  <c r="C581" i="14"/>
  <c r="C582" i="14"/>
  <c r="C583" i="14"/>
  <c r="C584" i="14"/>
  <c r="C585" i="14"/>
  <c r="C586" i="14"/>
  <c r="C587" i="14"/>
  <c r="C588" i="14"/>
  <c r="C589" i="14"/>
  <c r="C590" i="14"/>
  <c r="C591" i="14"/>
  <c r="C592" i="14"/>
  <c r="C593" i="14"/>
  <c r="C594" i="14"/>
  <c r="C595" i="14"/>
  <c r="C596" i="14"/>
  <c r="C597" i="14"/>
  <c r="C598" i="14"/>
  <c r="C599" i="14"/>
  <c r="C600" i="14"/>
  <c r="C601" i="14"/>
  <c r="C602" i="14"/>
  <c r="C603" i="14"/>
  <c r="C604" i="14"/>
  <c r="C605" i="14"/>
  <c r="C606" i="14"/>
  <c r="C607" i="14"/>
  <c r="C608" i="14"/>
  <c r="C609" i="14"/>
  <c r="C610" i="14"/>
  <c r="C611" i="14"/>
  <c r="C612" i="14"/>
  <c r="C613" i="14"/>
  <c r="C614" i="14"/>
  <c r="C615" i="14"/>
  <c r="C616" i="14"/>
  <c r="C617" i="14"/>
  <c r="C618" i="14"/>
  <c r="C619" i="14"/>
  <c r="C620" i="14"/>
  <c r="C621" i="14"/>
  <c r="C622" i="14"/>
  <c r="C623" i="14"/>
  <c r="C624" i="14"/>
  <c r="C625" i="14"/>
  <c r="C626" i="14"/>
  <c r="C627" i="14"/>
  <c r="C628" i="14"/>
  <c r="C629" i="14"/>
  <c r="C630" i="14"/>
  <c r="C631" i="14"/>
  <c r="C632" i="14"/>
  <c r="C633" i="14"/>
  <c r="C634" i="14"/>
  <c r="C635" i="14"/>
  <c r="C636" i="14"/>
  <c r="C637" i="14"/>
  <c r="C638" i="14"/>
  <c r="C639" i="14"/>
  <c r="C640" i="14"/>
  <c r="C641" i="14"/>
  <c r="C642" i="14"/>
  <c r="C643" i="14"/>
  <c r="C644" i="14"/>
  <c r="C645" i="14"/>
  <c r="C646" i="14"/>
  <c r="C647" i="14"/>
  <c r="C648" i="14"/>
  <c r="C649" i="14"/>
  <c r="C650" i="14"/>
  <c r="C651" i="14"/>
  <c r="C652" i="14"/>
  <c r="C653" i="14"/>
  <c r="C654" i="14"/>
  <c r="C655" i="14"/>
  <c r="C656" i="14"/>
  <c r="C657" i="14"/>
  <c r="C658" i="14"/>
  <c r="C659" i="14"/>
  <c r="C660" i="14"/>
  <c r="C661" i="14"/>
  <c r="C662" i="14"/>
  <c r="C663" i="14"/>
  <c r="C664" i="14"/>
  <c r="C665" i="14"/>
  <c r="C666" i="14"/>
  <c r="C667" i="14"/>
  <c r="C668" i="14"/>
  <c r="C669" i="14"/>
  <c r="C670" i="14"/>
  <c r="C671" i="14"/>
  <c r="C672" i="14"/>
  <c r="C673" i="14"/>
  <c r="C674" i="14"/>
  <c r="C675" i="14"/>
  <c r="C676" i="14"/>
  <c r="C677" i="14"/>
  <c r="C678" i="14"/>
  <c r="C679" i="14"/>
  <c r="C680" i="14"/>
  <c r="C681" i="14"/>
  <c r="C682" i="14"/>
  <c r="C683" i="14"/>
  <c r="C684" i="14"/>
  <c r="C685" i="14"/>
  <c r="C686" i="14"/>
  <c r="C687" i="14"/>
  <c r="C688" i="14"/>
  <c r="C689" i="14"/>
  <c r="C690" i="14"/>
  <c r="C691" i="14"/>
  <c r="C692" i="14"/>
  <c r="C693" i="14"/>
  <c r="C694" i="14"/>
  <c r="C695" i="14"/>
  <c r="C696" i="14"/>
  <c r="C697" i="14"/>
  <c r="C698" i="14"/>
  <c r="C699" i="14"/>
  <c r="C700" i="14"/>
  <c r="C701" i="14"/>
  <c r="C702" i="14"/>
  <c r="C703" i="14"/>
  <c r="C704" i="14"/>
  <c r="C705" i="14"/>
  <c r="C706" i="14"/>
  <c r="C707" i="14"/>
  <c r="C708" i="14"/>
  <c r="C709" i="14"/>
  <c r="C710" i="14"/>
  <c r="C711" i="14"/>
  <c r="C712" i="14"/>
  <c r="C713" i="14"/>
  <c r="C714" i="14"/>
  <c r="C715" i="14"/>
  <c r="C716" i="14"/>
  <c r="C717" i="14"/>
  <c r="C718" i="14"/>
  <c r="C719" i="14"/>
  <c r="C720" i="14"/>
  <c r="C721" i="14"/>
  <c r="C722" i="14"/>
  <c r="C723" i="14"/>
  <c r="C724" i="14"/>
  <c r="C725" i="14"/>
  <c r="C726" i="14"/>
  <c r="C727" i="14"/>
  <c r="C728" i="14"/>
  <c r="C729" i="14"/>
  <c r="C730" i="14"/>
  <c r="C731" i="14"/>
  <c r="C732" i="14"/>
  <c r="C733" i="14"/>
  <c r="C734" i="14"/>
  <c r="C735" i="14"/>
  <c r="C736" i="14"/>
  <c r="C737" i="14"/>
  <c r="C738" i="14"/>
  <c r="C739" i="14"/>
  <c r="C740" i="14"/>
  <c r="C741" i="14"/>
  <c r="C742" i="14"/>
  <c r="C743" i="14"/>
  <c r="C744" i="14"/>
  <c r="C745" i="14"/>
  <c r="C746" i="14"/>
  <c r="C747" i="14"/>
  <c r="C748" i="14"/>
  <c r="C749" i="14"/>
  <c r="C750" i="14"/>
  <c r="C751" i="14"/>
  <c r="C752" i="14"/>
  <c r="C753" i="14"/>
  <c r="C754" i="14"/>
  <c r="C755" i="14"/>
  <c r="C756" i="14"/>
  <c r="C757" i="14"/>
  <c r="C758" i="14"/>
  <c r="C759" i="14"/>
  <c r="C760" i="14"/>
  <c r="C761" i="14"/>
  <c r="C762" i="14"/>
  <c r="C763" i="14"/>
  <c r="C764" i="14"/>
  <c r="C765" i="14"/>
  <c r="C766" i="14"/>
  <c r="C767" i="14"/>
  <c r="C768" i="14"/>
  <c r="C769" i="14"/>
  <c r="C770" i="14"/>
  <c r="C771" i="14"/>
  <c r="C772" i="14"/>
  <c r="C773" i="14"/>
  <c r="C774" i="14"/>
  <c r="C775" i="14"/>
  <c r="C776" i="14"/>
  <c r="C777" i="14"/>
  <c r="C778" i="14"/>
  <c r="C779" i="14"/>
  <c r="C780" i="14"/>
  <c r="C781" i="14"/>
  <c r="C782" i="14"/>
  <c r="C783" i="14"/>
  <c r="C784" i="14"/>
  <c r="C785" i="14"/>
  <c r="C786" i="14"/>
  <c r="C787" i="14"/>
  <c r="C788" i="14"/>
  <c r="C789" i="14"/>
  <c r="C790" i="14"/>
  <c r="C791" i="14"/>
  <c r="C792" i="14"/>
  <c r="C793" i="14"/>
  <c r="C794" i="14"/>
  <c r="C795" i="14"/>
  <c r="C796" i="14"/>
  <c r="C797" i="14"/>
  <c r="C798" i="14"/>
  <c r="C799" i="14"/>
  <c r="C800" i="14"/>
  <c r="C801" i="14"/>
  <c r="C802" i="14"/>
  <c r="C803" i="14"/>
  <c r="C804" i="14"/>
  <c r="C805" i="14"/>
  <c r="C806" i="14"/>
  <c r="C807" i="14"/>
  <c r="C808" i="14"/>
  <c r="C809" i="14"/>
  <c r="C810" i="14"/>
  <c r="C811" i="14"/>
  <c r="C812" i="14"/>
  <c r="C813" i="14"/>
  <c r="C814" i="14"/>
  <c r="C815" i="14"/>
  <c r="C816" i="14"/>
  <c r="C817" i="14"/>
  <c r="C818" i="14"/>
  <c r="C819" i="14"/>
  <c r="C820" i="14"/>
  <c r="C821" i="14"/>
  <c r="C822" i="14"/>
  <c r="C823" i="14"/>
  <c r="C824" i="14"/>
  <c r="C825" i="14"/>
  <c r="C826" i="14"/>
  <c r="C827" i="14"/>
  <c r="C828" i="14"/>
  <c r="C829" i="14"/>
  <c r="C830" i="14"/>
  <c r="C831" i="14"/>
  <c r="C832" i="14"/>
  <c r="C833" i="14"/>
  <c r="C834" i="14"/>
  <c r="C835" i="14"/>
  <c r="C836" i="14"/>
  <c r="C837" i="14"/>
  <c r="C838" i="14"/>
  <c r="C839" i="14"/>
  <c r="C840" i="14"/>
  <c r="C841" i="14"/>
  <c r="C842" i="14"/>
  <c r="C843" i="14"/>
  <c r="C844" i="14"/>
  <c r="C845" i="14"/>
  <c r="C846" i="14"/>
  <c r="C847" i="14"/>
  <c r="C848" i="14"/>
  <c r="C849" i="14"/>
  <c r="C850" i="14"/>
  <c r="C851" i="14"/>
  <c r="C852" i="14"/>
  <c r="C853" i="14"/>
  <c r="C854" i="14"/>
  <c r="C855" i="14"/>
  <c r="C856" i="14"/>
  <c r="C857" i="14"/>
  <c r="C858" i="14"/>
  <c r="C859" i="14"/>
  <c r="C860" i="14"/>
  <c r="C861" i="14"/>
  <c r="C862" i="14"/>
  <c r="C863" i="14"/>
  <c r="C864" i="14"/>
  <c r="C865" i="14"/>
  <c r="C866" i="14"/>
  <c r="C867" i="14"/>
  <c r="C868" i="14"/>
  <c r="C869" i="14"/>
  <c r="C870" i="14"/>
  <c r="C871" i="14"/>
  <c r="C872" i="14"/>
  <c r="C873" i="14"/>
  <c r="C874" i="14"/>
  <c r="C875" i="14"/>
  <c r="C876" i="14"/>
  <c r="C877" i="14"/>
  <c r="C878" i="14"/>
  <c r="C879" i="14"/>
  <c r="C880" i="14"/>
  <c r="C881" i="14"/>
  <c r="C882" i="14"/>
  <c r="C883" i="14"/>
  <c r="C884" i="14"/>
  <c r="C885" i="14"/>
  <c r="C886" i="14"/>
  <c r="C887" i="14"/>
  <c r="C888" i="14"/>
  <c r="C889" i="14"/>
  <c r="C890" i="14"/>
  <c r="C891" i="14"/>
  <c r="C892" i="14"/>
  <c r="C893" i="14"/>
  <c r="C894" i="14"/>
  <c r="C895" i="14"/>
  <c r="C896" i="14"/>
  <c r="C897" i="14"/>
  <c r="C898" i="14"/>
  <c r="C899" i="14"/>
  <c r="C900" i="14"/>
  <c r="C901" i="14"/>
  <c r="C902" i="14"/>
  <c r="C903" i="14"/>
  <c r="C904" i="14"/>
  <c r="C905" i="14"/>
  <c r="C906" i="14"/>
  <c r="C907" i="14"/>
  <c r="C908" i="14"/>
  <c r="C909" i="14"/>
  <c r="C910" i="14"/>
  <c r="C911" i="14"/>
  <c r="C912" i="14"/>
  <c r="C913" i="14"/>
  <c r="C914" i="14"/>
  <c r="C915" i="14"/>
  <c r="C916" i="14"/>
  <c r="C917" i="14"/>
  <c r="C918" i="14"/>
  <c r="C919" i="14"/>
  <c r="C920" i="14"/>
  <c r="C921" i="14"/>
  <c r="C922" i="14"/>
  <c r="C923" i="14"/>
  <c r="C924" i="14"/>
  <c r="C925" i="14"/>
  <c r="C926" i="14"/>
  <c r="C927" i="14"/>
  <c r="C928" i="14"/>
  <c r="C929" i="14"/>
  <c r="C930" i="14"/>
  <c r="C931" i="14"/>
  <c r="C932" i="14"/>
  <c r="C933" i="14"/>
  <c r="C934" i="14"/>
  <c r="C935" i="14"/>
  <c r="C936" i="14"/>
  <c r="C937" i="14"/>
  <c r="C938" i="14"/>
  <c r="C939" i="14"/>
  <c r="C940" i="14"/>
  <c r="C941" i="14"/>
  <c r="C942" i="14"/>
  <c r="C943" i="14"/>
  <c r="C944" i="14"/>
  <c r="C945" i="14"/>
  <c r="C946" i="14"/>
  <c r="C947" i="14"/>
  <c r="C948" i="14"/>
  <c r="C949" i="14"/>
  <c r="C950" i="14"/>
  <c r="C951" i="14"/>
  <c r="C952" i="14"/>
  <c r="C953" i="14"/>
  <c r="C954" i="14"/>
  <c r="C955" i="14"/>
  <c r="C956" i="14"/>
  <c r="C957" i="14"/>
  <c r="C958" i="14"/>
  <c r="C959" i="14"/>
  <c r="C960" i="14"/>
  <c r="C961" i="14"/>
  <c r="C962" i="14"/>
  <c r="C963" i="14"/>
  <c r="C964" i="14"/>
  <c r="C965" i="14"/>
  <c r="C966" i="14"/>
  <c r="C967" i="14"/>
  <c r="C968" i="14"/>
  <c r="C969" i="14"/>
  <c r="C970" i="14"/>
  <c r="C971" i="14"/>
  <c r="C972" i="14"/>
  <c r="C973" i="14"/>
  <c r="C974" i="14"/>
  <c r="C975" i="14"/>
  <c r="C976" i="14"/>
  <c r="C977" i="14"/>
  <c r="C978" i="14"/>
  <c r="C979" i="14"/>
  <c r="C980" i="14"/>
  <c r="C981" i="14"/>
  <c r="C982" i="14"/>
  <c r="C983" i="14"/>
  <c r="C984" i="14"/>
  <c r="C985" i="14"/>
  <c r="C986" i="14"/>
  <c r="C987" i="14"/>
  <c r="C988" i="14"/>
  <c r="C989" i="14"/>
  <c r="C990" i="14"/>
  <c r="C991" i="14"/>
  <c r="C992" i="14"/>
  <c r="C993" i="14"/>
  <c r="C994" i="14"/>
  <c r="C995" i="14"/>
  <c r="C996" i="14"/>
  <c r="C997" i="14"/>
  <c r="C998" i="14"/>
  <c r="C999" i="14"/>
  <c r="C1000" i="14"/>
  <c r="C1001" i="14"/>
  <c r="C1002" i="14"/>
  <c r="C1003" i="14"/>
  <c r="C1004" i="14"/>
  <c r="C1005" i="14"/>
  <c r="C1006" i="14"/>
  <c r="C1007" i="14"/>
  <c r="C1008" i="14"/>
  <c r="C1009" i="14"/>
  <c r="C1010" i="14"/>
  <c r="C1011" i="14"/>
  <c r="C1012" i="14"/>
  <c r="C1013" i="14"/>
  <c r="C1014" i="14"/>
  <c r="C1015" i="14"/>
  <c r="C1016" i="14"/>
  <c r="C1017" i="14"/>
  <c r="C1018" i="14"/>
  <c r="C1019" i="14"/>
  <c r="C1020" i="14"/>
  <c r="C1021" i="14"/>
  <c r="C1022" i="14"/>
  <c r="C1023" i="14"/>
  <c r="C1024" i="14"/>
  <c r="C1025" i="14"/>
  <c r="C1026" i="14"/>
  <c r="C1027" i="14"/>
  <c r="C1028" i="14"/>
  <c r="C1029" i="14"/>
  <c r="C1030" i="14"/>
  <c r="C1031" i="14"/>
  <c r="C1032" i="14"/>
  <c r="C1033" i="14"/>
  <c r="C1034" i="14"/>
  <c r="C1035" i="14"/>
  <c r="C1036" i="14"/>
  <c r="C1037" i="14"/>
  <c r="C1038" i="14"/>
  <c r="C1039" i="14"/>
  <c r="C1040" i="14"/>
  <c r="C1041" i="14"/>
  <c r="C1042" i="14"/>
  <c r="C1043" i="14"/>
  <c r="C1044" i="14"/>
  <c r="C1045" i="14"/>
  <c r="C1046" i="14"/>
  <c r="C1047" i="14"/>
  <c r="C1048" i="14"/>
  <c r="C1049" i="14"/>
  <c r="C1050" i="14"/>
  <c r="C1051" i="14"/>
  <c r="C1052" i="14"/>
  <c r="C1053" i="14"/>
  <c r="C1054" i="14"/>
  <c r="C1055" i="14"/>
  <c r="C1056" i="14"/>
  <c r="C1057" i="14"/>
  <c r="C1058" i="14"/>
  <c r="C1059" i="14"/>
  <c r="C1060" i="14"/>
  <c r="C1061" i="14"/>
  <c r="C1062" i="14"/>
  <c r="C1063" i="14"/>
  <c r="C1064" i="14"/>
  <c r="C1065" i="14"/>
  <c r="C1066" i="14"/>
  <c r="C1067" i="14"/>
  <c r="C1068" i="14"/>
  <c r="C1069" i="14"/>
  <c r="C1070" i="14"/>
  <c r="C1071" i="14"/>
  <c r="C1072" i="14"/>
  <c r="C1073" i="14"/>
  <c r="C1074" i="14"/>
  <c r="C1075" i="14"/>
  <c r="C1076" i="14"/>
  <c r="C1077" i="14"/>
  <c r="C1078" i="14"/>
  <c r="C1079" i="14"/>
  <c r="C1080" i="14"/>
  <c r="C1081" i="14"/>
  <c r="C1082" i="14"/>
  <c r="C1083" i="14"/>
  <c r="C1084" i="14"/>
  <c r="C1085" i="14"/>
  <c r="C1086" i="14"/>
  <c r="C1087" i="14"/>
  <c r="C1088" i="14"/>
  <c r="C1089" i="14"/>
  <c r="C1090" i="14"/>
  <c r="C1091" i="14"/>
  <c r="C1092" i="14"/>
  <c r="C1093" i="14"/>
  <c r="C1094" i="14"/>
  <c r="C1095" i="14"/>
  <c r="C1096" i="14"/>
  <c r="C1097" i="14"/>
  <c r="C1098" i="14"/>
  <c r="C1099" i="14"/>
  <c r="C1100" i="14"/>
  <c r="C1101" i="14"/>
  <c r="C1102" i="14"/>
  <c r="C1103" i="14"/>
  <c r="C1104" i="14"/>
  <c r="C1105" i="14"/>
  <c r="C1106" i="14"/>
  <c r="C1107" i="14"/>
  <c r="C1108" i="14"/>
  <c r="C1109" i="14"/>
  <c r="C1110" i="14"/>
  <c r="C1111" i="14"/>
  <c r="C1112" i="14"/>
  <c r="C1113" i="14"/>
  <c r="C1114" i="14"/>
  <c r="C1115" i="14"/>
  <c r="C1116" i="14"/>
  <c r="C1117" i="14"/>
  <c r="C1118" i="14"/>
  <c r="C1119" i="14"/>
  <c r="C1120" i="14"/>
  <c r="C1121" i="14"/>
  <c r="C1122" i="14"/>
  <c r="C1123" i="14"/>
  <c r="C1124" i="14"/>
  <c r="C1125" i="14"/>
  <c r="C1126" i="14"/>
  <c r="C1127" i="14"/>
  <c r="C1128" i="14"/>
  <c r="C1129" i="14"/>
  <c r="C1130" i="14"/>
  <c r="C1131" i="14"/>
  <c r="C1132" i="14"/>
  <c r="C1133" i="14"/>
  <c r="C1134" i="14"/>
  <c r="C1135" i="14"/>
  <c r="C1136" i="14"/>
  <c r="C1137" i="14"/>
  <c r="C1138" i="14"/>
  <c r="C1139" i="14"/>
  <c r="C1140" i="14"/>
  <c r="C1141" i="14"/>
  <c r="C1142" i="14"/>
  <c r="C1143" i="14"/>
  <c r="C1144" i="14"/>
  <c r="C1145" i="14"/>
  <c r="C1146" i="14"/>
  <c r="C1147" i="14"/>
  <c r="C1148" i="14"/>
  <c r="C1149" i="14"/>
  <c r="C1150" i="14"/>
  <c r="C1151" i="14"/>
  <c r="C1152" i="14"/>
  <c r="C1153" i="14"/>
  <c r="C1154" i="14"/>
  <c r="C1155" i="14"/>
  <c r="C1156" i="14"/>
  <c r="C1157" i="14"/>
  <c r="C1158" i="14"/>
  <c r="C1159" i="14"/>
  <c r="C1160" i="14"/>
  <c r="C1161" i="14"/>
  <c r="C1162" i="14"/>
  <c r="C1163" i="14"/>
  <c r="C1164" i="14"/>
  <c r="C1165" i="14"/>
  <c r="C1166" i="14"/>
  <c r="C1167" i="14"/>
  <c r="C1168" i="14"/>
  <c r="C1169" i="14"/>
  <c r="C1170" i="14"/>
  <c r="C1171" i="14"/>
  <c r="C1172" i="14"/>
  <c r="C1173" i="14"/>
  <c r="C1174" i="14"/>
  <c r="C1175" i="14"/>
  <c r="C1176" i="14"/>
  <c r="C1177" i="14"/>
  <c r="C1178" i="14"/>
  <c r="C1179" i="14"/>
  <c r="C1180" i="14"/>
  <c r="C1181" i="14"/>
  <c r="C1182" i="14"/>
  <c r="C1183" i="14"/>
  <c r="C1184" i="14"/>
  <c r="C1185" i="14"/>
  <c r="C1186" i="14"/>
  <c r="C1187" i="14"/>
  <c r="C1188" i="14"/>
  <c r="C1189" i="14"/>
  <c r="C1190" i="14"/>
  <c r="C1191" i="14"/>
  <c r="C1192" i="14"/>
  <c r="C1193" i="14"/>
  <c r="C1194" i="14"/>
  <c r="C1195" i="14"/>
  <c r="C1196" i="14"/>
  <c r="C1197" i="14"/>
  <c r="C1198" i="14"/>
  <c r="C1199" i="14"/>
  <c r="C1200" i="14"/>
  <c r="C1201" i="14"/>
  <c r="C1202" i="14"/>
  <c r="C1203" i="14"/>
  <c r="C1204" i="14"/>
  <c r="C1205" i="14"/>
  <c r="C1206" i="14"/>
  <c r="C1207" i="14"/>
  <c r="C1208" i="14"/>
  <c r="C1209" i="14"/>
  <c r="C1210" i="14"/>
  <c r="C1211" i="14"/>
  <c r="C1212" i="14"/>
  <c r="C1213" i="14"/>
  <c r="C1214" i="14"/>
  <c r="C1215" i="14"/>
  <c r="C1216" i="14"/>
  <c r="C1217" i="14"/>
  <c r="C1218" i="14"/>
  <c r="C1219" i="14"/>
  <c r="C1220" i="14"/>
  <c r="C1221" i="14"/>
  <c r="C1222" i="14"/>
  <c r="C1223" i="14"/>
  <c r="C1224" i="14"/>
  <c r="C1225" i="14"/>
  <c r="C1226" i="14"/>
  <c r="C1227" i="14"/>
  <c r="C1228" i="14"/>
  <c r="C1229" i="14"/>
  <c r="C1230" i="14"/>
  <c r="C1231" i="14"/>
  <c r="C1232" i="14"/>
  <c r="C1233" i="14"/>
  <c r="C1234" i="14"/>
  <c r="C1235" i="14"/>
  <c r="C1236" i="14"/>
  <c r="C1237" i="14"/>
  <c r="C1238" i="14"/>
  <c r="C1239" i="14"/>
  <c r="C1240" i="14"/>
  <c r="C1241" i="14"/>
  <c r="C1242" i="14"/>
  <c r="C1243" i="14"/>
  <c r="C1244" i="14"/>
  <c r="C1245" i="14"/>
  <c r="C1246" i="14"/>
  <c r="C1247" i="14"/>
  <c r="C1248" i="14"/>
  <c r="C1249" i="14"/>
  <c r="C1250" i="14"/>
  <c r="C1251" i="14"/>
  <c r="C1252" i="14"/>
  <c r="C1253" i="14"/>
  <c r="C1254" i="14"/>
  <c r="C1255" i="14"/>
  <c r="C1256" i="14"/>
  <c r="C1257" i="14"/>
  <c r="C1258" i="14"/>
  <c r="C1259" i="14"/>
  <c r="C1260" i="14"/>
  <c r="C1261" i="14"/>
  <c r="C1262" i="14"/>
  <c r="C1263" i="14"/>
  <c r="C1264" i="14"/>
  <c r="C1265" i="14"/>
  <c r="C1266" i="14"/>
  <c r="C1267" i="14"/>
  <c r="C1268" i="14"/>
  <c r="C1269" i="14"/>
  <c r="C1270" i="14"/>
  <c r="C1271" i="14"/>
  <c r="C1272" i="14"/>
  <c r="C1273" i="14"/>
  <c r="C1274" i="14"/>
  <c r="C1275" i="14"/>
  <c r="C1276" i="14"/>
  <c r="C1277" i="14"/>
  <c r="C1278" i="14"/>
  <c r="C1279" i="14"/>
  <c r="C1280" i="14"/>
  <c r="C1281" i="14"/>
  <c r="C1282" i="14"/>
  <c r="C1283" i="14"/>
  <c r="C1284" i="14"/>
  <c r="C1285" i="14"/>
  <c r="C1286" i="14"/>
  <c r="C1287" i="14"/>
  <c r="C1288" i="14"/>
  <c r="C1289" i="14"/>
  <c r="C1290" i="14"/>
  <c r="C1291" i="14"/>
  <c r="C1292" i="14"/>
  <c r="C1293" i="14"/>
  <c r="C1294" i="14"/>
  <c r="C1295" i="14"/>
  <c r="C1296" i="14"/>
  <c r="C1297" i="14"/>
  <c r="C1298" i="14"/>
  <c r="C1299" i="14"/>
  <c r="C1300" i="14"/>
  <c r="C1301" i="14"/>
  <c r="C1302" i="14"/>
  <c r="C1303" i="14"/>
  <c r="C1304" i="14"/>
  <c r="C1305" i="14"/>
  <c r="C1306" i="14"/>
  <c r="C1307" i="14"/>
  <c r="C1308" i="14"/>
  <c r="C1309" i="14"/>
  <c r="C1310" i="14"/>
  <c r="C1311" i="14"/>
  <c r="C1312" i="14"/>
  <c r="C1313" i="14"/>
  <c r="C1314" i="14"/>
  <c r="C1315" i="14"/>
  <c r="C1316" i="14"/>
  <c r="C1317" i="14"/>
  <c r="C1318" i="14"/>
  <c r="C1319" i="14"/>
  <c r="C1320" i="14"/>
  <c r="C1321" i="14"/>
  <c r="C1322" i="14"/>
  <c r="C1323" i="14"/>
  <c r="C1324" i="14"/>
  <c r="C1325" i="14"/>
  <c r="C1326" i="14"/>
  <c r="C1327" i="14"/>
  <c r="C1328" i="14"/>
  <c r="C1329" i="14"/>
  <c r="C1330" i="14"/>
  <c r="C1331" i="14"/>
  <c r="C1332" i="14"/>
  <c r="C1333" i="14"/>
  <c r="C1334" i="14"/>
  <c r="C1335" i="14"/>
  <c r="C1336" i="14"/>
  <c r="C1337" i="14"/>
  <c r="C1338" i="14"/>
  <c r="C1339" i="14"/>
  <c r="C1340" i="14"/>
  <c r="C1341" i="14"/>
  <c r="C1342" i="14"/>
  <c r="C1343" i="14"/>
  <c r="C1344" i="14"/>
  <c r="C1345" i="14"/>
  <c r="C1346" i="14"/>
  <c r="C1347" i="14"/>
  <c r="C1348" i="14"/>
  <c r="C1349" i="14"/>
  <c r="C1350" i="14"/>
  <c r="C1351" i="14"/>
  <c r="C1352" i="14"/>
  <c r="C1353" i="14"/>
  <c r="C1354" i="14"/>
  <c r="C1355" i="14"/>
  <c r="C1356" i="14"/>
  <c r="C1357" i="14"/>
  <c r="C1358" i="14"/>
  <c r="C1359" i="14"/>
  <c r="C1360" i="14"/>
  <c r="C1361" i="14"/>
  <c r="C1362" i="14"/>
  <c r="C1363" i="14"/>
  <c r="C1364" i="14"/>
  <c r="C1365" i="14"/>
  <c r="C1366" i="14"/>
  <c r="C1367" i="14"/>
  <c r="C1368" i="14"/>
  <c r="C1369" i="14"/>
  <c r="C1370" i="14"/>
  <c r="C1371" i="14"/>
  <c r="C1372" i="14"/>
  <c r="C1373" i="14"/>
  <c r="C1374" i="14"/>
  <c r="C1375" i="14"/>
  <c r="C1376" i="14"/>
  <c r="C1377" i="14"/>
  <c r="C1378" i="14"/>
  <c r="C1379" i="14"/>
  <c r="C1380" i="14"/>
  <c r="C1381" i="14"/>
  <c r="C1382" i="14"/>
  <c r="C1383" i="14"/>
  <c r="C1384" i="14"/>
  <c r="C1385" i="14"/>
  <c r="C1386" i="14"/>
  <c r="C1387" i="14"/>
  <c r="C1388" i="14"/>
  <c r="C1389" i="14"/>
  <c r="C1390" i="14"/>
  <c r="C1391" i="14"/>
  <c r="C1392" i="14"/>
  <c r="C1393" i="14"/>
  <c r="C1394" i="14"/>
  <c r="C1395" i="14"/>
  <c r="C1396" i="14"/>
  <c r="C1397" i="14"/>
  <c r="C1398" i="14"/>
  <c r="C1399" i="14"/>
  <c r="C1400" i="14"/>
  <c r="C1401" i="14"/>
  <c r="C1402" i="14"/>
  <c r="C1403" i="14"/>
  <c r="C1404" i="14"/>
  <c r="C1405" i="14"/>
  <c r="C1406" i="14"/>
  <c r="C1407" i="14"/>
  <c r="C1408" i="14"/>
  <c r="C1409" i="14"/>
  <c r="C1410" i="14"/>
  <c r="C1411" i="14"/>
  <c r="C1412" i="14"/>
  <c r="C1413" i="14"/>
  <c r="C1414" i="14"/>
  <c r="C1415" i="14"/>
  <c r="C1416" i="14"/>
  <c r="C1417" i="14"/>
  <c r="C1418" i="14"/>
  <c r="C1419" i="14"/>
  <c r="C1420" i="14"/>
  <c r="C1421" i="14"/>
  <c r="C1422" i="14"/>
  <c r="C1423" i="14"/>
  <c r="C1424" i="14"/>
  <c r="C1425" i="14"/>
  <c r="C1426" i="14"/>
  <c r="C1427" i="14"/>
  <c r="C1428" i="14"/>
  <c r="C1429" i="14"/>
  <c r="C1430" i="14"/>
  <c r="C1431" i="14"/>
  <c r="C1432" i="14"/>
  <c r="C1433" i="14"/>
  <c r="C1434" i="14"/>
  <c r="C1435" i="14"/>
  <c r="C1436" i="14"/>
  <c r="C1437" i="14"/>
  <c r="C1438" i="14"/>
  <c r="C1439" i="14"/>
  <c r="C1440" i="14"/>
  <c r="C1441" i="14"/>
  <c r="C1442" i="14"/>
  <c r="C1443" i="14"/>
  <c r="C1444" i="14"/>
  <c r="C1445" i="14"/>
  <c r="C1446" i="14"/>
  <c r="C1447" i="14"/>
  <c r="C1448" i="14"/>
  <c r="C1449" i="14"/>
  <c r="C1450" i="14"/>
  <c r="C1451" i="14"/>
  <c r="C1452" i="14"/>
  <c r="C1453" i="14"/>
  <c r="C1454" i="14"/>
  <c r="C1455" i="14"/>
  <c r="C1456" i="14"/>
  <c r="C1457" i="14"/>
  <c r="C1458" i="14"/>
  <c r="C1459" i="14"/>
  <c r="C1460" i="14"/>
  <c r="C1461" i="14"/>
  <c r="C1462" i="14"/>
  <c r="C1463" i="14"/>
  <c r="C1464" i="14"/>
  <c r="C1465" i="14"/>
  <c r="C1466" i="14"/>
  <c r="C1467" i="14"/>
  <c r="C1468" i="14"/>
  <c r="C1469" i="14"/>
  <c r="C1470" i="14"/>
  <c r="C1471" i="14"/>
  <c r="C1472" i="14"/>
  <c r="C1473" i="14"/>
  <c r="C1474" i="14"/>
  <c r="C1475" i="14"/>
  <c r="C1476" i="14"/>
  <c r="C1477" i="14"/>
  <c r="C1478" i="14"/>
  <c r="C1479" i="14"/>
  <c r="C1480" i="14"/>
  <c r="C1481" i="14"/>
  <c r="C1482" i="14"/>
  <c r="C1483" i="14"/>
  <c r="C1484" i="14"/>
  <c r="C1485" i="14"/>
  <c r="C1486" i="14"/>
  <c r="C1487" i="14"/>
  <c r="C1488" i="14"/>
  <c r="C1489" i="14"/>
  <c r="C1490" i="14"/>
  <c r="C1491" i="14"/>
  <c r="C1492" i="14"/>
  <c r="C1493" i="14"/>
  <c r="C1494" i="14"/>
  <c r="C1495" i="14"/>
  <c r="C1496" i="14"/>
  <c r="C1497" i="14"/>
  <c r="C1498" i="14"/>
  <c r="C1499" i="14"/>
  <c r="C1500" i="14"/>
  <c r="C1501" i="14"/>
  <c r="C1502" i="14"/>
  <c r="C1503" i="14"/>
  <c r="C1504" i="14"/>
  <c r="C1505" i="14"/>
  <c r="C1506" i="14"/>
  <c r="C1507" i="14"/>
  <c r="C1508" i="14"/>
  <c r="C1509" i="14"/>
  <c r="C1510" i="14"/>
  <c r="C1511" i="14"/>
  <c r="C1512" i="14"/>
  <c r="C1513" i="14"/>
  <c r="C1514" i="14"/>
  <c r="C1515" i="14"/>
  <c r="C1516" i="14"/>
  <c r="C1517" i="14"/>
  <c r="C1518" i="14"/>
  <c r="C1519" i="14"/>
  <c r="C1520" i="14"/>
  <c r="C1521" i="14"/>
  <c r="C1522" i="14"/>
  <c r="C1523" i="14"/>
  <c r="C1524" i="14"/>
  <c r="C1525" i="14"/>
  <c r="C1526" i="14"/>
  <c r="C1527" i="14"/>
  <c r="C1528" i="14"/>
  <c r="C1529" i="14"/>
  <c r="C1530" i="14"/>
  <c r="C1531" i="14"/>
  <c r="C1532" i="14"/>
  <c r="C1533" i="14"/>
  <c r="C1534" i="14"/>
  <c r="C1535" i="14"/>
  <c r="C1536" i="14"/>
  <c r="C1537" i="14"/>
  <c r="C1538" i="14"/>
  <c r="C1539" i="14"/>
  <c r="C1540" i="14"/>
  <c r="C1541" i="14"/>
  <c r="C1542" i="14"/>
  <c r="C1543" i="14"/>
  <c r="C1544" i="14"/>
  <c r="C1545" i="14"/>
  <c r="C1546" i="14"/>
  <c r="C1547" i="14"/>
  <c r="C1548" i="14"/>
  <c r="C1549" i="14"/>
  <c r="C1550" i="14"/>
  <c r="C1551" i="14"/>
  <c r="C1552" i="14"/>
  <c r="C1553" i="14"/>
  <c r="C1554" i="14"/>
  <c r="C1555" i="14"/>
  <c r="C1556" i="14"/>
  <c r="C1557" i="14"/>
  <c r="C1558" i="14"/>
  <c r="C1559" i="14"/>
  <c r="C1560" i="14"/>
  <c r="C1561" i="14"/>
  <c r="C1562" i="14"/>
  <c r="C1563" i="14"/>
  <c r="C1564" i="14"/>
  <c r="C1565" i="14"/>
  <c r="C1566" i="14"/>
  <c r="C1567" i="14"/>
  <c r="C1568" i="14"/>
  <c r="C1569" i="14"/>
  <c r="C1570" i="14"/>
  <c r="C1571" i="14"/>
  <c r="C1572" i="14"/>
  <c r="C1573" i="14"/>
  <c r="C1574" i="14"/>
  <c r="C1575" i="14"/>
  <c r="C1576" i="14"/>
  <c r="C1577" i="14"/>
  <c r="C1578" i="14"/>
  <c r="C1579" i="14"/>
  <c r="C1580" i="14"/>
  <c r="C1581" i="14"/>
  <c r="C1582" i="14"/>
  <c r="C1583" i="14"/>
  <c r="C1584" i="14"/>
  <c r="C1585" i="14"/>
  <c r="C1586" i="14"/>
  <c r="C1587" i="14"/>
  <c r="C1588" i="14"/>
  <c r="C1589" i="14"/>
  <c r="C1590" i="14"/>
  <c r="C1591" i="14"/>
  <c r="C1592" i="14"/>
  <c r="C1593" i="14"/>
  <c r="C1594" i="14"/>
  <c r="C1595" i="14"/>
  <c r="C1596" i="14"/>
  <c r="C1597" i="14"/>
  <c r="C1598" i="14"/>
  <c r="C1599" i="14"/>
  <c r="C1600" i="14"/>
  <c r="C1601" i="14"/>
  <c r="C1602" i="14"/>
  <c r="C1603" i="14"/>
  <c r="C1604" i="14"/>
  <c r="C1605" i="14"/>
  <c r="C1606" i="14"/>
  <c r="C1607" i="14"/>
  <c r="C1608" i="14"/>
  <c r="C1609" i="14"/>
  <c r="C1610" i="14"/>
  <c r="C1611" i="14"/>
  <c r="C1612" i="14"/>
  <c r="C1613" i="14"/>
  <c r="C1614" i="14"/>
  <c r="C1615" i="14"/>
  <c r="C1616" i="14"/>
  <c r="C1617" i="14"/>
  <c r="C1618" i="14"/>
  <c r="C1619" i="14"/>
  <c r="C1620" i="14"/>
  <c r="C1621" i="14"/>
  <c r="C1622" i="14"/>
  <c r="C1623" i="14"/>
  <c r="C1624" i="14"/>
  <c r="C1625" i="14"/>
  <c r="C1626" i="14"/>
  <c r="C1627" i="14"/>
  <c r="C1628" i="14"/>
  <c r="C1629" i="14"/>
  <c r="C1630" i="14"/>
  <c r="C1631" i="14"/>
  <c r="C1632" i="14"/>
  <c r="C1633" i="14"/>
  <c r="C1634" i="14"/>
  <c r="C1635" i="14"/>
  <c r="C1636" i="14"/>
  <c r="C1637" i="14"/>
  <c r="C1638" i="14"/>
  <c r="C1639" i="14"/>
  <c r="C1640" i="14"/>
  <c r="C1641" i="14"/>
  <c r="C1642" i="14"/>
  <c r="C1643" i="14"/>
  <c r="C1644" i="14"/>
  <c r="C1645" i="14"/>
  <c r="C1646" i="14"/>
  <c r="C1647" i="14"/>
  <c r="C1648" i="14"/>
  <c r="C1649" i="14"/>
  <c r="C1650" i="14"/>
  <c r="C1651" i="14"/>
  <c r="C1652" i="14"/>
  <c r="C1653" i="14"/>
  <c r="C1654" i="14"/>
  <c r="C1655" i="14"/>
  <c r="C1656" i="14"/>
  <c r="C1657" i="14"/>
  <c r="C1658" i="14"/>
  <c r="C1659" i="14"/>
  <c r="C1660" i="14"/>
  <c r="C1661" i="14"/>
  <c r="C1662" i="14"/>
  <c r="C1663" i="14"/>
  <c r="C1664" i="14"/>
  <c r="C1665" i="14"/>
  <c r="C1666" i="14"/>
  <c r="C1667" i="14"/>
  <c r="C1668" i="14"/>
  <c r="C1669" i="14"/>
  <c r="C1670" i="14"/>
  <c r="C1671" i="14"/>
  <c r="C1672" i="14"/>
  <c r="C1673" i="14"/>
  <c r="C1674" i="14"/>
  <c r="C1675" i="14"/>
  <c r="C1676" i="14"/>
  <c r="C1677" i="14"/>
  <c r="C1678" i="14"/>
  <c r="C1679" i="14"/>
  <c r="C1680" i="14"/>
  <c r="C1681" i="14"/>
  <c r="C1682" i="14"/>
  <c r="C1683" i="14"/>
  <c r="C1684" i="14"/>
  <c r="C1685" i="14"/>
  <c r="C1686" i="14"/>
  <c r="C1687" i="14"/>
  <c r="C1688" i="14"/>
  <c r="C1689" i="14"/>
  <c r="C1690" i="14"/>
  <c r="C1691" i="14"/>
  <c r="C1692" i="14"/>
  <c r="C1693" i="14"/>
  <c r="C1694" i="14"/>
  <c r="C1695" i="14"/>
  <c r="C1696" i="14"/>
  <c r="C1697" i="14"/>
  <c r="C1698" i="14"/>
  <c r="C1699" i="14"/>
  <c r="C1700" i="14"/>
  <c r="C1701" i="14"/>
  <c r="C1702" i="14"/>
  <c r="C1703" i="14"/>
  <c r="C1704" i="14"/>
  <c r="C1705" i="14"/>
  <c r="C1706" i="14"/>
  <c r="C1707" i="14"/>
  <c r="C1708" i="14"/>
  <c r="C1709" i="14"/>
  <c r="C1710" i="14"/>
  <c r="C1711" i="14"/>
  <c r="C1712" i="14"/>
  <c r="C1713" i="14"/>
  <c r="C1714" i="14"/>
  <c r="C1715" i="14"/>
  <c r="C1716" i="14"/>
  <c r="C1717" i="14"/>
  <c r="C1718" i="14"/>
  <c r="C1719" i="14"/>
  <c r="C1720" i="14"/>
  <c r="C1721" i="14"/>
  <c r="C1722" i="14"/>
  <c r="C1723" i="14"/>
  <c r="C1724" i="14"/>
  <c r="C1725" i="14"/>
  <c r="C1726" i="14"/>
  <c r="C1727" i="14"/>
  <c r="C1728" i="14"/>
  <c r="C1729" i="14"/>
  <c r="C1730" i="14"/>
  <c r="C1731" i="14"/>
  <c r="C1732" i="14"/>
  <c r="C1733" i="14"/>
  <c r="C1734" i="14"/>
  <c r="C1735" i="14"/>
  <c r="C1736" i="14"/>
  <c r="C1737" i="14"/>
  <c r="C1738" i="14"/>
  <c r="C1739" i="14"/>
  <c r="C1740" i="14"/>
  <c r="C1741" i="14"/>
  <c r="C1742" i="14"/>
  <c r="C1743" i="14"/>
  <c r="C1744" i="14"/>
  <c r="C1745" i="14"/>
  <c r="C1746" i="14"/>
  <c r="C1747" i="14"/>
  <c r="C1748" i="14"/>
  <c r="C1749" i="14"/>
  <c r="C1750" i="14"/>
  <c r="C1751" i="14"/>
  <c r="C1752" i="14"/>
  <c r="C1753" i="14"/>
  <c r="C1754" i="14"/>
  <c r="C1755" i="14"/>
  <c r="C1756" i="14"/>
  <c r="C1757" i="14"/>
  <c r="C1758" i="14"/>
  <c r="C1759" i="14"/>
  <c r="C1760" i="14"/>
  <c r="C1761" i="14"/>
  <c r="C1762" i="14"/>
  <c r="C1763" i="14"/>
  <c r="C1764" i="14"/>
  <c r="C1765" i="14"/>
  <c r="C1766" i="14"/>
  <c r="C1767" i="14"/>
  <c r="C1768" i="14"/>
  <c r="C1769" i="14"/>
  <c r="C1770" i="14"/>
  <c r="C1771" i="14"/>
  <c r="C1772" i="14"/>
  <c r="C1773" i="14"/>
  <c r="C1774" i="14"/>
  <c r="C1775" i="14"/>
  <c r="C1776" i="14"/>
  <c r="C1777" i="14"/>
  <c r="C1778" i="14"/>
  <c r="C1779" i="14"/>
  <c r="C1780" i="14"/>
  <c r="C1781" i="14"/>
  <c r="C1782" i="14"/>
  <c r="C1783" i="14"/>
  <c r="C1784" i="14"/>
  <c r="C1785" i="14"/>
  <c r="C1786" i="14"/>
  <c r="C1787" i="14"/>
  <c r="C1788" i="14"/>
  <c r="C1789" i="14"/>
  <c r="C1790" i="14"/>
  <c r="C1791" i="14"/>
  <c r="C1792" i="14"/>
  <c r="C1793" i="14"/>
  <c r="C1794" i="14"/>
  <c r="C1795" i="14"/>
  <c r="C1796" i="14"/>
  <c r="C1797" i="14"/>
  <c r="C1798" i="14"/>
  <c r="C1799" i="14"/>
  <c r="C1800" i="14"/>
  <c r="C1801" i="14"/>
  <c r="C1802" i="14"/>
  <c r="C1803" i="14"/>
  <c r="C1804" i="14"/>
  <c r="C1805" i="14"/>
  <c r="C1806" i="14"/>
  <c r="C1807" i="14"/>
  <c r="C1808" i="14"/>
  <c r="C1809" i="14"/>
  <c r="C1810" i="14"/>
  <c r="C1811" i="14"/>
  <c r="C1812" i="14"/>
  <c r="C1813" i="14"/>
  <c r="C1814" i="14"/>
  <c r="C1815" i="14"/>
  <c r="C1816" i="14"/>
  <c r="C1817" i="14"/>
  <c r="C1818" i="14"/>
  <c r="C1819" i="14"/>
  <c r="C1820" i="14"/>
  <c r="C1821" i="14"/>
  <c r="C1822" i="14"/>
  <c r="C1823" i="14"/>
  <c r="C1824" i="14"/>
  <c r="C1825" i="14"/>
  <c r="C1826" i="14"/>
  <c r="C1827" i="14"/>
  <c r="C1828" i="14"/>
  <c r="C1829" i="14"/>
  <c r="C1830" i="14"/>
  <c r="C1831" i="14"/>
  <c r="C1832" i="14"/>
  <c r="C1833" i="14"/>
  <c r="C1834" i="14"/>
  <c r="C1835" i="14"/>
  <c r="C1836" i="14"/>
  <c r="C1837" i="14"/>
  <c r="C1838" i="14"/>
  <c r="C1839" i="14"/>
  <c r="C1840" i="14"/>
  <c r="C1841" i="14"/>
  <c r="C1842" i="14"/>
  <c r="C1843" i="14"/>
  <c r="C1844" i="14"/>
  <c r="C1845" i="14"/>
  <c r="C1846" i="14"/>
  <c r="C1847" i="14"/>
  <c r="C1848" i="14"/>
  <c r="C1849" i="14"/>
  <c r="C1850" i="14"/>
  <c r="C1851" i="14"/>
  <c r="C1852" i="14"/>
  <c r="C1853" i="14"/>
  <c r="C1854" i="14"/>
  <c r="C1855" i="14"/>
  <c r="C1856" i="14"/>
  <c r="C1857" i="14"/>
  <c r="C1858" i="14"/>
  <c r="C1859" i="14"/>
  <c r="C1860" i="14"/>
  <c r="C1861" i="14"/>
  <c r="C1862" i="14"/>
  <c r="C1863" i="14"/>
  <c r="C1864" i="14"/>
  <c r="C1865" i="14"/>
  <c r="C1866" i="14"/>
  <c r="C1867" i="14"/>
  <c r="C1868" i="14"/>
  <c r="C1869" i="14"/>
  <c r="C1870" i="14"/>
  <c r="C1871" i="14"/>
  <c r="C1872" i="14"/>
  <c r="C1873" i="14"/>
  <c r="C1874" i="14"/>
  <c r="C1875" i="14"/>
  <c r="C1876" i="14"/>
  <c r="C1877" i="14"/>
  <c r="C1878" i="14"/>
  <c r="C1879" i="14"/>
  <c r="C1880" i="14"/>
  <c r="C1881" i="14"/>
  <c r="C1882" i="14"/>
  <c r="C1883" i="14"/>
  <c r="C1884" i="14"/>
  <c r="C1885" i="14"/>
  <c r="C1886" i="14"/>
  <c r="C1887" i="14"/>
  <c r="C1888" i="14"/>
  <c r="C1889" i="14"/>
  <c r="C1890" i="14"/>
  <c r="C1891" i="14"/>
  <c r="C1892" i="14"/>
  <c r="C1893" i="14"/>
  <c r="C1894" i="14"/>
  <c r="C1895" i="14"/>
  <c r="C1896" i="14"/>
  <c r="C1897" i="14"/>
  <c r="C1898" i="14"/>
  <c r="C1899" i="14"/>
  <c r="C1900" i="14"/>
  <c r="C1901" i="14"/>
  <c r="C1902" i="14"/>
  <c r="C1903" i="14"/>
  <c r="C1904" i="14"/>
  <c r="C1905" i="14"/>
  <c r="C1906" i="14"/>
  <c r="C1907" i="14"/>
  <c r="C1908" i="14"/>
  <c r="C1909" i="14"/>
  <c r="C1910" i="14"/>
  <c r="C1911" i="14"/>
  <c r="C1912" i="14"/>
  <c r="C1913" i="14"/>
  <c r="C1914" i="14"/>
  <c r="C1915" i="14"/>
  <c r="C1916" i="14"/>
  <c r="C1917" i="14"/>
  <c r="C1918" i="14"/>
  <c r="C1919" i="14"/>
  <c r="C1920" i="14"/>
  <c r="C1921" i="14"/>
  <c r="C1922" i="14"/>
  <c r="C1923" i="14"/>
  <c r="C1924" i="14"/>
  <c r="C1925" i="14"/>
  <c r="C1926" i="14"/>
  <c r="C1927" i="14"/>
  <c r="C1928" i="14"/>
  <c r="C1929" i="14"/>
  <c r="C1930" i="14"/>
  <c r="C1931" i="14"/>
  <c r="C1932" i="14"/>
  <c r="C1933" i="14"/>
  <c r="C1934" i="14"/>
  <c r="C1935" i="14"/>
  <c r="C1936" i="14"/>
  <c r="C1937" i="14"/>
  <c r="C1938" i="14"/>
  <c r="C1939" i="14"/>
  <c r="C1940" i="14"/>
  <c r="C1941" i="14"/>
  <c r="C1942" i="14"/>
  <c r="C1943" i="14"/>
  <c r="C1944" i="14"/>
  <c r="C1945" i="14"/>
  <c r="C1946" i="14"/>
  <c r="C1947" i="14"/>
  <c r="C1948" i="14"/>
  <c r="C1949" i="14"/>
  <c r="C1950" i="14"/>
  <c r="C1951" i="14"/>
  <c r="C1952" i="14"/>
  <c r="C1953" i="14"/>
  <c r="C1954" i="14"/>
  <c r="C1955" i="14"/>
  <c r="C1956" i="14"/>
  <c r="C1957" i="14"/>
  <c r="C1958" i="14"/>
  <c r="C1959" i="14"/>
  <c r="C1960" i="14"/>
  <c r="C1961" i="14"/>
  <c r="C1962" i="14"/>
  <c r="C1963" i="14"/>
  <c r="C1964" i="14"/>
  <c r="C1965" i="14"/>
  <c r="C1966" i="14"/>
  <c r="C1967" i="14"/>
  <c r="C1968" i="14"/>
  <c r="C1969" i="14"/>
  <c r="C1970" i="14"/>
  <c r="C1971" i="14"/>
  <c r="C1972" i="14"/>
  <c r="C1973" i="14"/>
  <c r="C1974" i="14"/>
  <c r="C1975" i="14"/>
  <c r="C1976" i="14"/>
  <c r="C1977" i="14"/>
  <c r="C1978" i="14"/>
  <c r="C1979" i="14"/>
  <c r="C1980" i="14"/>
  <c r="C1981" i="14"/>
  <c r="C1982" i="14"/>
  <c r="C1983" i="14"/>
  <c r="C1984" i="14"/>
  <c r="C1985" i="14"/>
  <c r="C1986" i="14"/>
  <c r="C1987" i="14"/>
  <c r="C1988" i="14"/>
  <c r="C1989" i="14"/>
  <c r="C1990" i="14"/>
  <c r="C1991" i="14"/>
  <c r="C1992" i="14"/>
  <c r="C1993" i="14"/>
  <c r="C1994" i="14"/>
  <c r="C1995" i="14"/>
  <c r="C1996" i="14"/>
  <c r="C1997" i="14"/>
  <c r="C1998" i="14"/>
  <c r="C1999" i="14"/>
  <c r="C2000" i="14"/>
  <c r="C2001" i="14"/>
  <c r="C2002" i="14"/>
  <c r="C2003" i="14"/>
  <c r="C2004" i="14"/>
  <c r="C2005" i="14"/>
  <c r="C2006" i="14"/>
  <c r="C2007" i="14"/>
  <c r="C2008" i="14"/>
  <c r="C2009" i="14"/>
  <c r="C2010" i="14"/>
  <c r="C2011" i="14"/>
  <c r="C2012" i="14"/>
  <c r="C2013" i="14"/>
  <c r="C2014" i="14"/>
  <c r="C2015" i="14"/>
  <c r="C2016" i="14"/>
  <c r="C2017" i="14"/>
  <c r="C2018" i="14"/>
  <c r="C2019" i="14"/>
  <c r="C2020" i="14"/>
  <c r="C2021" i="14"/>
  <c r="C2022" i="14"/>
  <c r="C2023" i="14"/>
  <c r="C2024" i="14"/>
  <c r="C2025" i="14"/>
  <c r="C2026" i="14"/>
  <c r="C2027" i="14"/>
  <c r="C2028" i="14"/>
  <c r="C2029" i="14"/>
  <c r="C2030" i="14"/>
  <c r="C2031" i="14"/>
  <c r="C2032" i="14"/>
  <c r="C2033" i="14"/>
  <c r="C2034" i="14"/>
  <c r="C2035" i="14"/>
  <c r="C2036" i="14"/>
  <c r="C2037" i="14"/>
  <c r="C2038" i="14"/>
  <c r="C2039" i="14"/>
  <c r="C2040" i="14"/>
  <c r="C2041" i="14"/>
  <c r="C2042" i="14"/>
  <c r="C2043" i="14"/>
  <c r="C2044" i="14"/>
  <c r="C2045" i="14"/>
  <c r="C2046" i="14"/>
  <c r="C2047" i="14"/>
  <c r="C2048" i="14"/>
  <c r="C2049" i="14"/>
  <c r="C2050" i="14"/>
  <c r="C2051" i="14"/>
  <c r="C2052" i="14"/>
  <c r="C2053" i="14"/>
  <c r="C2054" i="14"/>
  <c r="C2055" i="14"/>
  <c r="C2056" i="14"/>
  <c r="C2057" i="14"/>
  <c r="C2058" i="14"/>
  <c r="C2059" i="14"/>
  <c r="C2060" i="14"/>
  <c r="C2061" i="14"/>
  <c r="C2062" i="14"/>
  <c r="C2063" i="14"/>
  <c r="C2064" i="14"/>
  <c r="C2065" i="14"/>
  <c r="C2066" i="14"/>
  <c r="C2067" i="14"/>
  <c r="C2068" i="14"/>
  <c r="C2069" i="14"/>
  <c r="C2070" i="14"/>
  <c r="C2071" i="14"/>
  <c r="C2072" i="14"/>
  <c r="C2073" i="14"/>
  <c r="C2074" i="14"/>
  <c r="C2075" i="14"/>
  <c r="C2076" i="14"/>
  <c r="C2077" i="14"/>
  <c r="C2078" i="14"/>
  <c r="C2079" i="14"/>
  <c r="C2080" i="14"/>
  <c r="C2081" i="14"/>
  <c r="C2082" i="14"/>
  <c r="C2083" i="14"/>
  <c r="C2084" i="14"/>
  <c r="C2085" i="14"/>
  <c r="C2086" i="14"/>
  <c r="C2087" i="14"/>
  <c r="C2088" i="14"/>
  <c r="C2089" i="14"/>
  <c r="C2090" i="14"/>
  <c r="C2091" i="14"/>
  <c r="C2092" i="14"/>
  <c r="C2093" i="14"/>
  <c r="C2094" i="14"/>
  <c r="C2095" i="14"/>
  <c r="C2096" i="14"/>
  <c r="C2097" i="14"/>
  <c r="C2098" i="14"/>
  <c r="C2099" i="14"/>
  <c r="C2100" i="14"/>
  <c r="C2101" i="14"/>
  <c r="C2102" i="14"/>
  <c r="C2103" i="14"/>
  <c r="C2104" i="14"/>
  <c r="C2105" i="14"/>
  <c r="C2106" i="14"/>
  <c r="C2107" i="14"/>
  <c r="C2108" i="14"/>
  <c r="C2109" i="14"/>
  <c r="C2110" i="14"/>
  <c r="C2111" i="14"/>
  <c r="C2112" i="14"/>
  <c r="C2113" i="14"/>
  <c r="C2114" i="14"/>
  <c r="C2115" i="14"/>
  <c r="C2116" i="14"/>
  <c r="C2117" i="14"/>
  <c r="C2118" i="14"/>
  <c r="C2119" i="14"/>
  <c r="C2120" i="14"/>
  <c r="C2121" i="14"/>
  <c r="C2122" i="14"/>
  <c r="C2123" i="14"/>
  <c r="C2124" i="14"/>
  <c r="C2125" i="14"/>
  <c r="C2126" i="14"/>
  <c r="C2127" i="14"/>
  <c r="C2128" i="14"/>
  <c r="C2129" i="14"/>
  <c r="C2130" i="14"/>
  <c r="C2131" i="14"/>
  <c r="C2132" i="14"/>
  <c r="C2133" i="14"/>
  <c r="C2134" i="14"/>
  <c r="C2135" i="14"/>
  <c r="C2136" i="14"/>
  <c r="C2137" i="14"/>
  <c r="C2138" i="14"/>
  <c r="C2139" i="14"/>
  <c r="C2140" i="14"/>
  <c r="C2141" i="14"/>
  <c r="C2142" i="14"/>
  <c r="C2143" i="14"/>
  <c r="C2144" i="14"/>
  <c r="C2145" i="14"/>
  <c r="C2146" i="14"/>
  <c r="C2147" i="14"/>
  <c r="C2148" i="14"/>
  <c r="C2149" i="14"/>
  <c r="C2150" i="14"/>
  <c r="C2151" i="14"/>
  <c r="C2152" i="14"/>
  <c r="C2153" i="14"/>
  <c r="C2154" i="14"/>
  <c r="C2155" i="14"/>
  <c r="C2156" i="14"/>
  <c r="C2157" i="14"/>
  <c r="C2158" i="14"/>
  <c r="C2159" i="14"/>
  <c r="C2160" i="14"/>
  <c r="C2161" i="14"/>
  <c r="C2162" i="14"/>
  <c r="C2163" i="14"/>
  <c r="C2164" i="14"/>
  <c r="C2165" i="14"/>
  <c r="C2166" i="14"/>
  <c r="C2167" i="14"/>
  <c r="C2168" i="14"/>
  <c r="C2169" i="14"/>
  <c r="C2170" i="14"/>
  <c r="C2171" i="14"/>
  <c r="C2172" i="14"/>
  <c r="C2173" i="14"/>
  <c r="C2174" i="14"/>
  <c r="C2175" i="14"/>
  <c r="C2176" i="14"/>
  <c r="C2177" i="14"/>
  <c r="C2178" i="14"/>
  <c r="C2179" i="14"/>
  <c r="C2180" i="14"/>
  <c r="C2181" i="14"/>
  <c r="C2182" i="14"/>
  <c r="C2183" i="14"/>
  <c r="C2184" i="14"/>
  <c r="C2185" i="14"/>
  <c r="C2186" i="14"/>
  <c r="C2187" i="14"/>
  <c r="C2188" i="14"/>
  <c r="C2189" i="14"/>
  <c r="C2190" i="14"/>
  <c r="C2191" i="14"/>
  <c r="C2192" i="14"/>
  <c r="C2193" i="14"/>
  <c r="C2194" i="14"/>
  <c r="C2195" i="14"/>
  <c r="C2196" i="14"/>
  <c r="C2197" i="14"/>
  <c r="C2198" i="14"/>
  <c r="C2199" i="14"/>
  <c r="C2200" i="14"/>
  <c r="C2201" i="14"/>
  <c r="C2202" i="14"/>
  <c r="C2203" i="14"/>
  <c r="C2204" i="14"/>
  <c r="C2205" i="14"/>
  <c r="C2206" i="14"/>
  <c r="C2207" i="14"/>
  <c r="C2208" i="14"/>
  <c r="C2209" i="14"/>
  <c r="C2210" i="14"/>
  <c r="C2211" i="14"/>
  <c r="C2212" i="14"/>
  <c r="C2213" i="14"/>
  <c r="C2214" i="14"/>
  <c r="C2215" i="14"/>
  <c r="C2216" i="14"/>
  <c r="C2217" i="14"/>
  <c r="C2218" i="14"/>
  <c r="C2219" i="14"/>
  <c r="C2220" i="14"/>
  <c r="C2221" i="14"/>
  <c r="C2222" i="14"/>
  <c r="C2223" i="14"/>
  <c r="C2224" i="14"/>
  <c r="C2225" i="14"/>
  <c r="C2226" i="14"/>
  <c r="C2227" i="14"/>
  <c r="C2228" i="14"/>
  <c r="C2229" i="14"/>
  <c r="C2230" i="14"/>
  <c r="C2231" i="14"/>
  <c r="C2232" i="14"/>
  <c r="C2233" i="14"/>
  <c r="C2234" i="14"/>
  <c r="C2235" i="14"/>
  <c r="C2236" i="14"/>
  <c r="C2237" i="14"/>
  <c r="C2238" i="14"/>
  <c r="C2239" i="14"/>
  <c r="C2240" i="14"/>
  <c r="C2241" i="14"/>
  <c r="C2242" i="14"/>
  <c r="C2243" i="14"/>
  <c r="C2244" i="14"/>
  <c r="C2245" i="14"/>
  <c r="C2246" i="14"/>
  <c r="C2247" i="14"/>
  <c r="C2248" i="14"/>
  <c r="C2249" i="14"/>
  <c r="C2250" i="14"/>
  <c r="C2251" i="14"/>
  <c r="C2252" i="14"/>
  <c r="C2253" i="14"/>
  <c r="C2254" i="14"/>
  <c r="C2255" i="14"/>
  <c r="C2256" i="14"/>
  <c r="C2257" i="14"/>
  <c r="C2258" i="14"/>
  <c r="C2259" i="14"/>
  <c r="C2260" i="14"/>
  <c r="C2261" i="14"/>
  <c r="C2262" i="14"/>
  <c r="C2263" i="14"/>
  <c r="C2264" i="14"/>
  <c r="C2265" i="14"/>
  <c r="C2266" i="14"/>
  <c r="C2267" i="14"/>
  <c r="C2268" i="14"/>
  <c r="C2269" i="14"/>
  <c r="C2270" i="14"/>
  <c r="C2271" i="14"/>
  <c r="C2272" i="14"/>
  <c r="C2273" i="14"/>
  <c r="C2274" i="14"/>
  <c r="C2275" i="14"/>
  <c r="C2276" i="14"/>
  <c r="C2277" i="14"/>
  <c r="C2278" i="14"/>
  <c r="C2279" i="14"/>
  <c r="C2280" i="14"/>
  <c r="C2281" i="14"/>
  <c r="C2282" i="14"/>
  <c r="C2283" i="14"/>
  <c r="C2284" i="14"/>
  <c r="C2285" i="14"/>
  <c r="C2286" i="14"/>
  <c r="C2287" i="14"/>
  <c r="C2288" i="14"/>
  <c r="C2289" i="14"/>
  <c r="C2290" i="14"/>
  <c r="C2291" i="14"/>
  <c r="C2292" i="14"/>
  <c r="C2293" i="14"/>
  <c r="C2294" i="14"/>
  <c r="C2295" i="14"/>
  <c r="C2296" i="14"/>
  <c r="C2297" i="14"/>
  <c r="C2298" i="14"/>
  <c r="C2299" i="14"/>
  <c r="C2300" i="14"/>
  <c r="C2301" i="14"/>
  <c r="C2302" i="14"/>
  <c r="C2303" i="14"/>
  <c r="C2304" i="14"/>
  <c r="C2305" i="14"/>
  <c r="C2306" i="14"/>
  <c r="C2307" i="14"/>
  <c r="C2308" i="14"/>
  <c r="C2309" i="14"/>
  <c r="C2310" i="14"/>
  <c r="C2311" i="14"/>
  <c r="C2312" i="14"/>
  <c r="C2313" i="14"/>
  <c r="C2314" i="14"/>
  <c r="C2315" i="14"/>
  <c r="C2316" i="14"/>
  <c r="C2317" i="14"/>
  <c r="C2318" i="14"/>
  <c r="C2319" i="14"/>
  <c r="C2320" i="14"/>
  <c r="C2321" i="14"/>
  <c r="C2322" i="14"/>
  <c r="C2323" i="14"/>
  <c r="C2324" i="14"/>
  <c r="C2325" i="14"/>
  <c r="C2326" i="14"/>
  <c r="C2327" i="14"/>
  <c r="C2328" i="14"/>
  <c r="C2329" i="14"/>
  <c r="C2330" i="14"/>
  <c r="C2331" i="14"/>
  <c r="C2332" i="14"/>
  <c r="C2333" i="14"/>
  <c r="C2334" i="14"/>
  <c r="C2335" i="14"/>
  <c r="C2336" i="14"/>
  <c r="C2337" i="14"/>
  <c r="C2338" i="14"/>
  <c r="C2339" i="14"/>
  <c r="C2340" i="14"/>
  <c r="C2341" i="14"/>
  <c r="C2342" i="14"/>
  <c r="C2343" i="14"/>
  <c r="C2344" i="14"/>
  <c r="C2345" i="14"/>
  <c r="C2346" i="14"/>
  <c r="C2347" i="14"/>
  <c r="C2348" i="14"/>
  <c r="C2349" i="14"/>
  <c r="C2350" i="14"/>
  <c r="C2351" i="14"/>
  <c r="C2352" i="14"/>
  <c r="C2353" i="14"/>
  <c r="C2354" i="14"/>
  <c r="C2355" i="14"/>
  <c r="C2356" i="14"/>
  <c r="C2357" i="14"/>
  <c r="C2358" i="14"/>
  <c r="C2359" i="14"/>
  <c r="C2360" i="14"/>
  <c r="C2361" i="14"/>
  <c r="C2362" i="14"/>
  <c r="C2363" i="14"/>
  <c r="C2364" i="14"/>
  <c r="C2365" i="14"/>
  <c r="C2366" i="14"/>
  <c r="C2367" i="14"/>
  <c r="C2368" i="14"/>
  <c r="C2369" i="14"/>
  <c r="C2370" i="14"/>
  <c r="C2371" i="14"/>
  <c r="C2372" i="14"/>
  <c r="C2373" i="14"/>
  <c r="C2374" i="14"/>
  <c r="C2375" i="14"/>
  <c r="C2376" i="14"/>
  <c r="C2377" i="14"/>
  <c r="C2378" i="14"/>
  <c r="C2379" i="14"/>
  <c r="C2380" i="14"/>
  <c r="C2381" i="14"/>
  <c r="C2382" i="14"/>
  <c r="C2383" i="14"/>
  <c r="C2384" i="14"/>
  <c r="C2385" i="14"/>
  <c r="C2386" i="14"/>
  <c r="C2387" i="14"/>
  <c r="C2388" i="14"/>
  <c r="C2389" i="14"/>
  <c r="C2390" i="14"/>
  <c r="C2391" i="14"/>
  <c r="C2392" i="14"/>
  <c r="C2393" i="14"/>
  <c r="C2394" i="14"/>
  <c r="C2395" i="14"/>
  <c r="C2396" i="14"/>
  <c r="C2397" i="14"/>
  <c r="C2398" i="14"/>
  <c r="C2399" i="14"/>
  <c r="C2400" i="14"/>
  <c r="C2401" i="14"/>
  <c r="C2402" i="14"/>
  <c r="C2403" i="14"/>
  <c r="C2404" i="14"/>
  <c r="C2405" i="14"/>
  <c r="C2406" i="14"/>
  <c r="C2407" i="14"/>
  <c r="C2408" i="14"/>
  <c r="C2409" i="14"/>
  <c r="C2410" i="14"/>
  <c r="C2411" i="14"/>
  <c r="C2412" i="14"/>
  <c r="C2413" i="14"/>
  <c r="C2414" i="14"/>
  <c r="C2415" i="14"/>
  <c r="C2416" i="14"/>
  <c r="C2417" i="14"/>
  <c r="C2418" i="14"/>
  <c r="C2419" i="14"/>
  <c r="C2420" i="14"/>
  <c r="C2421" i="14"/>
  <c r="C2422" i="14"/>
  <c r="C2423" i="14"/>
  <c r="C2424" i="14"/>
  <c r="C2425" i="14"/>
  <c r="C2426" i="14"/>
  <c r="C2427" i="14"/>
  <c r="C2428" i="14"/>
  <c r="C2429" i="14"/>
  <c r="C2430" i="14"/>
  <c r="C2431" i="14"/>
  <c r="C2432" i="14"/>
  <c r="C2433" i="14"/>
  <c r="C2434" i="14"/>
  <c r="C2435" i="14"/>
  <c r="C2436" i="14"/>
  <c r="C2437" i="14"/>
  <c r="C2438" i="14"/>
  <c r="C2439" i="14"/>
  <c r="C2440" i="14"/>
  <c r="C2441" i="14"/>
  <c r="C2442" i="14"/>
  <c r="C2443" i="14"/>
  <c r="C2444" i="14"/>
  <c r="C2445" i="14"/>
  <c r="C2446" i="14"/>
  <c r="C2447" i="14"/>
  <c r="C2448" i="14"/>
  <c r="C2449" i="14"/>
  <c r="C2450" i="14"/>
  <c r="C2451" i="14"/>
  <c r="C2452" i="14"/>
  <c r="C2453" i="14"/>
  <c r="C2454" i="14"/>
  <c r="C2455" i="14"/>
  <c r="C2456" i="14"/>
  <c r="C2457" i="14"/>
  <c r="C2458" i="14"/>
  <c r="C2459" i="14"/>
  <c r="C2460" i="14"/>
  <c r="C2461" i="14"/>
  <c r="C2462" i="14"/>
  <c r="C2463" i="14"/>
  <c r="C2464" i="14"/>
  <c r="C2465" i="14"/>
  <c r="C2466" i="14"/>
  <c r="C2467" i="14"/>
  <c r="C2468" i="14"/>
  <c r="C2469" i="14"/>
  <c r="C2470" i="14"/>
  <c r="C2471" i="14"/>
  <c r="C2472" i="14"/>
  <c r="C2473" i="14"/>
  <c r="C2474" i="14"/>
  <c r="C2475" i="14"/>
  <c r="C2476" i="14"/>
  <c r="C2477" i="14"/>
  <c r="C2478" i="14"/>
  <c r="C2479" i="14"/>
  <c r="C2480" i="14"/>
  <c r="C2481" i="14"/>
  <c r="C2482" i="14"/>
  <c r="C2483" i="14"/>
  <c r="C2484" i="14"/>
  <c r="C2485" i="14"/>
  <c r="C2486" i="14"/>
  <c r="C2487" i="14"/>
  <c r="C2488" i="14"/>
  <c r="C2489" i="14"/>
  <c r="C2490" i="14"/>
  <c r="C2491" i="14"/>
  <c r="C2492" i="14"/>
  <c r="C2493" i="14"/>
  <c r="C2494" i="14"/>
  <c r="C2495" i="14"/>
  <c r="C2496" i="14"/>
  <c r="C2497" i="14"/>
  <c r="C2498" i="14"/>
  <c r="C2499" i="14"/>
  <c r="C2500" i="14"/>
  <c r="C2501" i="14"/>
  <c r="C2502" i="14"/>
  <c r="C2503" i="14"/>
  <c r="C2504" i="14"/>
  <c r="C2505" i="14"/>
  <c r="C2506" i="14"/>
  <c r="C2507" i="14"/>
  <c r="C2508" i="14"/>
  <c r="C2509" i="14"/>
  <c r="C2510" i="14"/>
  <c r="C2511" i="14"/>
  <c r="C2512" i="14"/>
  <c r="C2513" i="14"/>
  <c r="C2514" i="14"/>
  <c r="C2515" i="14"/>
  <c r="C2516" i="14"/>
  <c r="C2517" i="14"/>
  <c r="C2518" i="14"/>
  <c r="C2519" i="14"/>
  <c r="C2520" i="14"/>
  <c r="C2521" i="14"/>
  <c r="C2522" i="14"/>
  <c r="C2523" i="14"/>
  <c r="C2524" i="14"/>
  <c r="C2525" i="14"/>
  <c r="C2526" i="14"/>
  <c r="C2527" i="14"/>
  <c r="C2528" i="14"/>
  <c r="C2529" i="14"/>
  <c r="C2530" i="14"/>
  <c r="C2531" i="14"/>
  <c r="C2532" i="14"/>
  <c r="C2533" i="14"/>
  <c r="C2534" i="14"/>
  <c r="C2535" i="14"/>
  <c r="C2536" i="14"/>
  <c r="C2537" i="14"/>
  <c r="C2538" i="14"/>
  <c r="C2539" i="14"/>
  <c r="C2540" i="14"/>
  <c r="C2541" i="14"/>
  <c r="C2542" i="14"/>
  <c r="C2543" i="14"/>
  <c r="C2544" i="14"/>
  <c r="C2545" i="14"/>
  <c r="C2546" i="14"/>
  <c r="C2547" i="14"/>
  <c r="C2548" i="14"/>
  <c r="C2549" i="14"/>
  <c r="C2550" i="14"/>
  <c r="C2551" i="14"/>
  <c r="C2552" i="14"/>
  <c r="C2553" i="14"/>
  <c r="C2554" i="14"/>
  <c r="C2555" i="14"/>
  <c r="C2556" i="14"/>
  <c r="C2557" i="14"/>
  <c r="C2558" i="14"/>
  <c r="C2559" i="14"/>
  <c r="C2560" i="14"/>
  <c r="C2561" i="14"/>
  <c r="C2562" i="14"/>
  <c r="C2563" i="14"/>
  <c r="C2564" i="14"/>
  <c r="C2565" i="14"/>
  <c r="C2566" i="14"/>
  <c r="C2567" i="14"/>
  <c r="C2568" i="14"/>
  <c r="C2569" i="14"/>
  <c r="C2570" i="14"/>
  <c r="C2571" i="14"/>
  <c r="C2572" i="14"/>
  <c r="C2573" i="14"/>
  <c r="C2574" i="14"/>
  <c r="C2575" i="14"/>
  <c r="C2576" i="14"/>
  <c r="C2577" i="14"/>
  <c r="C2578" i="14"/>
  <c r="C2579" i="14"/>
  <c r="C2580" i="14"/>
  <c r="C2581" i="14"/>
  <c r="C2582" i="14"/>
  <c r="C2583" i="14"/>
  <c r="C2584" i="14"/>
  <c r="C2585" i="14"/>
  <c r="C2586" i="14"/>
  <c r="C2587" i="14"/>
  <c r="C2588" i="14"/>
  <c r="C2589" i="14"/>
  <c r="C2590" i="14"/>
  <c r="C2591" i="14"/>
  <c r="C2592" i="14"/>
  <c r="C2593" i="14"/>
  <c r="C2594" i="14"/>
  <c r="C2595" i="14"/>
  <c r="C2596" i="14"/>
  <c r="C2597" i="14"/>
  <c r="C2598" i="14"/>
  <c r="C2599" i="14"/>
  <c r="C2600" i="14"/>
  <c r="C2601" i="14"/>
  <c r="C2602" i="14"/>
  <c r="C2603" i="14"/>
  <c r="C2604" i="14"/>
  <c r="C2605" i="14"/>
  <c r="C2606" i="14"/>
  <c r="C2607" i="14"/>
  <c r="C2608" i="14"/>
  <c r="C2609" i="14"/>
  <c r="C2610" i="14"/>
  <c r="C2611" i="14"/>
  <c r="C2612" i="14"/>
  <c r="C2613" i="14"/>
  <c r="C2614" i="14"/>
  <c r="C2615" i="14"/>
  <c r="C2616" i="14"/>
  <c r="C2617" i="14"/>
  <c r="C2618" i="14"/>
  <c r="C2619" i="14"/>
  <c r="C2620" i="14"/>
  <c r="C2621" i="14"/>
  <c r="C2622" i="14"/>
  <c r="C2623" i="14"/>
  <c r="C2624" i="14"/>
  <c r="C2625" i="14"/>
  <c r="C2626" i="14"/>
  <c r="C2627" i="14"/>
  <c r="C2628" i="14"/>
  <c r="C2629" i="14"/>
  <c r="C2630" i="14"/>
  <c r="C2631" i="14"/>
  <c r="C2632" i="14"/>
  <c r="C2633" i="14"/>
  <c r="C2634" i="14"/>
  <c r="C2635" i="14"/>
  <c r="C2636" i="14"/>
  <c r="C2637" i="14"/>
  <c r="C2638" i="14"/>
  <c r="C2639" i="14"/>
  <c r="C2640" i="14"/>
  <c r="C2641" i="14"/>
  <c r="C2642" i="14"/>
  <c r="C2643" i="14"/>
  <c r="C2644" i="14"/>
  <c r="C2645" i="14"/>
  <c r="C2646" i="14"/>
  <c r="C2647" i="14"/>
  <c r="C2648" i="14"/>
  <c r="C2649" i="14"/>
  <c r="C2650" i="14"/>
  <c r="C2651" i="14"/>
  <c r="C2652" i="14"/>
  <c r="C2653" i="14"/>
  <c r="C2654" i="14"/>
  <c r="C2655" i="14"/>
  <c r="C2656" i="14"/>
  <c r="C2657" i="14"/>
  <c r="C2658" i="14"/>
  <c r="C2659" i="14"/>
  <c r="C2660" i="14"/>
  <c r="C2661" i="14"/>
  <c r="C2662" i="14"/>
  <c r="C2663" i="14"/>
  <c r="C2664" i="14"/>
  <c r="C2665" i="14"/>
  <c r="C2666" i="14"/>
  <c r="C2667" i="14"/>
  <c r="C2668" i="14"/>
  <c r="C2669" i="14"/>
  <c r="C2670" i="14"/>
  <c r="C2671" i="14"/>
  <c r="C2672" i="14"/>
  <c r="C2673" i="14"/>
  <c r="C2674" i="14"/>
  <c r="C2675" i="14"/>
  <c r="C2676" i="14"/>
  <c r="C2677" i="14"/>
  <c r="C2678" i="14"/>
  <c r="C2679" i="14"/>
  <c r="C2680" i="14"/>
  <c r="C2681" i="14"/>
  <c r="C2682" i="14"/>
  <c r="C2683" i="14"/>
  <c r="C2684" i="14"/>
  <c r="C2685" i="14"/>
  <c r="C2686" i="14"/>
  <c r="C2687" i="14"/>
  <c r="C2688" i="14"/>
  <c r="C2689" i="14"/>
  <c r="C2690" i="14"/>
  <c r="C2691" i="14"/>
  <c r="C2692" i="14"/>
  <c r="C2693" i="14"/>
  <c r="C2694" i="14"/>
  <c r="C2695" i="14"/>
  <c r="C2696" i="14"/>
  <c r="C2697" i="14"/>
  <c r="C2698" i="14"/>
  <c r="C2699" i="14"/>
  <c r="C2700" i="14"/>
  <c r="C2701" i="14"/>
  <c r="C2702" i="14"/>
  <c r="C2703" i="14"/>
  <c r="C2704" i="14"/>
  <c r="C2705" i="14"/>
  <c r="C2706" i="14"/>
  <c r="C2707" i="14"/>
  <c r="C2708" i="14"/>
  <c r="C2709" i="14"/>
  <c r="C2710" i="14"/>
  <c r="C2711" i="14"/>
  <c r="C2712" i="14"/>
  <c r="C2713" i="14"/>
  <c r="C2714" i="14"/>
  <c r="C2715" i="14"/>
  <c r="C2716" i="14"/>
  <c r="C2717" i="14"/>
  <c r="C2718" i="14"/>
  <c r="C2719" i="14"/>
  <c r="C2720" i="14"/>
  <c r="C2721" i="14"/>
  <c r="C2722" i="14"/>
  <c r="C2723" i="14"/>
  <c r="C2724" i="14"/>
  <c r="C2725" i="14"/>
  <c r="C2726" i="14"/>
  <c r="C2727" i="14"/>
  <c r="C2728" i="14"/>
  <c r="C2729" i="14"/>
  <c r="C2730" i="14"/>
  <c r="C2731" i="14"/>
  <c r="C2732" i="14"/>
  <c r="C2733" i="14"/>
  <c r="C2734" i="14"/>
  <c r="C2735" i="14"/>
  <c r="C2736" i="14"/>
  <c r="C2737" i="14"/>
  <c r="C2738" i="14"/>
  <c r="C2739" i="14"/>
  <c r="C2740" i="14"/>
  <c r="C2741" i="14"/>
  <c r="C2742" i="14"/>
  <c r="C2743" i="14"/>
  <c r="C2744" i="14"/>
  <c r="C2745" i="14"/>
  <c r="C2746" i="14"/>
  <c r="C2747" i="14"/>
  <c r="C2748" i="14"/>
  <c r="C2749" i="14"/>
  <c r="C2750" i="14"/>
  <c r="C2751" i="14"/>
  <c r="C2752" i="14"/>
  <c r="C2753" i="14"/>
  <c r="C2754" i="14"/>
  <c r="C2755" i="14"/>
  <c r="C2756" i="14"/>
  <c r="C2757" i="14"/>
  <c r="C2758" i="14"/>
  <c r="C2759" i="14"/>
  <c r="C2760" i="14"/>
  <c r="C2761" i="14"/>
  <c r="C2762" i="14"/>
  <c r="C2763" i="14"/>
  <c r="C2764" i="14"/>
  <c r="C2765" i="14"/>
  <c r="C2766" i="14"/>
  <c r="C2767" i="14"/>
  <c r="C2768" i="14"/>
  <c r="C2769" i="14"/>
  <c r="C2770" i="14"/>
  <c r="C2771" i="14"/>
  <c r="C2772" i="14"/>
  <c r="C2773" i="14"/>
  <c r="C2774" i="14"/>
  <c r="C2775" i="14"/>
  <c r="C2776" i="14"/>
  <c r="C2777" i="14"/>
  <c r="C2778" i="14"/>
  <c r="C2779" i="14"/>
  <c r="C2780" i="14"/>
  <c r="C2781" i="14"/>
  <c r="C2782" i="14"/>
  <c r="C2783" i="14"/>
  <c r="C2784" i="14"/>
  <c r="C2785" i="14"/>
  <c r="C2786" i="14"/>
  <c r="C2787" i="14"/>
  <c r="C2788" i="14"/>
  <c r="C2789" i="14"/>
  <c r="C2790" i="14"/>
  <c r="C2791" i="14"/>
  <c r="C2792" i="14"/>
  <c r="C2793" i="14"/>
  <c r="C2794" i="14"/>
  <c r="C2795" i="14"/>
  <c r="C2796" i="14"/>
  <c r="C2797" i="14"/>
  <c r="C2798" i="14"/>
  <c r="C2799" i="14"/>
  <c r="C2800" i="14"/>
  <c r="C2801" i="14"/>
  <c r="C2802" i="14"/>
  <c r="C2803" i="14"/>
  <c r="C2804" i="14"/>
  <c r="C2805" i="14"/>
  <c r="C2806" i="14"/>
  <c r="C2807" i="14"/>
  <c r="C2808" i="14"/>
  <c r="C2809" i="14"/>
  <c r="C2810" i="14"/>
  <c r="C2811" i="14"/>
  <c r="C2812" i="14"/>
  <c r="C2813" i="14"/>
  <c r="C2814" i="14"/>
  <c r="C2815" i="14"/>
  <c r="C2816" i="14"/>
  <c r="C2817" i="14"/>
  <c r="C2818" i="14"/>
  <c r="C2819" i="14"/>
  <c r="C2820" i="14"/>
  <c r="C2821" i="14"/>
  <c r="C2822" i="14"/>
  <c r="C2823" i="14"/>
  <c r="C2824" i="14"/>
  <c r="C2825" i="14"/>
  <c r="C2826" i="14"/>
  <c r="C2827" i="14"/>
  <c r="C2828" i="14"/>
  <c r="C2829" i="14"/>
  <c r="C2830" i="14"/>
  <c r="C2831" i="14"/>
  <c r="C2832" i="14"/>
  <c r="C2833" i="14"/>
  <c r="C2834" i="14"/>
  <c r="C2835" i="14"/>
  <c r="C2836" i="14"/>
  <c r="C2837" i="14"/>
  <c r="C2838" i="14"/>
  <c r="C2839" i="14"/>
  <c r="C2840" i="14"/>
  <c r="C2841" i="14"/>
  <c r="C2842" i="14"/>
  <c r="C2843" i="14"/>
  <c r="C2844" i="14"/>
  <c r="C2845" i="14"/>
  <c r="C2846" i="14"/>
  <c r="C2847" i="14"/>
  <c r="C2848" i="14"/>
  <c r="C2849" i="14"/>
  <c r="C2850" i="14"/>
  <c r="C2851" i="14"/>
  <c r="C2852" i="14"/>
  <c r="C2853" i="14"/>
  <c r="C2854" i="14"/>
  <c r="C2855" i="14"/>
  <c r="C2856" i="14"/>
  <c r="C2857" i="14"/>
  <c r="C2858" i="14"/>
  <c r="C2859" i="14"/>
  <c r="C2860" i="14"/>
  <c r="C2861" i="14"/>
  <c r="C2862" i="14"/>
  <c r="C2863" i="14"/>
  <c r="C2864" i="14"/>
  <c r="C2865" i="14"/>
  <c r="C2866" i="14"/>
  <c r="C2867" i="14"/>
  <c r="C2868" i="14"/>
  <c r="C2869" i="14"/>
  <c r="C2870" i="14"/>
  <c r="C2871" i="14"/>
  <c r="C2872" i="14"/>
  <c r="C2873" i="14"/>
  <c r="C2874" i="14"/>
  <c r="C2875" i="14"/>
  <c r="C2876" i="14"/>
  <c r="C2877" i="14"/>
  <c r="C2878" i="14"/>
  <c r="C2879" i="14"/>
  <c r="C2880" i="14"/>
  <c r="C2881" i="14"/>
  <c r="C2882" i="14"/>
  <c r="C2883" i="14"/>
  <c r="C2884" i="14"/>
  <c r="C2885" i="14"/>
  <c r="C2886" i="14"/>
  <c r="C2887" i="14"/>
  <c r="C2888" i="14"/>
  <c r="C2889" i="14"/>
  <c r="C2890" i="14"/>
  <c r="C2891" i="14"/>
  <c r="C2892" i="14"/>
  <c r="C2893" i="14"/>
  <c r="C2894" i="14"/>
  <c r="C2895" i="14"/>
  <c r="C2896" i="14"/>
  <c r="C2897" i="14"/>
  <c r="C2898" i="14"/>
  <c r="C2899" i="14"/>
  <c r="C2900" i="14"/>
  <c r="C2901" i="14"/>
  <c r="C2902" i="14"/>
  <c r="C2903" i="14"/>
  <c r="C2904" i="14"/>
  <c r="C2905" i="14"/>
  <c r="C2906" i="14"/>
  <c r="C2907" i="14"/>
  <c r="C2908" i="14"/>
  <c r="C2909" i="14"/>
  <c r="C2910" i="14"/>
  <c r="C2911" i="14"/>
  <c r="C2912" i="14"/>
  <c r="C2913" i="14"/>
  <c r="C2914" i="14"/>
  <c r="C2915" i="14"/>
  <c r="C2916" i="14"/>
  <c r="C2917" i="14"/>
  <c r="C2918" i="14"/>
  <c r="C2919" i="14"/>
  <c r="C2920" i="14"/>
  <c r="C2921" i="14"/>
  <c r="C2922" i="14"/>
  <c r="C2923" i="14"/>
  <c r="C2924" i="14"/>
  <c r="C2925" i="14"/>
  <c r="C2926" i="14"/>
  <c r="C2927" i="14"/>
  <c r="C2928" i="14"/>
  <c r="C2929" i="14"/>
  <c r="C2930" i="14"/>
  <c r="C2931" i="14"/>
  <c r="C2932" i="14"/>
  <c r="C2933" i="14"/>
  <c r="C2934" i="14"/>
  <c r="C2935" i="14"/>
  <c r="C2936" i="14"/>
  <c r="C2937" i="14"/>
  <c r="C2938" i="14"/>
  <c r="C2939" i="14"/>
  <c r="C2940" i="14"/>
  <c r="C2941" i="14"/>
  <c r="C2942" i="14"/>
  <c r="C2943" i="14"/>
  <c r="C2944" i="14"/>
  <c r="C2945" i="14"/>
  <c r="C2946" i="14"/>
  <c r="C2947" i="14"/>
  <c r="C2948" i="14"/>
  <c r="C2949" i="14"/>
  <c r="C2950" i="14"/>
  <c r="C2951" i="14"/>
  <c r="C2952" i="14"/>
  <c r="C2953" i="14"/>
  <c r="C2954" i="14"/>
  <c r="C2955" i="14"/>
  <c r="C2956" i="14"/>
  <c r="C2957" i="14"/>
  <c r="C2958" i="14"/>
  <c r="C2959" i="14"/>
  <c r="C2960" i="14"/>
  <c r="C2961" i="14"/>
  <c r="C2962" i="14"/>
  <c r="C2963" i="14"/>
  <c r="C2964" i="14"/>
  <c r="C2965" i="14"/>
  <c r="C2966" i="14"/>
  <c r="C2967" i="14"/>
  <c r="C2968" i="14"/>
  <c r="C2969" i="14"/>
  <c r="C2970" i="14"/>
  <c r="C2971" i="14"/>
  <c r="C2972" i="14"/>
  <c r="C2973" i="14"/>
  <c r="C2974" i="14"/>
  <c r="C2975" i="14"/>
  <c r="C2976" i="14"/>
  <c r="C2977" i="14"/>
  <c r="C2978" i="14"/>
  <c r="C2979" i="14"/>
  <c r="C2980" i="14"/>
  <c r="C2981" i="14"/>
  <c r="C2982" i="14"/>
  <c r="C2983" i="14"/>
  <c r="C2984" i="14"/>
  <c r="C2985" i="14"/>
  <c r="C2986" i="14"/>
  <c r="C2987" i="14"/>
  <c r="C2988" i="14"/>
  <c r="C2989" i="14"/>
  <c r="C2990" i="14"/>
  <c r="C2991" i="14"/>
  <c r="C2992" i="14"/>
  <c r="C2993" i="14"/>
  <c r="C2994" i="14"/>
  <c r="C2995" i="14"/>
  <c r="C2996" i="14"/>
  <c r="C2997" i="14"/>
  <c r="C2998" i="14"/>
  <c r="C2999" i="14"/>
  <c r="C3000" i="14"/>
  <c r="C3001" i="14"/>
  <c r="C3002" i="14"/>
  <c r="C3003" i="14"/>
  <c r="C3004" i="14"/>
  <c r="C3005" i="14"/>
  <c r="C3006" i="14"/>
  <c r="C3007" i="14"/>
  <c r="C3008" i="14"/>
  <c r="C3009" i="14"/>
  <c r="C3010" i="14"/>
  <c r="C3011" i="14"/>
  <c r="C3012" i="14"/>
  <c r="C3013" i="14"/>
  <c r="C3014" i="14"/>
  <c r="C3015" i="14"/>
  <c r="C3016" i="14"/>
  <c r="C3017" i="14"/>
  <c r="C3018" i="14"/>
  <c r="C3019" i="14"/>
  <c r="C3020" i="14"/>
  <c r="C3021" i="14"/>
  <c r="C3022" i="14"/>
  <c r="C3023" i="14"/>
  <c r="C3024" i="14"/>
  <c r="C3025" i="14"/>
  <c r="C3026" i="14"/>
  <c r="C3027" i="14"/>
  <c r="C3028" i="14"/>
  <c r="C3029" i="14"/>
  <c r="C3030" i="14"/>
  <c r="C3031" i="14"/>
  <c r="C3032" i="14"/>
  <c r="C3033" i="14"/>
  <c r="C3034" i="14"/>
  <c r="C3035" i="14"/>
  <c r="C3036" i="14"/>
  <c r="C3037" i="14"/>
  <c r="C3038" i="14"/>
  <c r="C3039" i="14"/>
  <c r="C3040" i="14"/>
  <c r="C3041" i="14"/>
  <c r="C3042" i="14"/>
  <c r="C3043" i="14"/>
  <c r="C3044" i="14"/>
  <c r="C3045" i="14"/>
  <c r="C3046" i="14"/>
  <c r="C3047" i="14"/>
  <c r="C3048" i="14"/>
  <c r="C3049" i="14"/>
  <c r="C3050" i="14"/>
  <c r="C3051" i="14"/>
  <c r="C3052" i="14"/>
  <c r="C3053" i="14"/>
  <c r="C3054" i="14"/>
  <c r="C3055" i="14"/>
  <c r="C3056" i="14"/>
  <c r="C3057" i="14"/>
  <c r="C3058" i="14"/>
  <c r="C3059" i="14"/>
  <c r="C3060" i="14"/>
  <c r="C3061" i="14"/>
  <c r="C3062" i="14"/>
  <c r="C3063" i="14"/>
  <c r="C3064" i="14"/>
  <c r="C3065" i="14"/>
  <c r="C3066" i="14"/>
  <c r="C3067" i="14"/>
  <c r="C3068" i="14"/>
  <c r="C3069" i="14"/>
  <c r="C3070" i="14"/>
  <c r="C3071" i="14"/>
  <c r="C3072" i="14"/>
  <c r="C3073" i="14"/>
  <c r="C3074" i="14"/>
  <c r="C3075" i="14"/>
  <c r="C3076" i="14"/>
  <c r="C3077" i="14"/>
  <c r="C3078" i="14"/>
  <c r="C3079" i="14"/>
  <c r="C3080" i="14"/>
  <c r="C3081" i="14"/>
  <c r="C3082" i="14"/>
  <c r="C3083" i="14"/>
  <c r="C3084" i="14"/>
  <c r="C3085" i="14"/>
  <c r="C3086" i="14"/>
  <c r="C3087" i="14"/>
  <c r="C3088" i="14"/>
  <c r="C3089" i="14"/>
  <c r="C3090" i="14"/>
  <c r="C3091" i="14"/>
  <c r="C3092" i="14"/>
  <c r="C3093" i="14"/>
  <c r="C3094" i="14"/>
  <c r="C3095" i="14"/>
  <c r="C3096" i="14"/>
  <c r="C3097" i="14"/>
  <c r="C3098" i="14"/>
  <c r="C3099" i="14"/>
  <c r="C3100" i="14"/>
  <c r="C3101" i="14"/>
  <c r="C3102" i="14"/>
  <c r="C3103" i="14"/>
  <c r="C3104" i="14"/>
  <c r="C3105" i="14"/>
  <c r="C3106" i="14"/>
  <c r="C3107" i="14"/>
  <c r="C3108" i="14"/>
  <c r="C3109" i="14"/>
  <c r="C3110" i="14"/>
  <c r="C3111" i="14"/>
  <c r="C3112" i="14"/>
  <c r="C3113" i="14"/>
  <c r="C3114" i="14"/>
  <c r="C3115" i="14"/>
  <c r="C3116" i="14"/>
  <c r="C3117" i="14"/>
  <c r="C3118" i="14"/>
  <c r="C3119" i="14"/>
  <c r="C3120" i="14"/>
  <c r="C3121" i="14"/>
  <c r="C3122" i="14"/>
  <c r="C3123" i="14"/>
  <c r="C3124" i="14"/>
  <c r="C3125" i="14"/>
  <c r="C3126" i="14"/>
  <c r="C3127" i="14"/>
  <c r="C3128" i="14"/>
  <c r="C3129" i="14"/>
  <c r="C3130" i="14"/>
  <c r="C3131" i="14"/>
  <c r="C3132" i="14"/>
  <c r="C3133" i="14"/>
  <c r="C3134" i="14"/>
  <c r="C3135" i="14"/>
  <c r="C3136" i="14"/>
  <c r="C3137" i="14"/>
  <c r="C3138" i="14"/>
  <c r="C3139" i="14"/>
  <c r="C3140" i="14"/>
  <c r="C3141" i="14"/>
  <c r="C3142" i="14"/>
  <c r="C3143" i="14"/>
  <c r="C3144" i="14"/>
  <c r="C3145" i="14"/>
  <c r="C3146" i="14"/>
  <c r="C3147" i="14"/>
  <c r="C3148" i="14"/>
  <c r="C3149" i="14"/>
  <c r="C3150" i="14"/>
  <c r="C3151" i="14"/>
  <c r="C3152" i="14"/>
  <c r="C3153" i="14"/>
  <c r="C3154" i="14"/>
  <c r="C3155" i="14"/>
  <c r="C3156" i="14"/>
  <c r="C3157" i="14"/>
  <c r="C3158" i="14"/>
  <c r="C3159" i="14"/>
  <c r="C3160" i="14"/>
  <c r="C3161" i="14"/>
  <c r="C3162" i="14"/>
  <c r="C3163" i="14"/>
  <c r="C3164" i="14"/>
  <c r="C3165" i="14"/>
  <c r="C3166" i="14"/>
  <c r="C3167" i="14"/>
  <c r="C3168" i="14"/>
  <c r="C3169" i="14"/>
  <c r="C3170" i="14"/>
  <c r="C3171" i="14"/>
  <c r="C3172" i="14"/>
  <c r="C3173" i="14"/>
  <c r="C3174" i="14"/>
  <c r="C3175" i="14"/>
  <c r="C3176" i="14"/>
  <c r="C3177" i="14"/>
  <c r="C3178" i="14"/>
  <c r="C3179" i="14"/>
  <c r="C3180" i="14"/>
  <c r="C3181" i="14"/>
  <c r="C3182" i="14"/>
  <c r="C3183" i="14"/>
  <c r="C3184" i="14"/>
  <c r="C3185" i="14"/>
  <c r="C3186" i="14"/>
  <c r="C3187" i="14"/>
  <c r="C3188" i="14"/>
  <c r="C3189" i="14"/>
  <c r="C3190" i="14"/>
  <c r="C3191" i="14"/>
  <c r="C3192" i="14"/>
  <c r="C3193" i="14"/>
  <c r="C3194" i="14"/>
  <c r="C3195" i="14"/>
  <c r="C3196" i="14"/>
  <c r="C3197" i="14"/>
  <c r="C3198" i="14"/>
  <c r="C3199" i="14"/>
  <c r="C3200" i="14"/>
  <c r="C3201" i="14"/>
  <c r="C3202" i="14"/>
  <c r="C3203" i="14"/>
  <c r="C3204" i="14"/>
  <c r="C3205" i="14"/>
  <c r="C3206" i="14"/>
  <c r="C3207" i="14"/>
  <c r="C3208" i="14"/>
  <c r="C3209" i="14"/>
  <c r="C3210" i="14"/>
  <c r="C3211" i="14"/>
  <c r="C3212" i="14"/>
  <c r="C3213" i="14"/>
  <c r="C3214" i="14"/>
  <c r="C3215" i="14"/>
  <c r="C3216" i="14"/>
  <c r="C3217" i="14"/>
  <c r="C3218" i="14"/>
  <c r="C3219" i="14"/>
  <c r="C3220" i="14"/>
  <c r="C3221" i="14"/>
  <c r="C3222" i="14"/>
  <c r="C3223" i="14"/>
  <c r="C3224" i="14"/>
  <c r="C3225" i="14"/>
  <c r="C3226" i="14"/>
  <c r="C3227" i="14"/>
  <c r="C3228" i="14"/>
  <c r="C3229" i="14"/>
  <c r="C3230" i="14"/>
  <c r="C3231" i="14"/>
  <c r="C3232" i="14"/>
  <c r="C3233" i="14"/>
  <c r="C3234" i="14"/>
  <c r="C3235" i="14"/>
  <c r="C3236" i="14"/>
  <c r="C3237" i="14"/>
  <c r="C3238" i="14"/>
  <c r="C3239" i="14"/>
  <c r="C3240" i="14"/>
  <c r="C3241" i="14"/>
  <c r="C3242" i="14"/>
  <c r="C3243" i="14"/>
  <c r="C3244" i="14"/>
  <c r="C3245" i="14"/>
  <c r="C3246" i="14"/>
  <c r="C3247" i="14"/>
  <c r="C3248" i="14"/>
  <c r="C3249" i="14"/>
  <c r="C3250" i="14"/>
  <c r="C3251" i="14"/>
  <c r="C3252" i="14"/>
  <c r="C3253" i="14"/>
  <c r="C3254" i="14"/>
  <c r="C3255" i="14"/>
  <c r="C3256" i="14"/>
  <c r="C3257" i="14"/>
  <c r="C3258" i="14"/>
  <c r="C3259" i="14"/>
  <c r="C3260" i="14"/>
  <c r="C3261" i="14"/>
  <c r="C3262" i="14"/>
  <c r="C3263" i="14"/>
  <c r="C3264" i="14"/>
  <c r="C3265" i="14"/>
  <c r="C3266" i="14"/>
  <c r="C3267" i="14"/>
  <c r="C3268" i="14"/>
  <c r="C3269" i="14"/>
  <c r="C3270" i="14"/>
  <c r="C3271" i="14"/>
  <c r="C3272" i="14"/>
  <c r="C3273" i="14"/>
  <c r="C3274" i="14"/>
  <c r="C3275" i="14"/>
  <c r="C3276" i="14"/>
  <c r="C3277" i="14"/>
  <c r="C3278" i="14"/>
  <c r="C3279" i="14"/>
  <c r="C3280" i="14"/>
  <c r="C3281" i="14"/>
  <c r="C3282" i="14"/>
  <c r="C3283" i="14"/>
  <c r="C3284" i="14"/>
  <c r="C3285" i="14"/>
  <c r="C3286" i="14"/>
  <c r="C3287" i="14"/>
  <c r="C3288" i="14"/>
  <c r="C3289" i="14"/>
  <c r="C3290" i="14"/>
  <c r="C3291" i="14"/>
  <c r="C3292" i="14"/>
  <c r="C3293" i="14"/>
  <c r="C3294" i="14"/>
  <c r="C3295" i="14"/>
  <c r="C3296" i="14"/>
  <c r="C3297" i="14"/>
  <c r="C3298" i="14"/>
  <c r="C3299" i="14"/>
  <c r="C3300" i="14"/>
  <c r="C3301" i="14"/>
  <c r="C3302" i="14"/>
  <c r="C3303" i="14"/>
  <c r="C3304" i="14"/>
  <c r="C3305" i="14"/>
  <c r="C3306" i="14"/>
  <c r="C3307" i="14"/>
  <c r="C3308" i="14"/>
  <c r="C3309" i="14"/>
  <c r="C3310" i="14"/>
  <c r="C3311" i="14"/>
  <c r="C3312" i="14"/>
  <c r="C3313" i="14"/>
  <c r="C3314" i="14"/>
  <c r="C3315" i="14"/>
  <c r="C3316" i="14"/>
  <c r="C3317" i="14"/>
  <c r="C3318" i="14"/>
  <c r="C3319" i="14"/>
  <c r="C3320" i="14"/>
  <c r="C3321" i="14"/>
  <c r="C3322" i="14"/>
  <c r="C3323" i="14"/>
  <c r="C3324" i="14"/>
  <c r="C3325" i="14"/>
  <c r="C3326" i="14"/>
  <c r="C3327" i="14"/>
  <c r="C3328" i="14"/>
  <c r="C3329" i="14"/>
  <c r="C3330" i="14"/>
  <c r="C3331" i="14"/>
  <c r="C3332" i="14"/>
  <c r="C3333" i="14"/>
  <c r="C3334" i="14"/>
  <c r="C3335" i="14"/>
  <c r="C3336" i="14"/>
  <c r="C3337" i="14"/>
  <c r="C3338" i="14"/>
  <c r="C3339" i="14"/>
  <c r="C3340" i="14"/>
  <c r="C3341" i="14"/>
  <c r="C3342" i="14"/>
  <c r="C3343" i="14"/>
  <c r="C3344" i="14"/>
  <c r="C3345" i="14"/>
  <c r="C3346" i="14"/>
  <c r="C3347" i="14"/>
  <c r="C3348" i="14"/>
  <c r="C3349" i="14"/>
  <c r="C3350" i="14"/>
  <c r="C3351" i="14"/>
  <c r="C3352" i="14"/>
  <c r="C3353" i="14"/>
  <c r="C3354" i="14"/>
  <c r="C3355" i="14"/>
  <c r="C3356" i="14"/>
  <c r="C3357" i="14"/>
  <c r="C3358" i="14"/>
  <c r="C3359" i="14"/>
  <c r="C3360" i="14"/>
  <c r="C3361" i="14"/>
  <c r="C3362" i="14"/>
  <c r="C3363" i="14"/>
  <c r="C3364" i="14"/>
  <c r="C3365" i="14"/>
  <c r="C3366" i="14"/>
  <c r="C3367" i="14"/>
  <c r="C3368" i="14"/>
  <c r="C3369" i="14"/>
  <c r="C3370" i="14"/>
  <c r="C3371" i="14"/>
  <c r="C3372" i="14"/>
  <c r="C3373" i="14"/>
  <c r="C3374" i="14"/>
  <c r="C3375" i="14"/>
  <c r="C3376" i="14"/>
  <c r="C3377" i="14"/>
  <c r="C3378" i="14"/>
  <c r="C3379" i="14"/>
  <c r="C3380" i="14"/>
  <c r="C3381" i="14"/>
  <c r="C3382" i="14"/>
  <c r="C3383" i="14"/>
  <c r="C3384" i="14"/>
  <c r="C3385" i="14"/>
  <c r="C3386" i="14"/>
  <c r="C3387" i="14"/>
  <c r="C3388" i="14"/>
  <c r="C3389" i="14"/>
  <c r="C3390" i="14"/>
  <c r="C3391" i="14"/>
  <c r="C3392" i="14"/>
  <c r="C3393" i="14"/>
  <c r="C3394" i="14"/>
  <c r="C3395" i="14"/>
  <c r="C3396" i="14"/>
  <c r="C3397" i="14"/>
  <c r="C3398" i="14"/>
  <c r="C3399" i="14"/>
  <c r="C3400" i="14"/>
  <c r="C3401" i="14"/>
  <c r="C3402" i="14"/>
  <c r="C3403" i="14"/>
  <c r="C3404" i="14"/>
  <c r="C3405" i="14"/>
  <c r="C3406" i="14"/>
  <c r="C3407" i="14"/>
  <c r="C3408" i="14"/>
  <c r="C3409" i="14"/>
  <c r="C3410" i="14"/>
  <c r="C3411" i="14"/>
  <c r="C3412" i="14"/>
  <c r="C3413" i="14"/>
  <c r="C3414" i="14"/>
  <c r="C3415" i="14"/>
  <c r="C3416" i="14"/>
  <c r="C3417" i="14"/>
  <c r="C3418" i="14"/>
  <c r="C3419" i="14"/>
  <c r="C3420" i="14"/>
  <c r="C3421" i="14"/>
  <c r="C3422" i="14"/>
  <c r="C3423" i="14"/>
  <c r="C3424" i="14"/>
  <c r="C3425" i="14"/>
  <c r="C3426" i="14"/>
  <c r="C3427" i="14"/>
  <c r="C3428" i="14"/>
  <c r="C3429" i="14"/>
  <c r="C3430" i="14"/>
  <c r="C3431" i="14"/>
  <c r="C3432" i="14"/>
  <c r="C3433" i="14"/>
  <c r="C3434" i="14"/>
  <c r="C3435" i="14"/>
  <c r="C3436" i="14"/>
  <c r="C3437" i="14"/>
  <c r="C3438" i="14"/>
  <c r="C3439" i="14"/>
  <c r="C3440" i="14"/>
  <c r="C3441" i="14"/>
  <c r="C3442" i="14"/>
  <c r="C3443" i="14"/>
  <c r="C3444" i="14"/>
  <c r="C3445" i="14"/>
  <c r="C3446" i="14"/>
  <c r="C3447" i="14"/>
  <c r="C3448" i="14"/>
  <c r="C3449" i="14"/>
  <c r="C3450" i="14"/>
  <c r="C3451" i="14"/>
  <c r="C3452" i="14"/>
  <c r="C3453" i="14"/>
  <c r="C3454" i="14"/>
  <c r="C3455" i="14"/>
  <c r="C3456" i="14"/>
  <c r="C3457" i="14"/>
  <c r="C3458" i="14"/>
  <c r="C3459" i="14"/>
  <c r="C3460" i="14"/>
  <c r="C3461" i="14"/>
  <c r="C3462" i="14"/>
  <c r="C3463" i="14"/>
  <c r="C3464" i="14"/>
  <c r="C3465" i="14"/>
  <c r="C3466" i="14"/>
  <c r="C3467" i="14"/>
  <c r="C3468" i="14"/>
  <c r="C3469" i="14"/>
  <c r="C3470" i="14"/>
  <c r="C3471" i="14"/>
  <c r="C3472" i="14"/>
  <c r="C3473" i="14"/>
  <c r="C3474" i="14"/>
  <c r="C3475" i="14"/>
  <c r="C3476" i="14"/>
  <c r="C3477" i="14"/>
  <c r="C3478" i="14"/>
  <c r="C3479" i="14"/>
  <c r="C3480" i="14"/>
  <c r="C3481" i="14"/>
  <c r="C3482" i="14"/>
  <c r="C3483" i="14"/>
  <c r="C3484" i="14"/>
  <c r="C3485" i="14"/>
  <c r="C3486" i="14"/>
  <c r="C3487" i="14"/>
  <c r="C3488" i="14"/>
  <c r="C3489" i="14"/>
  <c r="C3490" i="14"/>
  <c r="C3491" i="14"/>
  <c r="C3492" i="14"/>
  <c r="C3493" i="14"/>
  <c r="C3494" i="14"/>
  <c r="C3495" i="14"/>
  <c r="C3496" i="14"/>
  <c r="C3497" i="14"/>
  <c r="C3498" i="14"/>
  <c r="C3499" i="14"/>
  <c r="C3500" i="14"/>
  <c r="C3501" i="14"/>
  <c r="C3502" i="14"/>
  <c r="C3503" i="14"/>
  <c r="C3504" i="14"/>
  <c r="C3505" i="14"/>
  <c r="C3506" i="14"/>
  <c r="C3507" i="14"/>
  <c r="C3508" i="14"/>
  <c r="C3509" i="14"/>
  <c r="C3510" i="14"/>
  <c r="C3511" i="14"/>
  <c r="C3512" i="14"/>
  <c r="C3513" i="14"/>
  <c r="C3514" i="14"/>
  <c r="C3515" i="14"/>
  <c r="C3516" i="14"/>
  <c r="C3517" i="14"/>
  <c r="C3518" i="14"/>
  <c r="C3519" i="14"/>
  <c r="C3520" i="14"/>
  <c r="C3521" i="14"/>
  <c r="C3522" i="14"/>
  <c r="C3523" i="14"/>
  <c r="C3524" i="14"/>
  <c r="C3525" i="14"/>
  <c r="C3526" i="14"/>
  <c r="C3527" i="14"/>
  <c r="C3528" i="14"/>
  <c r="C3529" i="14"/>
  <c r="C3530" i="14"/>
  <c r="C3531" i="14"/>
  <c r="C3532" i="14"/>
  <c r="C3533" i="14"/>
  <c r="C3534" i="14"/>
  <c r="C3535" i="14"/>
  <c r="C3536" i="14"/>
  <c r="C3537" i="14"/>
  <c r="C3538" i="14"/>
  <c r="C3539" i="14"/>
  <c r="C3540" i="14"/>
  <c r="C3541" i="14"/>
  <c r="C3542" i="14"/>
  <c r="C3543" i="14"/>
  <c r="C3544" i="14"/>
  <c r="C3545" i="14"/>
  <c r="C3546" i="14"/>
  <c r="C3547" i="14"/>
  <c r="C3548" i="14"/>
  <c r="C3549" i="14"/>
  <c r="C3550" i="14"/>
  <c r="C3551" i="14"/>
  <c r="C3552" i="14"/>
  <c r="C3553" i="14"/>
  <c r="C3554" i="14"/>
  <c r="C3555" i="14"/>
  <c r="C3556" i="14"/>
  <c r="C3557" i="14"/>
  <c r="C3558" i="14"/>
  <c r="C3559" i="14"/>
  <c r="C3560" i="14"/>
  <c r="C3561" i="14"/>
  <c r="C3562" i="14"/>
  <c r="C3563" i="14"/>
  <c r="C3564" i="14"/>
  <c r="C3565" i="14"/>
  <c r="C3566" i="14"/>
  <c r="C3567" i="14"/>
  <c r="C3568" i="14"/>
  <c r="C3569" i="14"/>
  <c r="C3570" i="14"/>
  <c r="C3571" i="14"/>
  <c r="C3572" i="14"/>
  <c r="C3573" i="14"/>
  <c r="C3574" i="14"/>
  <c r="C3575" i="14"/>
  <c r="C3576" i="14"/>
  <c r="C3577" i="14"/>
  <c r="C3578" i="14"/>
  <c r="C3579" i="14"/>
  <c r="C3580" i="14"/>
  <c r="C3581" i="14"/>
  <c r="C3582" i="14"/>
  <c r="C3583" i="14"/>
  <c r="C3584" i="14"/>
  <c r="C3585" i="14"/>
  <c r="C3586" i="14"/>
  <c r="C3587" i="14"/>
  <c r="C3588" i="14"/>
  <c r="C3589" i="14"/>
  <c r="C3590" i="14"/>
  <c r="C3591" i="14"/>
  <c r="C3592" i="14"/>
  <c r="C3593" i="14"/>
  <c r="C3594" i="14"/>
  <c r="C3595" i="14"/>
  <c r="C3596" i="14"/>
  <c r="C3597" i="14"/>
  <c r="C3598" i="14"/>
  <c r="C3599" i="14"/>
  <c r="C3600" i="14"/>
  <c r="C3601" i="14"/>
  <c r="C3602" i="14"/>
  <c r="C3603" i="14"/>
  <c r="C3604" i="14"/>
  <c r="C3605" i="14"/>
  <c r="C3606" i="14"/>
  <c r="C3607" i="14"/>
  <c r="C3608" i="14"/>
  <c r="C3609" i="14"/>
  <c r="C3610" i="14"/>
  <c r="C3611" i="14"/>
  <c r="C3612" i="14"/>
  <c r="C3613" i="14"/>
  <c r="C3614" i="14"/>
  <c r="C3615" i="14"/>
  <c r="C3616" i="14"/>
  <c r="C3617" i="14"/>
  <c r="C3618" i="14"/>
  <c r="C3619" i="14"/>
  <c r="C3620" i="14"/>
  <c r="C3621" i="14"/>
  <c r="C3622" i="14"/>
  <c r="C3623" i="14"/>
  <c r="C3624" i="14"/>
  <c r="C3625" i="14"/>
  <c r="C3626" i="14"/>
  <c r="C3627" i="14"/>
  <c r="C3628" i="14"/>
  <c r="C3629" i="14"/>
  <c r="C3630" i="14"/>
  <c r="C3631" i="14"/>
  <c r="C3632" i="14"/>
  <c r="C3633" i="14"/>
  <c r="C3634" i="14"/>
  <c r="C3635" i="14"/>
  <c r="C3636" i="14"/>
  <c r="C3637" i="14"/>
  <c r="C3638" i="14"/>
  <c r="C3639" i="14"/>
  <c r="C3640" i="14"/>
  <c r="C3641" i="14"/>
  <c r="C3642" i="14"/>
  <c r="C3643" i="14"/>
  <c r="C3644" i="14"/>
  <c r="C3645" i="14"/>
  <c r="C3646" i="14"/>
  <c r="C3647" i="14"/>
  <c r="C3648" i="14"/>
  <c r="C3649" i="14"/>
  <c r="C3650" i="14"/>
  <c r="C3651" i="14"/>
  <c r="C3652" i="14"/>
  <c r="C3653" i="14"/>
  <c r="C3654" i="14"/>
  <c r="C3655" i="14"/>
  <c r="C3656" i="14"/>
  <c r="C3657" i="14"/>
  <c r="C3658" i="14"/>
  <c r="C3659" i="14"/>
  <c r="C3660" i="14"/>
  <c r="C3661" i="14"/>
  <c r="C3662" i="14"/>
  <c r="C3663" i="14"/>
  <c r="C3664" i="14"/>
  <c r="C3665" i="14"/>
  <c r="C3666" i="14"/>
  <c r="C3667" i="14"/>
  <c r="C3668" i="14"/>
  <c r="C3669" i="14"/>
  <c r="C3670" i="14"/>
  <c r="C3671" i="14"/>
  <c r="C3672" i="14"/>
  <c r="C3673" i="14"/>
  <c r="C3674" i="14"/>
  <c r="C3675" i="14"/>
  <c r="C3676" i="14"/>
  <c r="C3677" i="14"/>
  <c r="C3678" i="14"/>
  <c r="C3679" i="14"/>
  <c r="C3680" i="14"/>
  <c r="C3681" i="14"/>
  <c r="C3682" i="14"/>
  <c r="C3683" i="14"/>
  <c r="C3684" i="14"/>
  <c r="C3685" i="14"/>
  <c r="C3686" i="14"/>
  <c r="C3687" i="14"/>
  <c r="C3688" i="14"/>
  <c r="C3689" i="14"/>
  <c r="C3690" i="14"/>
  <c r="C3691" i="14"/>
  <c r="C3692" i="14"/>
  <c r="C3693" i="14"/>
  <c r="C3694" i="14"/>
  <c r="C3695" i="14"/>
  <c r="C3696" i="14"/>
  <c r="C3697" i="14"/>
  <c r="C3698" i="14"/>
  <c r="C3699" i="14"/>
  <c r="C3700" i="14"/>
  <c r="C3701" i="14"/>
  <c r="C3702" i="14"/>
  <c r="C3703" i="14"/>
  <c r="C3704" i="14"/>
  <c r="C3705" i="14"/>
  <c r="C3706" i="14"/>
  <c r="C3707" i="14"/>
  <c r="C3708" i="14"/>
  <c r="C3709" i="14"/>
  <c r="C3710" i="14"/>
  <c r="C3711" i="14"/>
  <c r="C3712" i="14"/>
  <c r="C3713" i="14"/>
  <c r="C3714" i="14"/>
  <c r="C3715" i="14"/>
  <c r="C3716" i="14"/>
  <c r="C3717" i="14"/>
  <c r="C3718" i="14"/>
  <c r="C3719" i="14"/>
  <c r="C3720" i="14"/>
  <c r="C3721" i="14"/>
  <c r="C3722" i="14"/>
  <c r="C3723" i="14"/>
  <c r="C3724" i="14"/>
  <c r="C3725" i="14"/>
  <c r="C3726" i="14"/>
  <c r="C3727" i="14"/>
  <c r="C3728" i="14"/>
  <c r="C3729" i="14"/>
  <c r="C3730" i="14"/>
  <c r="C3731" i="14"/>
  <c r="C3732" i="14"/>
  <c r="C3733" i="14"/>
  <c r="C3734" i="14"/>
  <c r="C3735" i="14"/>
  <c r="C3736" i="14"/>
  <c r="C3737" i="14"/>
  <c r="C3738" i="14"/>
  <c r="C3739" i="14"/>
  <c r="C3740" i="14"/>
  <c r="C3741" i="14"/>
  <c r="C3742" i="14"/>
  <c r="C3743" i="14"/>
  <c r="C3744" i="14"/>
  <c r="C3745" i="14"/>
  <c r="C3746" i="14"/>
  <c r="C3747" i="14"/>
  <c r="C3748" i="14"/>
  <c r="C3749" i="14"/>
  <c r="C3750" i="14"/>
  <c r="C3751" i="14"/>
  <c r="C3752" i="14"/>
  <c r="C3753" i="14"/>
  <c r="C3754" i="14"/>
  <c r="C3755" i="14"/>
  <c r="C3756" i="14"/>
  <c r="C3757" i="14"/>
  <c r="C3758" i="14"/>
  <c r="C3759" i="14"/>
  <c r="C3760" i="14"/>
  <c r="C3761" i="14"/>
  <c r="C3762" i="14"/>
  <c r="C3763" i="14"/>
  <c r="C3764" i="14"/>
  <c r="C3765" i="14"/>
  <c r="C3766" i="14"/>
  <c r="C3767" i="14"/>
  <c r="C3768" i="14"/>
  <c r="C3769" i="14"/>
  <c r="C3770" i="14"/>
  <c r="C3771" i="14"/>
  <c r="C3772" i="14"/>
  <c r="C3773" i="14"/>
  <c r="C3774" i="14"/>
  <c r="C3775" i="14"/>
  <c r="C3776" i="14"/>
  <c r="C3777" i="14"/>
  <c r="C3778" i="14"/>
  <c r="C3779" i="14"/>
  <c r="C3780" i="14"/>
  <c r="C3781" i="14"/>
  <c r="C3782" i="14"/>
  <c r="C3783" i="14"/>
  <c r="C3784" i="14"/>
  <c r="C3785" i="14"/>
  <c r="C3786" i="14"/>
  <c r="C3787" i="14"/>
  <c r="C3788" i="14"/>
  <c r="C3789" i="14"/>
  <c r="C3790" i="14"/>
  <c r="C3791" i="14"/>
  <c r="C3792" i="14"/>
  <c r="C3793" i="14"/>
  <c r="C3794" i="14"/>
  <c r="C3795" i="14"/>
  <c r="C3796" i="14"/>
  <c r="C3797" i="14"/>
  <c r="C3798" i="14"/>
  <c r="C3799" i="14"/>
  <c r="C3800" i="14"/>
  <c r="C3801" i="14"/>
  <c r="C3802" i="14"/>
  <c r="C3803" i="14"/>
  <c r="C3804" i="14"/>
  <c r="C3805" i="14"/>
  <c r="C3806" i="14"/>
  <c r="C3807" i="14"/>
  <c r="C3808" i="14"/>
  <c r="C3809" i="14"/>
  <c r="C3810" i="14"/>
  <c r="C3811" i="14"/>
  <c r="C3812" i="14"/>
  <c r="C3813" i="14"/>
  <c r="C3814" i="14"/>
  <c r="C3815" i="14"/>
  <c r="C3816" i="14"/>
  <c r="C3817" i="14"/>
  <c r="C3818" i="14"/>
  <c r="C3819" i="14"/>
  <c r="C3820" i="14"/>
  <c r="C3821" i="14"/>
  <c r="C3822" i="14"/>
  <c r="C3823" i="14"/>
  <c r="C3824" i="14"/>
  <c r="C3825" i="14"/>
  <c r="C3826" i="14"/>
  <c r="C3827" i="14"/>
  <c r="C3828" i="14"/>
  <c r="C3829" i="14"/>
  <c r="C3830" i="14"/>
  <c r="C3831" i="14"/>
  <c r="C3832" i="14"/>
  <c r="C3833" i="14"/>
  <c r="C3834" i="14"/>
  <c r="C3835" i="14"/>
  <c r="C3836" i="14"/>
  <c r="C3837" i="14"/>
  <c r="C3838" i="14"/>
  <c r="C3839" i="14"/>
  <c r="C3840" i="14"/>
  <c r="C3841" i="14"/>
  <c r="C3842" i="14"/>
  <c r="C3843" i="14"/>
  <c r="C3844" i="14"/>
  <c r="C3845" i="14"/>
  <c r="C3846" i="14"/>
  <c r="C3847" i="14"/>
  <c r="C3848" i="14"/>
  <c r="C3849" i="14"/>
  <c r="C3850" i="14"/>
  <c r="C3851" i="14"/>
  <c r="C3852" i="14"/>
  <c r="C3853" i="14"/>
  <c r="C3854" i="14"/>
  <c r="C3855" i="14"/>
  <c r="C3856" i="14"/>
  <c r="C3857" i="14"/>
  <c r="C3858" i="14"/>
  <c r="C3859" i="14"/>
  <c r="C3860" i="14"/>
  <c r="C3861" i="14"/>
  <c r="C3862" i="14"/>
  <c r="C3863" i="14"/>
  <c r="C3864" i="14"/>
  <c r="C3865" i="14"/>
  <c r="C3866" i="14"/>
  <c r="C3867" i="14"/>
  <c r="C3868" i="14"/>
  <c r="C3869" i="14"/>
  <c r="C3870" i="14"/>
  <c r="C3871" i="14"/>
  <c r="C3872" i="14"/>
  <c r="C3873" i="14"/>
  <c r="C3874" i="14"/>
  <c r="C3875" i="14"/>
  <c r="C3876" i="14"/>
  <c r="C3877" i="14"/>
  <c r="C3878" i="14"/>
  <c r="C3879" i="14"/>
  <c r="C3880" i="14"/>
  <c r="C3881" i="14"/>
  <c r="C3882" i="14"/>
  <c r="C3883" i="14"/>
  <c r="C3884" i="14"/>
  <c r="C3885" i="14"/>
  <c r="C3886" i="14"/>
  <c r="C3887" i="14"/>
  <c r="C3888" i="14"/>
  <c r="C3889" i="14"/>
  <c r="C3890" i="14"/>
  <c r="C3891" i="14"/>
  <c r="C3892" i="14"/>
  <c r="C3893" i="14"/>
  <c r="C3894" i="14"/>
  <c r="C3895" i="14"/>
  <c r="C3896" i="14"/>
  <c r="C3897" i="14"/>
  <c r="C3898" i="14"/>
  <c r="C3899" i="14"/>
  <c r="C3900" i="14"/>
  <c r="C3901" i="14"/>
  <c r="C3902" i="14"/>
  <c r="C3903" i="14"/>
  <c r="C3904" i="14"/>
  <c r="C3905" i="14"/>
  <c r="C3906" i="14"/>
  <c r="C3907" i="14"/>
  <c r="C3908" i="14"/>
  <c r="C3909" i="14"/>
  <c r="C3910" i="14"/>
  <c r="C3911" i="14"/>
  <c r="C3912" i="14"/>
  <c r="C3913" i="14"/>
  <c r="C3914" i="14"/>
  <c r="C3915" i="14"/>
  <c r="C3916" i="14"/>
  <c r="C3917" i="14"/>
  <c r="C3918" i="14"/>
  <c r="C3919" i="14"/>
  <c r="C3920" i="14"/>
  <c r="C3921" i="14"/>
  <c r="C3922" i="14"/>
  <c r="C3923" i="14"/>
  <c r="C3924" i="14"/>
  <c r="C3925" i="14"/>
  <c r="C3926" i="14"/>
  <c r="C3927" i="14"/>
  <c r="C3928" i="14"/>
  <c r="C3929" i="14"/>
  <c r="C3930" i="14"/>
  <c r="C3931" i="14"/>
  <c r="C3932" i="14"/>
  <c r="C3933" i="14"/>
  <c r="C3934" i="14"/>
  <c r="C3935" i="14"/>
  <c r="C3936" i="14"/>
  <c r="C3937" i="14"/>
  <c r="C3938" i="14"/>
  <c r="C3939" i="14"/>
  <c r="C3940" i="14"/>
  <c r="C3941" i="14"/>
  <c r="C3942" i="14"/>
  <c r="C3943" i="14"/>
  <c r="C3944" i="14"/>
  <c r="C3945" i="14"/>
  <c r="C3946" i="14"/>
  <c r="C3947" i="14"/>
  <c r="C3948" i="14"/>
  <c r="C3949" i="14"/>
  <c r="C3950" i="14"/>
  <c r="C3951" i="14"/>
  <c r="C3952" i="14"/>
  <c r="C3953" i="14"/>
  <c r="C3954" i="14"/>
  <c r="C3955" i="14"/>
  <c r="C3956" i="14"/>
  <c r="C3957" i="14"/>
  <c r="C3958" i="14"/>
  <c r="C3959" i="14"/>
  <c r="C3960" i="14"/>
  <c r="C3961" i="14"/>
  <c r="C3962" i="14"/>
  <c r="C3963" i="14"/>
  <c r="C3964" i="14"/>
  <c r="C3965" i="14"/>
  <c r="C3966" i="14"/>
  <c r="C3967" i="14"/>
  <c r="C3968" i="14"/>
  <c r="C3969" i="14"/>
  <c r="C3970" i="14"/>
  <c r="C3971" i="14"/>
  <c r="C3972" i="14"/>
  <c r="C3973" i="14"/>
  <c r="C3974" i="14"/>
  <c r="C3975" i="14"/>
  <c r="C3976" i="14"/>
  <c r="C3977" i="14"/>
  <c r="C3978" i="14"/>
  <c r="C3979" i="14"/>
  <c r="C3980" i="14"/>
  <c r="C3981" i="14"/>
  <c r="C3982" i="14"/>
  <c r="C3983" i="14"/>
  <c r="C3984" i="14"/>
  <c r="C3985" i="14"/>
  <c r="C3986" i="14"/>
  <c r="C3987" i="14"/>
  <c r="C3988" i="14"/>
  <c r="C3989" i="14"/>
  <c r="C3990" i="14"/>
  <c r="C3991" i="14"/>
  <c r="C3992" i="14"/>
  <c r="C3993" i="14"/>
  <c r="C3994" i="14"/>
  <c r="C3995" i="14"/>
  <c r="C3996" i="14"/>
  <c r="C3997" i="14"/>
  <c r="C3998" i="14"/>
  <c r="C3999" i="14"/>
  <c r="C4000" i="14"/>
  <c r="C4001" i="14"/>
  <c r="C4002" i="14"/>
  <c r="C4003" i="14"/>
  <c r="C4004" i="14"/>
  <c r="C4005" i="14"/>
  <c r="C4006" i="14"/>
  <c r="C4007" i="14"/>
  <c r="C4008" i="14"/>
  <c r="C4009" i="14"/>
  <c r="C4010" i="14"/>
  <c r="C4011" i="14"/>
  <c r="C4012" i="14"/>
  <c r="C4013" i="14"/>
  <c r="C4014" i="14"/>
  <c r="C4015" i="14"/>
  <c r="C4016" i="14"/>
  <c r="C4017" i="14"/>
  <c r="C4018" i="14"/>
  <c r="C4019" i="14"/>
  <c r="C4020" i="14"/>
  <c r="C4021" i="14"/>
  <c r="C4022" i="14"/>
  <c r="C4023" i="14"/>
  <c r="C4024" i="14"/>
  <c r="C4025" i="14"/>
  <c r="C4026" i="14"/>
  <c r="C4027" i="14"/>
  <c r="C4028" i="14"/>
  <c r="C4029" i="14"/>
  <c r="C4030" i="14"/>
  <c r="C4031" i="14"/>
  <c r="C4032" i="14"/>
  <c r="C4033" i="14"/>
  <c r="C4034" i="14"/>
  <c r="C4035" i="14"/>
  <c r="C4036" i="14"/>
  <c r="C4037" i="14"/>
  <c r="C4038" i="14"/>
  <c r="C4039" i="14"/>
  <c r="C4040" i="14"/>
  <c r="C4041" i="14"/>
  <c r="C4042" i="14"/>
  <c r="C4043" i="14"/>
  <c r="C4044" i="14"/>
  <c r="C4045" i="14"/>
  <c r="C4046" i="14"/>
  <c r="C4047" i="14"/>
  <c r="C4048" i="14"/>
  <c r="C4049" i="14"/>
  <c r="C4050" i="14"/>
  <c r="C4051" i="14"/>
  <c r="C4052" i="14"/>
  <c r="C4053" i="14"/>
  <c r="C4054" i="14"/>
  <c r="C4055" i="14"/>
  <c r="C4056" i="14"/>
  <c r="C4057" i="14"/>
  <c r="C4058" i="14"/>
  <c r="C4059" i="14"/>
  <c r="C4060" i="14"/>
  <c r="C4061" i="14"/>
  <c r="C4062" i="14"/>
  <c r="C4063" i="14"/>
  <c r="C4064" i="14"/>
  <c r="C4065" i="14"/>
  <c r="C4066" i="14"/>
  <c r="C4067" i="14"/>
  <c r="C4068" i="14"/>
  <c r="C4069" i="14"/>
  <c r="C4070" i="14"/>
  <c r="C4071" i="14"/>
  <c r="C4072" i="14"/>
  <c r="C4073" i="14"/>
  <c r="C4074" i="14"/>
  <c r="C4075" i="14"/>
  <c r="C4076" i="14"/>
  <c r="C4077" i="14"/>
  <c r="C4078" i="14"/>
  <c r="C4079" i="14"/>
  <c r="C4080" i="14"/>
  <c r="C4081" i="14"/>
  <c r="C4082" i="14"/>
  <c r="C4083" i="14"/>
  <c r="C4084" i="14"/>
  <c r="C4085" i="14"/>
  <c r="C4086" i="14"/>
  <c r="C4087" i="14"/>
  <c r="C4088" i="14"/>
  <c r="C4089" i="14"/>
  <c r="C4090" i="14"/>
  <c r="C4091" i="14"/>
  <c r="C4092" i="14"/>
  <c r="C4093" i="14"/>
  <c r="C4094" i="14"/>
  <c r="C4095" i="14"/>
  <c r="C4096" i="14"/>
  <c r="C4097" i="14"/>
  <c r="C4098" i="14"/>
  <c r="C4099" i="14"/>
  <c r="C4100" i="14"/>
  <c r="C4101" i="14"/>
  <c r="C4102" i="14"/>
  <c r="C4103" i="14"/>
  <c r="C4104" i="14"/>
  <c r="C4105" i="14"/>
  <c r="C4106" i="14"/>
  <c r="C4107" i="14"/>
  <c r="C4108" i="14"/>
  <c r="C4109" i="14"/>
  <c r="C4110" i="14"/>
  <c r="C4111" i="14"/>
  <c r="C4112" i="14"/>
  <c r="C4113" i="14"/>
  <c r="C4114" i="14"/>
  <c r="C4115" i="14"/>
  <c r="C4116" i="14"/>
  <c r="C4117" i="14"/>
  <c r="C4118" i="14"/>
  <c r="C4119" i="14"/>
  <c r="C4120" i="14"/>
  <c r="C4121" i="14"/>
  <c r="C4122" i="14"/>
  <c r="C4123" i="14"/>
  <c r="C4124" i="14"/>
  <c r="C4125" i="14"/>
  <c r="C4126" i="14"/>
  <c r="C4127" i="14"/>
  <c r="C4128" i="14"/>
  <c r="C4129" i="14"/>
  <c r="C4130" i="14"/>
  <c r="C4131" i="14"/>
  <c r="C4132" i="14"/>
  <c r="C4133" i="14"/>
  <c r="C4134" i="14"/>
  <c r="C4135" i="14"/>
  <c r="C4136" i="14"/>
  <c r="C4137" i="14"/>
  <c r="C4138" i="14"/>
  <c r="C4139" i="14"/>
  <c r="C4140" i="14"/>
  <c r="C4141" i="14"/>
  <c r="C4142" i="14"/>
  <c r="C4143" i="14"/>
  <c r="C4144" i="14"/>
  <c r="C4145" i="14"/>
  <c r="C4146" i="14"/>
  <c r="C4147" i="14"/>
  <c r="C4148" i="14"/>
  <c r="C4149" i="14"/>
  <c r="C4150" i="14"/>
  <c r="C4151" i="14"/>
  <c r="C4152" i="14"/>
  <c r="C4153" i="14"/>
  <c r="C4154" i="14"/>
  <c r="C4155" i="14"/>
  <c r="C4156" i="14"/>
  <c r="C4157" i="14"/>
  <c r="C4158" i="14"/>
  <c r="C4159" i="14"/>
  <c r="C4160" i="14"/>
  <c r="C4161" i="14"/>
  <c r="C4162" i="14"/>
  <c r="C4163" i="14"/>
  <c r="C4164" i="14"/>
  <c r="C4165" i="14"/>
  <c r="C4166" i="14"/>
  <c r="C4167" i="14"/>
  <c r="C4168" i="14"/>
  <c r="C4169" i="14"/>
  <c r="C4170" i="14"/>
  <c r="C4171" i="14"/>
  <c r="C4172" i="14"/>
  <c r="C4173" i="14"/>
  <c r="C4174" i="14"/>
  <c r="C4175" i="14"/>
  <c r="C4176" i="14"/>
  <c r="C4177" i="14"/>
  <c r="C4178" i="14"/>
  <c r="C4179" i="14"/>
  <c r="C4180" i="14"/>
  <c r="C4181" i="14"/>
  <c r="C4182" i="14"/>
  <c r="C4183" i="14"/>
  <c r="C4184" i="14"/>
  <c r="C4185" i="14"/>
  <c r="C4186" i="14"/>
  <c r="C4187" i="14"/>
  <c r="C4188" i="14"/>
  <c r="C4189" i="14"/>
  <c r="C4190" i="14"/>
  <c r="C4191" i="14"/>
  <c r="C4192" i="14"/>
  <c r="C4193" i="14"/>
  <c r="C4194" i="14"/>
  <c r="C4195" i="14"/>
  <c r="C4196" i="14"/>
  <c r="C4197" i="14"/>
  <c r="C4198" i="14"/>
  <c r="C4199" i="14"/>
  <c r="C4200" i="14"/>
  <c r="C4201" i="14"/>
  <c r="C4202" i="14"/>
  <c r="C4203" i="14"/>
  <c r="C4204" i="14"/>
  <c r="C4205" i="14"/>
  <c r="C4206" i="14"/>
  <c r="C4207" i="14"/>
  <c r="C4208" i="14"/>
  <c r="C4209" i="14"/>
  <c r="C4210" i="14"/>
  <c r="C4211" i="14"/>
  <c r="C4212" i="14"/>
  <c r="C4213" i="14"/>
  <c r="C4214" i="14"/>
  <c r="C4215" i="14"/>
  <c r="C4216" i="14"/>
  <c r="C4217" i="14"/>
  <c r="C4218" i="14"/>
  <c r="C4219" i="14"/>
  <c r="C4220" i="14"/>
  <c r="C4221" i="14"/>
  <c r="C4222" i="14"/>
  <c r="C4223" i="14"/>
  <c r="C4224" i="14"/>
  <c r="C4225" i="14"/>
  <c r="C4226" i="14"/>
  <c r="C4227" i="14"/>
  <c r="C4228" i="14"/>
  <c r="C4229" i="14"/>
  <c r="C4230" i="14"/>
  <c r="C4231" i="14"/>
  <c r="C4232" i="14"/>
  <c r="C4233" i="14"/>
  <c r="C4234" i="14"/>
  <c r="C4235" i="14"/>
  <c r="C4236" i="14"/>
  <c r="C4237" i="14"/>
  <c r="C4238" i="14"/>
  <c r="C4239" i="14"/>
  <c r="C4240" i="14"/>
  <c r="C4241" i="14"/>
  <c r="C4242" i="14"/>
  <c r="C4243" i="14"/>
  <c r="C4244" i="14"/>
  <c r="C4245" i="14"/>
  <c r="C4246" i="14"/>
  <c r="C4247" i="14"/>
  <c r="C4248" i="14"/>
  <c r="C4249" i="14"/>
  <c r="C4250" i="14"/>
  <c r="C4251" i="14"/>
  <c r="C4252" i="14"/>
  <c r="C4253" i="14"/>
  <c r="C4254" i="14"/>
  <c r="C4255" i="14"/>
  <c r="C4256" i="14"/>
  <c r="C4257" i="14"/>
  <c r="C4258" i="14"/>
  <c r="C4259" i="14"/>
  <c r="C4260" i="14"/>
  <c r="C4261" i="14"/>
  <c r="C4262" i="14"/>
  <c r="C4263" i="14"/>
  <c r="C4264" i="14"/>
  <c r="C4265" i="14"/>
  <c r="C4266" i="14"/>
  <c r="C4267" i="14"/>
  <c r="C4268" i="14"/>
  <c r="C4269" i="14"/>
  <c r="C4270" i="14"/>
  <c r="C4271" i="14"/>
  <c r="C4272" i="14"/>
  <c r="C4273" i="14"/>
  <c r="C4274" i="14"/>
  <c r="C4275" i="14"/>
  <c r="C4276" i="14"/>
  <c r="C4277" i="14"/>
  <c r="C4278" i="14"/>
  <c r="C4279" i="14"/>
  <c r="C4280" i="14"/>
  <c r="C4281" i="14"/>
  <c r="C4282" i="14"/>
  <c r="C4283" i="14"/>
  <c r="C4284" i="14"/>
  <c r="C4285" i="14"/>
  <c r="C4286" i="14"/>
  <c r="C4287" i="14"/>
  <c r="C4288" i="14"/>
  <c r="C4289" i="14"/>
  <c r="C4290" i="14"/>
  <c r="C4291" i="14"/>
  <c r="C4292" i="14"/>
  <c r="C4293" i="14"/>
  <c r="C4294" i="14"/>
  <c r="C4295" i="14"/>
  <c r="C4296" i="14"/>
  <c r="C4297" i="14"/>
  <c r="C4298" i="14"/>
  <c r="C4299" i="14"/>
  <c r="C4300" i="14"/>
  <c r="C4301" i="14"/>
  <c r="C4302" i="14"/>
  <c r="C4303" i="14"/>
  <c r="C4304" i="14"/>
  <c r="C4305" i="14"/>
  <c r="C4306" i="14"/>
  <c r="C4307" i="14"/>
  <c r="C4308" i="14"/>
  <c r="C4309" i="14"/>
  <c r="C4310" i="14"/>
  <c r="C4311" i="14"/>
  <c r="C4312" i="14"/>
  <c r="C4313" i="14"/>
  <c r="C4314" i="14"/>
  <c r="C4315" i="14"/>
  <c r="C4316" i="14"/>
  <c r="C4317" i="14"/>
  <c r="C4318" i="14"/>
  <c r="C4319" i="14"/>
  <c r="C4320" i="14"/>
  <c r="C4321" i="14"/>
  <c r="C4322" i="14"/>
  <c r="C4323" i="14"/>
  <c r="C4324" i="14"/>
  <c r="C4325" i="14"/>
  <c r="C4326" i="14"/>
  <c r="C4327" i="14"/>
  <c r="C4328" i="14"/>
  <c r="C4329" i="14"/>
  <c r="C4330" i="14"/>
  <c r="C4331" i="14"/>
  <c r="C4332" i="14"/>
  <c r="C4333" i="14"/>
  <c r="C4334" i="14"/>
  <c r="C4335" i="14"/>
  <c r="C4336" i="14"/>
  <c r="C4337" i="14"/>
  <c r="C4338" i="14"/>
  <c r="C4339" i="14"/>
  <c r="C4340" i="14"/>
  <c r="C4341" i="14"/>
  <c r="C4342" i="14"/>
  <c r="C4343" i="14"/>
  <c r="C4344" i="14"/>
  <c r="C4345" i="14"/>
  <c r="C4346" i="14"/>
  <c r="C4347" i="14"/>
  <c r="C4348" i="14"/>
  <c r="C4349" i="14"/>
  <c r="C4350" i="14"/>
  <c r="C4351" i="14"/>
  <c r="C4352" i="14"/>
  <c r="C4353" i="14"/>
  <c r="C4354" i="14"/>
  <c r="C4355" i="14"/>
  <c r="C4356" i="14"/>
  <c r="C4357" i="14"/>
  <c r="C4358" i="14"/>
  <c r="C4359" i="14"/>
  <c r="C4360" i="14"/>
  <c r="C4361" i="14"/>
  <c r="C4362" i="14"/>
  <c r="C4363" i="14"/>
  <c r="C4364" i="14"/>
  <c r="C4365" i="14"/>
  <c r="C4366" i="14"/>
  <c r="C4367" i="14"/>
  <c r="C4368" i="14"/>
  <c r="C4369" i="14"/>
  <c r="C4370" i="14"/>
  <c r="C4371" i="14"/>
  <c r="C4372" i="14"/>
  <c r="C4373" i="14"/>
  <c r="C4374" i="14"/>
  <c r="C4375" i="14"/>
  <c r="C4376" i="14"/>
  <c r="C4377" i="14"/>
  <c r="C4378" i="14"/>
  <c r="C4379" i="14"/>
  <c r="C4380" i="14"/>
  <c r="C4381" i="14"/>
  <c r="C4382" i="14"/>
  <c r="C4383" i="14"/>
  <c r="C4384" i="14"/>
  <c r="C4385" i="14"/>
  <c r="C4386" i="14"/>
  <c r="C4387" i="14"/>
  <c r="C4388" i="14"/>
  <c r="C4389" i="14"/>
  <c r="C4390" i="14"/>
  <c r="C4391" i="14"/>
  <c r="C4392" i="14"/>
  <c r="C4393" i="14"/>
  <c r="C4394" i="14"/>
  <c r="C4395" i="14"/>
  <c r="C4396" i="14"/>
  <c r="C4397" i="14"/>
  <c r="C4398" i="14"/>
  <c r="C4399" i="14"/>
  <c r="C4400" i="14"/>
  <c r="C4401" i="14"/>
  <c r="C4402" i="14"/>
  <c r="C4403" i="14"/>
  <c r="C4404" i="14"/>
  <c r="C4405" i="14"/>
  <c r="C4406" i="14"/>
  <c r="C4407" i="14"/>
  <c r="C4408" i="14"/>
  <c r="C4409" i="14"/>
  <c r="C4410" i="14"/>
  <c r="C4411" i="14"/>
  <c r="C4412" i="14"/>
  <c r="C4413" i="14"/>
  <c r="C4414" i="14"/>
  <c r="C4415" i="14"/>
  <c r="C4416" i="14"/>
  <c r="C4417" i="14"/>
  <c r="C4418" i="14"/>
  <c r="C4419" i="14"/>
  <c r="C4420" i="14"/>
  <c r="C4421" i="14"/>
  <c r="C4422" i="14"/>
  <c r="C4423" i="14"/>
  <c r="C4424" i="14"/>
  <c r="C4425" i="14"/>
  <c r="C4426" i="14"/>
  <c r="C4427" i="14"/>
  <c r="C4428" i="14"/>
  <c r="C4429" i="14"/>
  <c r="C4430" i="14"/>
  <c r="C4431" i="14"/>
  <c r="C4432" i="14"/>
  <c r="C4433" i="14"/>
  <c r="C4434" i="14"/>
  <c r="C4435" i="14"/>
  <c r="C4436" i="14"/>
  <c r="C4437" i="14"/>
  <c r="C4438" i="14"/>
  <c r="C4439" i="14"/>
  <c r="C2" i="14"/>
  <c r="K2" i="13"/>
  <c r="L17" i="9"/>
  <c r="J17" i="9"/>
  <c r="G17" i="9"/>
  <c r="O13" i="9"/>
  <c r="M13" i="9"/>
  <c r="I13" i="9"/>
  <c r="E13" i="9"/>
  <c r="E17" i="9"/>
  <c r="A17" i="9"/>
  <c r="A13" i="9"/>
  <c r="Q8" i="9"/>
  <c r="M8" i="9"/>
  <c r="I8" i="9"/>
  <c r="E8" i="9"/>
  <c r="G3" i="14"/>
  <c r="G5" i="14"/>
  <c r="G7" i="14"/>
  <c r="G9" i="14"/>
  <c r="G11" i="14"/>
  <c r="G13" i="14"/>
  <c r="G15" i="14"/>
  <c r="G17" i="14"/>
  <c r="G19" i="14"/>
  <c r="G21" i="14"/>
  <c r="G23" i="14"/>
  <c r="G25" i="14"/>
  <c r="G27" i="14"/>
  <c r="G29" i="14"/>
  <c r="G31" i="14"/>
  <c r="G33" i="14"/>
  <c r="G35" i="14"/>
  <c r="G37" i="14"/>
  <c r="G39" i="14"/>
  <c r="G41" i="14"/>
  <c r="G43" i="14"/>
  <c r="G45" i="14"/>
  <c r="G47" i="14"/>
  <c r="G49" i="14"/>
  <c r="G51" i="14"/>
  <c r="G53" i="14"/>
  <c r="G55" i="14"/>
  <c r="G57" i="14"/>
  <c r="G59" i="14"/>
  <c r="G61" i="14"/>
  <c r="G63" i="14"/>
  <c r="G65" i="14"/>
  <c r="G67" i="14"/>
  <c r="G69" i="14"/>
  <c r="G71" i="14"/>
  <c r="G73" i="14"/>
  <c r="G75" i="14"/>
  <c r="G77" i="14"/>
  <c r="G79" i="14"/>
  <c r="G81" i="14"/>
  <c r="G83" i="14"/>
  <c r="G85" i="14"/>
  <c r="G87" i="14"/>
  <c r="G89" i="14"/>
  <c r="G91" i="14"/>
  <c r="G93" i="14"/>
  <c r="G95" i="14"/>
  <c r="G97" i="14"/>
  <c r="G99" i="14"/>
  <c r="G101" i="14"/>
  <c r="G103" i="14"/>
  <c r="G105" i="14"/>
  <c r="G107" i="14"/>
  <c r="G109" i="14"/>
  <c r="G111" i="14"/>
  <c r="G113" i="14"/>
  <c r="G115" i="14"/>
  <c r="G117" i="14"/>
  <c r="G119" i="14"/>
  <c r="G121" i="14"/>
  <c r="G123" i="14"/>
  <c r="G125" i="14"/>
  <c r="G127" i="14"/>
  <c r="G129" i="14"/>
  <c r="G131" i="14"/>
  <c r="G133" i="14"/>
  <c r="G135" i="14"/>
  <c r="G137" i="14"/>
  <c r="G139" i="14"/>
  <c r="G141" i="14"/>
  <c r="G143" i="14"/>
  <c r="G145" i="14"/>
  <c r="G147" i="14"/>
  <c r="G149" i="14"/>
  <c r="G151" i="14"/>
  <c r="G153" i="14"/>
  <c r="G155" i="14"/>
  <c r="G157" i="14"/>
  <c r="G159" i="14"/>
  <c r="G161" i="14"/>
  <c r="G163" i="14"/>
  <c r="G165" i="14"/>
  <c r="G167" i="14"/>
  <c r="G169" i="14"/>
  <c r="G171" i="14"/>
  <c r="G173" i="14"/>
  <c r="G175" i="14"/>
  <c r="G177" i="14"/>
  <c r="G179" i="14"/>
  <c r="G181" i="14"/>
  <c r="G183" i="14"/>
  <c r="G185" i="14"/>
  <c r="G187" i="14"/>
  <c r="G189" i="14"/>
  <c r="G191" i="14"/>
  <c r="G193" i="14"/>
  <c r="G195" i="14"/>
  <c r="G197" i="14"/>
  <c r="G199" i="14"/>
  <c r="G201" i="14"/>
  <c r="G203" i="14"/>
  <c r="G205" i="14"/>
  <c r="G207" i="14"/>
  <c r="G209" i="14"/>
  <c r="G211" i="14"/>
  <c r="G213" i="14"/>
  <c r="G215" i="14"/>
  <c r="G217" i="14"/>
  <c r="G219" i="14"/>
  <c r="G221" i="14"/>
  <c r="G223" i="14"/>
  <c r="G225" i="14"/>
  <c r="G227" i="14"/>
  <c r="G229" i="14"/>
  <c r="G231" i="14"/>
  <c r="G233" i="14"/>
  <c r="G235" i="14"/>
  <c r="G237" i="14"/>
  <c r="G239" i="14"/>
  <c r="G241" i="14"/>
  <c r="G243" i="14"/>
  <c r="G245" i="14"/>
  <c r="G247" i="14"/>
  <c r="G249" i="14"/>
  <c r="G251" i="14"/>
  <c r="G253" i="14"/>
  <c r="G255" i="14"/>
  <c r="G257" i="14"/>
  <c r="G259" i="14"/>
  <c r="G261" i="14"/>
  <c r="G263" i="14"/>
  <c r="G265" i="14"/>
  <c r="G267" i="14"/>
  <c r="G269" i="14"/>
  <c r="G271" i="14"/>
  <c r="G273" i="14"/>
  <c r="G275" i="14"/>
  <c r="G277" i="14"/>
  <c r="G279" i="14"/>
  <c r="G281" i="14"/>
  <c r="G283" i="14"/>
  <c r="G285" i="14"/>
  <c r="G287" i="14"/>
  <c r="G289" i="14"/>
  <c r="G291" i="14"/>
  <c r="G293" i="14"/>
  <c r="G295" i="14"/>
  <c r="G297" i="14"/>
  <c r="G299" i="14"/>
  <c r="G301" i="14"/>
  <c r="G303" i="14"/>
  <c r="G305" i="14"/>
  <c r="G307" i="14"/>
  <c r="G309" i="14"/>
  <c r="G311" i="14"/>
  <c r="G313" i="14"/>
  <c r="G315" i="14"/>
  <c r="G317" i="14"/>
  <c r="G319" i="14"/>
  <c r="G321" i="14"/>
  <c r="G323" i="14"/>
  <c r="G325" i="14"/>
  <c r="G327" i="14"/>
  <c r="G329" i="14"/>
  <c r="G331" i="14"/>
  <c r="G333" i="14"/>
  <c r="G335" i="14"/>
  <c r="G337" i="14"/>
  <c r="G339" i="14"/>
  <c r="G341" i="14"/>
  <c r="G343" i="14"/>
  <c r="G345" i="14"/>
  <c r="G347" i="14"/>
  <c r="G349" i="14"/>
  <c r="G351" i="14"/>
  <c r="G353" i="14"/>
  <c r="G355" i="14"/>
  <c r="G357" i="14"/>
  <c r="G359" i="14"/>
  <c r="G361" i="14"/>
  <c r="G363" i="14"/>
  <c r="G365" i="14"/>
  <c r="G367" i="14"/>
  <c r="G369" i="14"/>
  <c r="G371" i="14"/>
  <c r="G373" i="14"/>
  <c r="G375" i="14"/>
  <c r="G377" i="14"/>
  <c r="G379" i="14"/>
  <c r="G381" i="14"/>
  <c r="G383" i="14"/>
  <c r="G385" i="14"/>
  <c r="G387" i="14"/>
  <c r="G389" i="14"/>
  <c r="G391" i="14"/>
  <c r="G393" i="14"/>
  <c r="G395" i="14"/>
  <c r="G397" i="14"/>
  <c r="G399" i="14"/>
  <c r="G401" i="14"/>
  <c r="G403" i="14"/>
  <c r="G405" i="14"/>
  <c r="G407" i="14"/>
  <c r="G409" i="14"/>
  <c r="G411" i="14"/>
  <c r="G413" i="14"/>
  <c r="G415" i="14"/>
  <c r="G417" i="14"/>
  <c r="G419" i="14"/>
  <c r="G421" i="14"/>
  <c r="G423" i="14"/>
  <c r="G425" i="14"/>
  <c r="G427" i="14"/>
  <c r="G429" i="14"/>
  <c r="G431" i="14"/>
  <c r="G433" i="14"/>
  <c r="G435" i="14"/>
  <c r="G437" i="14"/>
  <c r="G439" i="14"/>
  <c r="G441" i="14"/>
  <c r="G443" i="14"/>
  <c r="G445" i="14"/>
  <c r="G447" i="14"/>
  <c r="G449" i="14"/>
  <c r="G451" i="14"/>
  <c r="G453" i="14"/>
  <c r="G455" i="14"/>
  <c r="G457" i="14"/>
  <c r="G459" i="14"/>
  <c r="G461" i="14"/>
  <c r="G463" i="14"/>
  <c r="G465" i="14"/>
  <c r="G467" i="14"/>
  <c r="G469" i="14"/>
  <c r="G471" i="14"/>
  <c r="G473" i="14"/>
  <c r="G475" i="14"/>
  <c r="G477" i="14"/>
  <c r="G479" i="14"/>
  <c r="G481" i="14"/>
  <c r="G483" i="14"/>
  <c r="G485" i="14"/>
  <c r="G487" i="14"/>
  <c r="G489" i="14"/>
  <c r="G491" i="14"/>
  <c r="G493" i="14"/>
  <c r="G495" i="14"/>
  <c r="G497" i="14"/>
  <c r="G499" i="14"/>
  <c r="G501" i="14"/>
  <c r="G503" i="14"/>
  <c r="G505" i="14"/>
  <c r="G507" i="14"/>
  <c r="G509" i="14"/>
  <c r="G511" i="14"/>
  <c r="G513" i="14"/>
  <c r="G515" i="14"/>
  <c r="G517" i="14"/>
  <c r="G519" i="14"/>
  <c r="G521" i="14"/>
  <c r="G523" i="14"/>
  <c r="G525" i="14"/>
  <c r="G527" i="14"/>
  <c r="G529" i="14"/>
  <c r="G531" i="14"/>
  <c r="G533" i="14"/>
  <c r="G535" i="14"/>
  <c r="G537" i="14"/>
  <c r="G539" i="14"/>
  <c r="G541" i="14"/>
  <c r="G543" i="14"/>
  <c r="G545" i="14"/>
  <c r="G547" i="14"/>
  <c r="G549" i="14"/>
  <c r="G551" i="14"/>
  <c r="G553" i="14"/>
  <c r="G555" i="14"/>
  <c r="G557" i="14"/>
  <c r="G559" i="14"/>
  <c r="G561" i="14"/>
  <c r="G563" i="14"/>
  <c r="G565" i="14"/>
  <c r="G567" i="14"/>
  <c r="G569" i="14"/>
  <c r="G571" i="14"/>
  <c r="G573" i="14"/>
  <c r="G575" i="14"/>
  <c r="G577" i="14"/>
  <c r="G579" i="14"/>
  <c r="G581" i="14"/>
  <c r="G583" i="14"/>
  <c r="G585" i="14"/>
  <c r="G587" i="14"/>
  <c r="G589" i="14"/>
  <c r="G591" i="14"/>
  <c r="G593" i="14"/>
  <c r="G595" i="14"/>
  <c r="G597" i="14"/>
  <c r="G599" i="14"/>
  <c r="G601" i="14"/>
  <c r="G603" i="14"/>
  <c r="G605" i="14"/>
  <c r="G607" i="14"/>
  <c r="G609" i="14"/>
  <c r="G611" i="14"/>
  <c r="G613" i="14"/>
  <c r="G615" i="14"/>
  <c r="G617" i="14"/>
  <c r="G619" i="14"/>
  <c r="G621" i="14"/>
  <c r="G623" i="14"/>
  <c r="G625" i="14"/>
  <c r="G627" i="14"/>
  <c r="G629" i="14"/>
  <c r="G631" i="14"/>
  <c r="G633" i="14"/>
  <c r="G635" i="14"/>
  <c r="G637" i="14"/>
  <c r="G639" i="14"/>
  <c r="G641" i="14"/>
  <c r="G643" i="14"/>
  <c r="G645" i="14"/>
  <c r="G647" i="14"/>
  <c r="G649" i="14"/>
  <c r="G651" i="14"/>
  <c r="G653" i="14"/>
  <c r="G655" i="14"/>
  <c r="G657" i="14"/>
  <c r="G659" i="14"/>
  <c r="G661" i="14"/>
  <c r="G663" i="14"/>
  <c r="G665" i="14"/>
  <c r="G667" i="14"/>
  <c r="G669" i="14"/>
  <c r="G671" i="14"/>
  <c r="G673" i="14"/>
  <c r="G675" i="14"/>
  <c r="G677" i="14"/>
  <c r="G679" i="14"/>
  <c r="G681" i="14"/>
  <c r="G683" i="14"/>
  <c r="G685" i="14"/>
  <c r="G687" i="14"/>
  <c r="G689" i="14"/>
  <c r="G691" i="14"/>
  <c r="G693" i="14"/>
  <c r="G695" i="14"/>
  <c r="G697" i="14"/>
  <c r="G699" i="14"/>
  <c r="G701" i="14"/>
  <c r="G703" i="14"/>
  <c r="G705" i="14"/>
  <c r="G707" i="14"/>
  <c r="G709" i="14"/>
  <c r="G711" i="14"/>
  <c r="G713" i="14"/>
  <c r="G715" i="14"/>
  <c r="G717" i="14"/>
  <c r="G719" i="14"/>
  <c r="G721" i="14"/>
  <c r="G723" i="14"/>
  <c r="G725" i="14"/>
  <c r="G727" i="14"/>
  <c r="G729" i="14"/>
  <c r="G731" i="14"/>
  <c r="G733" i="14"/>
  <c r="G735" i="14"/>
  <c r="G737" i="14"/>
  <c r="G739" i="14"/>
  <c r="G741" i="14"/>
  <c r="G743" i="14"/>
  <c r="G745" i="14"/>
  <c r="G747" i="14"/>
  <c r="G749" i="14"/>
  <c r="G751" i="14"/>
  <c r="G753" i="14"/>
  <c r="G755" i="14"/>
  <c r="G757" i="14"/>
  <c r="G759" i="14"/>
  <c r="G761" i="14"/>
  <c r="G763" i="14"/>
  <c r="G765" i="14"/>
  <c r="G767" i="14"/>
  <c r="G769" i="14"/>
  <c r="G771" i="14"/>
  <c r="G773" i="14"/>
  <c r="G775" i="14"/>
  <c r="G777" i="14"/>
  <c r="G779" i="14"/>
  <c r="G781" i="14"/>
  <c r="G783" i="14"/>
  <c r="G785" i="14"/>
  <c r="G787" i="14"/>
  <c r="G789" i="14"/>
  <c r="G791" i="14"/>
  <c r="G793" i="14"/>
  <c r="G795" i="14"/>
  <c r="G797" i="14"/>
  <c r="G799" i="14"/>
  <c r="G801" i="14"/>
  <c r="G803" i="14"/>
  <c r="G805" i="14"/>
  <c r="G807" i="14"/>
  <c r="G809" i="14"/>
  <c r="G813" i="14"/>
  <c r="G815" i="14"/>
  <c r="G817" i="14"/>
  <c r="G819" i="14"/>
  <c r="G821" i="14"/>
  <c r="G823" i="14"/>
  <c r="G825" i="14"/>
  <c r="G827" i="14"/>
  <c r="G829" i="14"/>
  <c r="G831" i="14"/>
  <c r="G833" i="14"/>
  <c r="G835" i="14"/>
  <c r="G837" i="14"/>
  <c r="G839" i="14"/>
  <c r="G841" i="14"/>
  <c r="G843" i="14"/>
  <c r="G845" i="14"/>
  <c r="G847" i="14"/>
  <c r="G849" i="14"/>
  <c r="G851" i="14"/>
  <c r="G853" i="14"/>
  <c r="G857" i="14"/>
  <c r="G859" i="14"/>
  <c r="G863" i="14"/>
  <c r="G867" i="14"/>
  <c r="G871" i="14"/>
  <c r="G875" i="14"/>
  <c r="G879" i="14"/>
  <c r="G883" i="14"/>
  <c r="G887" i="14"/>
  <c r="G891" i="14"/>
  <c r="G895" i="14"/>
  <c r="G899" i="14"/>
  <c r="G903" i="14"/>
  <c r="G907" i="14"/>
  <c r="G911" i="14"/>
  <c r="G915" i="14"/>
  <c r="G919" i="14"/>
  <c r="G923" i="14"/>
  <c r="G927" i="14"/>
  <c r="G931" i="14"/>
  <c r="G935" i="14"/>
  <c r="G939" i="14"/>
  <c r="G943" i="14"/>
  <c r="G947" i="14"/>
  <c r="G951" i="14"/>
  <c r="G955" i="14"/>
  <c r="G959" i="14"/>
  <c r="G963" i="14"/>
  <c r="G967" i="14"/>
  <c r="G971" i="14"/>
  <c r="G975" i="14"/>
  <c r="G979" i="14"/>
  <c r="G983" i="14"/>
  <c r="G987" i="14"/>
  <c r="G991" i="14"/>
  <c r="G995" i="14"/>
  <c r="G999" i="14"/>
  <c r="G1003" i="14"/>
  <c r="G1007" i="14"/>
  <c r="G1011" i="14"/>
  <c r="G1015" i="14"/>
  <c r="G1019" i="14"/>
  <c r="G1023" i="14"/>
  <c r="G1027" i="14"/>
  <c r="G1031" i="14"/>
  <c r="G1035" i="14"/>
  <c r="G1039" i="14"/>
  <c r="G1043" i="14"/>
  <c r="G1047" i="14"/>
  <c r="G1051" i="14"/>
  <c r="G1055" i="14"/>
  <c r="G1059" i="14"/>
  <c r="G1063" i="14"/>
  <c r="G1067" i="14"/>
  <c r="G1071" i="14"/>
  <c r="G1075" i="14"/>
  <c r="G1079" i="14"/>
  <c r="G1083" i="14"/>
  <c r="G1089" i="14"/>
  <c r="G1093" i="14"/>
  <c r="G1097" i="14"/>
  <c r="G1101" i="14"/>
  <c r="G1105" i="14"/>
  <c r="G1109" i="14"/>
  <c r="G1113" i="14"/>
  <c r="G1117" i="14"/>
  <c r="G1121" i="14"/>
  <c r="G1125" i="14"/>
  <c r="G1129" i="14"/>
  <c r="G1133" i="14"/>
  <c r="G1137" i="14"/>
  <c r="G1141" i="14"/>
  <c r="G1145" i="14"/>
  <c r="G1149" i="14"/>
  <c r="G1153" i="14"/>
  <c r="G811" i="14"/>
  <c r="G855" i="14"/>
  <c r="G861" i="14"/>
  <c r="G865" i="14"/>
  <c r="G869" i="14"/>
  <c r="G873" i="14"/>
  <c r="G877" i="14"/>
  <c r="G881" i="14"/>
  <c r="G885" i="14"/>
  <c r="G889" i="14"/>
  <c r="G893" i="14"/>
  <c r="G897" i="14"/>
  <c r="G901" i="14"/>
  <c r="G905" i="14"/>
  <c r="G909" i="14"/>
  <c r="G913" i="14"/>
  <c r="G917" i="14"/>
  <c r="G921" i="14"/>
  <c r="G925" i="14"/>
  <c r="G929" i="14"/>
  <c r="G933" i="14"/>
  <c r="G937" i="14"/>
  <c r="G941" i="14"/>
  <c r="G945" i="14"/>
  <c r="G949" i="14"/>
  <c r="G953" i="14"/>
  <c r="G957" i="14"/>
  <c r="G961" i="14"/>
  <c r="G965" i="14"/>
  <c r="G969" i="14"/>
  <c r="G973" i="14"/>
  <c r="G977" i="14"/>
  <c r="G981" i="14"/>
  <c r="G985" i="14"/>
  <c r="G989" i="14"/>
  <c r="G993" i="14"/>
  <c r="G997" i="14"/>
  <c r="G1001" i="14"/>
  <c r="G1005" i="14"/>
  <c r="G1009" i="14"/>
  <c r="G1013" i="14"/>
  <c r="G1017" i="14"/>
  <c r="G1021" i="14"/>
  <c r="G1025" i="14"/>
  <c r="G1029" i="14"/>
  <c r="G1033" i="14"/>
  <c r="G1037" i="14"/>
  <c r="G1041" i="14"/>
  <c r="G1045" i="14"/>
  <c r="G1049" i="14"/>
  <c r="G1053" i="14"/>
  <c r="G1057" i="14"/>
  <c r="G1061" i="14"/>
  <c r="G1065" i="14"/>
  <c r="G1069" i="14"/>
  <c r="G1073" i="14"/>
  <c r="G1077" i="14"/>
  <c r="G1081" i="14"/>
  <c r="G1085" i="14"/>
  <c r="G1087" i="14"/>
  <c r="G1091" i="14"/>
  <c r="G1095" i="14"/>
  <c r="G1099" i="14"/>
  <c r="G1103" i="14"/>
  <c r="G1107" i="14"/>
  <c r="G1111" i="14"/>
  <c r="G1115" i="14"/>
  <c r="G1119" i="14"/>
  <c r="G1123" i="14"/>
  <c r="G1127" i="14"/>
  <c r="G1131" i="14"/>
  <c r="G1135" i="14"/>
  <c r="G1139" i="14"/>
  <c r="G1143" i="14"/>
  <c r="G1147" i="14"/>
  <c r="G1151" i="14"/>
  <c r="G1155" i="14"/>
  <c r="G1157" i="14"/>
  <c r="G1159" i="14"/>
  <c r="G1161" i="14"/>
  <c r="G1163" i="14"/>
  <c r="G1165" i="14"/>
  <c r="G1167" i="14"/>
  <c r="G1169" i="14"/>
  <c r="G1171" i="14"/>
  <c r="G1173" i="14"/>
  <c r="G2" i="14"/>
  <c r="G4" i="14"/>
  <c r="G6" i="14"/>
  <c r="G8" i="14"/>
  <c r="G10" i="14"/>
  <c r="G12" i="14"/>
  <c r="G14" i="14"/>
  <c r="G16" i="14"/>
  <c r="G18" i="14"/>
  <c r="G20" i="14"/>
  <c r="G22" i="14"/>
  <c r="G24" i="14"/>
  <c r="G26" i="14"/>
  <c r="G28" i="14"/>
  <c r="G30" i="14"/>
  <c r="G32" i="14"/>
  <c r="G34" i="14"/>
  <c r="G36" i="14"/>
  <c r="G38" i="14"/>
  <c r="G40" i="14"/>
  <c r="G42" i="14"/>
  <c r="G44" i="14"/>
  <c r="G46" i="14"/>
  <c r="G48" i="14"/>
  <c r="G50" i="14"/>
  <c r="G52" i="14"/>
  <c r="G54" i="14"/>
  <c r="G56" i="14"/>
  <c r="G58" i="14"/>
  <c r="G60" i="14"/>
  <c r="G62" i="14"/>
  <c r="G64" i="14"/>
  <c r="G66" i="14"/>
  <c r="G68" i="14"/>
  <c r="G70" i="14"/>
  <c r="G72" i="14"/>
  <c r="G74" i="14"/>
  <c r="G76" i="14"/>
  <c r="G78" i="14"/>
  <c r="G80" i="14"/>
  <c r="G82" i="14"/>
  <c r="G84" i="14"/>
  <c r="G86" i="14"/>
  <c r="G88" i="14"/>
  <c r="G90" i="14"/>
  <c r="G92" i="14"/>
  <c r="G94" i="14"/>
  <c r="G96" i="14"/>
  <c r="G98" i="14"/>
  <c r="G100" i="14"/>
  <c r="G102" i="14"/>
  <c r="G104" i="14"/>
  <c r="G106" i="14"/>
  <c r="G108" i="14"/>
  <c r="G110" i="14"/>
  <c r="G112" i="14"/>
  <c r="G114" i="14"/>
  <c r="G116" i="14"/>
  <c r="G118" i="14"/>
  <c r="G120" i="14"/>
  <c r="G122" i="14"/>
  <c r="G124" i="14"/>
  <c r="G126" i="14"/>
  <c r="G128" i="14"/>
  <c r="G130" i="14"/>
  <c r="G132" i="14"/>
  <c r="G134" i="14"/>
  <c r="G136" i="14"/>
  <c r="G138" i="14"/>
  <c r="G140" i="14"/>
  <c r="G142" i="14"/>
  <c r="G144" i="14"/>
  <c r="G146" i="14"/>
  <c r="G148" i="14"/>
  <c r="G150" i="14"/>
  <c r="G152" i="14"/>
  <c r="G154" i="14"/>
  <c r="G156" i="14"/>
  <c r="G158" i="14"/>
  <c r="G160" i="14"/>
  <c r="G162" i="14"/>
  <c r="G164" i="14"/>
  <c r="G166" i="14"/>
  <c r="G168" i="14"/>
  <c r="G170" i="14"/>
  <c r="G172" i="14"/>
  <c r="G174" i="14"/>
  <c r="G176" i="14"/>
  <c r="G178" i="14"/>
  <c r="G180" i="14"/>
  <c r="G182" i="14"/>
  <c r="G184" i="14"/>
  <c r="G186" i="14"/>
  <c r="G188" i="14"/>
  <c r="G190" i="14"/>
  <c r="G192" i="14"/>
  <c r="G194" i="14"/>
  <c r="G196" i="14"/>
  <c r="G198" i="14"/>
  <c r="G200" i="14"/>
  <c r="G202" i="14"/>
  <c r="G204" i="14"/>
  <c r="G206" i="14"/>
  <c r="G208" i="14"/>
  <c r="G210" i="14"/>
  <c r="G212" i="14"/>
  <c r="G214" i="14"/>
  <c r="G216" i="14"/>
  <c r="G218" i="14"/>
  <c r="G220" i="14"/>
  <c r="G222" i="14"/>
  <c r="G224" i="14"/>
  <c r="G226" i="14"/>
  <c r="G228" i="14"/>
  <c r="G230" i="14"/>
  <c r="G232" i="14"/>
  <c r="G234" i="14"/>
  <c r="G236" i="14"/>
  <c r="G238" i="14"/>
  <c r="G240" i="14"/>
  <c r="G242" i="14"/>
  <c r="G244" i="14"/>
  <c r="G246" i="14"/>
  <c r="G248" i="14"/>
  <c r="G250" i="14"/>
  <c r="G252" i="14"/>
  <c r="G254" i="14"/>
  <c r="G256" i="14"/>
  <c r="G258" i="14"/>
  <c r="G260" i="14"/>
  <c r="G262" i="14"/>
  <c r="G264" i="14"/>
  <c r="G266" i="14"/>
  <c r="G268" i="14"/>
  <c r="G270" i="14"/>
  <c r="G272" i="14"/>
  <c r="G274" i="14"/>
  <c r="G276" i="14"/>
  <c r="G278" i="14"/>
  <c r="G280" i="14"/>
  <c r="G282" i="14"/>
  <c r="G284" i="14"/>
  <c r="G286" i="14"/>
  <c r="G288" i="14"/>
  <c r="G290" i="14"/>
  <c r="G292" i="14"/>
  <c r="G294" i="14"/>
  <c r="G296" i="14"/>
  <c r="G298" i="14"/>
  <c r="G300" i="14"/>
  <c r="G302" i="14"/>
  <c r="G304" i="14"/>
  <c r="G306" i="14"/>
  <c r="G308" i="14"/>
  <c r="G310" i="14"/>
  <c r="G312" i="14"/>
  <c r="G314" i="14"/>
  <c r="G316" i="14"/>
  <c r="G318" i="14"/>
  <c r="G320" i="14"/>
  <c r="G322" i="14"/>
  <c r="G324" i="14"/>
  <c r="G326" i="14"/>
  <c r="G328" i="14"/>
  <c r="G330" i="14"/>
  <c r="G332" i="14"/>
  <c r="G334" i="14"/>
  <c r="G336" i="14"/>
  <c r="G338" i="14"/>
  <c r="G340" i="14"/>
  <c r="G342" i="14"/>
  <c r="G344" i="14"/>
  <c r="G346" i="14"/>
  <c r="G348" i="14"/>
  <c r="G350" i="14"/>
  <c r="G352" i="14"/>
  <c r="G354" i="14"/>
  <c r="G356" i="14"/>
  <c r="G358" i="14"/>
  <c r="G360" i="14"/>
  <c r="G362" i="14"/>
  <c r="G364" i="14"/>
  <c r="G366" i="14"/>
  <c r="G368" i="14"/>
  <c r="G370" i="14"/>
  <c r="G372" i="14"/>
  <c r="G374" i="14"/>
  <c r="G376" i="14"/>
  <c r="G378" i="14"/>
  <c r="G380" i="14"/>
  <c r="G382" i="14"/>
  <c r="G384" i="14"/>
  <c r="G386" i="14"/>
  <c r="G388" i="14"/>
  <c r="G390" i="14"/>
  <c r="G392" i="14"/>
  <c r="G394" i="14"/>
  <c r="G396" i="14"/>
  <c r="G398" i="14"/>
  <c r="G400" i="14"/>
  <c r="G402" i="14"/>
  <c r="G404" i="14"/>
  <c r="G406" i="14"/>
  <c r="G408" i="14"/>
  <c r="G410" i="14"/>
  <c r="G412" i="14"/>
  <c r="G414" i="14"/>
  <c r="G416" i="14"/>
  <c r="G418" i="14"/>
  <c r="G420" i="14"/>
  <c r="G422" i="14"/>
  <c r="G424" i="14"/>
  <c r="G426" i="14"/>
  <c r="G428" i="14"/>
  <c r="G430" i="14"/>
  <c r="G432" i="14"/>
  <c r="G434" i="14"/>
  <c r="G436" i="14"/>
  <c r="G438" i="14"/>
  <c r="G440" i="14"/>
  <c r="G442" i="14"/>
  <c r="G444" i="14"/>
  <c r="G446" i="14"/>
  <c r="G448" i="14"/>
  <c r="G450" i="14"/>
  <c r="G452" i="14"/>
  <c r="G454" i="14"/>
  <c r="G456" i="14"/>
  <c r="G458" i="14"/>
  <c r="G460" i="14"/>
  <c r="G462" i="14"/>
  <c r="G464" i="14"/>
  <c r="G466" i="14"/>
  <c r="G468" i="14"/>
  <c r="G470" i="14"/>
  <c r="G472" i="14"/>
  <c r="G474" i="14"/>
  <c r="G476" i="14"/>
  <c r="G478" i="14"/>
  <c r="G480" i="14"/>
  <c r="G482" i="14"/>
  <c r="G484" i="14"/>
  <c r="G486" i="14"/>
  <c r="G488" i="14"/>
  <c r="G490" i="14"/>
  <c r="G492" i="14"/>
  <c r="G494" i="14"/>
  <c r="G496" i="14"/>
  <c r="G498" i="14"/>
  <c r="G500" i="14"/>
  <c r="G502" i="14"/>
  <c r="G504" i="14"/>
  <c r="G506" i="14"/>
  <c r="G508" i="14"/>
  <c r="G510" i="14"/>
  <c r="G512" i="14"/>
  <c r="G514" i="14"/>
  <c r="G516" i="14"/>
  <c r="G518" i="14"/>
  <c r="G520" i="14"/>
  <c r="G522" i="14"/>
  <c r="G524" i="14"/>
  <c r="G526" i="14"/>
  <c r="G528" i="14"/>
  <c r="G530" i="14"/>
  <c r="G532" i="14"/>
  <c r="G534" i="14"/>
  <c r="G536" i="14"/>
  <c r="G538" i="14"/>
  <c r="G540" i="14"/>
  <c r="G542" i="14"/>
  <c r="G544" i="14"/>
  <c r="G546" i="14"/>
  <c r="G548" i="14"/>
  <c r="G550" i="14"/>
  <c r="G552" i="14"/>
  <c r="G554" i="14"/>
  <c r="G556" i="14"/>
  <c r="G558" i="14"/>
  <c r="G560" i="14"/>
  <c r="G562" i="14"/>
  <c r="G564" i="14"/>
  <c r="G566" i="14"/>
  <c r="G568" i="14"/>
  <c r="G570" i="14"/>
  <c r="G572" i="14"/>
  <c r="G574" i="14"/>
  <c r="G576" i="14"/>
  <c r="G578" i="14"/>
  <c r="G580" i="14"/>
  <c r="G582" i="14"/>
  <c r="G584" i="14"/>
  <c r="G586" i="14"/>
  <c r="G588" i="14"/>
  <c r="G590" i="14"/>
  <c r="G592" i="14"/>
  <c r="G594" i="14"/>
  <c r="G596" i="14"/>
  <c r="G598" i="14"/>
  <c r="G600" i="14"/>
  <c r="G602" i="14"/>
  <c r="G604" i="14"/>
  <c r="G606" i="14"/>
  <c r="G608" i="14"/>
  <c r="G610" i="14"/>
  <c r="G612" i="14"/>
  <c r="G614" i="14"/>
  <c r="G616" i="14"/>
  <c r="G618" i="14"/>
  <c r="G620" i="14"/>
  <c r="G622" i="14"/>
  <c r="G624" i="14"/>
  <c r="G626" i="14"/>
  <c r="G628" i="14"/>
  <c r="G630" i="14"/>
  <c r="G632" i="14"/>
  <c r="G634" i="14"/>
  <c r="G636" i="14"/>
  <c r="G638" i="14"/>
  <c r="G640" i="14"/>
  <c r="G642" i="14"/>
  <c r="G644" i="14"/>
  <c r="G646" i="14"/>
  <c r="G648" i="14"/>
  <c r="G650" i="14"/>
  <c r="G652" i="14"/>
  <c r="G654" i="14"/>
  <c r="G656" i="14"/>
  <c r="G658" i="14"/>
  <c r="G660" i="14"/>
  <c r="G662" i="14"/>
  <c r="G664" i="14"/>
  <c r="G666" i="14"/>
  <c r="G668" i="14"/>
  <c r="G670" i="14"/>
  <c r="G672" i="14"/>
  <c r="G674" i="14"/>
  <c r="G676" i="14"/>
  <c r="G678" i="14"/>
  <c r="G680" i="14"/>
  <c r="G682" i="14"/>
  <c r="G684" i="14"/>
  <c r="G686" i="14"/>
  <c r="G688" i="14"/>
  <c r="G690" i="14"/>
  <c r="G692" i="14"/>
  <c r="G694" i="14"/>
  <c r="G696" i="14"/>
  <c r="G698" i="14"/>
  <c r="G700" i="14"/>
  <c r="G702" i="14"/>
  <c r="G704" i="14"/>
  <c r="G706" i="14"/>
  <c r="G708" i="14"/>
  <c r="G710" i="14"/>
  <c r="G712" i="14"/>
  <c r="G714" i="14"/>
  <c r="G716" i="14"/>
  <c r="G718" i="14"/>
  <c r="G720" i="14"/>
  <c r="G722" i="14"/>
  <c r="G724" i="14"/>
  <c r="G726" i="14"/>
  <c r="G728" i="14"/>
  <c r="G730" i="14"/>
  <c r="G732" i="14"/>
  <c r="G734" i="14"/>
  <c r="G736" i="14"/>
  <c r="G738" i="14"/>
  <c r="G740" i="14"/>
  <c r="G742" i="14"/>
  <c r="G744" i="14"/>
  <c r="G746" i="14"/>
  <c r="G748" i="14"/>
  <c r="G750" i="14"/>
  <c r="G752" i="14"/>
  <c r="G754" i="14"/>
  <c r="G756" i="14"/>
  <c r="G758" i="14"/>
  <c r="G760" i="14"/>
  <c r="G762" i="14"/>
  <c r="G764" i="14"/>
  <c r="G766" i="14"/>
  <c r="G768" i="14"/>
  <c r="G770" i="14"/>
  <c r="G772" i="14"/>
  <c r="G774" i="14"/>
  <c r="G776" i="14"/>
  <c r="G778" i="14"/>
  <c r="G780" i="14"/>
  <c r="G782" i="14"/>
  <c r="G784" i="14"/>
  <c r="G786" i="14"/>
  <c r="G788" i="14"/>
  <c r="G790" i="14"/>
  <c r="G792" i="14"/>
  <c r="G794" i="14"/>
  <c r="G796" i="14"/>
  <c r="G798" i="14"/>
  <c r="G800" i="14"/>
  <c r="G802" i="14"/>
  <c r="G804" i="14"/>
  <c r="G806" i="14"/>
  <c r="G808" i="14"/>
  <c r="G810" i="14"/>
  <c r="G812" i="14"/>
  <c r="G814" i="14"/>
  <c r="G816" i="14"/>
  <c r="G818" i="14"/>
  <c r="G820" i="14"/>
  <c r="G822" i="14"/>
  <c r="G824" i="14"/>
  <c r="G826" i="14"/>
  <c r="G828" i="14"/>
  <c r="G830" i="14"/>
  <c r="G832" i="14"/>
  <c r="G834" i="14"/>
  <c r="G836" i="14"/>
  <c r="G838" i="14"/>
  <c r="G842" i="14"/>
  <c r="G844" i="14"/>
  <c r="G846" i="14"/>
  <c r="G848" i="14"/>
  <c r="G850" i="14"/>
  <c r="G852" i="14"/>
  <c r="G854" i="14"/>
  <c r="G856" i="14"/>
  <c r="G858" i="14"/>
  <c r="G860" i="14"/>
  <c r="G862" i="14"/>
  <c r="G866" i="14"/>
  <c r="G870" i="14"/>
  <c r="G874" i="14"/>
  <c r="G878" i="14"/>
  <c r="G882" i="14"/>
  <c r="G886" i="14"/>
  <c r="G890" i="14"/>
  <c r="G894" i="14"/>
  <c r="G898" i="14"/>
  <c r="G902" i="14"/>
  <c r="G906" i="14"/>
  <c r="G910" i="14"/>
  <c r="G914" i="14"/>
  <c r="G918" i="14"/>
  <c r="G922" i="14"/>
  <c r="G926" i="14"/>
  <c r="G930" i="14"/>
  <c r="G934" i="14"/>
  <c r="G938" i="14"/>
  <c r="G942" i="14"/>
  <c r="G946" i="14"/>
  <c r="G950" i="14"/>
  <c r="G954" i="14"/>
  <c r="G958" i="14"/>
  <c r="G962" i="14"/>
  <c r="G966" i="14"/>
  <c r="G970" i="14"/>
  <c r="G974" i="14"/>
  <c r="G978" i="14"/>
  <c r="G982" i="14"/>
  <c r="G986" i="14"/>
  <c r="G990" i="14"/>
  <c r="G994" i="14"/>
  <c r="G998" i="14"/>
  <c r="G1002" i="14"/>
  <c r="G1006" i="14"/>
  <c r="G1010" i="14"/>
  <c r="G1014" i="14"/>
  <c r="G1016" i="14"/>
  <c r="G1020" i="14"/>
  <c r="G1024" i="14"/>
  <c r="G1028" i="14"/>
  <c r="G1032" i="14"/>
  <c r="G1036" i="14"/>
  <c r="G1040" i="14"/>
  <c r="G1044" i="14"/>
  <c r="G1048" i="14"/>
  <c r="G1052" i="14"/>
  <c r="G1056" i="14"/>
  <c r="G1060" i="14"/>
  <c r="G1064" i="14"/>
  <c r="G1068" i="14"/>
  <c r="G1072" i="14"/>
  <c r="G1076" i="14"/>
  <c r="G1080" i="14"/>
  <c r="G1082" i="14"/>
  <c r="G1084" i="14"/>
  <c r="G1086" i="14"/>
  <c r="G1088" i="14"/>
  <c r="G1090" i="14"/>
  <c r="G1092" i="14"/>
  <c r="G1094" i="14"/>
  <c r="G1096" i="14"/>
  <c r="G1098" i="14"/>
  <c r="G1100" i="14"/>
  <c r="G1102" i="14"/>
  <c r="G1104" i="14"/>
  <c r="G1106" i="14"/>
  <c r="G1108" i="14"/>
  <c r="G1110" i="14"/>
  <c r="G1112" i="14"/>
  <c r="G1114" i="14"/>
  <c r="G1116" i="14"/>
  <c r="G1118" i="14"/>
  <c r="G1120" i="14"/>
  <c r="G1122" i="14"/>
  <c r="G1124" i="14"/>
  <c r="G1126" i="14"/>
  <c r="G1128" i="14"/>
  <c r="G1130" i="14"/>
  <c r="G1132" i="14"/>
  <c r="G840" i="14"/>
  <c r="G864" i="14"/>
  <c r="G868" i="14"/>
  <c r="G872" i="14"/>
  <c r="G876" i="14"/>
  <c r="G880" i="14"/>
  <c r="G884" i="14"/>
  <c r="G888" i="14"/>
  <c r="G892" i="14"/>
  <c r="G896" i="14"/>
  <c r="G900" i="14"/>
  <c r="G904" i="14"/>
  <c r="G908" i="14"/>
  <c r="G912" i="14"/>
  <c r="G916" i="14"/>
  <c r="G920" i="14"/>
  <c r="G924" i="14"/>
  <c r="G928" i="14"/>
  <c r="G932" i="14"/>
  <c r="G936" i="14"/>
  <c r="G940" i="14"/>
  <c r="G944" i="14"/>
  <c r="G948" i="14"/>
  <c r="G952" i="14"/>
  <c r="G956" i="14"/>
  <c r="G960" i="14"/>
  <c r="G964" i="14"/>
  <c r="G968" i="14"/>
  <c r="G972" i="14"/>
  <c r="G976" i="14"/>
  <c r="G980" i="14"/>
  <c r="G984" i="14"/>
  <c r="G988" i="14"/>
  <c r="G992" i="14"/>
  <c r="G996" i="14"/>
  <c r="G1000" i="14"/>
  <c r="G1004" i="14"/>
  <c r="G1008" i="14"/>
  <c r="G1012" i="14"/>
  <c r="G1018" i="14"/>
  <c r="G1022" i="14"/>
  <c r="G1026" i="14"/>
  <c r="G1030" i="14"/>
  <c r="G1034" i="14"/>
  <c r="G1038" i="14"/>
  <c r="G1042" i="14"/>
  <c r="G1046" i="14"/>
  <c r="G1050" i="14"/>
  <c r="G1054" i="14"/>
  <c r="G1058" i="14"/>
  <c r="G1062" i="14"/>
  <c r="G1066" i="14"/>
  <c r="G1070" i="14"/>
  <c r="G1074" i="14"/>
  <c r="G1078" i="14"/>
  <c r="G1134" i="14"/>
  <c r="G1142" i="14"/>
  <c r="G1150" i="14"/>
  <c r="G1158" i="14"/>
  <c r="G1166" i="14"/>
  <c r="G1174" i="14"/>
  <c r="G1176" i="14"/>
  <c r="G1178" i="14"/>
  <c r="G1180" i="14"/>
  <c r="G1182" i="14"/>
  <c r="G1184" i="14"/>
  <c r="G1186" i="14"/>
  <c r="G1188" i="14"/>
  <c r="G1190" i="14"/>
  <c r="G1192" i="14"/>
  <c r="G1194" i="14"/>
  <c r="G1196" i="14"/>
  <c r="G1198" i="14"/>
  <c r="G1200" i="14"/>
  <c r="G1202" i="14"/>
  <c r="G1204" i="14"/>
  <c r="G1206" i="14"/>
  <c r="G1208" i="14"/>
  <c r="G1210" i="14"/>
  <c r="G1212" i="14"/>
  <c r="G1214" i="14"/>
  <c r="G1216" i="14"/>
  <c r="G1218" i="14"/>
  <c r="G1220" i="14"/>
  <c r="G1222" i="14"/>
  <c r="G1224" i="14"/>
  <c r="G1226" i="14"/>
  <c r="G1228" i="14"/>
  <c r="G1230" i="14"/>
  <c r="G1232" i="14"/>
  <c r="G1234" i="14"/>
  <c r="G1236" i="14"/>
  <c r="G1238" i="14"/>
  <c r="G1240" i="14"/>
  <c r="G1242" i="14"/>
  <c r="G1244" i="14"/>
  <c r="G1246" i="14"/>
  <c r="G1248" i="14"/>
  <c r="G1250" i="14"/>
  <c r="G1252" i="14"/>
  <c r="G1254" i="14"/>
  <c r="G1256" i="14"/>
  <c r="G1258" i="14"/>
  <c r="G1260" i="14"/>
  <c r="G1262" i="14"/>
  <c r="G1264" i="14"/>
  <c r="G1266" i="14"/>
  <c r="G1268" i="14"/>
  <c r="G1270" i="14"/>
  <c r="G1272" i="14"/>
  <c r="G1274" i="14"/>
  <c r="G1276" i="14"/>
  <c r="G1278" i="14"/>
  <c r="G1280" i="14"/>
  <c r="G1282" i="14"/>
  <c r="G1284" i="14"/>
  <c r="G1286" i="14"/>
  <c r="G1288" i="14"/>
  <c r="G1290" i="14"/>
  <c r="G1292" i="14"/>
  <c r="G1294" i="14"/>
  <c r="G1296" i="14"/>
  <c r="G1298" i="14"/>
  <c r="G1300" i="14"/>
  <c r="G1302" i="14"/>
  <c r="G1304" i="14"/>
  <c r="G1306" i="14"/>
  <c r="G1308" i="14"/>
  <c r="G1310" i="14"/>
  <c r="G1312" i="14"/>
  <c r="G1314" i="14"/>
  <c r="G1316" i="14"/>
  <c r="G1318" i="14"/>
  <c r="G1320" i="14"/>
  <c r="G1322" i="14"/>
  <c r="G1324" i="14"/>
  <c r="G1326" i="14"/>
  <c r="G1328" i="14"/>
  <c r="G1330" i="14"/>
  <c r="G1332" i="14"/>
  <c r="G1334" i="14"/>
  <c r="G1336" i="14"/>
  <c r="G1338" i="14"/>
  <c r="G1340" i="14"/>
  <c r="G1342" i="14"/>
  <c r="G1344" i="14"/>
  <c r="G1346" i="14"/>
  <c r="G1348" i="14"/>
  <c r="G1350" i="14"/>
  <c r="G1352" i="14"/>
  <c r="G1354" i="14"/>
  <c r="G1356" i="14"/>
  <c r="G1358" i="14"/>
  <c r="G1360" i="14"/>
  <c r="G1362" i="14"/>
  <c r="G1364" i="14"/>
  <c r="G1366" i="14"/>
  <c r="G1368" i="14"/>
  <c r="G1370" i="14"/>
  <c r="G1372" i="14"/>
  <c r="G1374" i="14"/>
  <c r="G1376" i="14"/>
  <c r="G1378" i="14"/>
  <c r="G1380" i="14"/>
  <c r="G1382" i="14"/>
  <c r="G1384" i="14"/>
  <c r="G1386" i="14"/>
  <c r="G1388" i="14"/>
  <c r="G1390" i="14"/>
  <c r="G1392" i="14"/>
  <c r="G1394" i="14"/>
  <c r="G1396" i="14"/>
  <c r="G1398" i="14"/>
  <c r="G1400" i="14"/>
  <c r="G1402" i="14"/>
  <c r="G1404" i="14"/>
  <c r="G1406" i="14"/>
  <c r="G1408" i="14"/>
  <c r="G1410" i="14"/>
  <c r="G1412" i="14"/>
  <c r="G1414" i="14"/>
  <c r="G1416" i="14"/>
  <c r="G1418" i="14"/>
  <c r="G1420" i="14"/>
  <c r="G1422" i="14"/>
  <c r="G1424" i="14"/>
  <c r="G1426" i="14"/>
  <c r="G1428" i="14"/>
  <c r="G1430" i="14"/>
  <c r="G1432" i="14"/>
  <c r="G1434" i="14"/>
  <c r="G1436" i="14"/>
  <c r="G1438" i="14"/>
  <c r="G1440" i="14"/>
  <c r="G1442" i="14"/>
  <c r="G1444" i="14"/>
  <c r="G1446" i="14"/>
  <c r="G1448" i="14"/>
  <c r="G1450" i="14"/>
  <c r="G1452" i="14"/>
  <c r="G1454" i="14"/>
  <c r="G1456" i="14"/>
  <c r="G1458" i="14"/>
  <c r="G1460" i="14"/>
  <c r="G1462" i="14"/>
  <c r="G1464" i="14"/>
  <c r="G1466" i="14"/>
  <c r="G1468" i="14"/>
  <c r="G1470" i="14"/>
  <c r="G1472" i="14"/>
  <c r="G1474" i="14"/>
  <c r="G1476" i="14"/>
  <c r="G1478" i="14"/>
  <c r="G1480" i="14"/>
  <c r="G1482" i="14"/>
  <c r="G1484" i="14"/>
  <c r="G1486" i="14"/>
  <c r="G1488" i="14"/>
  <c r="G1490" i="14"/>
  <c r="G1492" i="14"/>
  <c r="G1494" i="14"/>
  <c r="G1496" i="14"/>
  <c r="G1498" i="14"/>
  <c r="G1500" i="14"/>
  <c r="G1502" i="14"/>
  <c r="G1504" i="14"/>
  <c r="G1506" i="14"/>
  <c r="G1508" i="14"/>
  <c r="G1510" i="14"/>
  <c r="G1512" i="14"/>
  <c r="G1514" i="14"/>
  <c r="G1516" i="14"/>
  <c r="G1518" i="14"/>
  <c r="G1520" i="14"/>
  <c r="G1522" i="14"/>
  <c r="G1524" i="14"/>
  <c r="G1526" i="14"/>
  <c r="G1528" i="14"/>
  <c r="G1530" i="14"/>
  <c r="G1532" i="14"/>
  <c r="G1534" i="14"/>
  <c r="G1536" i="14"/>
  <c r="G1538" i="14"/>
  <c r="G1540" i="14"/>
  <c r="G1542" i="14"/>
  <c r="G1544" i="14"/>
  <c r="G1546" i="14"/>
  <c r="G1548" i="14"/>
  <c r="G1550" i="14"/>
  <c r="G1552" i="14"/>
  <c r="G1554" i="14"/>
  <c r="G1556" i="14"/>
  <c r="G1558" i="14"/>
  <c r="G1560" i="14"/>
  <c r="G1562" i="14"/>
  <c r="G1564" i="14"/>
  <c r="G1566" i="14"/>
  <c r="G1568" i="14"/>
  <c r="G1570" i="14"/>
  <c r="G1572" i="14"/>
  <c r="G1574" i="14"/>
  <c r="G1576" i="14"/>
  <c r="G1578" i="14"/>
  <c r="G1580" i="14"/>
  <c r="G1582" i="14"/>
  <c r="G1584" i="14"/>
  <c r="G1586" i="14"/>
  <c r="G1588" i="14"/>
  <c r="G1590" i="14"/>
  <c r="G1592" i="14"/>
  <c r="G1594" i="14"/>
  <c r="G1596" i="14"/>
  <c r="G1598" i="14"/>
  <c r="G1600" i="14"/>
  <c r="G1602" i="14"/>
  <c r="G1604" i="14"/>
  <c r="G1606" i="14"/>
  <c r="G1608" i="14"/>
  <c r="G1610" i="14"/>
  <c r="G1612" i="14"/>
  <c r="G1614" i="14"/>
  <c r="G1616" i="14"/>
  <c r="G1618" i="14"/>
  <c r="G1620" i="14"/>
  <c r="G1622" i="14"/>
  <c r="G1624" i="14"/>
  <c r="G1626" i="14"/>
  <c r="G1628" i="14"/>
  <c r="G1630" i="14"/>
  <c r="G1632" i="14"/>
  <c r="G1634" i="14"/>
  <c r="G1636" i="14"/>
  <c r="G1638" i="14"/>
  <c r="G1640" i="14"/>
  <c r="G1642" i="14"/>
  <c r="G1644" i="14"/>
  <c r="G1646" i="14"/>
  <c r="G1648" i="14"/>
  <c r="G1650" i="14"/>
  <c r="G1652" i="14"/>
  <c r="G1654" i="14"/>
  <c r="G1656" i="14"/>
  <c r="G1658" i="14"/>
  <c r="G1660" i="14"/>
  <c r="G1662" i="14"/>
  <c r="G1664" i="14"/>
  <c r="G1666" i="14"/>
  <c r="G1668" i="14"/>
  <c r="G1670" i="14"/>
  <c r="G1672" i="14"/>
  <c r="G1674" i="14"/>
  <c r="G1676" i="14"/>
  <c r="G1678" i="14"/>
  <c r="G1680" i="14"/>
  <c r="G1682" i="14"/>
  <c r="G1684" i="14"/>
  <c r="G1686" i="14"/>
  <c r="G1688" i="14"/>
  <c r="G1690" i="14"/>
  <c r="G1692" i="14"/>
  <c r="G1694" i="14"/>
  <c r="G1696" i="14"/>
  <c r="G1698" i="14"/>
  <c r="G1700" i="14"/>
  <c r="G1702" i="14"/>
  <c r="G1704" i="14"/>
  <c r="G1706" i="14"/>
  <c r="G1708" i="14"/>
  <c r="G1710" i="14"/>
  <c r="G1712" i="14"/>
  <c r="G1714" i="14"/>
  <c r="G1716" i="14"/>
  <c r="G1718" i="14"/>
  <c r="G1720" i="14"/>
  <c r="G1722" i="14"/>
  <c r="G1724" i="14"/>
  <c r="G1726" i="14"/>
  <c r="G1728" i="14"/>
  <c r="G1730" i="14"/>
  <c r="G1732" i="14"/>
  <c r="G1734" i="14"/>
  <c r="G1736" i="14"/>
  <c r="G1738" i="14"/>
  <c r="G1740" i="14"/>
  <c r="G1742" i="14"/>
  <c r="G1744" i="14"/>
  <c r="G1746" i="14"/>
  <c r="G1748" i="14"/>
  <c r="G1750" i="14"/>
  <c r="G1752" i="14"/>
  <c r="G1754" i="14"/>
  <c r="G1756" i="14"/>
  <c r="G1758" i="14"/>
  <c r="G1760" i="14"/>
  <c r="G1762" i="14"/>
  <c r="G1764" i="14"/>
  <c r="G1766" i="14"/>
  <c r="G1768" i="14"/>
  <c r="G1770" i="14"/>
  <c r="G1772" i="14"/>
  <c r="G1774" i="14"/>
  <c r="G1776" i="14"/>
  <c r="G1778" i="14"/>
  <c r="G1780" i="14"/>
  <c r="G1782" i="14"/>
  <c r="G1784" i="14"/>
  <c r="G1786" i="14"/>
  <c r="G1788" i="14"/>
  <c r="G1790" i="14"/>
  <c r="G1792" i="14"/>
  <c r="G1794" i="14"/>
  <c r="G1796" i="14"/>
  <c r="G1798" i="14"/>
  <c r="G1800" i="14"/>
  <c r="G1802" i="14"/>
  <c r="G1804" i="14"/>
  <c r="G1806" i="14"/>
  <c r="G1808" i="14"/>
  <c r="G1810" i="14"/>
  <c r="G1812" i="14"/>
  <c r="G1814" i="14"/>
  <c r="G1816" i="14"/>
  <c r="G1818" i="14"/>
  <c r="G1820" i="14"/>
  <c r="G1822" i="14"/>
  <c r="G1824" i="14"/>
  <c r="G1826" i="14"/>
  <c r="G1828" i="14"/>
  <c r="G1830" i="14"/>
  <c r="G1832" i="14"/>
  <c r="G1834" i="14"/>
  <c r="G1836" i="14"/>
  <c r="G1838" i="14"/>
  <c r="G1840" i="14"/>
  <c r="G1842" i="14"/>
  <c r="G1844" i="14"/>
  <c r="G1846" i="14"/>
  <c r="G1848" i="14"/>
  <c r="G1850" i="14"/>
  <c r="G1852" i="14"/>
  <c r="G1854" i="14"/>
  <c r="G1856" i="14"/>
  <c r="G1858" i="14"/>
  <c r="G1860" i="14"/>
  <c r="G1862" i="14"/>
  <c r="G1864" i="14"/>
  <c r="G1866" i="14"/>
  <c r="G1868" i="14"/>
  <c r="G1870" i="14"/>
  <c r="G1872" i="14"/>
  <c r="G1874" i="14"/>
  <c r="G1876" i="14"/>
  <c r="G1878" i="14"/>
  <c r="G1880" i="14"/>
  <c r="G1882" i="14"/>
  <c r="G1884" i="14"/>
  <c r="G1886" i="14"/>
  <c r="G1888" i="14"/>
  <c r="G1890" i="14"/>
  <c r="G1892" i="14"/>
  <c r="G1894" i="14"/>
  <c r="G1896" i="14"/>
  <c r="G1898" i="14"/>
  <c r="G1900" i="14"/>
  <c r="G1902" i="14"/>
  <c r="G1904" i="14"/>
  <c r="G1906" i="14"/>
  <c r="G1908" i="14"/>
  <c r="G1910" i="14"/>
  <c r="G1912" i="14"/>
  <c r="G1914" i="14"/>
  <c r="G1916" i="14"/>
  <c r="G1918" i="14"/>
  <c r="G1920" i="14"/>
  <c r="G1922" i="14"/>
  <c r="G1924" i="14"/>
  <c r="G1926" i="14"/>
  <c r="G1928" i="14"/>
  <c r="G1930" i="14"/>
  <c r="G1932" i="14"/>
  <c r="G1934" i="14"/>
  <c r="G1936" i="14"/>
  <c r="G1938" i="14"/>
  <c r="G1940" i="14"/>
  <c r="G1942" i="14"/>
  <c r="G1944" i="14"/>
  <c r="G1946" i="14"/>
  <c r="G1948" i="14"/>
  <c r="G1950" i="14"/>
  <c r="G1952" i="14"/>
  <c r="G1954" i="14"/>
  <c r="G1956" i="14"/>
  <c r="G1958" i="14"/>
  <c r="G1960" i="14"/>
  <c r="G1962" i="14"/>
  <c r="G1964" i="14"/>
  <c r="G1966" i="14"/>
  <c r="G1968" i="14"/>
  <c r="G1970" i="14"/>
  <c r="G1972" i="14"/>
  <c r="G1974" i="14"/>
  <c r="G1976" i="14"/>
  <c r="G1978" i="14"/>
  <c r="G1980" i="14"/>
  <c r="G1982" i="14"/>
  <c r="G1984" i="14"/>
  <c r="G1986" i="14"/>
  <c r="G1988" i="14"/>
  <c r="G1990" i="14"/>
  <c r="G1992" i="14"/>
  <c r="G1994" i="14"/>
  <c r="G1996" i="14"/>
  <c r="G1998" i="14"/>
  <c r="G2000" i="14"/>
  <c r="G2002" i="14"/>
  <c r="G2004" i="14"/>
  <c r="G2006" i="14"/>
  <c r="G2008" i="14"/>
  <c r="G2010" i="14"/>
  <c r="G2012" i="14"/>
  <c r="G2014" i="14"/>
  <c r="G2016" i="14"/>
  <c r="G2018" i="14"/>
  <c r="G2020" i="14"/>
  <c r="G2022" i="14"/>
  <c r="G2024" i="14"/>
  <c r="G2026" i="14"/>
  <c r="G2028" i="14"/>
  <c r="G2030" i="14"/>
  <c r="G2032" i="14"/>
  <c r="G2034" i="14"/>
  <c r="G2036" i="14"/>
  <c r="G2038" i="14"/>
  <c r="G2040" i="14"/>
  <c r="G2042" i="14"/>
  <c r="G2044" i="14"/>
  <c r="G2046" i="14"/>
  <c r="G2048" i="14"/>
  <c r="G2050" i="14"/>
  <c r="G2052" i="14"/>
  <c r="G2054" i="14"/>
  <c r="G2056" i="14"/>
  <c r="G2058" i="14"/>
  <c r="G2060" i="14"/>
  <c r="G2062" i="14"/>
  <c r="G2064" i="14"/>
  <c r="G2066" i="14"/>
  <c r="G2068" i="14"/>
  <c r="G2070" i="14"/>
  <c r="G2072" i="14"/>
  <c r="G2074" i="14"/>
  <c r="G2076" i="14"/>
  <c r="G2078" i="14"/>
  <c r="G2080" i="14"/>
  <c r="G2082" i="14"/>
  <c r="G2084" i="14"/>
  <c r="G2086" i="14"/>
  <c r="G2088" i="14"/>
  <c r="G2090" i="14"/>
  <c r="G2092" i="14"/>
  <c r="G2094" i="14"/>
  <c r="G2096" i="14"/>
  <c r="G2098" i="14"/>
  <c r="G2100" i="14"/>
  <c r="G2102" i="14"/>
  <c r="G2104" i="14"/>
  <c r="G2106" i="14"/>
  <c r="G2108" i="14"/>
  <c r="G2110" i="14"/>
  <c r="G2112" i="14"/>
  <c r="G2114" i="14"/>
  <c r="G2116" i="14"/>
  <c r="G2118" i="14"/>
  <c r="G2120" i="14"/>
  <c r="G2122" i="14"/>
  <c r="G2124" i="14"/>
  <c r="G2126" i="14"/>
  <c r="G2128" i="14"/>
  <c r="G2130" i="14"/>
  <c r="G2132" i="14"/>
  <c r="G2134" i="14"/>
  <c r="G2136" i="14"/>
  <c r="G2138" i="14"/>
  <c r="G2140" i="14"/>
  <c r="G2142" i="14"/>
  <c r="G2144" i="14"/>
  <c r="G2146" i="14"/>
  <c r="G2148" i="14"/>
  <c r="G2150" i="14"/>
  <c r="G2152" i="14"/>
  <c r="G2154" i="14"/>
  <c r="G2156" i="14"/>
  <c r="G2158" i="14"/>
  <c r="G2160" i="14"/>
  <c r="G2162" i="14"/>
  <c r="G2164" i="14"/>
  <c r="G2166" i="14"/>
  <c r="G2168" i="14"/>
  <c r="G2170" i="14"/>
  <c r="G2172" i="14"/>
  <c r="G2174" i="14"/>
  <c r="G2176" i="14"/>
  <c r="G2178" i="14"/>
  <c r="G2180" i="14"/>
  <c r="G2182" i="14"/>
  <c r="G2184" i="14"/>
  <c r="G1140" i="14"/>
  <c r="G1148" i="14"/>
  <c r="G1156" i="14"/>
  <c r="G1164" i="14"/>
  <c r="G1172" i="14"/>
  <c r="G1138" i="14"/>
  <c r="G1146" i="14"/>
  <c r="G1154" i="14"/>
  <c r="G1162" i="14"/>
  <c r="G1170" i="14"/>
  <c r="G1175" i="14"/>
  <c r="G1177" i="14"/>
  <c r="G1179" i="14"/>
  <c r="G1181" i="14"/>
  <c r="G1183" i="14"/>
  <c r="G1185" i="14"/>
  <c r="G1187" i="14"/>
  <c r="G1189" i="14"/>
  <c r="G1191" i="14"/>
  <c r="G1193" i="14"/>
  <c r="G1195" i="14"/>
  <c r="G1197" i="14"/>
  <c r="G1199" i="14"/>
  <c r="G1201" i="14"/>
  <c r="G1203" i="14"/>
  <c r="G1205" i="14"/>
  <c r="G1207" i="14"/>
  <c r="G1209" i="14"/>
  <c r="G1211" i="14"/>
  <c r="G1213" i="14"/>
  <c r="G1215" i="14"/>
  <c r="G1217" i="14"/>
  <c r="G1219" i="14"/>
  <c r="G1221" i="14"/>
  <c r="G1223" i="14"/>
  <c r="G1225" i="14"/>
  <c r="G1227" i="14"/>
  <c r="G1229" i="14"/>
  <c r="G1231" i="14"/>
  <c r="G1233" i="14"/>
  <c r="G1235" i="14"/>
  <c r="G1237" i="14"/>
  <c r="G1239" i="14"/>
  <c r="G1241" i="14"/>
  <c r="G1243" i="14"/>
  <c r="G1245" i="14"/>
  <c r="G1247" i="14"/>
  <c r="G1249" i="14"/>
  <c r="G1251" i="14"/>
  <c r="G1253" i="14"/>
  <c r="G1257" i="14"/>
  <c r="G1259" i="14"/>
  <c r="G1261" i="14"/>
  <c r="G1263" i="14"/>
  <c r="G1265" i="14"/>
  <c r="G1269" i="14"/>
  <c r="G1273" i="14"/>
  <c r="G1277" i="14"/>
  <c r="G1281" i="14"/>
  <c r="G1285" i="14"/>
  <c r="G1289" i="14"/>
  <c r="G1293" i="14"/>
  <c r="G1297" i="14"/>
  <c r="G1301" i="14"/>
  <c r="G1305" i="14"/>
  <c r="G1309" i="14"/>
  <c r="G1311" i="14"/>
  <c r="G1315" i="14"/>
  <c r="G1319" i="14"/>
  <c r="G1323" i="14"/>
  <c r="G1327" i="14"/>
  <c r="G1331" i="14"/>
  <c r="G1335" i="14"/>
  <c r="G1339" i="14"/>
  <c r="G1343" i="14"/>
  <c r="G1347" i="14"/>
  <c r="G1351" i="14"/>
  <c r="G1353" i="14"/>
  <c r="G1357" i="14"/>
  <c r="G1361" i="14"/>
  <c r="G1365" i="14"/>
  <c r="G1369" i="14"/>
  <c r="G1373" i="14"/>
  <c r="G1377" i="14"/>
  <c r="G1381" i="14"/>
  <c r="G1385" i="14"/>
  <c r="G1389" i="14"/>
  <c r="G1391" i="14"/>
  <c r="G1395" i="14"/>
  <c r="G1399" i="14"/>
  <c r="G1403" i="14"/>
  <c r="G1407" i="14"/>
  <c r="G1411" i="14"/>
  <c r="G1415" i="14"/>
  <c r="G1419" i="14"/>
  <c r="G1423" i="14"/>
  <c r="G1427" i="14"/>
  <c r="G1431" i="14"/>
  <c r="G1435" i="14"/>
  <c r="G1439" i="14"/>
  <c r="G1443" i="14"/>
  <c r="G1445" i="14"/>
  <c r="G1449" i="14"/>
  <c r="G1453" i="14"/>
  <c r="G1457" i="14"/>
  <c r="G1461" i="14"/>
  <c r="G1465" i="14"/>
  <c r="G1469" i="14"/>
  <c r="G1473" i="14"/>
  <c r="G1477" i="14"/>
  <c r="G1481" i="14"/>
  <c r="G1483" i="14"/>
  <c r="G1487" i="14"/>
  <c r="G1491" i="14"/>
  <c r="G1495" i="14"/>
  <c r="G1499" i="14"/>
  <c r="G1503" i="14"/>
  <c r="G1505" i="14"/>
  <c r="G1509" i="14"/>
  <c r="G1513" i="14"/>
  <c r="G1517" i="14"/>
  <c r="G1521" i="14"/>
  <c r="G1525" i="14"/>
  <c r="G1529" i="14"/>
  <c r="G1533" i="14"/>
  <c r="G1535" i="14"/>
  <c r="G1539" i="14"/>
  <c r="G1543" i="14"/>
  <c r="G1547" i="14"/>
  <c r="G1551" i="14"/>
  <c r="G1555" i="14"/>
  <c r="G1559" i="14"/>
  <c r="G1563" i="14"/>
  <c r="G1567" i="14"/>
  <c r="G1571" i="14"/>
  <c r="G1573" i="14"/>
  <c r="G1577" i="14"/>
  <c r="G1581" i="14"/>
  <c r="G1585" i="14"/>
  <c r="G1589" i="14"/>
  <c r="G1593" i="14"/>
  <c r="G1597" i="14"/>
  <c r="G1601" i="14"/>
  <c r="G1605" i="14"/>
  <c r="G1609" i="14"/>
  <c r="G1611" i="14"/>
  <c r="G1615" i="14"/>
  <c r="G1619" i="14"/>
  <c r="G1623" i="14"/>
  <c r="G1627" i="14"/>
  <c r="G1631" i="14"/>
  <c r="G1635" i="14"/>
  <c r="G1639" i="14"/>
  <c r="G1643" i="14"/>
  <c r="G1645" i="14"/>
  <c r="G1649" i="14"/>
  <c r="G1653" i="14"/>
  <c r="G1657" i="14"/>
  <c r="G1661" i="14"/>
  <c r="G1665" i="14"/>
  <c r="G1669" i="14"/>
  <c r="G1673" i="14"/>
  <c r="G1677" i="14"/>
  <c r="G1681" i="14"/>
  <c r="G1683" i="14"/>
  <c r="G1687" i="14"/>
  <c r="G1691" i="14"/>
  <c r="G1695" i="14"/>
  <c r="G1699" i="14"/>
  <c r="G1703" i="14"/>
  <c r="G1707" i="14"/>
  <c r="G1711" i="14"/>
  <c r="G1715" i="14"/>
  <c r="G1717" i="14"/>
  <c r="G1721" i="14"/>
  <c r="G1725" i="14"/>
  <c r="G1729" i="14"/>
  <c r="G1733" i="14"/>
  <c r="G1737" i="14"/>
  <c r="G1741" i="14"/>
  <c r="G1745" i="14"/>
  <c r="G1749" i="14"/>
  <c r="G1753" i="14"/>
  <c r="G1759" i="14"/>
  <c r="G1763" i="14"/>
  <c r="G1765" i="14"/>
  <c r="G1769" i="14"/>
  <c r="G1773" i="14"/>
  <c r="G1777" i="14"/>
  <c r="G1781" i="14"/>
  <c r="G1787" i="14"/>
  <c r="G1791" i="14"/>
  <c r="G1795" i="14"/>
  <c r="G1799" i="14"/>
  <c r="G1801" i="14"/>
  <c r="G1805" i="14"/>
  <c r="G1809" i="14"/>
  <c r="G1813" i="14"/>
  <c r="G1819" i="14"/>
  <c r="G1823" i="14"/>
  <c r="G1825" i="14"/>
  <c r="G1831" i="14"/>
  <c r="G1835" i="14"/>
  <c r="G1839" i="14"/>
  <c r="G1843" i="14"/>
  <c r="G1845" i="14"/>
  <c r="G1849" i="14"/>
  <c r="G1853" i="14"/>
  <c r="G1857" i="14"/>
  <c r="G1861" i="14"/>
  <c r="G1865" i="14"/>
  <c r="G1869" i="14"/>
  <c r="G1873" i="14"/>
  <c r="G1877" i="14"/>
  <c r="G1881" i="14"/>
  <c r="G1885" i="14"/>
  <c r="G1889" i="14"/>
  <c r="G1893" i="14"/>
  <c r="G1897" i="14"/>
  <c r="G1901" i="14"/>
  <c r="G1905" i="14"/>
  <c r="G1909" i="14"/>
  <c r="G1911" i="14"/>
  <c r="G1915" i="14"/>
  <c r="G1919" i="14"/>
  <c r="G1923" i="14"/>
  <c r="G1927" i="14"/>
  <c r="G1931" i="14"/>
  <c r="G1933" i="14"/>
  <c r="G1937" i="14"/>
  <c r="G1941" i="14"/>
  <c r="G1945" i="14"/>
  <c r="G1949" i="14"/>
  <c r="G1953" i="14"/>
  <c r="G1955" i="14"/>
  <c r="G1959" i="14"/>
  <c r="G1963" i="14"/>
  <c r="G1967" i="14"/>
  <c r="G1971" i="14"/>
  <c r="G1975" i="14"/>
  <c r="G1979" i="14"/>
  <c r="G1983" i="14"/>
  <c r="G1987" i="14"/>
  <c r="G1991" i="14"/>
  <c r="G1997" i="14"/>
  <c r="G2001" i="14"/>
  <c r="G2005" i="14"/>
  <c r="G2009" i="14"/>
  <c r="G2013" i="14"/>
  <c r="G2017" i="14"/>
  <c r="G2019" i="14"/>
  <c r="G2023" i="14"/>
  <c r="G2029" i="14"/>
  <c r="G2033" i="14"/>
  <c r="G2037" i="14"/>
  <c r="G2041" i="14"/>
  <c r="G2045" i="14"/>
  <c r="G2049" i="14"/>
  <c r="G2053" i="14"/>
  <c r="G2057" i="14"/>
  <c r="G2061" i="14"/>
  <c r="G2063" i="14"/>
  <c r="G2067" i="14"/>
  <c r="G2071" i="14"/>
  <c r="G2075" i="14"/>
  <c r="G2079" i="14"/>
  <c r="G2083" i="14"/>
  <c r="G2087" i="14"/>
  <c r="G2091" i="14"/>
  <c r="G2095" i="14"/>
  <c r="G2101" i="14"/>
  <c r="G2105" i="14"/>
  <c r="G2109" i="14"/>
  <c r="G2113" i="14"/>
  <c r="G2117" i="14"/>
  <c r="G2121" i="14"/>
  <c r="G2123" i="14"/>
  <c r="G2127" i="14"/>
  <c r="G2131" i="14"/>
  <c r="G2137" i="14"/>
  <c r="G2141" i="14"/>
  <c r="G2145" i="14"/>
  <c r="G2149" i="14"/>
  <c r="G2153" i="14"/>
  <c r="G2157" i="14"/>
  <c r="G2161" i="14"/>
  <c r="G2165" i="14"/>
  <c r="G2169" i="14"/>
  <c r="G2173" i="14"/>
  <c r="G2177" i="14"/>
  <c r="G2181" i="14"/>
  <c r="G2185" i="14"/>
  <c r="G2189" i="14"/>
  <c r="G2193" i="14"/>
  <c r="G2197" i="14"/>
  <c r="G2201" i="14"/>
  <c r="G2205" i="14"/>
  <c r="G2209" i="14"/>
  <c r="G2213" i="14"/>
  <c r="G2217" i="14"/>
  <c r="G2221" i="14"/>
  <c r="G2225" i="14"/>
  <c r="G2227" i="14"/>
  <c r="G2231" i="14"/>
  <c r="G2235" i="14"/>
  <c r="G2239" i="14"/>
  <c r="G2245" i="14"/>
  <c r="G2249" i="14"/>
  <c r="G2253" i="14"/>
  <c r="G2255" i="14"/>
  <c r="G2259" i="14"/>
  <c r="G2263" i="14"/>
  <c r="G2267" i="14"/>
  <c r="G2271" i="14"/>
  <c r="G2275" i="14"/>
  <c r="G2279" i="14"/>
  <c r="G2283" i="14"/>
  <c r="G2287" i="14"/>
  <c r="G2291" i="14"/>
  <c r="G2295" i="14"/>
  <c r="G2299" i="14"/>
  <c r="G2303" i="14"/>
  <c r="G2305" i="14"/>
  <c r="G2309" i="14"/>
  <c r="G2313" i="14"/>
  <c r="G2317" i="14"/>
  <c r="G2321" i="14"/>
  <c r="G2325" i="14"/>
  <c r="G2329" i="14"/>
  <c r="G2333" i="14"/>
  <c r="G2337" i="14"/>
  <c r="G2341" i="14"/>
  <c r="G2343" i="14"/>
  <c r="G2347" i="14"/>
  <c r="G2351" i="14"/>
  <c r="G2355" i="14"/>
  <c r="G2359" i="14"/>
  <c r="G2361" i="14"/>
  <c r="G2365" i="14"/>
  <c r="G2369" i="14"/>
  <c r="G2373" i="14"/>
  <c r="G2377" i="14"/>
  <c r="G2381" i="14"/>
  <c r="G2385" i="14"/>
  <c r="G2389" i="14"/>
  <c r="G2393" i="14"/>
  <c r="G2397" i="14"/>
  <c r="G2399" i="14"/>
  <c r="G2403" i="14"/>
  <c r="G2407" i="14"/>
  <c r="G2411" i="14"/>
  <c r="G2415" i="14"/>
  <c r="G2419" i="14"/>
  <c r="G2423" i="14"/>
  <c r="G2425" i="14"/>
  <c r="G2429" i="14"/>
  <c r="G2433" i="14"/>
  <c r="G2437" i="14"/>
  <c r="G2441" i="14"/>
  <c r="G2445" i="14"/>
  <c r="G2449" i="14"/>
  <c r="G2451" i="14"/>
  <c r="G2455" i="14"/>
  <c r="G2459" i="14"/>
  <c r="G2463" i="14"/>
  <c r="G2467" i="14"/>
  <c r="G2471" i="14"/>
  <c r="G2475" i="14"/>
  <c r="G2479" i="14"/>
  <c r="G2483" i="14"/>
  <c r="G2485" i="14"/>
  <c r="G2489" i="14"/>
  <c r="G2493" i="14"/>
  <c r="G2497" i="14"/>
  <c r="G2501" i="14"/>
  <c r="G2505" i="14"/>
  <c r="G2509" i="14"/>
  <c r="G2511" i="14"/>
  <c r="G2515" i="14"/>
  <c r="G2519" i="14"/>
  <c r="G2523" i="14"/>
  <c r="G2527" i="14"/>
  <c r="G2531" i="14"/>
  <c r="G2535" i="14"/>
  <c r="G2539" i="14"/>
  <c r="G2541" i="14"/>
  <c r="G2545" i="14"/>
  <c r="G2549" i="14"/>
  <c r="G2553" i="14"/>
  <c r="G2557" i="14"/>
  <c r="G2561" i="14"/>
  <c r="G2565" i="14"/>
  <c r="G2569" i="14"/>
  <c r="G2573" i="14"/>
  <c r="G2577" i="14"/>
  <c r="G2581" i="14"/>
  <c r="G2585" i="14"/>
  <c r="G2589" i="14"/>
  <c r="G2591" i="14"/>
  <c r="G2595" i="14"/>
  <c r="G2599" i="14"/>
  <c r="G2603" i="14"/>
  <c r="G2607" i="14"/>
  <c r="G2611" i="14"/>
  <c r="G2615" i="14"/>
  <c r="G2619" i="14"/>
  <c r="G2623" i="14"/>
  <c r="G2627" i="14"/>
  <c r="G2631" i="14"/>
  <c r="G2635" i="14"/>
  <c r="G2637" i="14"/>
  <c r="G2641" i="14"/>
  <c r="G2645" i="14"/>
  <c r="G2649" i="14"/>
  <c r="G2653" i="14"/>
  <c r="G2657" i="14"/>
  <c r="G2661" i="14"/>
  <c r="G2665" i="14"/>
  <c r="G2669" i="14"/>
  <c r="G2673" i="14"/>
  <c r="G2675" i="14"/>
  <c r="G2679" i="14"/>
  <c r="G2683" i="14"/>
  <c r="G2687" i="14"/>
  <c r="G2691" i="14"/>
  <c r="G2695" i="14"/>
  <c r="G2699" i="14"/>
  <c r="G2703" i="14"/>
  <c r="G2707" i="14"/>
  <c r="G2709" i="14"/>
  <c r="G2713" i="14"/>
  <c r="G2717" i="14"/>
  <c r="G2721" i="14"/>
  <c r="G2725" i="14"/>
  <c r="G2729" i="14"/>
  <c r="G2733" i="14"/>
  <c r="G2737" i="14"/>
  <c r="G2741" i="14"/>
  <c r="G2745" i="14"/>
  <c r="G2747" i="14"/>
  <c r="G2751" i="14"/>
  <c r="G2755" i="14"/>
  <c r="G2759" i="14"/>
  <c r="G2763" i="14"/>
  <c r="G2767" i="14"/>
  <c r="G2771" i="14"/>
  <c r="G2775" i="14"/>
  <c r="G2779" i="14"/>
  <c r="G2781" i="14"/>
  <c r="G2785" i="14"/>
  <c r="G2789" i="14"/>
  <c r="G2793" i="14"/>
  <c r="G2797" i="14"/>
  <c r="G2801" i="14"/>
  <c r="G2805" i="14"/>
  <c r="G2809" i="14"/>
  <c r="G2813" i="14"/>
  <c r="G2817" i="14"/>
  <c r="G2821" i="14"/>
  <c r="G2825" i="14"/>
  <c r="G2829" i="14"/>
  <c r="G2833" i="14"/>
  <c r="G2835" i="14"/>
  <c r="G2839" i="14"/>
  <c r="G2843" i="14"/>
  <c r="G2847" i="14"/>
  <c r="G2851" i="14"/>
  <c r="G2855" i="14"/>
  <c r="G1255" i="14"/>
  <c r="G1267" i="14"/>
  <c r="G1271" i="14"/>
  <c r="G1275" i="14"/>
  <c r="G1279" i="14"/>
  <c r="G1283" i="14"/>
  <c r="G1287" i="14"/>
  <c r="G1291" i="14"/>
  <c r="G1295" i="14"/>
  <c r="G1299" i="14"/>
  <c r="G1303" i="14"/>
  <c r="G1307" i="14"/>
  <c r="G1313" i="14"/>
  <c r="G1317" i="14"/>
  <c r="G1321" i="14"/>
  <c r="G1325" i="14"/>
  <c r="G1329" i="14"/>
  <c r="G1333" i="14"/>
  <c r="G1337" i="14"/>
  <c r="G1341" i="14"/>
  <c r="G1345" i="14"/>
  <c r="G1349" i="14"/>
  <c r="G1355" i="14"/>
  <c r="G1359" i="14"/>
  <c r="G1363" i="14"/>
  <c r="G1367" i="14"/>
  <c r="G1371" i="14"/>
  <c r="G1375" i="14"/>
  <c r="G1379" i="14"/>
  <c r="G1383" i="14"/>
  <c r="G1387" i="14"/>
  <c r="G1393" i="14"/>
  <c r="G1397" i="14"/>
  <c r="G1401" i="14"/>
  <c r="G1405" i="14"/>
  <c r="G1409" i="14"/>
  <c r="G1413" i="14"/>
  <c r="G1417" i="14"/>
  <c r="G1421" i="14"/>
  <c r="G1425" i="14"/>
  <c r="G1429" i="14"/>
  <c r="G1433" i="14"/>
  <c r="G1437" i="14"/>
  <c r="G1441" i="14"/>
  <c r="G1447" i="14"/>
  <c r="G1451" i="14"/>
  <c r="G1455" i="14"/>
  <c r="G1459" i="14"/>
  <c r="G1463" i="14"/>
  <c r="G1467" i="14"/>
  <c r="G1471" i="14"/>
  <c r="G1475" i="14"/>
  <c r="G1479" i="14"/>
  <c r="G1485" i="14"/>
  <c r="G1489" i="14"/>
  <c r="G1493" i="14"/>
  <c r="G1497" i="14"/>
  <c r="G1501" i="14"/>
  <c r="G1507" i="14"/>
  <c r="G1511" i="14"/>
  <c r="G1515" i="14"/>
  <c r="G1519" i="14"/>
  <c r="G1523" i="14"/>
  <c r="G1527" i="14"/>
  <c r="G1531" i="14"/>
  <c r="G1537" i="14"/>
  <c r="G1541" i="14"/>
  <c r="G1545" i="14"/>
  <c r="G1549" i="14"/>
  <c r="G1553" i="14"/>
  <c r="G1557" i="14"/>
  <c r="G1561" i="14"/>
  <c r="G1565" i="14"/>
  <c r="G1569" i="14"/>
  <c r="G1575" i="14"/>
  <c r="G1579" i="14"/>
  <c r="G1583" i="14"/>
  <c r="G1587" i="14"/>
  <c r="G1591" i="14"/>
  <c r="G1595" i="14"/>
  <c r="G1599" i="14"/>
  <c r="G1603" i="14"/>
  <c r="G1607" i="14"/>
  <c r="G1613" i="14"/>
  <c r="G1617" i="14"/>
  <c r="G1621" i="14"/>
  <c r="G1625" i="14"/>
  <c r="G1629" i="14"/>
  <c r="G1633" i="14"/>
  <c r="G1637" i="14"/>
  <c r="G1641" i="14"/>
  <c r="G1647" i="14"/>
  <c r="G1651" i="14"/>
  <c r="G1655" i="14"/>
  <c r="G1659" i="14"/>
  <c r="G1663" i="14"/>
  <c r="G1667" i="14"/>
  <c r="G1671" i="14"/>
  <c r="G1675" i="14"/>
  <c r="G1679" i="14"/>
  <c r="G1685" i="14"/>
  <c r="G1689" i="14"/>
  <c r="G1693" i="14"/>
  <c r="G1697" i="14"/>
  <c r="G1701" i="14"/>
  <c r="G1705" i="14"/>
  <c r="G1709" i="14"/>
  <c r="G1713" i="14"/>
  <c r="G1719" i="14"/>
  <c r="G1723" i="14"/>
  <c r="G1727" i="14"/>
  <c r="G1731" i="14"/>
  <c r="G1735" i="14"/>
  <c r="G1739" i="14"/>
  <c r="G1743" i="14"/>
  <c r="G1747" i="14"/>
  <c r="G1751" i="14"/>
  <c r="G1755" i="14"/>
  <c r="G1757" i="14"/>
  <c r="G1761" i="14"/>
  <c r="G1767" i="14"/>
  <c r="G1771" i="14"/>
  <c r="G1775" i="14"/>
  <c r="G1779" i="14"/>
  <c r="G1783" i="14"/>
  <c r="G1785" i="14"/>
  <c r="G1789" i="14"/>
  <c r="G1793" i="14"/>
  <c r="G1797" i="14"/>
  <c r="G1803" i="14"/>
  <c r="G1807" i="14"/>
  <c r="G1811" i="14"/>
  <c r="G1815" i="14"/>
  <c r="G1817" i="14"/>
  <c r="G1821" i="14"/>
  <c r="G1827" i="14"/>
  <c r="G1829" i="14"/>
  <c r="G1833" i="14"/>
  <c r="G1837" i="14"/>
  <c r="G1841" i="14"/>
  <c r="G1847" i="14"/>
  <c r="G1851" i="14"/>
  <c r="G1855" i="14"/>
  <c r="G1859" i="14"/>
  <c r="G1863" i="14"/>
  <c r="G1867" i="14"/>
  <c r="G1871" i="14"/>
  <c r="G1875" i="14"/>
  <c r="G1879" i="14"/>
  <c r="G1883" i="14"/>
  <c r="G1887" i="14"/>
  <c r="G1891" i="14"/>
  <c r="G1895" i="14"/>
  <c r="G1899" i="14"/>
  <c r="G1903" i="14"/>
  <c r="G1907" i="14"/>
  <c r="G1913" i="14"/>
  <c r="G1917" i="14"/>
  <c r="G1921" i="14"/>
  <c r="G1925" i="14"/>
  <c r="G1929" i="14"/>
  <c r="G1935" i="14"/>
  <c r="G1939" i="14"/>
  <c r="G1943" i="14"/>
  <c r="G1947" i="14"/>
  <c r="G1951" i="14"/>
  <c r="G1957" i="14"/>
  <c r="G1961" i="14"/>
  <c r="G1965" i="14"/>
  <c r="G1969" i="14"/>
  <c r="G1973" i="14"/>
  <c r="G1977" i="14"/>
  <c r="G1981" i="14"/>
  <c r="G1985" i="14"/>
  <c r="G1989" i="14"/>
  <c r="G1993" i="14"/>
  <c r="G1995" i="14"/>
  <c r="G1999" i="14"/>
  <c r="G2003" i="14"/>
  <c r="G2007" i="14"/>
  <c r="G2011" i="14"/>
  <c r="G2015" i="14"/>
  <c r="G2021" i="14"/>
  <c r="G2025" i="14"/>
  <c r="G2027" i="14"/>
  <c r="G2031" i="14"/>
  <c r="G2035" i="14"/>
  <c r="G2039" i="14"/>
  <c r="G2043" i="14"/>
  <c r="G2047" i="14"/>
  <c r="G2051" i="14"/>
  <c r="G2055" i="14"/>
  <c r="G2059" i="14"/>
  <c r="G2065" i="14"/>
  <c r="G2069" i="14"/>
  <c r="G2073" i="14"/>
  <c r="G2077" i="14"/>
  <c r="G2081" i="14"/>
  <c r="G2085" i="14"/>
  <c r="G2089" i="14"/>
  <c r="G2093" i="14"/>
  <c r="G2097" i="14"/>
  <c r="G2099" i="14"/>
  <c r="G2103" i="14"/>
  <c r="G2107" i="14"/>
  <c r="G2111" i="14"/>
  <c r="G2115" i="14"/>
  <c r="G2119" i="14"/>
  <c r="G2125" i="14"/>
  <c r="G2129" i="14"/>
  <c r="G2133" i="14"/>
  <c r="G2135" i="14"/>
  <c r="G2139" i="14"/>
  <c r="G2143" i="14"/>
  <c r="G2147" i="14"/>
  <c r="G2151" i="14"/>
  <c r="G2155" i="14"/>
  <c r="G2159" i="14"/>
  <c r="G2163" i="14"/>
  <c r="G2167" i="14"/>
  <c r="G2171" i="14"/>
  <c r="G2175" i="14"/>
  <c r="G2179" i="14"/>
  <c r="G2183" i="14"/>
  <c r="G2187" i="14"/>
  <c r="G2191" i="14"/>
  <c r="G2195" i="14"/>
  <c r="G2199" i="14"/>
  <c r="G2203" i="14"/>
  <c r="G2207" i="14"/>
  <c r="G2211" i="14"/>
  <c r="G2215" i="14"/>
  <c r="G2219" i="14"/>
  <c r="G2223" i="14"/>
  <c r="G2229" i="14"/>
  <c r="G2233" i="14"/>
  <c r="G2237" i="14"/>
  <c r="G2241" i="14"/>
  <c r="G2243" i="14"/>
  <c r="G2247" i="14"/>
  <c r="G2251" i="14"/>
  <c r="G2257" i="14"/>
  <c r="G2261" i="14"/>
  <c r="G2265" i="14"/>
  <c r="G2269" i="14"/>
  <c r="G2273" i="14"/>
  <c r="G2277" i="14"/>
  <c r="G2281" i="14"/>
  <c r="G2285" i="14"/>
  <c r="G2289" i="14"/>
  <c r="G2293" i="14"/>
  <c r="G2297" i="14"/>
  <c r="G2301" i="14"/>
  <c r="G2307" i="14"/>
  <c r="G2311" i="14"/>
  <c r="G2315" i="14"/>
  <c r="G2319" i="14"/>
  <c r="G2323" i="14"/>
  <c r="G2327" i="14"/>
  <c r="G2331" i="14"/>
  <c r="G2335" i="14"/>
  <c r="G2339" i="14"/>
  <c r="G2345" i="14"/>
  <c r="G2349" i="14"/>
  <c r="G2353" i="14"/>
  <c r="G2357" i="14"/>
  <c r="G2363" i="14"/>
  <c r="G2367" i="14"/>
  <c r="G2371" i="14"/>
  <c r="G2375" i="14"/>
  <c r="G2379" i="14"/>
  <c r="G2383" i="14"/>
  <c r="G2387" i="14"/>
  <c r="G2391" i="14"/>
  <c r="G2395" i="14"/>
  <c r="G2401" i="14"/>
  <c r="G2405" i="14"/>
  <c r="G2409" i="14"/>
  <c r="G2413" i="14"/>
  <c r="G2417" i="14"/>
  <c r="G2421" i="14"/>
  <c r="G2427" i="14"/>
  <c r="G2431" i="14"/>
  <c r="G2435" i="14"/>
  <c r="G2439" i="14"/>
  <c r="G2443" i="14"/>
  <c r="G2447" i="14"/>
  <c r="G2453" i="14"/>
  <c r="G2457" i="14"/>
  <c r="G2461" i="14"/>
  <c r="G2465" i="14"/>
  <c r="G2469" i="14"/>
  <c r="G2473" i="14"/>
  <c r="G2477" i="14"/>
  <c r="G2481" i="14"/>
  <c r="G2487" i="14"/>
  <c r="G2491" i="14"/>
  <c r="G2495" i="14"/>
  <c r="G2499" i="14"/>
  <c r="G2503" i="14"/>
  <c r="G2507" i="14"/>
  <c r="G2513" i="14"/>
  <c r="G2517" i="14"/>
  <c r="G2521" i="14"/>
  <c r="G2525" i="14"/>
  <c r="G2529" i="14"/>
  <c r="G2533" i="14"/>
  <c r="G2537" i="14"/>
  <c r="G2543" i="14"/>
  <c r="G2547" i="14"/>
  <c r="G2551" i="14"/>
  <c r="G2555" i="14"/>
  <c r="G2559" i="14"/>
  <c r="G2563" i="14"/>
  <c r="G2567" i="14"/>
  <c r="G2571" i="14"/>
  <c r="G2575" i="14"/>
  <c r="G2579" i="14"/>
  <c r="G2583" i="14"/>
  <c r="G2587" i="14"/>
  <c r="G2593" i="14"/>
  <c r="G2597" i="14"/>
  <c r="G2601" i="14"/>
  <c r="G2605" i="14"/>
  <c r="G2609" i="14"/>
  <c r="G2613" i="14"/>
  <c r="G2617" i="14"/>
  <c r="G2621" i="14"/>
  <c r="G2625" i="14"/>
  <c r="G2629" i="14"/>
  <c r="G2633" i="14"/>
  <c r="G2639" i="14"/>
  <c r="G2643" i="14"/>
  <c r="G2647" i="14"/>
  <c r="G2651" i="14"/>
  <c r="G2655" i="14"/>
  <c r="G2659" i="14"/>
  <c r="G2663" i="14"/>
  <c r="G2667" i="14"/>
  <c r="G2671" i="14"/>
  <c r="G2677" i="14"/>
  <c r="G2681" i="14"/>
  <c r="G2685" i="14"/>
  <c r="G2689" i="14"/>
  <c r="G2693" i="14"/>
  <c r="G2697" i="14"/>
  <c r="G2701" i="14"/>
  <c r="G2705" i="14"/>
  <c r="G2711" i="14"/>
  <c r="G2715" i="14"/>
  <c r="G2719" i="14"/>
  <c r="G2723" i="14"/>
  <c r="G2727" i="14"/>
  <c r="G2731" i="14"/>
  <c r="G2735" i="14"/>
  <c r="G2739" i="14"/>
  <c r="G2743" i="14"/>
  <c r="G2749" i="14"/>
  <c r="G2753" i="14"/>
  <c r="G2757" i="14"/>
  <c r="G2761" i="14"/>
  <c r="G2765" i="14"/>
  <c r="G2769" i="14"/>
  <c r="G2773" i="14"/>
  <c r="G2777" i="14"/>
  <c r="G2783" i="14"/>
  <c r="G2787" i="14"/>
  <c r="G2791" i="14"/>
  <c r="G2795" i="14"/>
  <c r="G2799" i="14"/>
  <c r="G2803" i="14"/>
  <c r="G2807" i="14"/>
  <c r="G2811" i="14"/>
  <c r="G2815" i="14"/>
  <c r="G2819" i="14"/>
  <c r="G2823" i="14"/>
  <c r="G2827" i="14"/>
  <c r="G2831" i="14"/>
  <c r="G2837" i="14"/>
  <c r="G2841" i="14"/>
  <c r="G2845" i="14"/>
  <c r="G2849" i="14"/>
  <c r="G2853" i="14"/>
  <c r="G2857" i="14"/>
  <c r="G1136" i="14"/>
  <c r="G1168" i="14"/>
  <c r="G2192" i="14"/>
  <c r="G2200" i="14"/>
  <c r="G2208" i="14"/>
  <c r="G2216" i="14"/>
  <c r="G2224" i="14"/>
  <c r="G2232" i="14"/>
  <c r="G2240" i="14"/>
  <c r="G2248" i="14"/>
  <c r="G2256" i="14"/>
  <c r="G2264" i="14"/>
  <c r="G2272" i="14"/>
  <c r="G2280" i="14"/>
  <c r="G2288" i="14"/>
  <c r="G2296" i="14"/>
  <c r="G2304" i="14"/>
  <c r="G2312" i="14"/>
  <c r="G2320" i="14"/>
  <c r="G2328" i="14"/>
  <c r="G2336" i="14"/>
  <c r="G2344" i="14"/>
  <c r="G2352" i="14"/>
  <c r="G2360" i="14"/>
  <c r="G2368" i="14"/>
  <c r="G2376" i="14"/>
  <c r="G2384" i="14"/>
  <c r="G2392" i="14"/>
  <c r="G2400" i="14"/>
  <c r="G2408" i="14"/>
  <c r="G2416" i="14"/>
  <c r="G2424" i="14"/>
  <c r="G2432" i="14"/>
  <c r="G2440" i="14"/>
  <c r="G2448" i="14"/>
  <c r="G2456" i="14"/>
  <c r="G2464" i="14"/>
  <c r="G2472" i="14"/>
  <c r="G2480" i="14"/>
  <c r="G2488" i="14"/>
  <c r="G2496" i="14"/>
  <c r="G2504" i="14"/>
  <c r="G2512" i="14"/>
  <c r="G2520" i="14"/>
  <c r="G2528" i="14"/>
  <c r="G2536" i="14"/>
  <c r="G2544" i="14"/>
  <c r="G2552" i="14"/>
  <c r="G2560" i="14"/>
  <c r="G2568" i="14"/>
  <c r="G2576" i="14"/>
  <c r="G2584" i="14"/>
  <c r="G2592" i="14"/>
  <c r="G2600" i="14"/>
  <c r="G2608" i="14"/>
  <c r="G2616" i="14"/>
  <c r="G2624" i="14"/>
  <c r="G2632" i="14"/>
  <c r="G2640" i="14"/>
  <c r="G2648" i="14"/>
  <c r="G2656" i="14"/>
  <c r="G2664" i="14"/>
  <c r="G2672" i="14"/>
  <c r="G2680" i="14"/>
  <c r="G2688" i="14"/>
  <c r="G2696" i="14"/>
  <c r="G2704" i="14"/>
  <c r="G2712" i="14"/>
  <c r="G2720" i="14"/>
  <c r="G2728" i="14"/>
  <c r="G2736" i="14"/>
  <c r="G2744" i="14"/>
  <c r="G2752" i="14"/>
  <c r="G2760" i="14"/>
  <c r="G2768" i="14"/>
  <c r="G2776" i="14"/>
  <c r="G2784" i="14"/>
  <c r="G2792" i="14"/>
  <c r="G2800" i="14"/>
  <c r="G2808" i="14"/>
  <c r="G2816" i="14"/>
  <c r="G2824" i="14"/>
  <c r="G2832" i="14"/>
  <c r="G2840" i="14"/>
  <c r="G2848" i="14"/>
  <c r="G2856" i="14"/>
  <c r="G2933" i="14"/>
  <c r="G3175" i="14"/>
  <c r="G3183" i="14"/>
  <c r="G3187" i="14"/>
  <c r="G3191" i="14"/>
  <c r="G3195" i="14"/>
  <c r="G3199" i="14"/>
  <c r="G3203" i="14"/>
  <c r="G3207" i="14"/>
  <c r="G3211" i="14"/>
  <c r="G3215" i="14"/>
  <c r="G3219" i="14"/>
  <c r="G3221" i="14"/>
  <c r="G3225" i="14"/>
  <c r="G3229" i="14"/>
  <c r="G3233" i="14"/>
  <c r="G3237" i="14"/>
  <c r="G3241" i="14"/>
  <c r="G3245" i="14"/>
  <c r="G3249" i="14"/>
  <c r="G3253" i="14"/>
  <c r="G3257" i="14"/>
  <c r="G3261" i="14"/>
  <c r="G3265" i="14"/>
  <c r="G3269" i="14"/>
  <c r="G3273" i="14"/>
  <c r="G3277" i="14"/>
  <c r="G3281" i="14"/>
  <c r="G3285" i="14"/>
  <c r="G3289" i="14"/>
  <c r="G3293" i="14"/>
  <c r="G3297" i="14"/>
  <c r="G3301" i="14"/>
  <c r="G3305" i="14"/>
  <c r="G3309" i="14"/>
  <c r="G3313" i="14"/>
  <c r="G3317" i="14"/>
  <c r="G3321" i="14"/>
  <c r="G3325" i="14"/>
  <c r="G3329" i="14"/>
  <c r="G3333" i="14"/>
  <c r="G3337" i="14"/>
  <c r="G3341" i="14"/>
  <c r="G3345" i="14"/>
  <c r="G3349" i="14"/>
  <c r="G3353" i="14"/>
  <c r="G3357" i="14"/>
  <c r="G3361" i="14"/>
  <c r="G3365" i="14"/>
  <c r="G3369" i="14"/>
  <c r="G3373" i="14"/>
  <c r="G3377" i="14"/>
  <c r="G3381" i="14"/>
  <c r="G3385" i="14"/>
  <c r="G3387" i="14"/>
  <c r="G3391" i="14"/>
  <c r="G3395" i="14"/>
  <c r="G3399" i="14"/>
  <c r="G3403" i="14"/>
  <c r="G3407" i="14"/>
  <c r="G3411" i="14"/>
  <c r="G3415" i="14"/>
  <c r="G3419" i="14"/>
  <c r="G3423" i="14"/>
  <c r="G3427" i="14"/>
  <c r="G3431" i="14"/>
  <c r="G3435" i="14"/>
  <c r="G3439" i="14"/>
  <c r="G3443" i="14"/>
  <c r="G3447" i="14"/>
  <c r="G3451" i="14"/>
  <c r="G3455" i="14"/>
  <c r="G3459" i="14"/>
  <c r="G3463" i="14"/>
  <c r="G3467" i="14"/>
  <c r="G3471" i="14"/>
  <c r="G3475" i="14"/>
  <c r="G3479" i="14"/>
  <c r="G3483" i="14"/>
  <c r="G3487" i="14"/>
  <c r="G3491" i="14"/>
  <c r="G3495" i="14"/>
  <c r="G3499" i="14"/>
  <c r="G3503" i="14"/>
  <c r="G3507" i="14"/>
  <c r="G3511" i="14"/>
  <c r="G3515" i="14"/>
  <c r="G3519" i="14"/>
  <c r="G3523" i="14"/>
  <c r="G3527" i="14"/>
  <c r="G3531" i="14"/>
  <c r="G3535" i="14"/>
  <c r="G3539" i="14"/>
  <c r="G3543" i="14"/>
  <c r="G3547" i="14"/>
  <c r="G3551" i="14"/>
  <c r="G3555" i="14"/>
  <c r="G3559" i="14"/>
  <c r="G3563" i="14"/>
  <c r="G3567" i="14"/>
  <c r="G3571" i="14"/>
  <c r="G3575" i="14"/>
  <c r="G3579" i="14"/>
  <c r="G3583" i="14"/>
  <c r="G3587" i="14"/>
  <c r="G3591" i="14"/>
  <c r="G3595" i="14"/>
  <c r="G3599" i="14"/>
  <c r="G3603" i="14"/>
  <c r="G3607" i="14"/>
  <c r="G3611" i="14"/>
  <c r="G3615" i="14"/>
  <c r="G3619" i="14"/>
  <c r="G3623" i="14"/>
  <c r="G3627" i="14"/>
  <c r="G3631" i="14"/>
  <c r="G3635" i="14"/>
  <c r="G3639" i="14"/>
  <c r="G3643" i="14"/>
  <c r="G3647" i="14"/>
  <c r="G3651" i="14"/>
  <c r="G3653" i="14"/>
  <c r="G3657" i="14"/>
  <c r="G3661" i="14"/>
  <c r="G3665" i="14"/>
  <c r="G3669" i="14"/>
  <c r="G3673" i="14"/>
  <c r="G3677" i="14"/>
  <c r="G3681" i="14"/>
  <c r="G3685" i="14"/>
  <c r="G3689" i="14"/>
  <c r="G3693" i="14"/>
  <c r="G3697" i="14"/>
  <c r="G3701" i="14"/>
  <c r="G3705" i="14"/>
  <c r="G3709" i="14"/>
  <c r="G3713" i="14"/>
  <c r="G3717" i="14"/>
  <c r="G3721" i="14"/>
  <c r="G3725" i="14"/>
  <c r="G3729" i="14"/>
  <c r="G3733" i="14"/>
  <c r="G3737" i="14"/>
  <c r="G3741" i="14"/>
  <c r="G3745" i="14"/>
  <c r="G3749" i="14"/>
  <c r="G3753" i="14"/>
  <c r="G3757" i="14"/>
  <c r="G3761" i="14"/>
  <c r="G3765" i="14"/>
  <c r="G3769" i="14"/>
  <c r="G3773" i="14"/>
  <c r="G3777" i="14"/>
  <c r="G3781" i="14"/>
  <c r="G3785" i="14"/>
  <c r="G3789" i="14"/>
  <c r="G3793" i="14"/>
  <c r="G3797" i="14"/>
  <c r="G3801" i="14"/>
  <c r="G3805" i="14"/>
  <c r="G3809" i="14"/>
  <c r="G3813" i="14"/>
  <c r="G3817" i="14"/>
  <c r="G3821" i="14"/>
  <c r="G3825" i="14"/>
  <c r="G3829" i="14"/>
  <c r="G3833" i="14"/>
  <c r="G3835" i="14"/>
  <c r="G3839" i="14"/>
  <c r="G3843" i="14"/>
  <c r="G3847" i="14"/>
  <c r="G3851" i="14"/>
  <c r="G3855" i="14"/>
  <c r="G3859" i="14"/>
  <c r="G3863" i="14"/>
  <c r="G3869" i="14"/>
  <c r="G3873" i="14"/>
  <c r="G3877" i="14"/>
  <c r="G3879" i="14"/>
  <c r="G3883" i="14"/>
  <c r="G3887" i="14"/>
  <c r="G3891" i="14"/>
  <c r="G3895" i="14"/>
  <c r="G3899" i="14"/>
  <c r="G3903" i="14"/>
  <c r="G3907" i="14"/>
  <c r="G3911" i="14"/>
  <c r="G3915" i="14"/>
  <c r="G3919" i="14"/>
  <c r="G3923" i="14"/>
  <c r="G3927" i="14"/>
  <c r="G3931" i="14"/>
  <c r="G3935" i="14"/>
  <c r="G3939" i="14"/>
  <c r="G3943" i="14"/>
  <c r="G3947" i="14"/>
  <c r="G3951" i="14"/>
  <c r="G3955" i="14"/>
  <c r="G3959" i="14"/>
  <c r="G3963" i="14"/>
  <c r="G3967" i="14"/>
  <c r="G3971" i="14"/>
  <c r="G3975" i="14"/>
  <c r="G3979" i="14"/>
  <c r="G3983" i="14"/>
  <c r="G3987" i="14"/>
  <c r="G3991" i="14"/>
  <c r="G3995" i="14"/>
  <c r="G3999" i="14"/>
  <c r="G4003" i="14"/>
  <c r="G4007" i="14"/>
  <c r="G4011" i="14"/>
  <c r="G4015" i="14"/>
  <c r="G4019" i="14"/>
  <c r="G4023" i="14"/>
  <c r="G4027" i="14"/>
  <c r="G4031" i="14"/>
  <c r="G4035" i="14"/>
  <c r="G4039" i="14"/>
  <c r="G4043" i="14"/>
  <c r="G4047" i="14"/>
  <c r="G4051" i="14"/>
  <c r="G4055" i="14"/>
  <c r="G4059" i="14"/>
  <c r="G4063" i="14"/>
  <c r="G4067" i="14"/>
  <c r="G4071" i="14"/>
  <c r="G4075" i="14"/>
  <c r="G4079" i="14"/>
  <c r="G4083" i="14"/>
  <c r="G4087" i="14"/>
  <c r="G4091" i="14"/>
  <c r="G4095" i="14"/>
  <c r="G4099" i="14"/>
  <c r="G4103" i="14"/>
  <c r="G4107" i="14"/>
  <c r="G4111" i="14"/>
  <c r="G4115" i="14"/>
  <c r="G4119" i="14"/>
  <c r="G4123" i="14"/>
  <c r="G4127" i="14"/>
  <c r="G4131" i="14"/>
  <c r="G4135" i="14"/>
  <c r="G4139" i="14"/>
  <c r="G4143" i="14"/>
  <c r="G4147" i="14"/>
  <c r="G4151" i="14"/>
  <c r="G4155" i="14"/>
  <c r="G4159" i="14"/>
  <c r="G4163" i="14"/>
  <c r="G4167" i="14"/>
  <c r="G4171" i="14"/>
  <c r="G4175" i="14"/>
  <c r="G4179" i="14"/>
  <c r="G4183" i="14"/>
  <c r="G4187" i="14"/>
  <c r="G4191" i="14"/>
  <c r="G4195" i="14"/>
  <c r="G4199" i="14"/>
  <c r="G4203" i="14"/>
  <c r="G4207" i="14"/>
  <c r="G4211" i="14"/>
  <c r="G4215" i="14"/>
  <c r="G4219" i="14"/>
  <c r="G4223" i="14"/>
  <c r="G4227" i="14"/>
  <c r="G4229" i="14"/>
  <c r="G4233" i="14"/>
  <c r="G4237" i="14"/>
  <c r="G4241" i="14"/>
  <c r="G4245" i="14"/>
  <c r="G4249" i="14"/>
  <c r="G4253" i="14"/>
  <c r="G4257" i="14"/>
  <c r="G1144" i="14"/>
  <c r="G2190" i="14"/>
  <c r="G2198" i="14"/>
  <c r="G2206" i="14"/>
  <c r="G2214" i="14"/>
  <c r="G2222" i="14"/>
  <c r="G2230" i="14"/>
  <c r="G2238" i="14"/>
  <c r="G2246" i="14"/>
  <c r="G2254" i="14"/>
  <c r="G2262" i="14"/>
  <c r="G2270" i="14"/>
  <c r="G2278" i="14"/>
  <c r="G2286" i="14"/>
  <c r="G2294" i="14"/>
  <c r="G2302" i="14"/>
  <c r="G2310" i="14"/>
  <c r="G2318" i="14"/>
  <c r="G2326" i="14"/>
  <c r="G2334" i="14"/>
  <c r="G2342" i="14"/>
  <c r="G2350" i="14"/>
  <c r="G2358" i="14"/>
  <c r="G2366" i="14"/>
  <c r="G2374" i="14"/>
  <c r="G2382" i="14"/>
  <c r="G2390" i="14"/>
  <c r="G2398" i="14"/>
  <c r="G2406" i="14"/>
  <c r="G2414" i="14"/>
  <c r="G2422" i="14"/>
  <c r="G2430" i="14"/>
  <c r="G2438" i="14"/>
  <c r="G2446" i="14"/>
  <c r="G2454" i="14"/>
  <c r="G2462" i="14"/>
  <c r="G2470" i="14"/>
  <c r="G2478" i="14"/>
  <c r="G2486" i="14"/>
  <c r="G2494" i="14"/>
  <c r="G2502" i="14"/>
  <c r="G2510" i="14"/>
  <c r="G2518" i="14"/>
  <c r="G2526" i="14"/>
  <c r="G2534" i="14"/>
  <c r="G2542" i="14"/>
  <c r="G2550" i="14"/>
  <c r="G2558" i="14"/>
  <c r="G2566" i="14"/>
  <c r="G2574" i="14"/>
  <c r="G2582" i="14"/>
  <c r="G2590" i="14"/>
  <c r="G2598" i="14"/>
  <c r="G2606" i="14"/>
  <c r="G2614" i="14"/>
  <c r="G2622" i="14"/>
  <c r="G2630" i="14"/>
  <c r="G2638" i="14"/>
  <c r="G2646" i="14"/>
  <c r="G2654" i="14"/>
  <c r="G2662" i="14"/>
  <c r="G2670" i="14"/>
  <c r="G2678" i="14"/>
  <c r="G2686" i="14"/>
  <c r="G2694" i="14"/>
  <c r="G2702" i="14"/>
  <c r="G2710" i="14"/>
  <c r="G2718" i="14"/>
  <c r="G2726" i="14"/>
  <c r="G2734" i="14"/>
  <c r="G2742" i="14"/>
  <c r="G2750" i="14"/>
  <c r="G2758" i="14"/>
  <c r="G2766" i="14"/>
  <c r="G2774" i="14"/>
  <c r="G2782" i="14"/>
  <c r="G2790" i="14"/>
  <c r="G2798" i="14"/>
  <c r="G2806" i="14"/>
  <c r="G2814" i="14"/>
  <c r="G2822" i="14"/>
  <c r="G2830" i="14"/>
  <c r="G2838" i="14"/>
  <c r="G2846" i="14"/>
  <c r="G2854" i="14"/>
  <c r="G2859" i="14"/>
  <c r="G2861" i="14"/>
  <c r="G2863" i="14"/>
  <c r="G2865" i="14"/>
  <c r="G2867" i="14"/>
  <c r="G2869" i="14"/>
  <c r="G2871" i="14"/>
  <c r="G2873" i="14"/>
  <c r="G2875" i="14"/>
  <c r="G2877" i="14"/>
  <c r="G2879" i="14"/>
  <c r="G2881" i="14"/>
  <c r="G2883" i="14"/>
  <c r="G2885" i="14"/>
  <c r="G2887" i="14"/>
  <c r="G2889" i="14"/>
  <c r="G2891" i="14"/>
  <c r="G2893" i="14"/>
  <c r="G2895" i="14"/>
  <c r="G2897" i="14"/>
  <c r="G2899" i="14"/>
  <c r="G2901" i="14"/>
  <c r="G2903" i="14"/>
  <c r="G2905" i="14"/>
  <c r="G2907" i="14"/>
  <c r="G2909" i="14"/>
  <c r="G2911" i="14"/>
  <c r="G2913" i="14"/>
  <c r="G2915" i="14"/>
  <c r="G2917" i="14"/>
  <c r="G2919" i="14"/>
  <c r="G2921" i="14"/>
  <c r="G2923" i="14"/>
  <c r="G2925" i="14"/>
  <c r="G2927" i="14"/>
  <c r="G2929" i="14"/>
  <c r="G2931" i="14"/>
  <c r="G2935" i="14"/>
  <c r="G2937" i="14"/>
  <c r="G2939" i="14"/>
  <c r="G2941" i="14"/>
  <c r="G2943" i="14"/>
  <c r="G2945" i="14"/>
  <c r="G2947" i="14"/>
  <c r="G2949" i="14"/>
  <c r="G2951" i="14"/>
  <c r="G2953" i="14"/>
  <c r="G2955" i="14"/>
  <c r="G2957" i="14"/>
  <c r="G2959" i="14"/>
  <c r="G2961" i="14"/>
  <c r="G2963" i="14"/>
  <c r="G2965" i="14"/>
  <c r="G2967" i="14"/>
  <c r="G2969" i="14"/>
  <c r="G2971" i="14"/>
  <c r="G2973" i="14"/>
  <c r="G2975" i="14"/>
  <c r="G2977" i="14"/>
  <c r="G2979" i="14"/>
  <c r="G2981" i="14"/>
  <c r="G2983" i="14"/>
  <c r="G2985" i="14"/>
  <c r="G2987" i="14"/>
  <c r="G2989" i="14"/>
  <c r="G2991" i="14"/>
  <c r="G2993" i="14"/>
  <c r="G2995" i="14"/>
  <c r="G2997" i="14"/>
  <c r="G2999" i="14"/>
  <c r="G3001" i="14"/>
  <c r="G3003" i="14"/>
  <c r="G3005" i="14"/>
  <c r="G3007" i="14"/>
  <c r="G3009" i="14"/>
  <c r="G3011" i="14"/>
  <c r="G3013" i="14"/>
  <c r="G3015" i="14"/>
  <c r="G3017" i="14"/>
  <c r="G3019" i="14"/>
  <c r="G3021" i="14"/>
  <c r="G3023" i="14"/>
  <c r="G3025" i="14"/>
  <c r="G3027" i="14"/>
  <c r="G3029" i="14"/>
  <c r="G3031" i="14"/>
  <c r="G3033" i="14"/>
  <c r="G3035" i="14"/>
  <c r="G3037" i="14"/>
  <c r="G3039" i="14"/>
  <c r="G3041" i="14"/>
  <c r="G3043" i="14"/>
  <c r="G3045" i="14"/>
  <c r="G3047" i="14"/>
  <c r="G3049" i="14"/>
  <c r="G3051" i="14"/>
  <c r="G3053" i="14"/>
  <c r="G3055" i="14"/>
  <c r="G3057" i="14"/>
  <c r="G3059" i="14"/>
  <c r="G3061" i="14"/>
  <c r="G3063" i="14"/>
  <c r="G3065" i="14"/>
  <c r="G3067" i="14"/>
  <c r="G3069" i="14"/>
  <c r="G3071" i="14"/>
  <c r="G3073" i="14"/>
  <c r="G3075" i="14"/>
  <c r="G3077" i="14"/>
  <c r="G3079" i="14"/>
  <c r="G3081" i="14"/>
  <c r="G3083" i="14"/>
  <c r="G3085" i="14"/>
  <c r="G3087" i="14"/>
  <c r="G3089" i="14"/>
  <c r="G3091" i="14"/>
  <c r="G3093" i="14"/>
  <c r="G3095" i="14"/>
  <c r="G3097" i="14"/>
  <c r="G3099" i="14"/>
  <c r="G3101" i="14"/>
  <c r="G3103" i="14"/>
  <c r="G3105" i="14"/>
  <c r="G3107" i="14"/>
  <c r="G3109" i="14"/>
  <c r="G3111" i="14"/>
  <c r="G3113" i="14"/>
  <c r="G3115" i="14"/>
  <c r="G3117" i="14"/>
  <c r="G3119" i="14"/>
  <c r="G3121" i="14"/>
  <c r="G3123" i="14"/>
  <c r="G3125" i="14"/>
  <c r="G3127" i="14"/>
  <c r="G3129" i="14"/>
  <c r="G3131" i="14"/>
  <c r="G3133" i="14"/>
  <c r="G3135" i="14"/>
  <c r="G3137" i="14"/>
  <c r="G3139" i="14"/>
  <c r="G3141" i="14"/>
  <c r="G3143" i="14"/>
  <c r="G3145" i="14"/>
  <c r="G3147" i="14"/>
  <c r="G3149" i="14"/>
  <c r="G3151" i="14"/>
  <c r="G3153" i="14"/>
  <c r="G3155" i="14"/>
  <c r="G3157" i="14"/>
  <c r="G3159" i="14"/>
  <c r="G3161" i="14"/>
  <c r="G3163" i="14"/>
  <c r="G3165" i="14"/>
  <c r="G3167" i="14"/>
  <c r="G3169" i="14"/>
  <c r="G3171" i="14"/>
  <c r="G3173" i="14"/>
  <c r="G3177" i="14"/>
  <c r="G3179" i="14"/>
  <c r="G3181" i="14"/>
  <c r="G3185" i="14"/>
  <c r="G3189" i="14"/>
  <c r="G3193" i="14"/>
  <c r="G3197" i="14"/>
  <c r="G3201" i="14"/>
  <c r="G3205" i="14"/>
  <c r="G3209" i="14"/>
  <c r="G3213" i="14"/>
  <c r="G3217" i="14"/>
  <c r="G3223" i="14"/>
  <c r="G3227" i="14"/>
  <c r="G3231" i="14"/>
  <c r="G3235" i="14"/>
  <c r="G3239" i="14"/>
  <c r="G3243" i="14"/>
  <c r="G3247" i="14"/>
  <c r="G3251" i="14"/>
  <c r="G3255" i="14"/>
  <c r="G3259" i="14"/>
  <c r="G3263" i="14"/>
  <c r="G3267" i="14"/>
  <c r="G3271" i="14"/>
  <c r="G3275" i="14"/>
  <c r="G3279" i="14"/>
  <c r="G3283" i="14"/>
  <c r="G3287" i="14"/>
  <c r="G3291" i="14"/>
  <c r="G3295" i="14"/>
  <c r="G3299" i="14"/>
  <c r="G3303" i="14"/>
  <c r="G3307" i="14"/>
  <c r="G3311" i="14"/>
  <c r="G3315" i="14"/>
  <c r="G3319" i="14"/>
  <c r="G3323" i="14"/>
  <c r="G3327" i="14"/>
  <c r="G3331" i="14"/>
  <c r="G3335" i="14"/>
  <c r="G3339" i="14"/>
  <c r="G3343" i="14"/>
  <c r="G3347" i="14"/>
  <c r="G3351" i="14"/>
  <c r="G3355" i="14"/>
  <c r="G3359" i="14"/>
  <c r="G3363" i="14"/>
  <c r="G3367" i="14"/>
  <c r="G3371" i="14"/>
  <c r="G3375" i="14"/>
  <c r="G3379" i="14"/>
  <c r="G3383" i="14"/>
  <c r="G3389" i="14"/>
  <c r="G3393" i="14"/>
  <c r="G3397" i="14"/>
  <c r="G3401" i="14"/>
  <c r="G3405" i="14"/>
  <c r="G3409" i="14"/>
  <c r="G3413" i="14"/>
  <c r="G3417" i="14"/>
  <c r="G3421" i="14"/>
  <c r="G3425" i="14"/>
  <c r="G3429" i="14"/>
  <c r="G3433" i="14"/>
  <c r="G3437" i="14"/>
  <c r="G3441" i="14"/>
  <c r="G3445" i="14"/>
  <c r="G3449" i="14"/>
  <c r="G3453" i="14"/>
  <c r="G3457" i="14"/>
  <c r="G3461" i="14"/>
  <c r="G3465" i="14"/>
  <c r="G3469" i="14"/>
  <c r="G3473" i="14"/>
  <c r="G3477" i="14"/>
  <c r="G3481" i="14"/>
  <c r="G3485" i="14"/>
  <c r="G3489" i="14"/>
  <c r="G3493" i="14"/>
  <c r="G3497" i="14"/>
  <c r="G3501" i="14"/>
  <c r="G3505" i="14"/>
  <c r="G3509" i="14"/>
  <c r="G3513" i="14"/>
  <c r="G3517" i="14"/>
  <c r="G3521" i="14"/>
  <c r="G3525" i="14"/>
  <c r="G3529" i="14"/>
  <c r="G3533" i="14"/>
  <c r="G3537" i="14"/>
  <c r="G3541" i="14"/>
  <c r="G3545" i="14"/>
  <c r="G3549" i="14"/>
  <c r="G3553" i="14"/>
  <c r="G3557" i="14"/>
  <c r="G3561" i="14"/>
  <c r="G3565" i="14"/>
  <c r="G3569" i="14"/>
  <c r="G3573" i="14"/>
  <c r="G3577" i="14"/>
  <c r="G3581" i="14"/>
  <c r="G3585" i="14"/>
  <c r="G3589" i="14"/>
  <c r="G3593" i="14"/>
  <c r="G3597" i="14"/>
  <c r="G3601" i="14"/>
  <c r="G3605" i="14"/>
  <c r="G3609" i="14"/>
  <c r="G3613" i="14"/>
  <c r="G3617" i="14"/>
  <c r="G3621" i="14"/>
  <c r="G3625" i="14"/>
  <c r="G3629" i="14"/>
  <c r="G3633" i="14"/>
  <c r="G3637" i="14"/>
  <c r="G3641" i="14"/>
  <c r="G3645" i="14"/>
  <c r="G3649" i="14"/>
  <c r="G3655" i="14"/>
  <c r="G3659" i="14"/>
  <c r="G3663" i="14"/>
  <c r="G3667" i="14"/>
  <c r="G3671" i="14"/>
  <c r="G3675" i="14"/>
  <c r="G3679" i="14"/>
  <c r="G3683" i="14"/>
  <c r="G3687" i="14"/>
  <c r="G3691" i="14"/>
  <c r="G3695" i="14"/>
  <c r="G3699" i="14"/>
  <c r="G3703" i="14"/>
  <c r="G3707" i="14"/>
  <c r="G3711" i="14"/>
  <c r="G3715" i="14"/>
  <c r="G3719" i="14"/>
  <c r="G3723" i="14"/>
  <c r="G3727" i="14"/>
  <c r="G3731" i="14"/>
  <c r="G3735" i="14"/>
  <c r="G3739" i="14"/>
  <c r="G3743" i="14"/>
  <c r="G3747" i="14"/>
  <c r="G3751" i="14"/>
  <c r="G3755" i="14"/>
  <c r="G3759" i="14"/>
  <c r="G3763" i="14"/>
  <c r="G3767" i="14"/>
  <c r="G3771" i="14"/>
  <c r="G3775" i="14"/>
  <c r="G3779" i="14"/>
  <c r="G3783" i="14"/>
  <c r="G3787" i="14"/>
  <c r="G3791" i="14"/>
  <c r="G3795" i="14"/>
  <c r="G3799" i="14"/>
  <c r="G3803" i="14"/>
  <c r="G3807" i="14"/>
  <c r="G3811" i="14"/>
  <c r="G3815" i="14"/>
  <c r="G3819" i="14"/>
  <c r="G3823" i="14"/>
  <c r="G3827" i="14"/>
  <c r="G3831" i="14"/>
  <c r="G3837" i="14"/>
  <c r="G3841" i="14"/>
  <c r="G3845" i="14"/>
  <c r="G3849" i="14"/>
  <c r="G3853" i="14"/>
  <c r="G3857" i="14"/>
  <c r="G3861" i="14"/>
  <c r="G3865" i="14"/>
  <c r="G3867" i="14"/>
  <c r="G3871" i="14"/>
  <c r="G3875" i="14"/>
  <c r="G3881" i="14"/>
  <c r="G3885" i="14"/>
  <c r="G3889" i="14"/>
  <c r="G3893" i="14"/>
  <c r="G3897" i="14"/>
  <c r="G3901" i="14"/>
  <c r="G3905" i="14"/>
  <c r="G3909" i="14"/>
  <c r="G3913" i="14"/>
  <c r="G3917" i="14"/>
  <c r="G3921" i="14"/>
  <c r="G3925" i="14"/>
  <c r="G3929" i="14"/>
  <c r="G3933" i="14"/>
  <c r="G3937" i="14"/>
  <c r="G3941" i="14"/>
  <c r="G3945" i="14"/>
  <c r="G3949" i="14"/>
  <c r="G3953" i="14"/>
  <c r="G3957" i="14"/>
  <c r="G3961" i="14"/>
  <c r="G3965" i="14"/>
  <c r="G3969" i="14"/>
  <c r="G3973" i="14"/>
  <c r="G3977" i="14"/>
  <c r="G3981" i="14"/>
  <c r="G3985" i="14"/>
  <c r="G3989" i="14"/>
  <c r="G3993" i="14"/>
  <c r="G3997" i="14"/>
  <c r="G4001" i="14"/>
  <c r="G4005" i="14"/>
  <c r="G4009" i="14"/>
  <c r="G4013" i="14"/>
  <c r="G4017" i="14"/>
  <c r="G4021" i="14"/>
  <c r="G4025" i="14"/>
  <c r="G4029" i="14"/>
  <c r="G4033" i="14"/>
  <c r="G4037" i="14"/>
  <c r="G4041" i="14"/>
  <c r="G4045" i="14"/>
  <c r="G4049" i="14"/>
  <c r="G4053" i="14"/>
  <c r="G4057" i="14"/>
  <c r="G4061" i="14"/>
  <c r="G4065" i="14"/>
  <c r="G4069" i="14"/>
  <c r="G4073" i="14"/>
  <c r="G4077" i="14"/>
  <c r="G4081" i="14"/>
  <c r="G4085" i="14"/>
  <c r="G4089" i="14"/>
  <c r="G4093" i="14"/>
  <c r="G4097" i="14"/>
  <c r="G4101" i="14"/>
  <c r="G4105" i="14"/>
  <c r="G4109" i="14"/>
  <c r="G4113" i="14"/>
  <c r="G4117" i="14"/>
  <c r="G4121" i="14"/>
  <c r="G4125" i="14"/>
  <c r="G4129" i="14"/>
  <c r="G4133" i="14"/>
  <c r="G4137" i="14"/>
  <c r="G4141" i="14"/>
  <c r="G4145" i="14"/>
  <c r="G4149" i="14"/>
  <c r="G4153" i="14"/>
  <c r="G4157" i="14"/>
  <c r="G4161" i="14"/>
  <c r="G4165" i="14"/>
  <c r="G4169" i="14"/>
  <c r="G4173" i="14"/>
  <c r="G4177" i="14"/>
  <c r="G4181" i="14"/>
  <c r="G4185" i="14"/>
  <c r="G4189" i="14"/>
  <c r="G4193" i="14"/>
  <c r="G4197" i="14"/>
  <c r="G4201" i="14"/>
  <c r="G4205" i="14"/>
  <c r="G4209" i="14"/>
  <c r="G4213" i="14"/>
  <c r="G4217" i="14"/>
  <c r="G4221" i="14"/>
  <c r="G4225" i="14"/>
  <c r="G4231" i="14"/>
  <c r="G4235" i="14"/>
  <c r="G4239" i="14"/>
  <c r="G4243" i="14"/>
  <c r="G4247" i="14"/>
  <c r="G4251" i="14"/>
  <c r="G4255" i="14"/>
  <c r="G1152" i="14"/>
  <c r="G2188" i="14"/>
  <c r="G2196" i="14"/>
  <c r="G2204" i="14"/>
  <c r="G2212" i="14"/>
  <c r="G2220" i="14"/>
  <c r="G2228" i="14"/>
  <c r="G2236" i="14"/>
  <c r="G2244" i="14"/>
  <c r="G2252" i="14"/>
  <c r="G2260" i="14"/>
  <c r="G2268" i="14"/>
  <c r="G2276" i="14"/>
  <c r="G2284" i="14"/>
  <c r="G2292" i="14"/>
  <c r="G2300" i="14"/>
  <c r="G2308" i="14"/>
  <c r="G2316" i="14"/>
  <c r="G2324" i="14"/>
  <c r="G2332" i="14"/>
  <c r="G2340" i="14"/>
  <c r="G2348" i="14"/>
  <c r="G2356" i="14"/>
  <c r="G2364" i="14"/>
  <c r="G2372" i="14"/>
  <c r="G2380" i="14"/>
  <c r="G2388" i="14"/>
  <c r="G2396" i="14"/>
  <c r="G2404" i="14"/>
  <c r="G2412" i="14"/>
  <c r="G2420" i="14"/>
  <c r="G2428" i="14"/>
  <c r="G2436" i="14"/>
  <c r="G2444" i="14"/>
  <c r="G2452" i="14"/>
  <c r="G2460" i="14"/>
  <c r="G2468" i="14"/>
  <c r="G2476" i="14"/>
  <c r="G2484" i="14"/>
  <c r="G2492" i="14"/>
  <c r="G2500" i="14"/>
  <c r="G2508" i="14"/>
  <c r="G2516" i="14"/>
  <c r="G2524" i="14"/>
  <c r="G2532" i="14"/>
  <c r="G2540" i="14"/>
  <c r="G2548" i="14"/>
  <c r="G2556" i="14"/>
  <c r="G2564" i="14"/>
  <c r="G2572" i="14"/>
  <c r="G2580" i="14"/>
  <c r="G2588" i="14"/>
  <c r="G2596" i="14"/>
  <c r="G2604" i="14"/>
  <c r="G2612" i="14"/>
  <c r="G2620" i="14"/>
  <c r="G2628" i="14"/>
  <c r="G2636" i="14"/>
  <c r="G2644" i="14"/>
  <c r="G2652" i="14"/>
  <c r="G2660" i="14"/>
  <c r="G2668" i="14"/>
  <c r="G2676" i="14"/>
  <c r="G2684" i="14"/>
  <c r="G2692" i="14"/>
  <c r="G2700" i="14"/>
  <c r="G2708" i="14"/>
  <c r="G2716" i="14"/>
  <c r="G2724" i="14"/>
  <c r="G2732" i="14"/>
  <c r="G2740" i="14"/>
  <c r="G2748" i="14"/>
  <c r="G2756" i="14"/>
  <c r="G2764" i="14"/>
  <c r="G2772" i="14"/>
  <c r="G2780" i="14"/>
  <c r="G2788" i="14"/>
  <c r="G2796" i="14"/>
  <c r="G2804" i="14"/>
  <c r="G2812" i="14"/>
  <c r="G2820" i="14"/>
  <c r="G2828" i="14"/>
  <c r="G2836" i="14"/>
  <c r="G2844" i="14"/>
  <c r="G2852" i="14"/>
  <c r="G2226" i="14"/>
  <c r="G2298" i="14"/>
  <c r="G2314" i="14"/>
  <c r="G2338" i="14"/>
  <c r="G2346" i="14"/>
  <c r="G2362" i="14"/>
  <c r="G2378" i="14"/>
  <c r="G2402" i="14"/>
  <c r="G2418" i="14"/>
  <c r="G2434" i="14"/>
  <c r="G2450" i="14"/>
  <c r="G2466" i="14"/>
  <c r="G2482" i="14"/>
  <c r="G2498" i="14"/>
  <c r="G2514" i="14"/>
  <c r="G2530" i="14"/>
  <c r="G2554" i="14"/>
  <c r="G2570" i="14"/>
  <c r="G2586" i="14"/>
  <c r="G2602" i="14"/>
  <c r="G2618" i="14"/>
  <c r="G2634" i="14"/>
  <c r="G2650" i="14"/>
  <c r="G2658" i="14"/>
  <c r="G2674" i="14"/>
  <c r="G2690" i="14"/>
  <c r="G2706" i="14"/>
  <c r="G2722" i="14"/>
  <c r="G2738" i="14"/>
  <c r="G2754" i="14"/>
  <c r="G2770" i="14"/>
  <c r="G2786" i="14"/>
  <c r="G2802" i="14"/>
  <c r="G2818" i="14"/>
  <c r="G2834" i="14"/>
  <c r="G2850" i="14"/>
  <c r="G2860" i="14"/>
  <c r="G2864" i="14"/>
  <c r="G2868" i="14"/>
  <c r="G2872" i="14"/>
  <c r="G2876" i="14"/>
  <c r="G2880" i="14"/>
  <c r="G2884" i="14"/>
  <c r="G2888" i="14"/>
  <c r="G2894" i="14"/>
  <c r="G2898" i="14"/>
  <c r="G2902" i="14"/>
  <c r="G2906" i="14"/>
  <c r="G2910" i="14"/>
  <c r="G2914" i="14"/>
  <c r="G2918" i="14"/>
  <c r="G2922" i="14"/>
  <c r="G2926" i="14"/>
  <c r="G2930" i="14"/>
  <c r="G2934" i="14"/>
  <c r="G2938" i="14"/>
  <c r="G2942" i="14"/>
  <c r="G2946" i="14"/>
  <c r="G2950" i="14"/>
  <c r="G2954" i="14"/>
  <c r="G2958" i="14"/>
  <c r="G2964" i="14"/>
  <c r="G2968" i="14"/>
  <c r="G2970" i="14"/>
  <c r="G2974" i="14"/>
  <c r="G2978" i="14"/>
  <c r="G2982" i="14"/>
  <c r="G2986" i="14"/>
  <c r="G2992" i="14"/>
  <c r="G2996" i="14"/>
  <c r="G3000" i="14"/>
  <c r="G3004" i="14"/>
  <c r="G3008" i="14"/>
  <c r="G3012" i="14"/>
  <c r="G3014" i="14"/>
  <c r="G3018" i="14"/>
  <c r="G3022" i="14"/>
  <c r="G3026" i="14"/>
  <c r="G3030" i="14"/>
  <c r="G3034" i="14"/>
  <c r="G3038" i="14"/>
  <c r="G3042" i="14"/>
  <c r="G3046" i="14"/>
  <c r="G3050" i="14"/>
  <c r="G3054" i="14"/>
  <c r="G3058" i="14"/>
  <c r="G3062" i="14"/>
  <c r="G3066" i="14"/>
  <c r="G3070" i="14"/>
  <c r="G3074" i="14"/>
  <c r="G3078" i="14"/>
  <c r="G3082" i="14"/>
  <c r="G3086" i="14"/>
  <c r="G3090" i="14"/>
  <c r="G3094" i="14"/>
  <c r="G3098" i="14"/>
  <c r="G3102" i="14"/>
  <c r="G3106" i="14"/>
  <c r="G3110" i="14"/>
  <c r="G3114" i="14"/>
  <c r="G3118" i="14"/>
  <c r="G3122" i="14"/>
  <c r="G3126" i="14"/>
  <c r="G3130" i="14"/>
  <c r="G3134" i="14"/>
  <c r="G3138" i="14"/>
  <c r="G3142" i="14"/>
  <c r="G3146" i="14"/>
  <c r="G3150" i="14"/>
  <c r="G3154" i="14"/>
  <c r="G3158" i="14"/>
  <c r="G3162" i="14"/>
  <c r="G3166" i="14"/>
  <c r="G3170" i="14"/>
  <c r="G3174" i="14"/>
  <c r="G3178" i="14"/>
  <c r="G3182" i="14"/>
  <c r="G3186" i="14"/>
  <c r="G3190" i="14"/>
  <c r="G3194" i="14"/>
  <c r="G3198" i="14"/>
  <c r="G3202" i="14"/>
  <c r="G3206" i="14"/>
  <c r="G3210" i="14"/>
  <c r="G3214" i="14"/>
  <c r="G3218" i="14"/>
  <c r="G3222" i="14"/>
  <c r="G3226" i="14"/>
  <c r="G3230" i="14"/>
  <c r="G3234" i="14"/>
  <c r="G3238" i="14"/>
  <c r="G3242" i="14"/>
  <c r="G3246" i="14"/>
  <c r="G3250" i="14"/>
  <c r="G3254" i="14"/>
  <c r="G3258" i="14"/>
  <c r="G3262" i="14"/>
  <c r="G3268" i="14"/>
  <c r="G3272" i="14"/>
  <c r="G3276" i="14"/>
  <c r="G3280" i="14"/>
  <c r="G3284" i="14"/>
  <c r="G3288" i="14"/>
  <c r="G3292" i="14"/>
  <c r="G3296" i="14"/>
  <c r="G3300" i="14"/>
  <c r="G3304" i="14"/>
  <c r="G3308" i="14"/>
  <c r="G3312" i="14"/>
  <c r="G3316" i="14"/>
  <c r="G3320" i="14"/>
  <c r="G3324" i="14"/>
  <c r="G3328" i="14"/>
  <c r="G3332" i="14"/>
  <c r="G3336" i="14"/>
  <c r="G3340" i="14"/>
  <c r="G3344" i="14"/>
  <c r="G3348" i="14"/>
  <c r="G3352" i="14"/>
  <c r="G3356" i="14"/>
  <c r="G3360" i="14"/>
  <c r="G3364" i="14"/>
  <c r="G3368" i="14"/>
  <c r="G3372" i="14"/>
  <c r="G3376" i="14"/>
  <c r="G3380" i="14"/>
  <c r="G3384" i="14"/>
  <c r="G3388" i="14"/>
  <c r="G3392" i="14"/>
  <c r="G3396" i="14"/>
  <c r="G3400" i="14"/>
  <c r="G3404" i="14"/>
  <c r="G3408" i="14"/>
  <c r="G3412" i="14"/>
  <c r="G3416" i="14"/>
  <c r="G3420" i="14"/>
  <c r="G3424" i="14"/>
  <c r="G3428" i="14"/>
  <c r="G3432" i="14"/>
  <c r="G3436" i="14"/>
  <c r="G3440" i="14"/>
  <c r="G3444" i="14"/>
  <c r="G3448" i="14"/>
  <c r="G3452" i="14"/>
  <c r="G3456" i="14"/>
  <c r="G3460" i="14"/>
  <c r="G3464" i="14"/>
  <c r="G3468" i="14"/>
  <c r="G3472" i="14"/>
  <c r="G3476" i="14"/>
  <c r="G3480" i="14"/>
  <c r="G3484" i="14"/>
  <c r="G3488" i="14"/>
  <c r="G3492" i="14"/>
  <c r="G3496" i="14"/>
  <c r="G3500" i="14"/>
  <c r="G3504" i="14"/>
  <c r="G3508" i="14"/>
  <c r="G3512" i="14"/>
  <c r="G3518" i="14"/>
  <c r="G3522" i="14"/>
  <c r="G3524" i="14"/>
  <c r="G3528" i="14"/>
  <c r="G3532" i="14"/>
  <c r="G3536" i="14"/>
  <c r="G3540" i="14"/>
  <c r="G3546" i="14"/>
  <c r="G3550" i="14"/>
  <c r="G3554" i="14"/>
  <c r="G3558" i="14"/>
  <c r="G3562" i="14"/>
  <c r="G3566" i="14"/>
  <c r="G3570" i="14"/>
  <c r="G3574" i="14"/>
  <c r="G3578" i="14"/>
  <c r="G3582" i="14"/>
  <c r="G3586" i="14"/>
  <c r="G3590" i="14"/>
  <c r="G3594" i="14"/>
  <c r="G3598" i="14"/>
  <c r="G3602" i="14"/>
  <c r="G3606" i="14"/>
  <c r="G3610" i="14"/>
  <c r="G3614" i="14"/>
  <c r="G3618" i="14"/>
  <c r="G3622" i="14"/>
  <c r="G3626" i="14"/>
  <c r="G3630" i="14"/>
  <c r="G3634" i="14"/>
  <c r="G3638" i="14"/>
  <c r="G3642" i="14"/>
  <c r="G3646" i="14"/>
  <c r="G3650" i="14"/>
  <c r="G3654" i="14"/>
  <c r="G3658" i="14"/>
  <c r="G3662" i="14"/>
  <c r="G3666" i="14"/>
  <c r="G3670" i="14"/>
  <c r="G3674" i="14"/>
  <c r="G3678" i="14"/>
  <c r="G3682" i="14"/>
  <c r="G3686" i="14"/>
  <c r="G3692" i="14"/>
  <c r="G3694" i="14"/>
  <c r="G3700" i="14"/>
  <c r="G3704" i="14"/>
  <c r="G3708" i="14"/>
  <c r="G3712" i="14"/>
  <c r="G3716" i="14"/>
  <c r="G3720" i="14"/>
  <c r="G3724" i="14"/>
  <c r="G3728" i="14"/>
  <c r="G3732" i="14"/>
  <c r="G3736" i="14"/>
  <c r="G3738" i="14"/>
  <c r="G3742" i="14"/>
  <c r="G3748" i="14"/>
  <c r="G3752" i="14"/>
  <c r="G3756" i="14"/>
  <c r="G3760" i="14"/>
  <c r="G3764" i="14"/>
  <c r="G3768" i="14"/>
  <c r="G3772" i="14"/>
  <c r="G3776" i="14"/>
  <c r="G3780" i="14"/>
  <c r="G3784" i="14"/>
  <c r="G3788" i="14"/>
  <c r="G3792" i="14"/>
  <c r="G3796" i="14"/>
  <c r="G3800" i="14"/>
  <c r="G3804" i="14"/>
  <c r="G3808" i="14"/>
  <c r="G3812" i="14"/>
  <c r="G3816" i="14"/>
  <c r="G3820" i="14"/>
  <c r="G3824" i="14"/>
  <c r="G3828" i="14"/>
  <c r="G3832" i="14"/>
  <c r="G3836" i="14"/>
  <c r="G3840" i="14"/>
  <c r="G3844" i="14"/>
  <c r="G3848" i="14"/>
  <c r="G3852" i="14"/>
  <c r="G3856" i="14"/>
  <c r="G3860" i="14"/>
  <c r="G3864" i="14"/>
  <c r="G3868" i="14"/>
  <c r="G3872" i="14"/>
  <c r="G3876" i="14"/>
  <c r="G3880" i="14"/>
  <c r="G3884" i="14"/>
  <c r="G3888" i="14"/>
  <c r="G3892" i="14"/>
  <c r="G3896" i="14"/>
  <c r="G3900" i="14"/>
  <c r="G3904" i="14"/>
  <c r="G3908" i="14"/>
  <c r="G3912" i="14"/>
  <c r="G3916" i="14"/>
  <c r="G3920" i="14"/>
  <c r="G3924" i="14"/>
  <c r="G3928" i="14"/>
  <c r="G3932" i="14"/>
  <c r="G3936" i="14"/>
  <c r="G3940" i="14"/>
  <c r="G3944" i="14"/>
  <c r="G3948" i="14"/>
  <c r="G3952" i="14"/>
  <c r="G3956" i="14"/>
  <c r="G3960" i="14"/>
  <c r="G3964" i="14"/>
  <c r="G3968" i="14"/>
  <c r="G3972" i="14"/>
  <c r="G3976" i="14"/>
  <c r="G3980" i="14"/>
  <c r="G3984" i="14"/>
  <c r="G3988" i="14"/>
  <c r="G3992" i="14"/>
  <c r="G3996" i="14"/>
  <c r="G4000" i="14"/>
  <c r="G4004" i="14"/>
  <c r="G4008" i="14"/>
  <c r="G4012" i="14"/>
  <c r="G4016" i="14"/>
  <c r="G4020" i="14"/>
  <c r="G4024" i="14"/>
  <c r="G4028" i="14"/>
  <c r="G4032" i="14"/>
  <c r="G4036" i="14"/>
  <c r="G4040" i="14"/>
  <c r="G4046" i="14"/>
  <c r="G4050" i="14"/>
  <c r="G4054" i="14"/>
  <c r="G4058" i="14"/>
  <c r="G4062" i="14"/>
  <c r="G4066" i="14"/>
  <c r="G4070" i="14"/>
  <c r="G4074" i="14"/>
  <c r="G4078" i="14"/>
  <c r="G4082" i="14"/>
  <c r="G4086" i="14"/>
  <c r="G4090" i="14"/>
  <c r="G4094" i="14"/>
  <c r="G4098" i="14"/>
  <c r="G4102" i="14"/>
  <c r="G4106" i="14"/>
  <c r="G4110" i="14"/>
  <c r="G4114" i="14"/>
  <c r="G4118" i="14"/>
  <c r="G4122" i="14"/>
  <c r="G4126" i="14"/>
  <c r="G1160" i="14"/>
  <c r="G2186" i="14"/>
  <c r="G2194" i="14"/>
  <c r="G2202" i="14"/>
  <c r="G2210" i="14"/>
  <c r="G2218" i="14"/>
  <c r="G2234" i="14"/>
  <c r="G2242" i="14"/>
  <c r="G2250" i="14"/>
  <c r="G2258" i="14"/>
  <c r="G2266" i="14"/>
  <c r="G2274" i="14"/>
  <c r="G2282" i="14"/>
  <c r="G2290" i="14"/>
  <c r="G2306" i="14"/>
  <c r="G2322" i="14"/>
  <c r="G2330" i="14"/>
  <c r="G2354" i="14"/>
  <c r="G2370" i="14"/>
  <c r="G2386" i="14"/>
  <c r="G2394" i="14"/>
  <c r="G2410" i="14"/>
  <c r="G2426" i="14"/>
  <c r="G2442" i="14"/>
  <c r="G2458" i="14"/>
  <c r="G2474" i="14"/>
  <c r="G2490" i="14"/>
  <c r="G2506" i="14"/>
  <c r="G2522" i="14"/>
  <c r="G2538" i="14"/>
  <c r="G2546" i="14"/>
  <c r="G2562" i="14"/>
  <c r="G2578" i="14"/>
  <c r="G2594" i="14"/>
  <c r="G2610" i="14"/>
  <c r="G2626" i="14"/>
  <c r="G2642" i="14"/>
  <c r="G2666" i="14"/>
  <c r="G2682" i="14"/>
  <c r="G2698" i="14"/>
  <c r="G2714" i="14"/>
  <c r="G2730" i="14"/>
  <c r="G2746" i="14"/>
  <c r="G2762" i="14"/>
  <c r="G2778" i="14"/>
  <c r="G2794" i="14"/>
  <c r="G2810" i="14"/>
  <c r="G2826" i="14"/>
  <c r="G2842" i="14"/>
  <c r="G2858" i="14"/>
  <c r="G2862" i="14"/>
  <c r="G2866" i="14"/>
  <c r="G2870" i="14"/>
  <c r="G2874" i="14"/>
  <c r="G2878" i="14"/>
  <c r="G2882" i="14"/>
  <c r="G2886" i="14"/>
  <c r="G2890" i="14"/>
  <c r="G2892" i="14"/>
  <c r="G2896" i="14"/>
  <c r="G2900" i="14"/>
  <c r="G2904" i="14"/>
  <c r="G2908" i="14"/>
  <c r="G2912" i="14"/>
  <c r="G2916" i="14"/>
  <c r="G2920" i="14"/>
  <c r="G2924" i="14"/>
  <c r="G2928" i="14"/>
  <c r="G2932" i="14"/>
  <c r="G2936" i="14"/>
  <c r="G2940" i="14"/>
  <c r="G2944" i="14"/>
  <c r="G2948" i="14"/>
  <c r="G2952" i="14"/>
  <c r="G2956" i="14"/>
  <c r="G2960" i="14"/>
  <c r="G2962" i="14"/>
  <c r="G2966" i="14"/>
  <c r="G2972" i="14"/>
  <c r="G2976" i="14"/>
  <c r="G2980" i="14"/>
  <c r="G2984" i="14"/>
  <c r="G2988" i="14"/>
  <c r="G2990" i="14"/>
  <c r="G2994" i="14"/>
  <c r="G2998" i="14"/>
  <c r="G3002" i="14"/>
  <c r="G3006" i="14"/>
  <c r="G3010" i="14"/>
  <c r="G3016" i="14"/>
  <c r="G3020" i="14"/>
  <c r="G3024" i="14"/>
  <c r="G3028" i="14"/>
  <c r="G3032" i="14"/>
  <c r="G3036" i="14"/>
  <c r="G3040" i="14"/>
  <c r="G3044" i="14"/>
  <c r="G3048" i="14"/>
  <c r="G3052" i="14"/>
  <c r="G3056" i="14"/>
  <c r="G3060" i="14"/>
  <c r="G3064" i="14"/>
  <c r="G3068" i="14"/>
  <c r="G3072" i="14"/>
  <c r="G3076" i="14"/>
  <c r="G3080" i="14"/>
  <c r="G3084" i="14"/>
  <c r="G3088" i="14"/>
  <c r="G3092" i="14"/>
  <c r="G3096" i="14"/>
  <c r="G3100" i="14"/>
  <c r="G3104" i="14"/>
  <c r="G3108" i="14"/>
  <c r="G3112" i="14"/>
  <c r="G3116" i="14"/>
  <c r="G3120" i="14"/>
  <c r="G3124" i="14"/>
  <c r="G3128" i="14"/>
  <c r="G3132" i="14"/>
  <c r="G3136" i="14"/>
  <c r="G3140" i="14"/>
  <c r="G3144" i="14"/>
  <c r="G3148" i="14"/>
  <c r="G3152" i="14"/>
  <c r="G3156" i="14"/>
  <c r="G3160" i="14"/>
  <c r="G3164" i="14"/>
  <c r="G3168" i="14"/>
  <c r="G3172" i="14"/>
  <c r="G3176" i="14"/>
  <c r="G3180" i="14"/>
  <c r="G3184" i="14"/>
  <c r="G3188" i="14"/>
  <c r="G3192" i="14"/>
  <c r="G3196" i="14"/>
  <c r="G3200" i="14"/>
  <c r="G3204" i="14"/>
  <c r="G3208" i="14"/>
  <c r="G3212" i="14"/>
  <c r="G3216" i="14"/>
  <c r="G3220" i="14"/>
  <c r="G3224" i="14"/>
  <c r="G3228" i="14"/>
  <c r="G3232" i="14"/>
  <c r="G3236" i="14"/>
  <c r="G3240" i="14"/>
  <c r="G3244" i="14"/>
  <c r="G3248" i="14"/>
  <c r="G3252" i="14"/>
  <c r="G3256" i="14"/>
  <c r="G3260" i="14"/>
  <c r="G3264" i="14"/>
  <c r="G3266" i="14"/>
  <c r="G3270" i="14"/>
  <c r="G3274" i="14"/>
  <c r="G3278" i="14"/>
  <c r="G3282" i="14"/>
  <c r="G3286" i="14"/>
  <c r="G3290" i="14"/>
  <c r="G3294" i="14"/>
  <c r="G3298" i="14"/>
  <c r="G3302" i="14"/>
  <c r="G3306" i="14"/>
  <c r="G3310" i="14"/>
  <c r="G3314" i="14"/>
  <c r="G3318" i="14"/>
  <c r="G3322" i="14"/>
  <c r="G3326" i="14"/>
  <c r="G3330" i="14"/>
  <c r="G3334" i="14"/>
  <c r="G3338" i="14"/>
  <c r="G3342" i="14"/>
  <c r="G3346" i="14"/>
  <c r="G3350" i="14"/>
  <c r="G3354" i="14"/>
  <c r="G3358" i="14"/>
  <c r="G3362" i="14"/>
  <c r="G3366" i="14"/>
  <c r="G3370" i="14"/>
  <c r="G3374" i="14"/>
  <c r="G3378" i="14"/>
  <c r="G3382" i="14"/>
  <c r="G3386" i="14"/>
  <c r="G3390" i="14"/>
  <c r="G3394" i="14"/>
  <c r="G3398" i="14"/>
  <c r="G3402" i="14"/>
  <c r="G3406" i="14"/>
  <c r="G3410" i="14"/>
  <c r="G3414" i="14"/>
  <c r="G3418" i="14"/>
  <c r="G3422" i="14"/>
  <c r="G3426" i="14"/>
  <c r="G3430" i="14"/>
  <c r="G3434" i="14"/>
  <c r="G3438" i="14"/>
  <c r="G3442" i="14"/>
  <c r="G3446" i="14"/>
  <c r="G3450" i="14"/>
  <c r="G3454" i="14"/>
  <c r="G3458" i="14"/>
  <c r="G3462" i="14"/>
  <c r="G3466" i="14"/>
  <c r="G3470" i="14"/>
  <c r="G3474" i="14"/>
  <c r="G3478" i="14"/>
  <c r="G3482" i="14"/>
  <c r="G3486" i="14"/>
  <c r="G3490" i="14"/>
  <c r="G3494" i="14"/>
  <c r="G3498" i="14"/>
  <c r="G3502" i="14"/>
  <c r="G3506" i="14"/>
  <c r="G3510" i="14"/>
  <c r="G3514" i="14"/>
  <c r="G3516" i="14"/>
  <c r="G3520" i="14"/>
  <c r="G3526" i="14"/>
  <c r="G3530" i="14"/>
  <c r="G3534" i="14"/>
  <c r="G3538" i="14"/>
  <c r="G3542" i="14"/>
  <c r="G3544" i="14"/>
  <c r="G3548" i="14"/>
  <c r="G3552" i="14"/>
  <c r="G3556" i="14"/>
  <c r="G3560" i="14"/>
  <c r="G3564" i="14"/>
  <c r="G3568" i="14"/>
  <c r="G3572" i="14"/>
  <c r="G3576" i="14"/>
  <c r="G3580" i="14"/>
  <c r="G3584" i="14"/>
  <c r="G3588" i="14"/>
  <c r="G3592" i="14"/>
  <c r="G3596" i="14"/>
  <c r="G3600" i="14"/>
  <c r="G3604" i="14"/>
  <c r="G3608" i="14"/>
  <c r="G3612" i="14"/>
  <c r="G3616" i="14"/>
  <c r="G3620" i="14"/>
  <c r="G3624" i="14"/>
  <c r="G3628" i="14"/>
  <c r="G3632" i="14"/>
  <c r="G3636" i="14"/>
  <c r="G3640" i="14"/>
  <c r="G3644" i="14"/>
  <c r="G3648" i="14"/>
  <c r="G3652" i="14"/>
  <c r="G3656" i="14"/>
  <c r="G3660" i="14"/>
  <c r="G3664" i="14"/>
  <c r="G3668" i="14"/>
  <c r="G3672" i="14"/>
  <c r="G3676" i="14"/>
  <c r="G3680" i="14"/>
  <c r="G3684" i="14"/>
  <c r="G3688" i="14"/>
  <c r="G3690" i="14"/>
  <c r="G3696" i="14"/>
  <c r="G3698" i="14"/>
  <c r="G3702" i="14"/>
  <c r="G3706" i="14"/>
  <c r="G3710" i="14"/>
  <c r="G3714" i="14"/>
  <c r="G3718" i="14"/>
  <c r="G3722" i="14"/>
  <c r="G3726" i="14"/>
  <c r="G3730" i="14"/>
  <c r="G3734" i="14"/>
  <c r="G3740" i="14"/>
  <c r="G3744" i="14"/>
  <c r="G3746" i="14"/>
  <c r="G3750" i="14"/>
  <c r="G3754" i="14"/>
  <c r="G3758" i="14"/>
  <c r="G3762" i="14"/>
  <c r="G3766" i="14"/>
  <c r="G3770" i="14"/>
  <c r="G3774" i="14"/>
  <c r="G3778" i="14"/>
  <c r="G3782" i="14"/>
  <c r="G3786" i="14"/>
  <c r="G3790" i="14"/>
  <c r="G3794" i="14"/>
  <c r="G3798" i="14"/>
  <c r="G3802" i="14"/>
  <c r="G3806" i="14"/>
  <c r="G3810" i="14"/>
  <c r="G3814" i="14"/>
  <c r="G3818" i="14"/>
  <c r="G3822" i="14"/>
  <c r="G3826" i="14"/>
  <c r="G3830" i="14"/>
  <c r="G3834" i="14"/>
  <c r="G3838" i="14"/>
  <c r="G3842" i="14"/>
  <c r="G3846" i="14"/>
  <c r="G3850" i="14"/>
  <c r="G3854" i="14"/>
  <c r="G3858" i="14"/>
  <c r="G3862" i="14"/>
  <c r="G3866" i="14"/>
  <c r="G3870" i="14"/>
  <c r="G3874" i="14"/>
  <c r="G3878" i="14"/>
  <c r="G3882" i="14"/>
  <c r="G3886" i="14"/>
  <c r="G3890" i="14"/>
  <c r="G3894" i="14"/>
  <c r="G3898" i="14"/>
  <c r="G3902" i="14"/>
  <c r="G3906" i="14"/>
  <c r="G3910" i="14"/>
  <c r="G3914" i="14"/>
  <c r="G3918" i="14"/>
  <c r="G3922" i="14"/>
  <c r="G3926" i="14"/>
  <c r="G3930" i="14"/>
  <c r="G3934" i="14"/>
  <c r="G3938" i="14"/>
  <c r="G3942" i="14"/>
  <c r="G3946" i="14"/>
  <c r="G3950" i="14"/>
  <c r="G3954" i="14"/>
  <c r="G3958" i="14"/>
  <c r="G3962" i="14"/>
  <c r="G3966" i="14"/>
  <c r="G3970" i="14"/>
  <c r="G3974" i="14"/>
  <c r="G3978" i="14"/>
  <c r="G3982" i="14"/>
  <c r="G3986" i="14"/>
  <c r="G3990" i="14"/>
  <c r="G3994" i="14"/>
  <c r="G3998" i="14"/>
  <c r="G4002" i="14"/>
  <c r="G4006" i="14"/>
  <c r="G4010" i="14"/>
  <c r="G4014" i="14"/>
  <c r="G4018" i="14"/>
  <c r="G4022" i="14"/>
  <c r="G4026" i="14"/>
  <c r="G4030" i="14"/>
  <c r="G4034" i="14"/>
  <c r="G4038" i="14"/>
  <c r="G4042" i="14"/>
  <c r="G4044" i="14"/>
  <c r="G4048" i="14"/>
  <c r="G4052" i="14"/>
  <c r="G4056" i="14"/>
  <c r="G4060" i="14"/>
  <c r="G4064" i="14"/>
  <c r="G4068" i="14"/>
  <c r="G4072" i="14"/>
  <c r="G4076" i="14"/>
  <c r="G4080" i="14"/>
  <c r="G4084" i="14"/>
  <c r="G4088" i="14"/>
  <c r="G4092" i="14"/>
  <c r="G4096" i="14"/>
  <c r="G4100" i="14"/>
  <c r="G4104" i="14"/>
  <c r="G4108" i="14"/>
  <c r="G4112" i="14"/>
  <c r="G4116" i="14"/>
  <c r="G4120" i="14"/>
  <c r="G4124" i="14"/>
  <c r="G4128" i="14"/>
  <c r="G4136" i="14"/>
  <c r="G4144" i="14"/>
  <c r="G4152" i="14"/>
  <c r="G4160" i="14"/>
  <c r="G4168" i="14"/>
  <c r="G4176" i="14"/>
  <c r="G4184" i="14"/>
  <c r="G4192" i="14"/>
  <c r="G4200" i="14"/>
  <c r="G4208" i="14"/>
  <c r="G4216" i="14"/>
  <c r="G4224" i="14"/>
  <c r="G4232" i="14"/>
  <c r="G4240" i="14"/>
  <c r="G4248" i="14"/>
  <c r="G4256" i="14"/>
  <c r="G4269" i="14"/>
  <c r="G4275" i="14"/>
  <c r="G4279" i="14"/>
  <c r="G4283" i="14"/>
  <c r="G4287" i="14"/>
  <c r="G4291" i="14"/>
  <c r="G4295" i="14"/>
  <c r="G4299" i="14"/>
  <c r="G4303" i="14"/>
  <c r="G4307" i="14"/>
  <c r="G4311" i="14"/>
  <c r="G4315" i="14"/>
  <c r="G4319" i="14"/>
  <c r="G4323" i="14"/>
  <c r="G4327" i="14"/>
  <c r="G4331" i="14"/>
  <c r="G4335" i="14"/>
  <c r="G4339" i="14"/>
  <c r="G4343" i="14"/>
  <c r="G4347" i="14"/>
  <c r="G4351" i="14"/>
  <c r="G4355" i="14"/>
  <c r="G4359" i="14"/>
  <c r="G4363" i="14"/>
  <c r="G4367" i="14"/>
  <c r="G4371" i="14"/>
  <c r="G4375" i="14"/>
  <c r="G4379" i="14"/>
  <c r="G4383" i="14"/>
  <c r="G4387" i="14"/>
  <c r="G4391" i="14"/>
  <c r="G4395" i="14"/>
  <c r="G4399" i="14"/>
  <c r="G4403" i="14"/>
  <c r="G4407" i="14"/>
  <c r="G4411" i="14"/>
  <c r="G4415" i="14"/>
  <c r="G4419" i="14"/>
  <c r="G4423" i="14"/>
  <c r="G4427" i="14"/>
  <c r="G4431" i="14"/>
  <c r="G4433" i="14"/>
  <c r="G4437" i="14"/>
  <c r="G4134" i="14"/>
  <c r="G4142" i="14"/>
  <c r="G4150" i="14"/>
  <c r="G4158" i="14"/>
  <c r="G4166" i="14"/>
  <c r="G4174" i="14"/>
  <c r="G4182" i="14"/>
  <c r="G4190" i="14"/>
  <c r="G4198" i="14"/>
  <c r="G4206" i="14"/>
  <c r="G4214" i="14"/>
  <c r="G4222" i="14"/>
  <c r="G4230" i="14"/>
  <c r="G4238" i="14"/>
  <c r="G4246" i="14"/>
  <c r="G4254" i="14"/>
  <c r="G4259" i="14"/>
  <c r="G4261" i="14"/>
  <c r="G4263" i="14"/>
  <c r="G4265" i="14"/>
  <c r="G4267" i="14"/>
  <c r="G4271" i="14"/>
  <c r="G4273" i="14"/>
  <c r="G4277" i="14"/>
  <c r="G4281" i="14"/>
  <c r="G4285" i="14"/>
  <c r="G4289" i="14"/>
  <c r="G4293" i="14"/>
  <c r="G4297" i="14"/>
  <c r="G4301" i="14"/>
  <c r="G4305" i="14"/>
  <c r="G4309" i="14"/>
  <c r="G4313" i="14"/>
  <c r="G4317" i="14"/>
  <c r="G4321" i="14"/>
  <c r="G4325" i="14"/>
  <c r="G4329" i="14"/>
  <c r="G4333" i="14"/>
  <c r="G4337" i="14"/>
  <c r="G4341" i="14"/>
  <c r="G4345" i="14"/>
  <c r="G4349" i="14"/>
  <c r="G4353" i="14"/>
  <c r="G4357" i="14"/>
  <c r="G4361" i="14"/>
  <c r="G4365" i="14"/>
  <c r="G4369" i="14"/>
  <c r="G4373" i="14"/>
  <c r="G4377" i="14"/>
  <c r="G4381" i="14"/>
  <c r="G4385" i="14"/>
  <c r="G4389" i="14"/>
  <c r="G4393" i="14"/>
  <c r="G4397" i="14"/>
  <c r="G4401" i="14"/>
  <c r="G4405" i="14"/>
  <c r="G4409" i="14"/>
  <c r="G4413" i="14"/>
  <c r="G4417" i="14"/>
  <c r="G4421" i="14"/>
  <c r="G4425" i="14"/>
  <c r="G4429" i="14"/>
  <c r="G4435" i="14"/>
  <c r="G4439" i="14"/>
  <c r="G4132" i="14"/>
  <c r="G4140" i="14"/>
  <c r="G4148" i="14"/>
  <c r="G4156" i="14"/>
  <c r="G4164" i="14"/>
  <c r="G4172" i="14"/>
  <c r="G4180" i="14"/>
  <c r="G4188" i="14"/>
  <c r="G4196" i="14"/>
  <c r="G4204" i="14"/>
  <c r="G4212" i="14"/>
  <c r="G4220" i="14"/>
  <c r="G4228" i="14"/>
  <c r="G4236" i="14"/>
  <c r="G4244" i="14"/>
  <c r="G4252" i="14"/>
  <c r="G4268" i="14"/>
  <c r="G4274" i="14"/>
  <c r="G4278" i="14"/>
  <c r="G4282" i="14"/>
  <c r="G4286" i="14"/>
  <c r="G4290" i="14"/>
  <c r="G4294" i="14"/>
  <c r="G4298" i="14"/>
  <c r="G4302" i="14"/>
  <c r="G4306" i="14"/>
  <c r="G4310" i="14"/>
  <c r="G4314" i="14"/>
  <c r="G4318" i="14"/>
  <c r="G4322" i="14"/>
  <c r="G4326" i="14"/>
  <c r="G4330" i="14"/>
  <c r="G4334" i="14"/>
  <c r="G4338" i="14"/>
  <c r="G4342" i="14"/>
  <c r="G4346" i="14"/>
  <c r="G4350" i="14"/>
  <c r="G4354" i="14"/>
  <c r="G4358" i="14"/>
  <c r="G4362" i="14"/>
  <c r="G4366" i="14"/>
  <c r="G4370" i="14"/>
  <c r="G4374" i="14"/>
  <c r="G4378" i="14"/>
  <c r="G4382" i="14"/>
  <c r="G4386" i="14"/>
  <c r="G4390" i="14"/>
  <c r="G4394" i="14"/>
  <c r="G4398" i="14"/>
  <c r="G4402" i="14"/>
  <c r="G4406" i="14"/>
  <c r="G4410" i="14"/>
  <c r="G4414" i="14"/>
  <c r="G4418" i="14"/>
  <c r="G4422" i="14"/>
  <c r="G4426" i="14"/>
  <c r="G4430" i="14"/>
  <c r="G4434" i="14"/>
  <c r="G4438" i="14"/>
  <c r="G4130" i="14"/>
  <c r="G4138" i="14"/>
  <c r="G4146" i="14"/>
  <c r="G4154" i="14"/>
  <c r="G4162" i="14"/>
  <c r="G4170" i="14"/>
  <c r="G4178" i="14"/>
  <c r="G4186" i="14"/>
  <c r="G4194" i="14"/>
  <c r="G4202" i="14"/>
  <c r="G4210" i="14"/>
  <c r="G4218" i="14"/>
  <c r="G4226" i="14"/>
  <c r="G4234" i="14"/>
  <c r="G4242" i="14"/>
  <c r="G4250" i="14"/>
  <c r="G4258" i="14"/>
  <c r="G4260" i="14"/>
  <c r="G4262" i="14"/>
  <c r="G4264" i="14"/>
  <c r="G4266" i="14"/>
  <c r="G4270" i="14"/>
  <c r="G4272" i="14"/>
  <c r="G4276" i="14"/>
  <c r="G4280" i="14"/>
  <c r="G4284" i="14"/>
  <c r="G4288" i="14"/>
  <c r="G4292" i="14"/>
  <c r="G4296" i="14"/>
  <c r="G4300" i="14"/>
  <c r="G4304" i="14"/>
  <c r="G4308" i="14"/>
  <c r="G4312" i="14"/>
  <c r="G4316" i="14"/>
  <c r="G4320" i="14"/>
  <c r="G4324" i="14"/>
  <c r="G4328" i="14"/>
  <c r="G4332" i="14"/>
  <c r="G4336" i="14"/>
  <c r="G4340" i="14"/>
  <c r="G4344" i="14"/>
  <c r="G4348" i="14"/>
  <c r="G4352" i="14"/>
  <c r="G4356" i="14"/>
  <c r="G4360" i="14"/>
  <c r="G4364" i="14"/>
  <c r="G4368" i="14"/>
  <c r="G4372" i="14"/>
  <c r="G4376" i="14"/>
  <c r="G4380" i="14"/>
  <c r="G4384" i="14"/>
  <c r="G4388" i="14"/>
  <c r="G4392" i="14"/>
  <c r="G4396" i="14"/>
  <c r="G4400" i="14"/>
  <c r="G4404" i="14"/>
  <c r="G4408" i="14"/>
  <c r="G4412" i="14"/>
  <c r="G4416" i="14"/>
  <c r="G4420" i="14"/>
  <c r="G4424" i="14"/>
  <c r="G4428" i="14"/>
  <c r="G4432" i="14"/>
  <c r="G4436" i="14"/>
  <c r="N2" i="13"/>
  <c r="K3" i="5"/>
  <c r="D2" i="13" l="1"/>
  <c r="R3" i="1" a="1"/>
  <c r="R3" i="1" s="1"/>
  <c r="B6" i="1"/>
  <c r="B3" i="8" a="1"/>
  <c r="B3" i="8" s="1"/>
  <c r="O3" i="6" l="1"/>
  <c r="R20" i="1"/>
  <c r="E3" i="5" l="1"/>
  <c r="S3" i="1"/>
  <c r="S19" i="1" s="1"/>
  <c r="S18" i="1" s="1"/>
  <c r="S17" i="1" s="1"/>
  <c r="S16" i="1" s="1"/>
  <c r="S15" i="1" l="1"/>
  <c r="S14" i="1" s="1"/>
  <c r="S13" i="1" s="1"/>
  <c r="S12" i="1" s="1"/>
  <c r="S11" i="1" s="1"/>
  <c r="S10" i="1" s="1"/>
  <c r="S9" i="1" s="1"/>
  <c r="S8" i="1" s="1"/>
  <c r="S7" i="1" s="1"/>
  <c r="S6" i="1" s="1"/>
  <c r="S5" i="1" s="1"/>
  <c r="S4" i="1" s="1"/>
  <c r="S20" i="1" s="1"/>
  <c r="E5" i="8"/>
  <c r="L9" i="1" s="1"/>
  <c r="E3" i="8"/>
  <c r="E4" i="8"/>
  <c r="L8" i="1" s="1"/>
  <c r="E6" i="8"/>
  <c r="L10" i="1" s="1"/>
  <c r="L7" i="1" l="1"/>
  <c r="L11" i="1" s="1"/>
  <c r="D13" i="8"/>
  <c r="C8" i="1" s="1"/>
  <c r="D10" i="8"/>
  <c r="C10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base 804" description="Conexão com a consulta 'base 804' na pasta de trabalho." type="5" refreshedVersion="7" background="1" saveData="1">
    <dbPr connection="provider=Microsoft.Mashup.OleDb.1;data source=$Workbook$;location=&quot;base 804&quot;;extended properties=" command="SELECT * FROM [base 804]"/>
  </connection>
  <connection id="2" xr16:uid="{00000000-0015-0000-FFFF-FFFF01000000}" keepAlive="1" name="Consulta - base 805" description="Conexão com a consulta 'base 805' na pasta de trabalho." type="5" refreshedVersion="7" background="1" saveData="1">
    <dbPr connection="provider=Microsoft.Mashup.OleDb.1;data source=$Workbook$;location=&quot;base 805&quot;;extended properties=" command="SELECT * FROM [base 805]"/>
  </connection>
  <connection id="3" xr16:uid="{00000000-0015-0000-FFFF-FFFF02000000}" keepAlive="1" name="Consulta - base 806" description="Conexão com a consulta 'base 806' na pasta de trabalho." type="5" refreshedVersion="7" background="1" saveData="1">
    <dbPr connection="provider=Microsoft.Mashup.OleDb.1;data source=$Workbook$;location=&quot;base 806&quot;;extended properties=" command="SELECT * FROM [base 806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<sst xmlns="http://schemas.openxmlformats.org/spreadsheetml/2006/main" count="4544" uniqueCount="137">
  <si>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</si>
  <si>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</si>
  <si>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</si>
  <si>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</si>
  <si>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</si>
  <si>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</si>
  <si>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</si>
  <si>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</si>
  <si>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BOLETA 1 DIA S/ ADF</t>
  </si>
  <si>
    <t>BOLETO 5 DIAS</t>
  </si>
  <si>
    <t>BOLETA 6 DIAS</t>
  </si>
  <si>
    <t>BOLETO 4 DIAS</t>
  </si>
  <si>
    <t>BOLET0 1 DIA</t>
  </si>
  <si>
    <t>BOLETO 3 DIAS</t>
  </si>
  <si>
    <t>BOLETA 3 DIAS S/ ADF</t>
  </si>
  <si>
    <t>BOLETA 2 DIAS</t>
  </si>
  <si>
    <t>BOLETA 10 DIAS</t>
  </si>
  <si>
    <t>VENDA A VISTA</t>
  </si>
  <si>
    <t>DINHEIRO</t>
  </si>
  <si>
    <t>BOLETO 14 DIAS S/ADF</t>
  </si>
  <si>
    <t>BOLETA 7 DIAS</t>
  </si>
  <si>
    <t>BOLETA 10 DIAS PERSO</t>
  </si>
  <si>
    <t>CREDITO EM CONTA</t>
  </si>
  <si>
    <t>CHEQUE 10 DIAS</t>
  </si>
  <si>
    <t>BOLETO ANTECIPADO</t>
  </si>
  <si>
    <t>NB</t>
  </si>
  <si>
    <t>RAZÃO SOCIAL</t>
  </si>
  <si>
    <t>CATEGORIA</t>
  </si>
  <si>
    <t>SEG/</t>
  </si>
  <si>
    <t>TER/</t>
  </si>
  <si>
    <t>QUAR/</t>
  </si>
  <si>
    <t>QUIN/</t>
  </si>
  <si>
    <t>SEX/</t>
  </si>
  <si>
    <t>SAB/</t>
  </si>
  <si>
    <t>DOM/</t>
  </si>
  <si>
    <t>SEGMENTADO</t>
  </si>
  <si>
    <t>TELEVENDAS</t>
  </si>
  <si>
    <t>P/VISITA</t>
  </si>
  <si>
    <t>SEG2/</t>
  </si>
  <si>
    <t>TER2/</t>
  </si>
  <si>
    <t>QUAR2/</t>
  </si>
  <si>
    <t>QUIN2/</t>
  </si>
  <si>
    <t>SEX2/</t>
  </si>
  <si>
    <t>SAB2/</t>
  </si>
  <si>
    <t>DOM2/</t>
  </si>
  <si>
    <t>INSCR EST</t>
  </si>
  <si>
    <t>NOME FANTASIA</t>
  </si>
  <si>
    <t>DV</t>
  </si>
  <si>
    <t>CODIGO</t>
  </si>
  <si>
    <t>DESCRICAO DE COMPRA</t>
  </si>
  <si>
    <t>E-MAIL</t>
  </si>
  <si>
    <t>SETOR SEG</t>
  </si>
  <si>
    <t>ENDEREÇO</t>
  </si>
  <si>
    <t>CIDADE</t>
  </si>
  <si>
    <t>BAIRRO</t>
  </si>
  <si>
    <t>CEP</t>
  </si>
  <si>
    <t>CPF/CNPJ</t>
  </si>
  <si>
    <t>TELEFONE</t>
  </si>
  <si>
    <t>DATA CADASTRAMENTO</t>
  </si>
  <si>
    <t>Contagem de Setores</t>
  </si>
  <si>
    <t>Setor</t>
  </si>
  <si>
    <t>Quant Clientes</t>
  </si>
  <si>
    <t>Area</t>
  </si>
  <si>
    <t>Quantidade de Clientes</t>
  </si>
  <si>
    <t>Total</t>
  </si>
  <si>
    <t>Clientes Total</t>
  </si>
  <si>
    <t>Clientes SEG</t>
  </si>
  <si>
    <t>HOJE:</t>
  </si>
  <si>
    <t>Clientes:</t>
  </si>
  <si>
    <t>Clientes SEG:</t>
  </si>
  <si>
    <t>Atualizar</t>
  </si>
  <si>
    <t xml:space="preserve"> 1- Entrar no Promax</t>
  </si>
  <si>
    <t xml:space="preserve"> 2- Rotina 01.20.12</t>
  </si>
  <si>
    <t xml:space="preserve"> 3- Gerar Relatórios 804, 805 e 806</t>
  </si>
  <si>
    <t xml:space="preserve"> 4- Classificação Numérica</t>
  </si>
  <si>
    <t>Apagar Base</t>
  </si>
  <si>
    <t>Atualizar Base</t>
  </si>
  <si>
    <t>Apagar e Atualizar</t>
  </si>
  <si>
    <t>Exportar</t>
  </si>
  <si>
    <t>N° Clientes</t>
  </si>
  <si>
    <t>Área 10</t>
  </si>
  <si>
    <t>Área 20</t>
  </si>
  <si>
    <t>Área 30</t>
  </si>
  <si>
    <t>Internos</t>
  </si>
  <si>
    <t>Base de Clientes</t>
  </si>
  <si>
    <t>%</t>
  </si>
  <si>
    <t>QUANT</t>
  </si>
  <si>
    <t>PGTO</t>
  </si>
  <si>
    <t>TIPO</t>
  </si>
  <si>
    <t>BOLETO</t>
  </si>
  <si>
    <t>CHEQUE</t>
  </si>
  <si>
    <t>CONTA</t>
  </si>
  <si>
    <t>TOTAL</t>
  </si>
  <si>
    <t xml:space="preserve"> 7- Clicar no Botão "Atualizar Base"</t>
  </si>
  <si>
    <t xml:space="preserve">  Voltar</t>
  </si>
  <si>
    <t>Pesquisar Clientes</t>
  </si>
  <si>
    <t>Código NB</t>
  </si>
  <si>
    <t>Razão Social</t>
  </si>
  <si>
    <t>Categoria</t>
  </si>
  <si>
    <t>Inscrição Estadual</t>
  </si>
  <si>
    <t>Dia de Visita</t>
  </si>
  <si>
    <t>Foma de Pagamento</t>
  </si>
  <si>
    <t>E-mail</t>
  </si>
  <si>
    <t>Setor SEG</t>
  </si>
  <si>
    <t>Data de Cadastramento</t>
  </si>
  <si>
    <t>Telefone</t>
  </si>
  <si>
    <t>Endereço</t>
  </si>
  <si>
    <t>Bairro</t>
  </si>
  <si>
    <t>Cidade</t>
  </si>
  <si>
    <t xml:space="preserve"> 6- Salvar em: U:\Cadastro\Clientes</t>
  </si>
  <si>
    <t xml:space="preserve"> 5- Situação: Selecionar Desejado</t>
  </si>
  <si>
    <t>RAZÃO</t>
  </si>
  <si>
    <t>SEGMENTO</t>
  </si>
  <si>
    <t>FANTASIA</t>
  </si>
  <si>
    <t>Código</t>
  </si>
  <si>
    <t>DESCRIÇÃO</t>
  </si>
  <si>
    <t>GV SEG</t>
  </si>
  <si>
    <t>ÁREA SEG</t>
  </si>
  <si>
    <t>CPF/CGC</t>
  </si>
  <si>
    <t>Tel</t>
  </si>
  <si>
    <t>NB Cliente</t>
  </si>
  <si>
    <t>SETOR</t>
  </si>
  <si>
    <t>GV DE VENDAS</t>
  </si>
  <si>
    <t>20-Rota</t>
  </si>
  <si>
    <t>19-VIP</t>
  </si>
  <si>
    <t>18-TRAD</t>
  </si>
  <si>
    <t>16-AS</t>
  </si>
  <si>
    <t>(5+)</t>
  </si>
  <si>
    <t>15-AS</t>
  </si>
  <si>
    <t>(1-4)</t>
  </si>
  <si>
    <t>21-SUB</t>
  </si>
  <si>
    <t>14-Lj.</t>
  </si>
  <si>
    <t>Conveniência</t>
  </si>
  <si>
    <t>35-OUTROS</t>
  </si>
  <si>
    <t>Coluna1</t>
  </si>
  <si>
    <t>Coluna2</t>
  </si>
  <si>
    <t>Compilado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</si>
</sst>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&quot;.&quot;000&quot;.&quot;000&quot;-&quot;00"/>
    <numFmt numFmtId="165" formatCode="00&quot;/&quot;00&quot;/&quot;0000"/>
    <numFmt numFmtId="166" formatCode="\(00\)00000\-0000"/>
    <numFmt numFmtId="167" formatCode="00000\-000"/>
    <numFmt numFmtId="168" formatCode="\(00\)00000&quot;-&quot;0000"/>
  </numFmts>
  <fonts count="1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4"/>
      <color theme="0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</font>
    <font>
      <sz val="8"/>
      <color theme="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8"/>
      </patternFill>
    </fill>
    <fill>
      <patternFill patternType="solid">
        <fgColor theme="4" tint="-0.249977111117893"/>
        <bgColor theme="4" tint="-0.249977111117893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/>
        <bgColor indexed="64"/>
      </patternFill>
    </fill>
  </fills>
  <borders count="52">
    <border>
      <left/>
      <right/>
      <top/>
      <bottom/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n">
        <color indexed="64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n">
        <color indexed="64"/>
      </bottom>
      <diagonal/>
    </border>
    <border>
      <left/>
      <right/>
      <top style="thick">
        <color theme="0"/>
      </top>
      <bottom style="thin">
        <color indexed="64"/>
      </bottom>
      <diagonal/>
    </border>
    <border>
      <left style="thin">
        <color indexed="64"/>
      </left>
      <right/>
      <top style="thick">
        <color theme="0"/>
      </top>
      <bottom style="thin">
        <color indexed="64"/>
      </bottom>
      <diagonal/>
    </border>
    <border>
      <left/>
      <right style="thin">
        <color indexed="64"/>
      </right>
      <top style="thick">
        <color theme="0"/>
      </top>
      <bottom style="thin">
        <color indexed="64"/>
      </bottom>
      <diagonal/>
    </border>
    <border>
      <left/>
      <right style="thick">
        <color theme="0"/>
      </right>
      <top style="thick">
        <color theme="0"/>
      </top>
      <bottom style="thin">
        <color indexed="64"/>
      </bottom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64"/>
      </left>
      <right/>
      <top/>
      <bottom style="thick">
        <color theme="0"/>
      </bottom>
      <diagonal/>
    </border>
    <border>
      <left/>
      <right style="thin">
        <color indexed="64"/>
      </right>
      <top/>
      <bottom style="thick">
        <color theme="0"/>
      </bottom>
      <diagonal/>
    </border>
    <border>
      <left style="thick">
        <color theme="0"/>
      </left>
      <right/>
      <top style="thin">
        <color indexed="64"/>
      </top>
      <bottom/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 tint="-4.9989318521683403E-2"/>
      </left>
      <right/>
      <top style="thick">
        <color theme="0" tint="-4.9989318521683403E-2"/>
      </top>
      <bottom style="thin">
        <color indexed="64"/>
      </bottom>
      <diagonal/>
    </border>
    <border>
      <left/>
      <right style="thin">
        <color indexed="64"/>
      </right>
      <top style="thick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ck">
        <color theme="0" tint="-4.9989318521683403E-2"/>
      </top>
      <bottom style="thin">
        <color indexed="64"/>
      </bottom>
      <diagonal/>
    </border>
    <border>
      <left/>
      <right/>
      <top style="thick">
        <color theme="0" tint="-4.9989318521683403E-2"/>
      </top>
      <bottom style="thin">
        <color indexed="64"/>
      </bottom>
      <diagonal/>
    </border>
    <border>
      <left/>
      <right style="thick">
        <color theme="0" tint="-4.9989318521683403E-2"/>
      </right>
      <top style="thick">
        <color theme="0" tint="-4.9989318521683403E-2"/>
      </top>
      <bottom style="thin">
        <color indexed="64"/>
      </bottom>
      <diagonal/>
    </border>
    <border>
      <left style="thick">
        <color theme="0" tint="-4.9989318521683403E-2"/>
      </left>
      <right/>
      <top/>
      <bottom/>
      <diagonal/>
    </border>
    <border>
      <left/>
      <right style="thick">
        <color theme="0" tint="-4.9989318521683403E-2"/>
      </right>
      <top/>
      <bottom/>
      <diagonal/>
    </border>
    <border>
      <left style="thick">
        <color theme="0" tint="-4.9989318521683403E-2"/>
      </left>
      <right/>
      <top/>
      <bottom style="thick">
        <color theme="0" tint="-4.9989318521683403E-2"/>
      </bottom>
      <diagonal/>
    </border>
    <border>
      <left/>
      <right style="thin">
        <color indexed="64"/>
      </right>
      <top/>
      <bottom style="thick">
        <color theme="0" tint="-4.9989318521683403E-2"/>
      </bottom>
      <diagonal/>
    </border>
    <border>
      <left/>
      <right/>
      <top/>
      <bottom style="thick">
        <color theme="0" tint="-4.9989318521683403E-2"/>
      </bottom>
      <diagonal/>
    </border>
    <border>
      <left style="thin">
        <color indexed="64"/>
      </left>
      <right/>
      <top/>
      <bottom style="thick">
        <color theme="0" tint="-4.9989318521683403E-2"/>
      </bottom>
      <diagonal/>
    </border>
    <border>
      <left/>
      <right style="thick">
        <color theme="0" tint="-4.9989318521683403E-2"/>
      </right>
      <top/>
      <bottom style="thick">
        <color theme="0" tint="-4.9989318521683403E-2"/>
      </bottom>
      <diagonal/>
    </border>
    <border>
      <left style="thick">
        <color theme="4" tint="-0.249977111117893"/>
      </left>
      <right/>
      <top style="thick">
        <color theme="4" tint="-0.249977111117893"/>
      </top>
      <bottom style="thin">
        <color indexed="64"/>
      </bottom>
      <diagonal/>
    </border>
    <border>
      <left/>
      <right/>
      <top style="thick">
        <color theme="4" tint="-0.249977111117893"/>
      </top>
      <bottom style="thin">
        <color indexed="64"/>
      </bottom>
      <diagonal/>
    </border>
    <border>
      <left/>
      <right style="thick">
        <color theme="4" tint="-0.249977111117893"/>
      </right>
      <top style="thick">
        <color theme="4" tint="-0.249977111117893"/>
      </top>
      <bottom style="thin">
        <color indexed="64"/>
      </bottom>
      <diagonal/>
    </border>
    <border>
      <left style="thick">
        <color theme="4" tint="-0.249977111117893"/>
      </left>
      <right/>
      <top style="thin">
        <color indexed="64"/>
      </top>
      <bottom/>
      <diagonal/>
    </border>
    <border>
      <left/>
      <right style="thick">
        <color theme="4" tint="-0.249977111117893"/>
      </right>
      <top style="thin">
        <color indexed="64"/>
      </top>
      <bottom/>
      <diagonal/>
    </border>
    <border>
      <left style="thick">
        <color theme="4" tint="-0.249977111117893"/>
      </left>
      <right/>
      <top/>
      <bottom style="thick">
        <color theme="4" tint="-0.249977111117893"/>
      </bottom>
      <diagonal/>
    </border>
    <border>
      <left/>
      <right/>
      <top/>
      <bottom style="thick">
        <color theme="4" tint="-0.249977111117893"/>
      </bottom>
      <diagonal/>
    </border>
    <border>
      <left/>
      <right style="thick">
        <color theme="4" tint="-0.249977111117893"/>
      </right>
      <top/>
      <bottom style="thick">
        <color theme="4" tint="-0.249977111117893"/>
      </bottom>
      <diagonal/>
    </border>
  </borders>
  <cellStyleXfs count="4">
    <xf numFmtId="0" fontId="0" fillId="0" borderId="0"/>
    <xf numFmtId="0" fontId="4" fillId="0" borderId="2" applyNumberFormat="0" applyFill="0" applyAlignment="0" applyProtection="0"/>
    <xf numFmtId="0" fontId="5" fillId="3" borderId="0" applyNumberFormat="0" applyBorder="0" applyAlignment="0" applyProtection="0"/>
    <xf numFmtId="0" fontId="14" fillId="0" borderId="0"/>
  </cellStyleXfs>
  <cellXfs count="149">
    <xf numFmtId="0" fontId="0" fillId="0" borderId="0" xfId="0"/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 vertical="center"/>
    </xf>
    <xf numFmtId="164" fontId="0" fillId="0" borderId="0" xfId="0" applyNumberFormat="1"/>
    <xf numFmtId="165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right" vertical="center"/>
    </xf>
    <xf numFmtId="166" fontId="0" fillId="0" borderId="0" xfId="0" applyNumberFormat="1"/>
    <xf numFmtId="166" fontId="0" fillId="0" borderId="0" xfId="0" applyNumberFormat="1" applyAlignment="1">
      <alignment horizontal="right"/>
    </xf>
    <xf numFmtId="167" fontId="0" fillId="0" borderId="0" xfId="0" applyNumberFormat="1" applyAlignment="1">
      <alignment horizontal="center" vertical="center"/>
    </xf>
    <xf numFmtId="167" fontId="0" fillId="0" borderId="0" xfId="0" applyNumberFormat="1"/>
    <xf numFmtId="165" fontId="0" fillId="0" borderId="0" xfId="0" applyNumberFormat="1"/>
    <xf numFmtId="0" fontId="0" fillId="0" borderId="0" xfId="0" applyAlignment="1"/>
    <xf numFmtId="0" fontId="5" fillId="3" borderId="0" xfId="2" applyAlignment="1">
      <alignment horizontal="center" vertical="center"/>
    </xf>
    <xf numFmtId="0" fontId="4" fillId="0" borderId="2" xfId="1" applyAlignment="1">
      <alignment horizontal="center" vertical="center"/>
    </xf>
    <xf numFmtId="0" fontId="0" fillId="0" borderId="0" xfId="0" applyFill="1" applyAlignment="1"/>
    <xf numFmtId="0" fontId="6" fillId="5" borderId="0" xfId="0" applyFont="1" applyFill="1" applyAlignment="1">
      <alignment horizontal="right" vertical="center"/>
    </xf>
    <xf numFmtId="0" fontId="0" fillId="5" borderId="0" xfId="0" applyFill="1" applyAlignment="1">
      <alignment vertical="top"/>
    </xf>
    <xf numFmtId="0" fontId="6" fillId="5" borderId="0" xfId="0" applyFont="1" applyFill="1" applyAlignment="1">
      <alignment vertical="top" wrapText="1"/>
    </xf>
    <xf numFmtId="0" fontId="0" fillId="0" borderId="0" xfId="0" applyFill="1" applyAlignment="1">
      <alignment vertical="top"/>
    </xf>
    <xf numFmtId="0" fontId="0" fillId="0" borderId="8" xfId="0" applyBorder="1"/>
    <xf numFmtId="0" fontId="0" fillId="5" borderId="7" xfId="0" applyFill="1" applyBorder="1" applyAlignment="1">
      <alignment horizontal="center" vertical="center"/>
    </xf>
    <xf numFmtId="0" fontId="0" fillId="5" borderId="5" xfId="0" applyFill="1" applyBorder="1" applyAlignment="1">
      <alignment horizontal="left" vertical="center"/>
    </xf>
    <xf numFmtId="0" fontId="0" fillId="5" borderId="6" xfId="0" applyFill="1" applyBorder="1" applyAlignment="1"/>
    <xf numFmtId="0" fontId="0" fillId="5" borderId="7" xfId="0" applyFill="1" applyBorder="1" applyAlignment="1"/>
    <xf numFmtId="10" fontId="0" fillId="5" borderId="14" xfId="0" applyNumberFormat="1" applyFill="1" applyBorder="1" applyAlignment="1">
      <alignment horizontal="center"/>
    </xf>
    <xf numFmtId="0" fontId="2" fillId="5" borderId="7" xfId="0" applyFont="1" applyFill="1" applyBorder="1" applyAlignment="1">
      <alignment horizontal="center" vertical="center"/>
    </xf>
    <xf numFmtId="10" fontId="2" fillId="5" borderId="7" xfId="0" applyNumberFormat="1" applyFont="1" applyFill="1" applyBorder="1" applyAlignment="1">
      <alignment horizontal="center" vertical="center"/>
    </xf>
    <xf numFmtId="0" fontId="2" fillId="5" borderId="0" xfId="0" applyFont="1" applyFill="1" applyAlignment="1">
      <alignment vertical="center"/>
    </xf>
    <xf numFmtId="0" fontId="10" fillId="5" borderId="0" xfId="0" applyFont="1" applyFill="1" applyAlignment="1">
      <alignment vertical="center"/>
    </xf>
    <xf numFmtId="0" fontId="0" fillId="6" borderId="0" xfId="0" applyFill="1" applyAlignment="1">
      <alignment horizontal="center" vertical="center"/>
    </xf>
    <xf numFmtId="0" fontId="0" fillId="6" borderId="0" xfId="0" applyFill="1" applyAlignment="1">
      <alignment horizontal="left" vertical="center"/>
    </xf>
    <xf numFmtId="0" fontId="0" fillId="6" borderId="0" xfId="0" applyFill="1"/>
    <xf numFmtId="167" fontId="0" fillId="6" borderId="0" xfId="0" applyNumberFormat="1" applyFill="1" applyAlignment="1">
      <alignment horizontal="center" vertical="center"/>
    </xf>
    <xf numFmtId="164" fontId="0" fillId="6" borderId="0" xfId="0" applyNumberFormat="1" applyFill="1"/>
    <xf numFmtId="166" fontId="0" fillId="6" borderId="0" xfId="0" applyNumberFormat="1" applyFill="1" applyAlignment="1">
      <alignment horizontal="right"/>
    </xf>
    <xf numFmtId="165" fontId="0" fillId="6" borderId="0" xfId="0" applyNumberFormat="1" applyFill="1" applyAlignment="1">
      <alignment horizontal="center" vertical="center"/>
    </xf>
    <xf numFmtId="0" fontId="11" fillId="6" borderId="0" xfId="0" applyFont="1" applyFill="1" applyAlignment="1">
      <alignment horizontal="left" vertical="center"/>
    </xf>
    <xf numFmtId="0" fontId="0" fillId="0" borderId="10" xfId="0" applyBorder="1"/>
    <xf numFmtId="0" fontId="0" fillId="0" borderId="15" xfId="0" applyBorder="1"/>
    <xf numFmtId="0" fontId="0" fillId="0" borderId="16" xfId="0" applyBorder="1"/>
    <xf numFmtId="0" fontId="0" fillId="0" borderId="13" xfId="0" applyBorder="1"/>
    <xf numFmtId="0" fontId="0" fillId="0" borderId="12" xfId="0" applyBorder="1"/>
    <xf numFmtId="0" fontId="0" fillId="0" borderId="11" xfId="0" applyBorder="1"/>
    <xf numFmtId="0" fontId="0" fillId="0" borderId="12" xfId="0" applyFill="1" applyBorder="1" applyAlignment="1"/>
    <xf numFmtId="0" fontId="0" fillId="0" borderId="11" xfId="0" applyFill="1" applyBorder="1" applyAlignment="1"/>
    <xf numFmtId="0" fontId="0" fillId="0" borderId="0" xfId="0" applyFill="1" applyBorder="1" applyAlignment="1">
      <alignment vertical="center" wrapText="1"/>
    </xf>
    <xf numFmtId="0" fontId="0" fillId="0" borderId="9" xfId="0" applyFill="1" applyBorder="1" applyAlignment="1">
      <alignment vertical="center" wrapText="1"/>
    </xf>
    <xf numFmtId="0" fontId="0" fillId="0" borderId="9" xfId="0" applyBorder="1"/>
    <xf numFmtId="0" fontId="0" fillId="0" borderId="0" xfId="0" applyBorder="1"/>
    <xf numFmtId="0" fontId="0" fillId="0" borderId="30" xfId="0" applyBorder="1"/>
    <xf numFmtId="0" fontId="0" fillId="0" borderId="31" xfId="0" applyBorder="1"/>
    <xf numFmtId="0" fontId="15" fillId="8" borderId="12" xfId="3" applyFont="1" applyFill="1" applyBorder="1" applyAlignment="1">
      <alignment horizontal="center" vertical="center"/>
    </xf>
    <xf numFmtId="2" fontId="15" fillId="8" borderId="12" xfId="3" applyNumberFormat="1" applyFont="1" applyFill="1" applyBorder="1" applyAlignment="1">
      <alignment horizontal="center" vertical="center"/>
    </xf>
    <xf numFmtId="2" fontId="0" fillId="0" borderId="0" xfId="0" applyNumberFormat="1"/>
    <xf numFmtId="0" fontId="0" fillId="5" borderId="14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9" fillId="5" borderId="10" xfId="0" applyFont="1" applyFill="1" applyBorder="1" applyAlignment="1">
      <alignment horizontal="center" vertical="center"/>
    </xf>
    <xf numFmtId="0" fontId="9" fillId="5" borderId="13" xfId="0" applyFont="1" applyFill="1" applyBorder="1" applyAlignment="1">
      <alignment horizontal="center" vertical="center"/>
    </xf>
    <xf numFmtId="0" fontId="9" fillId="5" borderId="9" xfId="0" applyFont="1" applyFill="1" applyBorder="1" applyAlignment="1">
      <alignment horizontal="center" vertical="center"/>
    </xf>
    <xf numFmtId="0" fontId="9" fillId="5" borderId="11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  <xf numFmtId="0" fontId="9" fillId="5" borderId="12" xfId="0" applyFont="1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2" fillId="5" borderId="0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/>
    </xf>
    <xf numFmtId="0" fontId="7" fillId="5" borderId="0" xfId="0" applyFont="1" applyFill="1" applyAlignment="1">
      <alignment horizontal="center"/>
    </xf>
    <xf numFmtId="0" fontId="8" fillId="5" borderId="0" xfId="0" applyFont="1" applyFill="1" applyAlignment="1">
      <alignment horizontal="center" vertical="center"/>
    </xf>
    <xf numFmtId="14" fontId="6" fillId="5" borderId="0" xfId="0" applyNumberFormat="1" applyFont="1" applyFill="1" applyAlignment="1">
      <alignment horizontal="left" vertical="center"/>
    </xf>
    <xf numFmtId="0" fontId="6" fillId="5" borderId="0" xfId="0" applyFont="1" applyFill="1" applyAlignment="1">
      <alignment horizontal="left" vertical="center"/>
    </xf>
    <xf numFmtId="0" fontId="6" fillId="5" borderId="0" xfId="0" applyFont="1" applyFill="1" applyAlignment="1">
      <alignment horizontal="right" vertical="center"/>
    </xf>
    <xf numFmtId="0" fontId="2" fillId="5" borderId="14" xfId="0" applyFont="1" applyFill="1" applyBorder="1" applyAlignment="1">
      <alignment horizontal="center"/>
    </xf>
    <xf numFmtId="0" fontId="2" fillId="5" borderId="7" xfId="0" applyFont="1" applyFill="1" applyBorder="1" applyAlignment="1">
      <alignment horizontal="center"/>
    </xf>
    <xf numFmtId="0" fontId="0" fillId="5" borderId="10" xfId="0" applyFill="1" applyBorder="1" applyAlignment="1">
      <alignment horizontal="center" vertical="center" wrapText="1"/>
    </xf>
    <xf numFmtId="0" fontId="0" fillId="5" borderId="9" xfId="0" applyFill="1" applyBorder="1" applyAlignment="1">
      <alignment horizontal="center" vertical="center" wrapText="1"/>
    </xf>
    <xf numFmtId="0" fontId="0" fillId="5" borderId="42" xfId="0" applyFill="1" applyBorder="1" applyAlignment="1">
      <alignment horizontal="center" vertical="center" wrapText="1"/>
    </xf>
    <xf numFmtId="0" fontId="0" fillId="5" borderId="40" xfId="0" applyFill="1" applyBorder="1" applyAlignment="1">
      <alignment horizontal="center" vertical="center" wrapText="1"/>
    </xf>
    <xf numFmtId="0" fontId="0" fillId="5" borderId="34" xfId="0" applyFill="1" applyBorder="1" applyAlignment="1">
      <alignment horizontal="center"/>
    </xf>
    <xf numFmtId="0" fontId="0" fillId="5" borderId="35" xfId="0" applyFill="1" applyBorder="1" applyAlignment="1">
      <alignment horizontal="center"/>
    </xf>
    <xf numFmtId="0" fontId="0" fillId="5" borderId="36" xfId="0" applyFill="1" applyBorder="1" applyAlignment="1">
      <alignment horizontal="center"/>
    </xf>
    <xf numFmtId="0" fontId="0" fillId="5" borderId="0" xfId="0" applyFill="1" applyBorder="1" applyAlignment="1">
      <alignment horizontal="center" vertical="center" wrapText="1"/>
    </xf>
    <xf numFmtId="0" fontId="0" fillId="5" borderId="38" xfId="0" applyFill="1" applyBorder="1" applyAlignment="1">
      <alignment horizontal="center" vertical="center" wrapText="1"/>
    </xf>
    <xf numFmtId="0" fontId="0" fillId="5" borderId="41" xfId="0" applyFill="1" applyBorder="1" applyAlignment="1">
      <alignment horizontal="center" vertical="center" wrapText="1"/>
    </xf>
    <xf numFmtId="0" fontId="0" fillId="5" borderId="43" xfId="0" applyFill="1" applyBorder="1" applyAlignment="1">
      <alignment horizontal="center" vertical="center" wrapText="1"/>
    </xf>
    <xf numFmtId="0" fontId="0" fillId="5" borderId="20" xfId="0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165" fontId="0" fillId="5" borderId="29" xfId="0" applyNumberFormat="1" applyFill="1" applyBorder="1" applyAlignment="1">
      <alignment horizontal="center" vertical="center"/>
    </xf>
    <xf numFmtId="165" fontId="0" fillId="5" borderId="8" xfId="0" applyNumberFormat="1" applyFill="1" applyBorder="1" applyAlignment="1">
      <alignment horizontal="center" vertical="center"/>
    </xf>
    <xf numFmtId="165" fontId="0" fillId="5" borderId="18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17" xfId="0" applyNumberFormat="1" applyFill="1" applyBorder="1" applyAlignment="1">
      <alignment horizontal="center" vertical="center"/>
    </xf>
    <xf numFmtId="165" fontId="0" fillId="5" borderId="19" xfId="0" applyNumberFormat="1" applyFill="1" applyBorder="1" applyAlignment="1">
      <alignment horizontal="center" vertical="center"/>
    </xf>
    <xf numFmtId="168" fontId="0" fillId="5" borderId="25" xfId="0" applyNumberFormat="1" applyFill="1" applyBorder="1" applyAlignment="1">
      <alignment horizontal="center" vertical="center"/>
    </xf>
    <xf numFmtId="168" fontId="0" fillId="5" borderId="0" xfId="0" applyNumberFormat="1" applyFill="1" applyBorder="1" applyAlignment="1">
      <alignment horizontal="center" vertical="center"/>
    </xf>
    <xf numFmtId="168" fontId="0" fillId="5" borderId="31" xfId="0" applyNumberFormat="1" applyFill="1" applyBorder="1" applyAlignment="1">
      <alignment horizontal="center" vertical="center"/>
    </xf>
    <xf numFmtId="168" fontId="0" fillId="5" borderId="26" xfId="0" applyNumberFormat="1" applyFill="1" applyBorder="1" applyAlignment="1">
      <alignment horizontal="center" vertical="center"/>
    </xf>
    <xf numFmtId="168" fontId="0" fillId="5" borderId="17" xfId="0" applyNumberFormat="1" applyFill="1" applyBorder="1" applyAlignment="1">
      <alignment horizontal="center" vertical="center"/>
    </xf>
    <xf numFmtId="168" fontId="0" fillId="5" borderId="19" xfId="0" applyNumberFormat="1" applyFill="1" applyBorder="1" applyAlignment="1">
      <alignment horizontal="center" vertical="center"/>
    </xf>
    <xf numFmtId="0" fontId="0" fillId="5" borderId="32" xfId="0" applyFill="1" applyBorder="1" applyAlignment="1">
      <alignment horizontal="center" vertical="center"/>
    </xf>
    <xf numFmtId="0" fontId="0" fillId="5" borderId="33" xfId="0" applyFill="1" applyBorder="1" applyAlignment="1">
      <alignment horizontal="center" vertical="center"/>
    </xf>
    <xf numFmtId="0" fontId="0" fillId="5" borderId="37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5" borderId="39" xfId="0" applyFill="1" applyBorder="1" applyAlignment="1">
      <alignment horizontal="center" vertical="center"/>
    </xf>
    <xf numFmtId="0" fontId="0" fillId="5" borderId="40" xfId="0" applyFill="1" applyBorder="1" applyAlignment="1">
      <alignment horizontal="center" vertical="center"/>
    </xf>
    <xf numFmtId="0" fontId="0" fillId="5" borderId="34" xfId="0" applyFill="1" applyBorder="1" applyAlignment="1">
      <alignment horizontal="center" vertical="center"/>
    </xf>
    <xf numFmtId="0" fontId="0" fillId="5" borderId="35" xfId="0" applyFill="1" applyBorder="1" applyAlignment="1">
      <alignment horizontal="center" vertical="center"/>
    </xf>
    <xf numFmtId="0" fontId="0" fillId="5" borderId="33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5" borderId="25" xfId="0" applyFill="1" applyBorder="1" applyAlignment="1">
      <alignment horizontal="center" vertical="center" wrapText="1"/>
    </xf>
    <xf numFmtId="0" fontId="0" fillId="5" borderId="26" xfId="0" applyFill="1" applyBorder="1" applyAlignment="1">
      <alignment horizontal="center" vertical="center" wrapText="1"/>
    </xf>
    <xf numFmtId="0" fontId="0" fillId="5" borderId="17" xfId="0" applyFill="1" applyBorder="1" applyAlignment="1">
      <alignment horizontal="center" vertical="center" wrapText="1"/>
    </xf>
    <xf numFmtId="0" fontId="0" fillId="5" borderId="28" xfId="0" applyFill="1" applyBorder="1" applyAlignment="1">
      <alignment horizontal="center" vertical="center" wrapText="1"/>
    </xf>
    <xf numFmtId="0" fontId="0" fillId="5" borderId="22" xfId="0" applyFill="1" applyBorder="1" applyAlignment="1">
      <alignment horizontal="center"/>
    </xf>
    <xf numFmtId="0" fontId="0" fillId="5" borderId="15" xfId="0" applyFill="1" applyBorder="1" applyAlignment="1">
      <alignment horizontal="center" vertical="center" wrapText="1"/>
    </xf>
    <xf numFmtId="0" fontId="0" fillId="5" borderId="16" xfId="0" applyFill="1" applyBorder="1" applyAlignment="1">
      <alignment horizontal="center" vertical="center" wrapText="1"/>
    </xf>
    <xf numFmtId="0" fontId="0" fillId="5" borderId="27" xfId="0" applyFill="1" applyBorder="1" applyAlignment="1">
      <alignment horizontal="center" vertical="center" wrapText="1"/>
    </xf>
    <xf numFmtId="1" fontId="0" fillId="5" borderId="15" xfId="0" applyNumberFormat="1" applyFill="1" applyBorder="1" applyAlignment="1">
      <alignment horizontal="center" vertical="center" wrapText="1"/>
    </xf>
    <xf numFmtId="1" fontId="0" fillId="5" borderId="8" xfId="0" applyNumberFormat="1" applyFill="1" applyBorder="1" applyAlignment="1">
      <alignment horizontal="center" vertical="center" wrapText="1"/>
    </xf>
    <xf numFmtId="1" fontId="0" fillId="5" borderId="18" xfId="0" applyNumberFormat="1" applyFill="1" applyBorder="1" applyAlignment="1">
      <alignment horizontal="center" vertical="center" wrapText="1"/>
    </xf>
    <xf numFmtId="1" fontId="0" fillId="5" borderId="27" xfId="0" applyNumberFormat="1" applyFill="1" applyBorder="1" applyAlignment="1">
      <alignment horizontal="center" vertical="center" wrapText="1"/>
    </xf>
    <xf numFmtId="1" fontId="0" fillId="5" borderId="17" xfId="0" applyNumberFormat="1" applyFill="1" applyBorder="1" applyAlignment="1">
      <alignment horizontal="center" vertical="center" wrapText="1"/>
    </xf>
    <xf numFmtId="1" fontId="0" fillId="5" borderId="19" xfId="0" applyNumberFormat="1" applyFill="1" applyBorder="1" applyAlignment="1">
      <alignment horizontal="center" vertical="center" wrapText="1"/>
    </xf>
    <xf numFmtId="0" fontId="0" fillId="5" borderId="18" xfId="0" applyFill="1" applyBorder="1" applyAlignment="1">
      <alignment horizontal="center" vertical="center" wrapText="1"/>
    </xf>
    <xf numFmtId="0" fontId="0" fillId="5" borderId="19" xfId="0" applyFill="1" applyBorder="1" applyAlignment="1">
      <alignment horizontal="center" vertical="center" wrapText="1"/>
    </xf>
    <xf numFmtId="0" fontId="12" fillId="6" borderId="0" xfId="0" applyFont="1" applyFill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6" fillId="7" borderId="44" xfId="0" applyFont="1" applyFill="1" applyBorder="1" applyAlignment="1">
      <alignment horizontal="center" vertical="center"/>
    </xf>
    <xf numFmtId="0" fontId="6" fillId="7" borderId="45" xfId="0" applyFont="1" applyFill="1" applyBorder="1" applyAlignment="1">
      <alignment horizontal="center" vertical="center"/>
    </xf>
    <xf numFmtId="0" fontId="6" fillId="7" borderId="46" xfId="0" applyFont="1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0" fillId="7" borderId="49" xfId="0" applyFill="1" applyBorder="1" applyAlignment="1">
      <alignment horizontal="center" vertical="center"/>
    </xf>
    <xf numFmtId="0" fontId="0" fillId="7" borderId="50" xfId="0" applyFill="1" applyBorder="1" applyAlignment="1">
      <alignment horizontal="center" vertical="center"/>
    </xf>
    <xf numFmtId="0" fontId="0" fillId="7" borderId="51" xfId="0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2" borderId="3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4">
    <cellStyle name="Ênfase5" xfId="2" builtinId="45"/>
    <cellStyle name="Normal" xfId="0" builtinId="0"/>
    <cellStyle name="Normal 2" xfId="3" xr:uid="{00000000-0005-0000-0000-000002000000}"/>
    <cellStyle name="Título 3" xfId="1" builtinId="18"/>
  </cellStyles>
  <dxfs count="78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border outline="0">
        <top style="medium">
          <color theme="1"/>
        </top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6" formatCode="\(00\)00000\-0000"/>
    </dxf>
    <dxf>
      <numFmt numFmtId="2" formatCode="0.00"/>
    </dxf>
    <dxf>
      <numFmt numFmtId="167" formatCode="00000\-0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numFmt numFmtId="165" formatCode="00&quot;/&quot;00&quot;/&quot;0000"/>
      <alignment horizontal="center" vertical="center" textRotation="0" wrapText="0" indent="0" justifyLastLine="0" shrinkToFit="0" readingOrder="0"/>
    </dxf>
    <dxf>
      <numFmt numFmtId="166" formatCode="\(00\)00000\-0000"/>
      <alignment horizontal="right" textRotation="0" wrapText="0" indent="0" justifyLastLine="0" shrinkToFit="0" readingOrder="0"/>
    </dxf>
    <dxf>
      <numFmt numFmtId="1" formatCode="0"/>
    </dxf>
    <dxf>
      <numFmt numFmtId="167" formatCode="00000\-000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esquisa!A1"/><Relationship Id="rId2" Type="http://schemas.openxmlformats.org/officeDocument/2006/relationships/hyperlink" Target="#'Base Completa'!A1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4.svg"/><Relationship Id="rId1" Type="http://schemas.openxmlformats.org/officeDocument/2006/relationships/image" Target="../media/image5.png"/><Relationship Id="rId6" Type="http://schemas.openxmlformats.org/officeDocument/2006/relationships/hyperlink" Target="#Pesquisa!A1"/><Relationship Id="rId5" Type="http://schemas.openxmlformats.org/officeDocument/2006/relationships/image" Target="../media/image7.sv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76201</xdr:colOff>
      <xdr:row>0</xdr:row>
      <xdr:rowOff>76201</xdr:rowOff>
    </xdr:from>
    <xdr:to>
      <xdr:col>4</xdr:col>
      <xdr:colOff>38101</xdr:colOff>
      <xdr:row>4</xdr:row>
      <xdr:rowOff>717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4B453638-0090-43CE-88E5-A99EECC80C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1" y="76201"/>
          <a:ext cx="2400300" cy="686516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0</xdr:row>
      <xdr:rowOff>19050</xdr:rowOff>
    </xdr:from>
    <xdr:to>
      <xdr:col>6</xdr:col>
      <xdr:colOff>581026</xdr:colOff>
      <xdr:row>2</xdr:row>
      <xdr:rowOff>9525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47F9372-7751-42A6-A85B-9DD3F274AC96}"/>
            </a:ext>
          </a:extLst>
        </xdr:cNvPr>
        <xdr:cNvSpPr/>
      </xdr:nvSpPr>
      <xdr:spPr>
        <a:xfrm>
          <a:off x="3048000" y="19050"/>
          <a:ext cx="1190626" cy="3714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28575</xdr:colOff>
      <xdr:row>0</xdr:row>
      <xdr:rowOff>9525</xdr:rowOff>
    </xdr:from>
    <xdr:to>
      <xdr:col>9</xdr:col>
      <xdr:colOff>1</xdr:colOff>
      <xdr:row>2</xdr:row>
      <xdr:rowOff>0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4C17314-667C-478D-9677-69DB3DCD0798}"/>
            </a:ext>
          </a:extLst>
        </xdr:cNvPr>
        <xdr:cNvSpPr/>
      </xdr:nvSpPr>
      <xdr:spPr>
        <a:xfrm>
          <a:off x="4295775" y="9525"/>
          <a:ext cx="1190626" cy="3714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8</xdr:col>
      <xdr:colOff>0</xdr:colOff>
      <xdr:row>8</xdr:row>
      <xdr:rowOff>0</xdr:rowOff>
    </xdr:to>
    <xdr:sp macro="[0]!apagar" textlink="">
      <xdr:nvSpPr>
        <xdr:cNvPr id="6" name="Retângulo 5">
          <a:extLst>
            <a:ext uri="{FF2B5EF4-FFF2-40B4-BE49-F238E27FC236}">
              <a16:creationId xmlns:a16="http://schemas.microsoft.com/office/drawing/2014/main" id="{B09851A3-C298-4980-8970-9C6D5E266AF3}"/>
            </a:ext>
          </a:extLst>
        </xdr:cNvPr>
        <xdr:cNvSpPr/>
      </xdr:nvSpPr>
      <xdr:spPr>
        <a:xfrm>
          <a:off x="3048000" y="952500"/>
          <a:ext cx="1828800" cy="5905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590550</xdr:colOff>
      <xdr:row>9</xdr:row>
      <xdr:rowOff>28575</xdr:rowOff>
    </xdr:from>
    <xdr:to>
      <xdr:col>7</xdr:col>
      <xdr:colOff>590550</xdr:colOff>
      <xdr:row>11</xdr:row>
      <xdr:rowOff>228600</xdr:rowOff>
    </xdr:to>
    <xdr:sp macro="[0]!atualizar_dados" textlink="">
      <xdr:nvSpPr>
        <xdr:cNvPr id="7" name="Retângulo 6">
          <a:extLst>
            <a:ext uri="{FF2B5EF4-FFF2-40B4-BE49-F238E27FC236}">
              <a16:creationId xmlns:a16="http://schemas.microsoft.com/office/drawing/2014/main" id="{F3A1D980-4994-4B30-9F58-5A8B80D1ADCA}"/>
            </a:ext>
          </a:extLst>
        </xdr:cNvPr>
        <xdr:cNvSpPr/>
      </xdr:nvSpPr>
      <xdr:spPr>
        <a:xfrm>
          <a:off x="3028950" y="1762125"/>
          <a:ext cx="1828800" cy="5905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9525</xdr:colOff>
      <xdr:row>13</xdr:row>
      <xdr:rowOff>0</xdr:rowOff>
    </xdr:from>
    <xdr:to>
      <xdr:col>8</xdr:col>
      <xdr:colOff>9525</xdr:colOff>
      <xdr:row>16</xdr:row>
      <xdr:rowOff>9525</xdr:rowOff>
    </xdr:to>
    <xdr:sp macro="[0]!apagar_e_atualizar" textlink="">
      <xdr:nvSpPr>
        <xdr:cNvPr id="8" name="Retângulo 7">
          <a:extLst>
            <a:ext uri="{FF2B5EF4-FFF2-40B4-BE49-F238E27FC236}">
              <a16:creationId xmlns:a16="http://schemas.microsoft.com/office/drawing/2014/main" id="{F8AC90D7-3DAF-4986-881A-D01CA7F24106}"/>
            </a:ext>
          </a:extLst>
        </xdr:cNvPr>
        <xdr:cNvSpPr/>
      </xdr:nvSpPr>
      <xdr:spPr>
        <a:xfrm>
          <a:off x="3057525" y="2562225"/>
          <a:ext cx="1828800" cy="5905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19050</xdr:colOff>
      <xdr:row>16</xdr:row>
      <xdr:rowOff>180975</xdr:rowOff>
    </xdr:from>
    <xdr:to>
      <xdr:col>8</xdr:col>
      <xdr:colOff>19050</xdr:colOff>
      <xdr:row>20</xdr:row>
      <xdr:rowOff>0</xdr:rowOff>
    </xdr:to>
    <xdr:sp macro="[0]!envio_email" textlink="">
      <xdr:nvSpPr>
        <xdr:cNvPr id="9" name="Retângulo 8">
          <a:extLst>
            <a:ext uri="{FF2B5EF4-FFF2-40B4-BE49-F238E27FC236}">
              <a16:creationId xmlns:a16="http://schemas.microsoft.com/office/drawing/2014/main" id="{E44E7DB8-513F-4D88-99DA-0691762F952E}"/>
            </a:ext>
          </a:extLst>
        </xdr:cNvPr>
        <xdr:cNvSpPr/>
      </xdr:nvSpPr>
      <xdr:spPr>
        <a:xfrm>
          <a:off x="3067050" y="3324225"/>
          <a:ext cx="1828800" cy="5905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247650</xdr:colOff>
      <xdr:row>0</xdr:row>
      <xdr:rowOff>47625</xdr:rowOff>
    </xdr:from>
    <xdr:to>
      <xdr:col>1</xdr:col>
      <xdr:colOff>295275</xdr:colOff>
      <xdr:row>3</xdr:row>
      <xdr:rowOff>133350</xdr:rowOff>
    </xdr:to>
    <xdr:pic>
      <xdr:nvPicPr>
        <xdr:cNvPr id="3" name="Gráfico 2" descr="Seta de linha: girar para a esquerda com preenchimento sólido">
          <a:extLst>
            <a:ext uri="{FF2B5EF4-FFF2-40B4-BE49-F238E27FC236}">
              <a16:creationId xmlns:a16="http://schemas.microsoft.com/office/drawing/2014/main" id="{22DA8457-E02C-4D87-81DB-B685C11179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7650" y="47625"/>
          <a:ext cx="657225" cy="65722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85725</xdr:rowOff>
    </xdr:from>
    <xdr:to>
      <xdr:col>2</xdr:col>
      <xdr:colOff>9524</xdr:colOff>
      <xdr:row>3</xdr:row>
      <xdr:rowOff>123825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50EF189-E28A-4BF0-8099-DBD43C682615}"/>
            </a:ext>
          </a:extLst>
        </xdr:cNvPr>
        <xdr:cNvSpPr/>
      </xdr:nvSpPr>
      <xdr:spPr>
        <a:xfrm>
          <a:off x="0" y="85725"/>
          <a:ext cx="1228724" cy="609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533401</xdr:colOff>
      <xdr:row>5</xdr:row>
      <xdr:rowOff>142875</xdr:rowOff>
    </xdr:from>
    <xdr:to>
      <xdr:col>18</xdr:col>
      <xdr:colOff>152401</xdr:colOff>
      <xdr:row>18</xdr:row>
      <xdr:rowOff>85725</xdr:rowOff>
    </xdr:to>
    <xdr:sp macro="[0]!sem_permissao" textlink="">
      <xdr:nvSpPr>
        <xdr:cNvPr id="5" name="Retângulo 4">
          <a:extLst>
            <a:ext uri="{FF2B5EF4-FFF2-40B4-BE49-F238E27FC236}">
              <a16:creationId xmlns:a16="http://schemas.microsoft.com/office/drawing/2014/main" id="{A47F22CC-D405-4000-9217-218B94186671}"/>
            </a:ext>
          </a:extLst>
        </xdr:cNvPr>
        <xdr:cNvSpPr/>
      </xdr:nvSpPr>
      <xdr:spPr>
        <a:xfrm>
          <a:off x="2362201" y="1095375"/>
          <a:ext cx="8763000" cy="25336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19050</xdr:colOff>
      <xdr:row>10</xdr:row>
      <xdr:rowOff>104775</xdr:rowOff>
    </xdr:from>
    <xdr:to>
      <xdr:col>3</xdr:col>
      <xdr:colOff>66675</xdr:colOff>
      <xdr:row>18</xdr:row>
      <xdr:rowOff>123825</xdr:rowOff>
    </xdr:to>
    <xdr:sp macro="[0]!sem_permissao" textlink="">
      <xdr:nvSpPr>
        <xdr:cNvPr id="6" name="Retângulo 5">
          <a:extLst>
            <a:ext uri="{FF2B5EF4-FFF2-40B4-BE49-F238E27FC236}">
              <a16:creationId xmlns:a16="http://schemas.microsoft.com/office/drawing/2014/main" id="{83FAA581-3B7F-4004-BB36-13B7FC3FCA92}"/>
            </a:ext>
          </a:extLst>
        </xdr:cNvPr>
        <xdr:cNvSpPr/>
      </xdr:nvSpPr>
      <xdr:spPr>
        <a:xfrm>
          <a:off x="19050" y="2057400"/>
          <a:ext cx="1876425" cy="16097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123824</xdr:colOff>
      <xdr:row>0</xdr:row>
      <xdr:rowOff>38099</xdr:rowOff>
    </xdr:from>
    <xdr:to>
      <xdr:col>1</xdr:col>
      <xdr:colOff>133349</xdr:colOff>
      <xdr:row>0</xdr:row>
      <xdr:rowOff>657224</xdr:rowOff>
    </xdr:to>
    <xdr:pic>
      <xdr:nvPicPr>
        <xdr:cNvPr id="3" name="Gráfico 2" descr="Seta de linha: girar para a esquerda com preenchimento sólido">
          <a:extLst>
            <a:ext uri="{FF2B5EF4-FFF2-40B4-BE49-F238E27FC236}">
              <a16:creationId xmlns:a16="http://schemas.microsoft.com/office/drawing/2014/main" id="{B4FEEA13-0D36-4F0D-A517-54B777144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3824" y="38099"/>
          <a:ext cx="619125" cy="61912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28575</xdr:rowOff>
    </xdr:from>
    <xdr:to>
      <xdr:col>1</xdr:col>
      <xdr:colOff>933450</xdr:colOff>
      <xdr:row>0</xdr:row>
      <xdr:rowOff>619125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C2178CE-B3C9-4549-A6B2-968BC30E0624}"/>
            </a:ext>
          </a:extLst>
        </xdr:cNvPr>
        <xdr:cNvSpPr/>
      </xdr:nvSpPr>
      <xdr:spPr>
        <a:xfrm>
          <a:off x="0" y="28575"/>
          <a:ext cx="1543050" cy="5905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3</xdr:col>
      <xdr:colOff>1162051</xdr:colOff>
      <xdr:row>0</xdr:row>
      <xdr:rowOff>9526</xdr:rowOff>
    </xdr:from>
    <xdr:to>
      <xdr:col>4</xdr:col>
      <xdr:colOff>571501</xdr:colOff>
      <xdr:row>0</xdr:row>
      <xdr:rowOff>638176</xdr:rowOff>
    </xdr:to>
    <xdr:pic>
      <xdr:nvPicPr>
        <xdr:cNvPr id="6" name="Gráfico 5" descr="Lupa com preenchimento sólido">
          <a:extLst>
            <a:ext uri="{FF2B5EF4-FFF2-40B4-BE49-F238E27FC236}">
              <a16:creationId xmlns:a16="http://schemas.microsoft.com/office/drawing/2014/main" id="{0E9AB8D3-1303-458E-9955-6465EF935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6705601" y="9526"/>
          <a:ext cx="628650" cy="628650"/>
        </a:xfrm>
        <a:prstGeom prst="rect">
          <a:avLst/>
        </a:prstGeom>
      </xdr:spPr>
    </xdr:pic>
    <xdr:clientData/>
  </xdr:twoCellAnchor>
  <xdr:twoCellAnchor>
    <xdr:from>
      <xdr:col>3</xdr:col>
      <xdr:colOff>1019174</xdr:colOff>
      <xdr:row>0</xdr:row>
      <xdr:rowOff>38100</xdr:rowOff>
    </xdr:from>
    <xdr:to>
      <xdr:col>5</xdr:col>
      <xdr:colOff>85725</xdr:colOff>
      <xdr:row>0</xdr:row>
      <xdr:rowOff>628650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D2F3AA0-5E4C-47C1-B810-A69E5A126536}"/>
            </a:ext>
          </a:extLst>
        </xdr:cNvPr>
        <xdr:cNvSpPr/>
      </xdr:nvSpPr>
      <xdr:spPr>
        <a:xfrm>
          <a:off x="6562724" y="38100"/>
          <a:ext cx="1009651" cy="5905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00000000-0016-0000-0400-000000000000}" autoFormatId="16" applyNumberFormats="0" applyBorderFormats="0" applyFontFormats="0" applyPatternFormats="0" applyAlignmentFormats="0" applyWidthHeightFormats="0">
  <queryTableRefresh nextId="9">
    <queryTableFields count="8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2" xr16:uid="{00000000-0016-0000-0500-000001000000}" autoFormatId="16" applyNumberFormats="0" applyBorderFormats="0" applyFontFormats="0" applyPatternFormats="0" applyAlignmentFormats="0" applyWidthHeightFormats="0">
  <queryTableRefresh nextId="8">
    <queryTableFields count="7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connectionId="3" xr16:uid="{00000000-0016-0000-0700-000002000000}" autoFormatId="16" applyNumberFormats="0" applyBorderFormats="0" applyFontFormats="0" applyPatternFormats="0" applyAlignmentFormats="0" applyWidthHeightFormats="0">
  <queryTableRefresh nextId="47">
    <queryTableFields count="6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Tabela5" displayName="Tabela5" ref="A2:Q3" totalsRowShown="0" headerRowDxfId="77">
  <autoFilter ref="A2:Q3" xr:uid="{00000000-0009-0000-0100-000005000000}"/>
  <sortState xmlns:xlrd2="http://schemas.microsoft.com/office/spreadsheetml/2017/richdata2" ref="A3:Q3">
    <sortCondition ref="A2:A3"/>
  </sortState>
  <tableColumns count="17">
    <tableColumn id="1" xr3:uid="{00000000-0010-0000-0000-000001000000}" name="NB" dataDxfId="76"/>
    <tableColumn id="2" xr3:uid="{00000000-0010-0000-0000-000002000000}" name="RAZÃO SOCIAL" dataDxfId="75"/>
    <tableColumn id="3" xr3:uid="{00000000-0010-0000-0000-000003000000}" name="CATEGORIA" dataDxfId="74"/>
    <tableColumn id="4" xr3:uid="{00000000-0010-0000-0000-000004000000}" name="INSCR EST" dataDxfId="73"/>
    <tableColumn id="5" xr3:uid="{00000000-0010-0000-0000-000005000000}" name="DV" dataDxfId="72">
      <calculatedColumnFormula>'Calculos de Data'!O3</calculatedColumnFormula>
    </tableColumn>
    <tableColumn id="6" xr3:uid="{00000000-0010-0000-0000-000006000000}" name="NOME FANTASIA" dataDxfId="71"/>
    <tableColumn id="7" xr3:uid="{00000000-0010-0000-0000-000007000000}" name="CODIGO"/>
    <tableColumn id="8" xr3:uid="{00000000-0010-0000-0000-000008000000}" name="DESCRICAO DE COMPRA" dataDxfId="70"/>
    <tableColumn id="9" xr3:uid="{00000000-0010-0000-0000-000009000000}" name="E-MAIL" dataDxfId="69"/>
    <tableColumn id="10" xr3:uid="{00000000-0010-0000-0000-00000A000000}" name="SETOR SEG" dataDxfId="68"/>
    <tableColumn id="11" xr3:uid="{00000000-0010-0000-0000-00000B000000}" name="ENDEREÇO" dataDxfId="67">
      <calculatedColumnFormula>_xlfn.CONCAT('base 805'!C2:D2)</calculatedColumnFormula>
    </tableColumn>
    <tableColumn id="12" xr3:uid="{00000000-0010-0000-0000-00000C000000}" name="CIDADE" dataDxfId="66"/>
    <tableColumn id="13" xr3:uid="{00000000-0010-0000-0000-00000D000000}" name="BAIRRO" dataDxfId="65"/>
    <tableColumn id="14" xr3:uid="{00000000-0010-0000-0000-00000E000000}" name="CEP" dataDxfId="64"/>
    <tableColumn id="15" xr3:uid="{00000000-0010-0000-0000-00000F000000}" name="CPF/CNPJ" dataDxfId="63"/>
    <tableColumn id="16" xr3:uid="{00000000-0010-0000-0000-000010000000}" name="TELEFONE" dataDxfId="62"/>
    <tableColumn id="17" xr3:uid="{00000000-0010-0000-0000-000011000000}" name="DATA CADASTRAMENTO" dataDxfId="61"/>
  </tableColumns>
  <tableStyleInfo name="TableStyleDark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1000000}" name="Tabela6" displayName="Tabela6" ref="A1:S2" totalsRowShown="0" headerRowDxfId="60" headerRowBorderDxfId="59" headerRowCellStyle="Normal 2">
  <autoFilter ref="A1:S2" xr:uid="{00000000-0009-0000-0100-000006000000}"/>
  <tableColumns count="19">
    <tableColumn id="1" xr3:uid="{00000000-0010-0000-0100-000001000000}" name="NB"/>
    <tableColumn id="2" xr3:uid="{00000000-0010-0000-0100-000002000000}" name="RAZÃO" dataDxfId="58"/>
    <tableColumn id="3" xr3:uid="{00000000-0010-0000-0100-000003000000}" name="CATEGORIA" dataDxfId="57"/>
    <tableColumn id="4" xr3:uid="{00000000-0010-0000-0100-000004000000}" name="SEGMENTO" dataDxfId="56">
      <calculatedColumnFormula>Tabela9[[#This Row],[Compilado]]</calculatedColumnFormula>
    </tableColumn>
    <tableColumn id="5" xr3:uid="{00000000-0010-0000-0100-000005000000}" name="DV" dataDxfId="55">
      <calculatedColumnFormula>'Calculos de Data'!O2</calculatedColumnFormula>
    </tableColumn>
    <tableColumn id="6" xr3:uid="{00000000-0010-0000-0100-000006000000}" name="INSCR EST" dataDxfId="54"/>
    <tableColumn id="7" xr3:uid="{00000000-0010-0000-0100-000007000000}" name="FANTASIA" dataDxfId="53"/>
    <tableColumn id="8" xr3:uid="{00000000-0010-0000-0100-000008000000}" name="Código"/>
    <tableColumn id="9" xr3:uid="{00000000-0010-0000-0100-000009000000}" name="DESCRIÇÃO" dataDxfId="52"/>
    <tableColumn id="10" xr3:uid="{00000000-0010-0000-0100-00000A000000}" name="E-MAIL" dataDxfId="51"/>
    <tableColumn id="11" xr3:uid="{00000000-0010-0000-0100-00000B000000}" name="GV SEG" dataDxfId="50">
      <calculatedColumnFormula>IF(Tabela8[[#This Row],[SETOR]]&lt;200,"GV 10",IF(Tabela8[[#This Row],[SETOR]]&lt;300,"GV 20",IF(Tabela8[[#This Row],[SETOR]]&lt;400,"GV 30","S/GV")))</calculatedColumnFormula>
    </tableColumn>
    <tableColumn id="12" xr3:uid="{00000000-0010-0000-0100-00000C000000}" name="ÁREA SEG"/>
    <tableColumn id="13" xr3:uid="{00000000-0010-0000-0100-00000D000000}" name="SETOR SEG"/>
    <tableColumn id="14" xr3:uid="{00000000-0010-0000-0100-00000E000000}" name="ENDEREÇO" dataDxfId="49">
      <calculatedColumnFormula>_xlfn.CONCAT('base 805'!C2:D2)</calculatedColumnFormula>
    </tableColumn>
    <tableColumn id="15" xr3:uid="{00000000-0010-0000-0100-00000F000000}" name="CIDADE" dataDxfId="48"/>
    <tableColumn id="16" xr3:uid="{00000000-0010-0000-0100-000010000000}" name="BAIRRO" dataDxfId="47"/>
    <tableColumn id="17" xr3:uid="{00000000-0010-0000-0100-000011000000}" name="CEP" dataDxfId="46"/>
    <tableColumn id="18" xr3:uid="{00000000-0010-0000-0100-000012000000}" name="CPF/CGC" dataDxfId="45"/>
    <tableColumn id="19" xr3:uid="{00000000-0010-0000-0100-000013000000}" name="Tel" dataDxfId="44"/>
  </tableColumns>
  <tableStyleInfo name="TableStyleDark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base_804" displayName="base_804" ref="A1:H4439" tableType="queryTable" totalsRowShown="0">
  <autoFilter ref="A1:H4439" xr:uid="{00000000-0009-0000-0100-000001000000}"/>
  <tableColumns count="8">
    <tableColumn id="1" xr3:uid="{00000000-0010-0000-0200-000001000000}" uniqueName="1" name="Column1" queryTableFieldId="1"/>
    <tableColumn id="2" xr3:uid="{00000000-0010-0000-0200-000002000000}" uniqueName="2" name="Column2" queryTableFieldId="2" dataDxfId="43"/>
    <tableColumn id="3" xr3:uid="{00000000-0010-0000-0200-000003000000}" uniqueName="3" name="Column3" queryTableFieldId="3" dataDxfId="42"/>
    <tableColumn id="4" xr3:uid="{00000000-0010-0000-0200-000004000000}" uniqueName="4" name="Column4" queryTableFieldId="4" dataDxfId="41"/>
    <tableColumn id="5" xr3:uid="{00000000-0010-0000-0200-000005000000}" uniqueName="5" name="Column5" queryTableFieldId="5" dataDxfId="40"/>
    <tableColumn id="6" xr3:uid="{00000000-0010-0000-0200-000006000000}" uniqueName="6" name="Column6" queryTableFieldId="6" dataDxfId="39"/>
    <tableColumn id="7" xr3:uid="{00000000-0010-0000-0200-000007000000}" uniqueName="7" name="Column7" queryTableFieldId="7"/>
    <tableColumn id="8" xr3:uid="{00000000-0010-0000-0200-000008000000}" uniqueName="8" name="Column8" queryTableFieldId="8" dataDxfId="38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base_805" displayName="base_805" ref="A1:G4439" tableType="queryTable" totalsRowShown="0">
  <autoFilter ref="A1:G4439" xr:uid="{00000000-0009-0000-0100-000002000000}"/>
  <tableColumns count="7">
    <tableColumn id="1" xr3:uid="{00000000-0010-0000-0300-000001000000}" uniqueName="1" name="Column1" queryTableFieldId="1" dataDxfId="37"/>
    <tableColumn id="2" xr3:uid="{00000000-0010-0000-0300-000002000000}" uniqueName="2" name="Column2" queryTableFieldId="2"/>
    <tableColumn id="3" xr3:uid="{00000000-0010-0000-0300-000003000000}" uniqueName="3" name="Column3" queryTableFieldId="3" dataDxfId="36"/>
    <tableColumn id="4" xr3:uid="{00000000-0010-0000-0300-000004000000}" uniqueName="4" name="Column4" queryTableFieldId="4" dataDxfId="35"/>
    <tableColumn id="5" xr3:uid="{00000000-0010-0000-0300-000005000000}" uniqueName="5" name="Column5" queryTableFieldId="5" dataDxfId="34"/>
    <tableColumn id="6" xr3:uid="{00000000-0010-0000-0300-000006000000}" uniqueName="6" name="Column6" queryTableFieldId="6" dataDxfId="33"/>
    <tableColumn id="7" xr3:uid="{00000000-0010-0000-0300-000007000000}" uniqueName="7" name="Column7" queryTableFieldId="7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4000000}" name="Tabela7" displayName="Tabela7" ref="D2:E6" totalsRowShown="0" headerRowDxfId="32" dataDxfId="31">
  <autoFilter ref="D2:E6" xr:uid="{00000000-0009-0000-0100-000007000000}"/>
  <tableColumns count="2">
    <tableColumn id="1" xr3:uid="{00000000-0010-0000-0400-000001000000}" name="Area" dataDxfId="30"/>
    <tableColumn id="2" xr3:uid="{00000000-0010-0000-0400-000002000000}" name="Quantidade de Clientes" dataDxfId="29"/>
  </tableColumns>
  <tableStyleInfo name="TableStyleDark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base_806" displayName="base_806" ref="A1:F4439" tableType="queryTable" totalsRowShown="0">
  <autoFilter ref="A1:F4439" xr:uid="{00000000-0009-0000-0100-000003000000}"/>
  <tableColumns count="6">
    <tableColumn id="1" xr3:uid="{00000000-0010-0000-0500-000001000000}" uniqueName="1" name="Column1" queryTableFieldId="1"/>
    <tableColumn id="2" xr3:uid="{00000000-0010-0000-0500-000002000000}" uniqueName="2" name="Column2" queryTableFieldId="2"/>
    <tableColumn id="3" xr3:uid="{00000000-0010-0000-0500-000003000000}" uniqueName="3" name="Column3" queryTableFieldId="3"/>
    <tableColumn id="4" xr3:uid="{00000000-0010-0000-0500-000004000000}" uniqueName="4" name="Column4" queryTableFieldId="4" dataDxfId="28"/>
    <tableColumn id="5" xr3:uid="{00000000-0010-0000-0500-000005000000}" uniqueName="5" name="Column5" queryTableFieldId="5"/>
    <tableColumn id="6" xr3:uid="{00000000-0010-0000-0500-000006000000}" uniqueName="6" name="Column6" queryTableFieldId="6" dataDxfId="27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6000000}" name="Tabela4" displayName="Tabela4" ref="A2:O3" totalsRowShown="0" headerRowDxfId="26" headerRowBorderDxfId="25" tableBorderDxfId="24">
  <autoFilter ref="A2:O3" xr:uid="{00000000-0009-0000-0100-000004000000}"/>
  <tableColumns count="15">
    <tableColumn id="1" xr3:uid="{00000000-0010-0000-0600-000001000000}" name="SEG/" dataDxfId="23"/>
    <tableColumn id="2" xr3:uid="{00000000-0010-0000-0600-000002000000}" name="TER/" dataDxfId="22"/>
    <tableColumn id="3" xr3:uid="{00000000-0010-0000-0600-000003000000}" name="QUAR/" dataDxfId="21"/>
    <tableColumn id="4" xr3:uid="{00000000-0010-0000-0600-000004000000}" name="QUIN/" dataDxfId="20"/>
    <tableColumn id="5" xr3:uid="{00000000-0010-0000-0600-000005000000}" name="SEX/" dataDxfId="19"/>
    <tableColumn id="6" xr3:uid="{00000000-0010-0000-0600-000006000000}" name="SAB/" dataDxfId="18"/>
    <tableColumn id="7" xr3:uid="{00000000-0010-0000-0600-000007000000}" name="DOM/" dataDxfId="17"/>
    <tableColumn id="8" xr3:uid="{00000000-0010-0000-0600-000008000000}" name="SEG2/" dataDxfId="16"/>
    <tableColumn id="9" xr3:uid="{00000000-0010-0000-0600-000009000000}" name="TER2/" dataDxfId="15"/>
    <tableColumn id="10" xr3:uid="{00000000-0010-0000-0600-00000A000000}" name="QUAR2/" dataDxfId="14"/>
    <tableColumn id="11" xr3:uid="{00000000-0010-0000-0600-00000B000000}" name="QUIN2/" dataDxfId="13"/>
    <tableColumn id="12" xr3:uid="{00000000-0010-0000-0600-00000C000000}" name="SEX2/" dataDxfId="12"/>
    <tableColumn id="13" xr3:uid="{00000000-0010-0000-0600-00000D000000}" name="SAB2/" dataDxfId="11"/>
    <tableColumn id="14" xr3:uid="{00000000-0010-0000-0600-00000E000000}" name="DOM2/" dataDxfId="10"/>
    <tableColumn id="15" xr3:uid="{00000000-0010-0000-0600-00000F000000}" name="P/VISITA" dataDxfId="9">
      <calculatedColumnFormula>IF(Tabela4[[#This Row],[SEG/]]&gt;0,"SEG/",IF(Tabela4[[#This Row],[TER/]]&gt;0,"TER/",IF(Tabela4[[#This Row],[QUAR/]]&gt;0,"QUAR/",IF(Tabela4[[#This Row],[QUIN/]]&gt;0,"QUIN/",IF(Tabela4[[#This Row],[SEX/]]&gt;0,"SEX/",IF(Tabela4[[#This Row],[SAB/]]&gt;0,"SAB/",IF(Tabela4[[#This Row],[DOM/]]&gt;0,"DOM/",IF(Tabela4[[#This Row],[SEG2/]]&gt;0,"SEG/",IF(Tabela4[[#This Row],[TER2/]]&gt;0,"TER/",IF(Tabela4[[#This Row],[QUAR2/]]&gt;0,"QUAR/",IF(Tabela4[[#This Row],[QUIN2/]]&gt;0,"QUIN/",IF(Tabela4[[#This Row],[SEX2/]]&gt;0,"SEX/",IF(Tabela4[[#This Row],[SAB2/]]&gt;0,"SAB/",IF(Tabela4[[#This Row],[DOM2/]]&gt;0,"DOM/","SEM VISITA"))))))))))))))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8" displayName="Tabela8" ref="A1:C4439" totalsRowShown="0">
  <autoFilter ref="A1:C4439" xr:uid="{00000000-0009-0000-0100-000008000000}"/>
  <tableColumns count="3">
    <tableColumn id="1" xr3:uid="{00000000-0010-0000-0700-000001000000}" name="NB Cliente"/>
    <tableColumn id="2" xr3:uid="{00000000-0010-0000-0700-000002000000}" name="SETOR"/>
    <tableColumn id="3" xr3:uid="{00000000-0010-0000-0700-000003000000}" name="GV DE VENDAS" dataDxfId="8">
      <calculatedColumnFormula>IF(Tabela8[[#This Row],[SETOR]]="","",IF(Tabela8[[#This Row],[SETOR]]&lt;200,"GV 10",IF(Tabela8[[#This Row],[SETOR]]&lt;300,"GV 20",IF(Tabela8[[#This Row],[SETOR]]&lt;400,"GV 30","S/GV"))))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ela9" displayName="Tabela9" ref="E1:G4439" totalsRowShown="0">
  <autoFilter ref="E1:G4439" xr:uid="{00000000-0009-0000-0100-000009000000}"/>
  <tableColumns count="3">
    <tableColumn id="1" xr3:uid="{00000000-0010-0000-0800-000001000000}" name="Coluna1"/>
    <tableColumn id="2" xr3:uid="{00000000-0010-0000-0800-000002000000}" name="Coluna2"/>
    <tableColumn id="3" xr3:uid="{00000000-0010-0000-0800-000003000000}" name="Compilado">
      <calculatedColumnFormula>_xlfn.CONCAT(Tabela9[[#This Row],[Coluna1]],Tabela9[[#This Row],[Coluna2]])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fitToPage="1"/>
  </sheetPr>
  <dimension ref="A1:S25"/>
  <sheetViews>
    <sheetView showGridLines="0" showRowColHeaders="0" tabSelected="1" workbookViewId="0"/>
  </sheetViews>
  <sheetFormatPr defaultRowHeight="15" x14ac:dyDescent="0.25"/>
  <cols>
    <col min="15" max="15" width="6.85546875" customWidth="1"/>
    <col min="16" max="16" width="11.42578125" customWidth="1"/>
    <col min="18" max="18" width="18.28515625" style="2" customWidth="1"/>
  </cols>
  <sheetData>
    <row r="1" spans="1:19" ht="15" customHeight="1" x14ac:dyDescent="0.25">
      <c r="F1" s="71" t="s">
        <v>84</v>
      </c>
      <c r="G1" s="72"/>
      <c r="H1" s="73" t="s">
        <v>95</v>
      </c>
      <c r="I1" s="73"/>
      <c r="N1" s="67" t="s">
        <v>88</v>
      </c>
      <c r="O1" s="65"/>
      <c r="P1" s="63" t="s">
        <v>87</v>
      </c>
      <c r="Q1" s="65"/>
      <c r="R1" s="63" t="s">
        <v>86</v>
      </c>
      <c r="S1" s="63" t="s">
        <v>85</v>
      </c>
    </row>
    <row r="2" spans="1:19" ht="15" customHeight="1" x14ac:dyDescent="0.25">
      <c r="F2" s="71"/>
      <c r="G2" s="72"/>
      <c r="H2" s="73"/>
      <c r="I2" s="73"/>
      <c r="N2" s="68"/>
      <c r="O2" s="66"/>
      <c r="P2" s="64"/>
      <c r="Q2" s="66"/>
      <c r="R2" s="64"/>
      <c r="S2" s="64"/>
    </row>
    <row r="3" spans="1:19" ht="15" customHeight="1" x14ac:dyDescent="0.25">
      <c r="N3" s="61" t="s">
        <v>89</v>
      </c>
      <c r="O3" s="62"/>
      <c r="P3" s="29" t="s">
        <v>8</v>
      </c>
      <c r="Q3" s="30"/>
      <c r="R3" s="27" cm="1">
        <f t="array" ref="R3:R19">COUNTIF('Base Completa'!H:H,P3:P19)</f>
        <v>0</v>
      </c>
      <c r="S3" s="31" t="str">
        <f>IF(R3=0,"",R3/R20)</f>
        <v/>
      </c>
    </row>
    <row r="4" spans="1:19" x14ac:dyDescent="0.25">
      <c r="N4" s="61" t="s">
        <v>89</v>
      </c>
      <c r="O4" s="62"/>
      <c r="P4" s="29" t="s">
        <v>14</v>
      </c>
      <c r="Q4" s="30"/>
      <c r="R4" s="27">
        <v>0</v>
      </c>
      <c r="S4" s="31" t="str">
        <f>IF(R4=0,"",R4/R20)</f>
        <v/>
      </c>
    </row>
    <row r="5" spans="1:19" x14ac:dyDescent="0.25">
      <c r="N5" s="61" t="s">
        <v>89</v>
      </c>
      <c r="O5" s="62"/>
      <c r="P5" s="29" t="s">
        <v>19</v>
      </c>
      <c r="Q5" s="30"/>
      <c r="R5" s="27">
        <v>0</v>
      </c>
      <c r="S5" s="31" t="str">
        <f>IF(R5=0,"",R5/R20)</f>
        <v/>
      </c>
    </row>
    <row r="6" spans="1:19" ht="15.75" x14ac:dyDescent="0.25">
      <c r="A6" s="22" t="s">
        <v>67</v>
      </c>
      <c r="B6" s="77">
        <f ca="1">TODAY()</f>
        <v>44681</v>
      </c>
      <c r="C6" s="78"/>
      <c r="D6" s="21"/>
      <c r="F6" s="76" t="s">
        <v>75</v>
      </c>
      <c r="G6" s="76"/>
      <c r="H6" s="76"/>
      <c r="J6" s="74" t="s">
        <v>79</v>
      </c>
      <c r="K6" s="74"/>
      <c r="L6" s="74"/>
      <c r="N6" s="61" t="s">
        <v>89</v>
      </c>
      <c r="O6" s="62"/>
      <c r="P6" s="29" t="s">
        <v>12</v>
      </c>
      <c r="Q6" s="30"/>
      <c r="R6" s="27">
        <v>0</v>
      </c>
      <c r="S6" s="31" t="str">
        <f>IF(R6=0,"",R6/R20)</f>
        <v/>
      </c>
    </row>
    <row r="7" spans="1:19" x14ac:dyDescent="0.25">
      <c r="F7" s="76"/>
      <c r="G7" s="76"/>
      <c r="H7" s="76"/>
      <c r="J7" s="69" t="s">
        <v>80</v>
      </c>
      <c r="K7" s="70"/>
      <c r="L7" s="28">
        <f>Calculos!E3</f>
        <v>0</v>
      </c>
      <c r="N7" s="61" t="s">
        <v>89</v>
      </c>
      <c r="O7" s="62"/>
      <c r="P7" s="29" t="s">
        <v>16</v>
      </c>
      <c r="Q7" s="30"/>
      <c r="R7" s="27">
        <v>0</v>
      </c>
      <c r="S7" s="31" t="str">
        <f>IF(R7=0,"",R7/R20)</f>
        <v/>
      </c>
    </row>
    <row r="8" spans="1:19" ht="15.75" x14ac:dyDescent="0.25">
      <c r="A8" s="79" t="s">
        <v>68</v>
      </c>
      <c r="B8" s="79"/>
      <c r="C8" s="78">
        <f>Calculos!D13</f>
        <v>0</v>
      </c>
      <c r="D8" s="78"/>
      <c r="F8" s="76"/>
      <c r="G8" s="76"/>
      <c r="H8" s="76"/>
      <c r="J8" s="69" t="s">
        <v>81</v>
      </c>
      <c r="K8" s="70"/>
      <c r="L8" s="28">
        <f>Calculos!E4</f>
        <v>0</v>
      </c>
      <c r="N8" s="61" t="s">
        <v>89</v>
      </c>
      <c r="O8" s="62"/>
      <c r="P8" s="29" t="s">
        <v>21</v>
      </c>
      <c r="Q8" s="30"/>
      <c r="R8" s="27">
        <v>0</v>
      </c>
      <c r="S8" s="31" t="str">
        <f>IF(R8=0,"",R8/R20)</f>
        <v/>
      </c>
    </row>
    <row r="9" spans="1:19" x14ac:dyDescent="0.25">
      <c r="J9" s="69" t="s">
        <v>82</v>
      </c>
      <c r="K9" s="70"/>
      <c r="L9" s="28">
        <f>Calculos!E5</f>
        <v>0</v>
      </c>
      <c r="N9" s="61" t="s">
        <v>89</v>
      </c>
      <c r="O9" s="62"/>
      <c r="P9" s="29" t="s">
        <v>15</v>
      </c>
      <c r="Q9" s="30"/>
      <c r="R9" s="27">
        <v>0</v>
      </c>
      <c r="S9" s="31" t="str">
        <f>IF(R9=0,"",R9/R20)</f>
        <v/>
      </c>
    </row>
    <row r="10" spans="1:19" ht="15.75" x14ac:dyDescent="0.25">
      <c r="A10" s="79" t="s">
        <v>69</v>
      </c>
      <c r="B10" s="79"/>
      <c r="C10" s="78">
        <f>Calculos!D10</f>
        <v>0</v>
      </c>
      <c r="D10" s="78"/>
      <c r="F10" s="76" t="s">
        <v>76</v>
      </c>
      <c r="G10" s="76"/>
      <c r="H10" s="76"/>
      <c r="J10" s="69" t="s">
        <v>83</v>
      </c>
      <c r="K10" s="70"/>
      <c r="L10" s="28">
        <f>Calculos!E6</f>
        <v>0</v>
      </c>
      <c r="N10" s="61" t="s">
        <v>89</v>
      </c>
      <c r="O10" s="62"/>
      <c r="P10" s="29" t="s">
        <v>10</v>
      </c>
      <c r="Q10" s="30"/>
      <c r="R10" s="27">
        <v>0</v>
      </c>
      <c r="S10" s="31" t="str">
        <f>IF(R10=0,"",R10/R20)</f>
        <v/>
      </c>
    </row>
    <row r="11" spans="1:19" x14ac:dyDescent="0.25">
      <c r="F11" s="76"/>
      <c r="G11" s="76"/>
      <c r="H11" s="76"/>
      <c r="J11" s="69" t="s">
        <v>64</v>
      </c>
      <c r="K11" s="70"/>
      <c r="L11" s="28">
        <f>SUM(L7:L10)</f>
        <v>0</v>
      </c>
      <c r="N11" s="61" t="s">
        <v>89</v>
      </c>
      <c r="O11" s="62"/>
      <c r="P11" s="29" t="s">
        <v>20</v>
      </c>
      <c r="Q11" s="30"/>
      <c r="R11" s="27">
        <v>0</v>
      </c>
      <c r="S11" s="31" t="str">
        <f>IF(R11=0,"",R11/R20)</f>
        <v/>
      </c>
    </row>
    <row r="12" spans="1:19" ht="18.75" x14ac:dyDescent="0.3">
      <c r="A12" s="75" t="s">
        <v>70</v>
      </c>
      <c r="B12" s="75"/>
      <c r="C12" s="75"/>
      <c r="D12" s="75"/>
      <c r="F12" s="76"/>
      <c r="G12" s="76"/>
      <c r="H12" s="76"/>
      <c r="N12" s="61" t="s">
        <v>89</v>
      </c>
      <c r="O12" s="62"/>
      <c r="P12" s="29" t="s">
        <v>13</v>
      </c>
      <c r="Q12" s="30"/>
      <c r="R12" s="27">
        <v>0</v>
      </c>
      <c r="S12" s="31" t="str">
        <f>IF(R12=0,"",R12/R20)</f>
        <v/>
      </c>
    </row>
    <row r="13" spans="1:19" ht="15.75" x14ac:dyDescent="0.25">
      <c r="A13" s="34" t="s">
        <v>71</v>
      </c>
      <c r="B13" s="23"/>
      <c r="C13" s="23"/>
      <c r="D13" s="23"/>
      <c r="N13" s="61" t="s">
        <v>89</v>
      </c>
      <c r="O13" s="62"/>
      <c r="P13" s="29" t="s">
        <v>11</v>
      </c>
      <c r="Q13" s="30"/>
      <c r="R13" s="27">
        <v>0</v>
      </c>
      <c r="S13" s="31" t="str">
        <f>IF(R13=0,"",R13/R20)</f>
        <v/>
      </c>
    </row>
    <row r="14" spans="1:19" ht="15.75" customHeight="1" x14ac:dyDescent="0.25">
      <c r="A14" s="34" t="s">
        <v>72</v>
      </c>
      <c r="B14" s="24"/>
      <c r="C14" s="24"/>
      <c r="D14" s="24"/>
      <c r="F14" s="76" t="s">
        <v>77</v>
      </c>
      <c r="G14" s="76"/>
      <c r="H14" s="76"/>
      <c r="L14" s="26"/>
      <c r="N14" s="61" t="s">
        <v>89</v>
      </c>
      <c r="O14" s="62"/>
      <c r="P14" s="29" t="s">
        <v>9</v>
      </c>
      <c r="Q14" s="30"/>
      <c r="R14" s="27">
        <v>0</v>
      </c>
      <c r="S14" s="31" t="str">
        <f>IF(R14=0,"",R14/R20)</f>
        <v/>
      </c>
    </row>
    <row r="15" spans="1:19" ht="15" customHeight="1" x14ac:dyDescent="0.25">
      <c r="A15" s="34" t="s">
        <v>73</v>
      </c>
      <c r="B15" s="24"/>
      <c r="C15" s="24"/>
      <c r="D15" s="24"/>
      <c r="F15" s="76"/>
      <c r="G15" s="76"/>
      <c r="H15" s="76"/>
      <c r="N15" s="61" t="s">
        <v>89</v>
      </c>
      <c r="O15" s="62"/>
      <c r="P15" s="29" t="s">
        <v>24</v>
      </c>
      <c r="Q15" s="30"/>
      <c r="R15" s="27">
        <v>0</v>
      </c>
      <c r="S15" s="31" t="str">
        <f>IF(R15=0,"",R15/R20)</f>
        <v/>
      </c>
    </row>
    <row r="16" spans="1:19" x14ac:dyDescent="0.25">
      <c r="A16" s="35" t="s">
        <v>74</v>
      </c>
      <c r="B16" s="23"/>
      <c r="C16" s="23"/>
      <c r="D16" s="23"/>
      <c r="F16" s="76"/>
      <c r="G16" s="76"/>
      <c r="H16" s="76"/>
      <c r="N16" s="61" t="s">
        <v>90</v>
      </c>
      <c r="O16" s="62"/>
      <c r="P16" s="29" t="s">
        <v>23</v>
      </c>
      <c r="Q16" s="30"/>
      <c r="R16" s="27">
        <v>0</v>
      </c>
      <c r="S16" s="31" t="str">
        <f>IF(R16=0,"",R16/R20)</f>
        <v/>
      </c>
    </row>
    <row r="17" spans="1:19" x14ac:dyDescent="0.25">
      <c r="A17" s="35" t="s">
        <v>110</v>
      </c>
      <c r="B17" s="23"/>
      <c r="C17" s="23"/>
      <c r="D17" s="23"/>
      <c r="N17" s="61" t="s">
        <v>91</v>
      </c>
      <c r="O17" s="62"/>
      <c r="P17" s="29" t="s">
        <v>22</v>
      </c>
      <c r="Q17" s="30"/>
      <c r="R17" s="27">
        <v>0</v>
      </c>
      <c r="S17" s="31" t="str">
        <f>IF(R17=0,"",R17/R20)</f>
        <v/>
      </c>
    </row>
    <row r="18" spans="1:19" ht="15" customHeight="1" x14ac:dyDescent="0.25">
      <c r="A18" s="35" t="s">
        <v>109</v>
      </c>
      <c r="B18" s="23"/>
      <c r="C18" s="23"/>
      <c r="D18" s="23"/>
      <c r="F18" s="76" t="s">
        <v>78</v>
      </c>
      <c r="G18" s="76"/>
      <c r="H18" s="76"/>
      <c r="N18" s="61" t="s">
        <v>18</v>
      </c>
      <c r="O18" s="62"/>
      <c r="P18" s="29" t="s">
        <v>18</v>
      </c>
      <c r="Q18" s="30"/>
      <c r="R18" s="27">
        <v>0</v>
      </c>
      <c r="S18" s="31" t="str">
        <f>IF(R18=0,"",R18/R20)</f>
        <v/>
      </c>
    </row>
    <row r="19" spans="1:19" x14ac:dyDescent="0.25">
      <c r="A19" s="35" t="s">
        <v>93</v>
      </c>
      <c r="B19" s="23"/>
      <c r="C19" s="23"/>
      <c r="D19" s="23"/>
      <c r="F19" s="76"/>
      <c r="G19" s="76"/>
      <c r="H19" s="76"/>
      <c r="N19" s="61" t="s">
        <v>18</v>
      </c>
      <c r="O19" s="62"/>
      <c r="P19" s="29" t="s">
        <v>17</v>
      </c>
      <c r="Q19" s="30"/>
      <c r="R19" s="27">
        <v>0</v>
      </c>
      <c r="S19" s="31" t="str">
        <f>IF(R19=0,"",R19/R20)</f>
        <v/>
      </c>
    </row>
    <row r="20" spans="1:19" ht="15.75" x14ac:dyDescent="0.25">
      <c r="A20" s="23"/>
      <c r="B20" s="23"/>
      <c r="C20" s="23"/>
      <c r="D20" s="23"/>
      <c r="F20" s="76"/>
      <c r="G20" s="76"/>
      <c r="H20" s="76"/>
      <c r="N20" s="80" t="s">
        <v>92</v>
      </c>
      <c r="O20" s="80"/>
      <c r="P20" s="80"/>
      <c r="Q20" s="81"/>
      <c r="R20" s="32">
        <f>SUM(_xlfn.ANCHORARRAY(R3))</f>
        <v>0</v>
      </c>
      <c r="S20" s="33">
        <f>SUM(S3:S19)</f>
        <v>0</v>
      </c>
    </row>
    <row r="21" spans="1:19" x14ac:dyDescent="0.25">
      <c r="A21" s="25"/>
      <c r="B21" s="25"/>
      <c r="C21" s="25"/>
      <c r="D21" s="25"/>
    </row>
    <row r="22" spans="1:19" x14ac:dyDescent="0.25">
      <c r="A22" s="25"/>
      <c r="B22" s="25"/>
      <c r="C22" s="25"/>
      <c r="D22" s="25"/>
    </row>
    <row r="23" spans="1:19" x14ac:dyDescent="0.25">
      <c r="A23" s="25"/>
      <c r="B23" s="25"/>
      <c r="C23" s="25"/>
      <c r="D23" s="25"/>
    </row>
    <row r="24" spans="1:19" x14ac:dyDescent="0.25">
      <c r="A24" s="25"/>
      <c r="B24" s="25"/>
      <c r="C24" s="25"/>
      <c r="D24" s="25"/>
    </row>
    <row r="25" spans="1:19" x14ac:dyDescent="0.25">
      <c r="A25" s="25"/>
      <c r="B25" s="25"/>
      <c r="C25" s="25"/>
      <c r="D25" s="25"/>
    </row>
  </sheetData>
  <mergeCells count="40">
    <mergeCell ref="N16:O16"/>
    <mergeCell ref="N17:O17"/>
    <mergeCell ref="N18:O18"/>
    <mergeCell ref="N19:O19"/>
    <mergeCell ref="N20:Q20"/>
    <mergeCell ref="A12:D12"/>
    <mergeCell ref="F6:H8"/>
    <mergeCell ref="F10:H12"/>
    <mergeCell ref="F14:H16"/>
    <mergeCell ref="F18:H20"/>
    <mergeCell ref="B6:C6"/>
    <mergeCell ref="A8:B8"/>
    <mergeCell ref="C8:D8"/>
    <mergeCell ref="A10:B10"/>
    <mergeCell ref="C10:D10"/>
    <mergeCell ref="J10:K10"/>
    <mergeCell ref="J11:K11"/>
    <mergeCell ref="F1:G2"/>
    <mergeCell ref="H1:I2"/>
    <mergeCell ref="J6:L6"/>
    <mergeCell ref="J7:K7"/>
    <mergeCell ref="J8:K8"/>
    <mergeCell ref="J9:K9"/>
    <mergeCell ref="S1:S2"/>
    <mergeCell ref="R1:R2"/>
    <mergeCell ref="P1:Q2"/>
    <mergeCell ref="N1:O2"/>
    <mergeCell ref="N3:O3"/>
    <mergeCell ref="N9:O9"/>
    <mergeCell ref="N8:O8"/>
    <mergeCell ref="N6:O6"/>
    <mergeCell ref="N7:O7"/>
    <mergeCell ref="N4:O4"/>
    <mergeCell ref="N5:O5"/>
    <mergeCell ref="N14:O14"/>
    <mergeCell ref="N15:O15"/>
    <mergeCell ref="N12:O12"/>
    <mergeCell ref="N13:O13"/>
    <mergeCell ref="N10:O10"/>
    <mergeCell ref="N11:O11"/>
  </mergeCells>
  <pageMargins left="0.7" right="0.7" top="0.75" bottom="0.75" header="0.3" footer="0.3"/>
  <pageSetup paperSize="9" scale="47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8"/>
  <dimension ref="A1:T19"/>
  <sheetViews>
    <sheetView showGridLines="0" showRowColHeaders="0" workbookViewId="0">
      <selection activeCell="A8" sqref="A8:C9"/>
    </sheetView>
  </sheetViews>
  <sheetFormatPr defaultRowHeight="15" x14ac:dyDescent="0.25"/>
  <sheetData>
    <row r="1" spans="1:20" x14ac:dyDescent="0.25">
      <c r="A1" s="134" t="s">
        <v>95</v>
      </c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5"/>
    </row>
    <row r="2" spans="1:20" x14ac:dyDescent="0.25">
      <c r="A2" s="135"/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  <c r="S2" s="135"/>
      <c r="T2" s="135"/>
    </row>
    <row r="3" spans="1:20" x14ac:dyDescent="0.25">
      <c r="A3" s="135"/>
      <c r="B3" s="135"/>
      <c r="C3" s="135"/>
      <c r="D3" s="135"/>
      <c r="E3" s="135"/>
      <c r="F3" s="135"/>
      <c r="G3" s="135"/>
      <c r="H3" s="135"/>
      <c r="I3" s="135"/>
      <c r="J3" s="135"/>
      <c r="K3" s="135"/>
      <c r="L3" s="135"/>
      <c r="M3" s="135"/>
      <c r="N3" s="135"/>
      <c r="O3" s="135"/>
      <c r="P3" s="135"/>
      <c r="Q3" s="135"/>
      <c r="R3" s="135"/>
      <c r="S3" s="135"/>
      <c r="T3" s="135"/>
    </row>
    <row r="4" spans="1:20" x14ac:dyDescent="0.25">
      <c r="A4" s="135"/>
      <c r="B4" s="135"/>
      <c r="C4" s="135"/>
      <c r="D4" s="135"/>
      <c r="E4" s="135"/>
      <c r="F4" s="135"/>
      <c r="G4" s="135"/>
      <c r="H4" s="135"/>
      <c r="I4" s="135"/>
      <c r="J4" s="135"/>
      <c r="K4" s="135"/>
      <c r="L4" s="135"/>
      <c r="M4" s="135"/>
      <c r="N4" s="135"/>
      <c r="O4" s="135"/>
      <c r="P4" s="135"/>
      <c r="Q4" s="135"/>
      <c r="R4" s="135"/>
      <c r="S4" s="135"/>
      <c r="T4" s="135"/>
    </row>
    <row r="6" spans="1:20" ht="15.75" thickBot="1" x14ac:dyDescent="0.3">
      <c r="A6" s="55"/>
      <c r="B6" s="55"/>
      <c r="C6" s="55"/>
      <c r="I6" s="45"/>
      <c r="J6" s="26"/>
      <c r="K6" s="26"/>
      <c r="L6" s="46"/>
    </row>
    <row r="7" spans="1:20" ht="16.5" thickTop="1" x14ac:dyDescent="0.25">
      <c r="A7" s="136" t="s">
        <v>96</v>
      </c>
      <c r="B7" s="137"/>
      <c r="C7" s="138"/>
      <c r="D7" s="57"/>
      <c r="E7" s="93" t="s">
        <v>97</v>
      </c>
      <c r="F7" s="94"/>
      <c r="G7" s="94"/>
      <c r="H7" s="94"/>
      <c r="I7" s="122" t="s">
        <v>98</v>
      </c>
      <c r="J7" s="94"/>
      <c r="K7" s="94"/>
      <c r="L7" s="117"/>
      <c r="M7" s="122" t="s">
        <v>99</v>
      </c>
      <c r="N7" s="94"/>
      <c r="O7" s="94"/>
      <c r="P7" s="117"/>
      <c r="Q7" s="122" t="s">
        <v>100</v>
      </c>
      <c r="R7" s="95"/>
      <c r="S7" s="50"/>
      <c r="T7" s="51"/>
    </row>
    <row r="8" spans="1:20" x14ac:dyDescent="0.25">
      <c r="A8" s="139"/>
      <c r="B8" s="140"/>
      <c r="C8" s="141"/>
      <c r="D8" s="57"/>
      <c r="E8" s="118" t="str">
        <f>IF(A8="","",LOOKUP(A8,Tabela5[],Tabela5[RAZÃO SOCIAL]))</f>
        <v/>
      </c>
      <c r="F8" s="89"/>
      <c r="G8" s="89"/>
      <c r="H8" s="89"/>
      <c r="I8" s="82" t="str">
        <f>IF(A8="","",LOOKUP(A8,Tabela5[],Tabela5[CATEGORIA]))</f>
        <v/>
      </c>
      <c r="J8" s="89"/>
      <c r="K8" s="89"/>
      <c r="L8" s="83"/>
      <c r="M8" s="82" t="str">
        <f>IF(A8="","",LOOKUP(A8,Tabela5[],Tabela5[INSCR EST]))</f>
        <v/>
      </c>
      <c r="N8" s="89"/>
      <c r="O8" s="89"/>
      <c r="P8" s="83"/>
      <c r="Q8" s="123" t="str">
        <f>IF(A8="","",LOOKUP(A8,Tabela5[],Tabela5[DV]))</f>
        <v/>
      </c>
      <c r="R8" s="132"/>
      <c r="S8" s="52"/>
      <c r="T8" s="53"/>
    </row>
    <row r="9" spans="1:20" ht="15.75" thickBot="1" x14ac:dyDescent="0.3">
      <c r="A9" s="142"/>
      <c r="B9" s="143"/>
      <c r="C9" s="144"/>
      <c r="D9" s="57"/>
      <c r="E9" s="119"/>
      <c r="F9" s="120"/>
      <c r="G9" s="120"/>
      <c r="H9" s="120"/>
      <c r="I9" s="125"/>
      <c r="J9" s="120"/>
      <c r="K9" s="120"/>
      <c r="L9" s="121"/>
      <c r="M9" s="125"/>
      <c r="N9" s="120"/>
      <c r="O9" s="120"/>
      <c r="P9" s="121"/>
      <c r="Q9" s="125"/>
      <c r="R9" s="133"/>
      <c r="S9" s="52"/>
      <c r="T9" s="53"/>
    </row>
    <row r="10" spans="1:20" ht="15.75" thickTop="1" x14ac:dyDescent="0.25">
      <c r="I10" s="47"/>
      <c r="J10" s="48"/>
      <c r="K10" s="48"/>
      <c r="L10" s="49"/>
    </row>
    <row r="11" spans="1:20" ht="15.75" thickBot="1" x14ac:dyDescent="0.3">
      <c r="A11" s="55"/>
      <c r="B11" s="55"/>
      <c r="C11" s="55"/>
      <c r="E11" s="26"/>
    </row>
    <row r="12" spans="1:20" ht="15.75" thickTop="1" x14ac:dyDescent="0.25">
      <c r="A12" s="93" t="s">
        <v>104</v>
      </c>
      <c r="B12" s="94"/>
      <c r="C12" s="95"/>
      <c r="E12" s="93" t="s">
        <v>101</v>
      </c>
      <c r="F12" s="94"/>
      <c r="G12" s="94"/>
      <c r="H12" s="117"/>
      <c r="I12" s="94" t="s">
        <v>102</v>
      </c>
      <c r="J12" s="94"/>
      <c r="K12" s="94"/>
      <c r="L12" s="117"/>
      <c r="M12" s="122" t="s">
        <v>103</v>
      </c>
      <c r="N12" s="117"/>
      <c r="O12" s="122" t="s">
        <v>56</v>
      </c>
      <c r="P12" s="94"/>
      <c r="Q12" s="95"/>
    </row>
    <row r="13" spans="1:20" x14ac:dyDescent="0.25">
      <c r="A13" s="96" t="str">
        <f>IF(A8="","",LOOKUP(A8,Tabela5[],Tabela5[DATA CADASTRAMENTO]))</f>
        <v/>
      </c>
      <c r="B13" s="97"/>
      <c r="C13" s="98"/>
      <c r="E13" s="118" t="str">
        <f>IF(A8="","",LOOKUP(A8,Tabela5[],Tabela5[DESCRICAO DE COMPRA]))</f>
        <v/>
      </c>
      <c r="F13" s="89"/>
      <c r="G13" s="89"/>
      <c r="H13" s="83"/>
      <c r="I13" s="89" t="str">
        <f>IF(A8="","",LOOKUP(A8,Tabela5[],Tabela5[E-MAIL]))</f>
        <v/>
      </c>
      <c r="J13" s="89"/>
      <c r="K13" s="89"/>
      <c r="L13" s="83"/>
      <c r="M13" s="123" t="str">
        <f>IF(A8="","",LOOKUP(A8,Tabela5[],Tabela5[SETOR SEG]))</f>
        <v/>
      </c>
      <c r="N13" s="124"/>
      <c r="O13" s="126" t="str">
        <f>IF(A8="","",LOOKUP(A8,Tabela5[],Tabela5[CPF/CNPJ]))</f>
        <v/>
      </c>
      <c r="P13" s="127"/>
      <c r="Q13" s="128"/>
    </row>
    <row r="14" spans="1:20" ht="15.75" thickBot="1" x14ac:dyDescent="0.3">
      <c r="A14" s="99"/>
      <c r="B14" s="100"/>
      <c r="C14" s="101"/>
      <c r="E14" s="119"/>
      <c r="F14" s="120"/>
      <c r="G14" s="120"/>
      <c r="H14" s="121"/>
      <c r="I14" s="120"/>
      <c r="J14" s="120"/>
      <c r="K14" s="120"/>
      <c r="L14" s="121"/>
      <c r="M14" s="125"/>
      <c r="N14" s="121"/>
      <c r="O14" s="129"/>
      <c r="P14" s="130"/>
      <c r="Q14" s="131"/>
    </row>
    <row r="15" spans="1:20" ht="16.5" thickTop="1" thickBot="1" x14ac:dyDescent="0.3">
      <c r="A15" s="56"/>
      <c r="B15" s="56"/>
      <c r="C15" s="56"/>
      <c r="H15" s="54"/>
      <c r="J15" s="44"/>
      <c r="L15" s="54"/>
      <c r="N15" s="54"/>
      <c r="O15" s="44"/>
      <c r="P15" s="55"/>
      <c r="Q15" s="54"/>
    </row>
    <row r="16" spans="1:20" ht="15.75" thickTop="1" x14ac:dyDescent="0.25">
      <c r="A16" s="93" t="s">
        <v>105</v>
      </c>
      <c r="B16" s="94"/>
      <c r="C16" s="95"/>
      <c r="E16" s="108" t="s">
        <v>55</v>
      </c>
      <c r="F16" s="109"/>
      <c r="G16" s="114" t="s">
        <v>107</v>
      </c>
      <c r="H16" s="115"/>
      <c r="I16" s="109"/>
      <c r="J16" s="86" t="s">
        <v>108</v>
      </c>
      <c r="K16" s="116"/>
      <c r="L16" s="86" t="s">
        <v>106</v>
      </c>
      <c r="M16" s="87"/>
      <c r="N16" s="87"/>
      <c r="O16" s="87"/>
      <c r="P16" s="87"/>
      <c r="Q16" s="87"/>
      <c r="R16" s="88"/>
      <c r="S16" s="18"/>
    </row>
    <row r="17" spans="1:18" x14ac:dyDescent="0.25">
      <c r="A17" s="102" t="str">
        <f>IF(A8="","",LOOKUP(A8,Tabela5[],Tabela5[TELEFONE]))</f>
        <v/>
      </c>
      <c r="B17" s="103"/>
      <c r="C17" s="104"/>
      <c r="E17" s="110" t="str">
        <f>IF(A8="","",LOOKUP(A8,Tabela5[],Tabela5[CEP]))</f>
        <v/>
      </c>
      <c r="F17" s="111"/>
      <c r="G17" s="89" t="str">
        <f>IF(A8="","",LOOKUP(A8,Tabela5[],Tabela5[BAIRRO]))</f>
        <v/>
      </c>
      <c r="H17" s="89"/>
      <c r="I17" s="83"/>
      <c r="J17" s="82" t="str">
        <f>IF(A8="","",LOOKUP(A8,Tabela5[],Tabela5[CIDADE]))</f>
        <v/>
      </c>
      <c r="K17" s="83"/>
      <c r="L17" s="89" t="str">
        <f>IF(A8="","",LOOKUP(A8,Tabela5[],Tabela5[ENDEREÇO]))</f>
        <v/>
      </c>
      <c r="M17" s="89"/>
      <c r="N17" s="89"/>
      <c r="O17" s="89"/>
      <c r="P17" s="89"/>
      <c r="Q17" s="89"/>
      <c r="R17" s="90"/>
    </row>
    <row r="18" spans="1:18" ht="15.75" thickBot="1" x14ac:dyDescent="0.3">
      <c r="A18" s="105"/>
      <c r="B18" s="106"/>
      <c r="C18" s="107"/>
      <c r="E18" s="112"/>
      <c r="F18" s="113"/>
      <c r="G18" s="91"/>
      <c r="H18" s="91"/>
      <c r="I18" s="85"/>
      <c r="J18" s="84"/>
      <c r="K18" s="85"/>
      <c r="L18" s="91"/>
      <c r="M18" s="91"/>
      <c r="N18" s="91"/>
      <c r="O18" s="91"/>
      <c r="P18" s="91"/>
      <c r="Q18" s="91"/>
      <c r="R18" s="92"/>
    </row>
    <row r="19" spans="1:18" ht="15.75" thickTop="1" x14ac:dyDescent="0.25">
      <c r="I19" s="54"/>
    </row>
  </sheetData>
  <mergeCells count="31">
    <mergeCell ref="M7:P7"/>
    <mergeCell ref="M8:P9"/>
    <mergeCell ref="Q7:R7"/>
    <mergeCell ref="Q8:R9"/>
    <mergeCell ref="A1:T4"/>
    <mergeCell ref="A7:C7"/>
    <mergeCell ref="A8:C9"/>
    <mergeCell ref="E7:H7"/>
    <mergeCell ref="E8:H9"/>
    <mergeCell ref="I7:L7"/>
    <mergeCell ref="M12:N12"/>
    <mergeCell ref="M13:N14"/>
    <mergeCell ref="O12:Q12"/>
    <mergeCell ref="O13:Q14"/>
    <mergeCell ref="I8:L9"/>
    <mergeCell ref="J17:K18"/>
    <mergeCell ref="L16:R16"/>
    <mergeCell ref="L17:R18"/>
    <mergeCell ref="A12:C12"/>
    <mergeCell ref="A13:C14"/>
    <mergeCell ref="A16:C16"/>
    <mergeCell ref="A17:C18"/>
    <mergeCell ref="E16:F16"/>
    <mergeCell ref="E17:F18"/>
    <mergeCell ref="G16:I16"/>
    <mergeCell ref="G17:I18"/>
    <mergeCell ref="J16:K16"/>
    <mergeCell ref="E12:H12"/>
    <mergeCell ref="E13:H14"/>
    <mergeCell ref="I12:L12"/>
    <mergeCell ref="I13:L14"/>
  </mergeCells>
  <pageMargins left="0.511811024" right="0.511811024" top="0.78740157499999996" bottom="0.78740157499999996" header="0.31496062000000002" footer="0.31496062000000002"/>
  <pageSetup paperSize="9" orientation="portrait" verticalDpi="0" r:id="rId1"/>
  <drawing r:id="rId2"/>
  <picture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Q3"/>
  <sheetViews>
    <sheetView showGridLines="0" showRowColHeaders="0" workbookViewId="0">
      <selection activeCell="A2" sqref="A2"/>
    </sheetView>
  </sheetViews>
  <sheetFormatPr defaultRowHeight="15" x14ac:dyDescent="0.25"/>
  <cols>
    <col min="1" max="1" width="9.140625" style="2"/>
    <col min="2" max="2" width="51.140625" style="7" bestFit="1" customWidth="1"/>
    <col min="3" max="3" width="22.85546875" customWidth="1"/>
    <col min="4" max="4" width="18.28515625" customWidth="1"/>
    <col min="5" max="5" width="10.85546875" style="2" bestFit="1" customWidth="1"/>
    <col min="6" max="6" width="18.42578125" bestFit="1" customWidth="1"/>
    <col min="8" max="8" width="27.140625" bestFit="1" customWidth="1"/>
    <col min="9" max="9" width="39.140625" customWidth="1"/>
    <col min="10" max="10" width="15" style="2" bestFit="1" customWidth="1"/>
    <col min="11" max="11" width="47" bestFit="1" customWidth="1"/>
    <col min="12" max="12" width="26.42578125" style="7" bestFit="1" customWidth="1"/>
    <col min="13" max="13" width="18.42578125" customWidth="1"/>
    <col min="14" max="14" width="14.28515625" style="15" customWidth="1"/>
    <col min="15" max="15" width="17" style="10" bestFit="1" customWidth="1"/>
    <col min="16" max="16" width="15.140625" style="14" customWidth="1"/>
    <col min="17" max="17" width="27.42578125" style="11" bestFit="1" customWidth="1"/>
  </cols>
  <sheetData>
    <row r="1" spans="1:17" ht="51.75" customHeight="1" x14ac:dyDescent="0.25">
      <c r="A1" s="36"/>
      <c r="B1" s="43" t="s">
        <v>94</v>
      </c>
      <c r="C1" s="38"/>
      <c r="D1" s="38"/>
      <c r="E1" s="36"/>
      <c r="F1" s="38"/>
      <c r="G1" s="38"/>
      <c r="H1" s="38"/>
      <c r="I1" s="38"/>
      <c r="J1" s="36"/>
      <c r="K1" s="38"/>
      <c r="L1" s="37"/>
      <c r="M1" s="38"/>
      <c r="N1" s="39"/>
      <c r="O1" s="40"/>
      <c r="P1" s="41"/>
      <c r="Q1" s="42"/>
    </row>
    <row r="2" spans="1:17" x14ac:dyDescent="0.25">
      <c r="A2" s="2" t="s">
        <v>25</v>
      </c>
      <c r="B2" s="2" t="s">
        <v>26</v>
      </c>
      <c r="C2" s="2" t="s">
        <v>27</v>
      </c>
      <c r="D2" s="2" t="s">
        <v>45</v>
      </c>
      <c r="E2" s="2" t="s">
        <v>47</v>
      </c>
      <c r="F2" s="2" t="s">
        <v>46</v>
      </c>
      <c r="G2" s="2" t="s">
        <v>48</v>
      </c>
      <c r="H2" s="2" t="s">
        <v>49</v>
      </c>
      <c r="I2" s="2" t="s">
        <v>50</v>
      </c>
      <c r="J2" s="2" t="s">
        <v>51</v>
      </c>
      <c r="K2" s="2" t="s">
        <v>52</v>
      </c>
      <c r="L2" s="7" t="s">
        <v>53</v>
      </c>
      <c r="M2" s="2" t="s">
        <v>54</v>
      </c>
      <c r="N2" s="15" t="s">
        <v>55</v>
      </c>
      <c r="O2" s="9" t="s">
        <v>56</v>
      </c>
      <c r="P2" s="12" t="s">
        <v>57</v>
      </c>
      <c r="Q2" s="11" t="s">
        <v>58</v>
      </c>
    </row>
    <row r="3" spans="1:17" x14ac:dyDescent="0.25">
      <c r="A3"/>
      <c r="B3" s="1"/>
      <c r="C3" s="1"/>
      <c r="D3" s="1"/>
      <c r="E3" s="6" t="str">
        <f>'Calculos de Data'!O3</f>
        <v>SEM VISITA</v>
      </c>
      <c r="F3" s="1"/>
      <c r="H3" s="1"/>
      <c r="I3" s="1"/>
      <c r="J3"/>
      <c r="K3" s="1" t="str">
        <f>_xlfn.CONCAT('base 805'!C2:D2)</f>
        <v/>
      </c>
      <c r="L3" s="1"/>
      <c r="M3" s="1"/>
      <c r="N3" s="16"/>
      <c r="O3"/>
      <c r="P3" s="13"/>
      <c r="Q3" s="17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9"/>
  <dimension ref="A1:S2"/>
  <sheetViews>
    <sheetView workbookViewId="0">
      <selection activeCell="A2" sqref="A2"/>
    </sheetView>
  </sheetViews>
  <sheetFormatPr defaultRowHeight="15" x14ac:dyDescent="0.25"/>
  <cols>
    <col min="1" max="1" width="7.42578125" bestFit="1" customWidth="1"/>
    <col min="2" max="2" width="51.140625" bestFit="1" customWidth="1"/>
    <col min="3" max="3" width="36.7109375" bestFit="1" customWidth="1"/>
    <col min="4" max="4" width="12.85546875" bestFit="1" customWidth="1"/>
    <col min="5" max="5" width="10.85546875" bestFit="1" customWidth="1"/>
    <col min="6" max="6" width="17.85546875" bestFit="1" customWidth="1"/>
    <col min="7" max="7" width="28.28515625" bestFit="1" customWidth="1"/>
    <col min="8" max="8" width="10.140625" bestFit="1" customWidth="1"/>
    <col min="9" max="9" width="21.140625" bestFit="1" customWidth="1"/>
    <col min="10" max="10" width="52.28515625" bestFit="1" customWidth="1"/>
    <col min="11" max="11" width="10.28515625" bestFit="1" customWidth="1"/>
    <col min="12" max="12" width="11.85546875" bestFit="1" customWidth="1"/>
    <col min="13" max="13" width="12.28515625" bestFit="1" customWidth="1"/>
    <col min="14" max="14" width="47" bestFit="1" customWidth="1"/>
    <col min="15" max="15" width="26.42578125" bestFit="1" customWidth="1"/>
    <col min="16" max="16" width="27.85546875" bestFit="1" customWidth="1"/>
    <col min="17" max="17" width="9.7109375" bestFit="1" customWidth="1"/>
    <col min="18" max="18" width="17.85546875" style="60" bestFit="1" customWidth="1"/>
    <col min="19" max="19" width="14.28515625" bestFit="1" customWidth="1"/>
  </cols>
  <sheetData>
    <row r="1" spans="1:19" x14ac:dyDescent="0.25">
      <c r="A1" s="58" t="s">
        <v>25</v>
      </c>
      <c r="B1" s="58" t="s">
        <v>111</v>
      </c>
      <c r="C1" s="58" t="s">
        <v>27</v>
      </c>
      <c r="D1" s="58" t="s">
        <v>112</v>
      </c>
      <c r="E1" s="58" t="s">
        <v>47</v>
      </c>
      <c r="F1" s="58" t="s">
        <v>45</v>
      </c>
      <c r="G1" s="58" t="s">
        <v>113</v>
      </c>
      <c r="H1" s="58" t="s">
        <v>114</v>
      </c>
      <c r="I1" s="58" t="s">
        <v>115</v>
      </c>
      <c r="J1" s="58" t="s">
        <v>50</v>
      </c>
      <c r="K1" s="58" t="s">
        <v>116</v>
      </c>
      <c r="L1" s="58" t="s">
        <v>117</v>
      </c>
      <c r="M1" s="58" t="s">
        <v>51</v>
      </c>
      <c r="N1" s="58" t="s">
        <v>52</v>
      </c>
      <c r="O1" s="58" t="s">
        <v>53</v>
      </c>
      <c r="P1" s="58" t="s">
        <v>54</v>
      </c>
      <c r="Q1" s="58" t="s">
        <v>55</v>
      </c>
      <c r="R1" s="59" t="s">
        <v>118</v>
      </c>
      <c r="S1" s="58" t="s">
        <v>119</v>
      </c>
    </row>
    <row r="2" spans="1:19" x14ac:dyDescent="0.25">
      <c r="B2" s="1"/>
      <c r="C2" s="1"/>
      <c r="D2" t="str">
        <f>Tabela9[[#This Row],[Compilado]]</f>
        <v>20-Rota</v>
      </c>
      <c r="E2" s="6" t="str">
        <f>'Calculos de Data'!O2</f>
        <v>P/VISITA</v>
      </c>
      <c r="F2" s="1"/>
      <c r="G2" s="1"/>
      <c r="I2" s="1"/>
      <c r="J2" s="1"/>
      <c r="K2" t="str">
        <f>IF(Tabela8[[#This Row],[SETOR]]&lt;200,"GV 10",IF(Tabela8[[#This Row],[SETOR]]&lt;300,"GV 20",IF(Tabela8[[#This Row],[SETOR]]&lt;400,"GV 30","S/GV")))</f>
        <v>GV 10</v>
      </c>
      <c r="N2" t="str">
        <f>_xlfn.CONCAT('base 805'!C2:D2)</f>
        <v/>
      </c>
      <c r="O2" s="1"/>
      <c r="P2" s="1"/>
      <c r="Q2" s="16"/>
      <c r="R2"/>
      <c r="S2" s="13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H4439"/>
  <sheetViews>
    <sheetView workbookViewId="0">
      <selection activeCell="B6" sqref="B6"/>
    </sheetView>
  </sheetViews>
  <sheetFormatPr defaultRowHeight="15" x14ac:dyDescent="0.25"/>
  <cols>
    <col min="1" max="1" width="11.140625" bestFit="1" customWidth="1"/>
    <col min="2" max="2" width="51.140625" bestFit="1" customWidth="1"/>
    <col min="3" max="3" width="36.7109375" bestFit="1" customWidth="1"/>
    <col min="4" max="4" width="21.42578125" bestFit="1" customWidth="1"/>
    <col min="5" max="5" width="17.85546875" bestFit="1" customWidth="1"/>
    <col min="6" max="6" width="28.28515625" bestFit="1" customWidth="1"/>
    <col min="7" max="7" width="11.140625" bestFit="1" customWidth="1"/>
    <col min="8" max="8" width="21.14062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B2" s="1"/>
      <c r="C2" s="1"/>
      <c r="D2" s="1"/>
      <c r="E2" s="1"/>
      <c r="F2" s="1"/>
      <c r="H2" s="1"/>
    </row>
    <row r="3" spans="1:8" x14ac:dyDescent="0.25">
      <c r="B3" s="1"/>
      <c r="C3" s="1"/>
      <c r="D3" s="1"/>
      <c r="E3" s="1"/>
      <c r="F3" s="1"/>
      <c r="H3" s="1"/>
    </row>
    <row r="4" spans="1:8" x14ac:dyDescent="0.25">
      <c r="B4" s="1"/>
      <c r="C4" s="1"/>
      <c r="D4" s="1"/>
      <c r="E4" s="1"/>
      <c r="F4" s="1"/>
      <c r="H4" s="1"/>
    </row>
    <row r="5" spans="1:8" x14ac:dyDescent="0.25">
      <c r="B5" s="1"/>
      <c r="C5" s="1"/>
      <c r="D5" s="1"/>
      <c r="E5" s="1"/>
      <c r="F5" s="1"/>
      <c r="H5" s="1"/>
    </row>
    <row r="6" spans="1:8" x14ac:dyDescent="0.25">
      <c r="B6" s="1"/>
      <c r="C6" s="1"/>
      <c r="D6" s="1"/>
      <c r="E6" s="1"/>
      <c r="F6" s="1"/>
      <c r="H6" s="1"/>
    </row>
    <row r="7" spans="1:8" x14ac:dyDescent="0.25">
      <c r="B7" s="1"/>
      <c r="C7" s="1"/>
      <c r="D7" s="1"/>
      <c r="E7" s="1"/>
      <c r="F7" s="1"/>
      <c r="H7" s="1"/>
    </row>
    <row r="8" spans="1:8" x14ac:dyDescent="0.25">
      <c r="B8" s="1"/>
      <c r="C8" s="1"/>
      <c r="D8" s="1"/>
      <c r="E8" s="1"/>
      <c r="F8" s="1"/>
      <c r="H8" s="1"/>
    </row>
    <row r="9" spans="1:8" x14ac:dyDescent="0.25">
      <c r="B9" s="1"/>
      <c r="C9" s="1"/>
      <c r="D9" s="1"/>
      <c r="E9" s="1"/>
      <c r="F9" s="1"/>
      <c r="H9" s="1"/>
    </row>
    <row r="10" spans="1:8" x14ac:dyDescent="0.25">
      <c r="B10" s="1"/>
      <c r="C10" s="1"/>
      <c r="D10" s="1"/>
      <c r="E10" s="1"/>
      <c r="F10" s="1"/>
      <c r="H10" s="1"/>
    </row>
    <row r="11" spans="1:8" x14ac:dyDescent="0.25">
      <c r="B11" s="1"/>
      <c r="C11" s="1"/>
      <c r="D11" s="1"/>
      <c r="E11" s="1"/>
      <c r="F11" s="1"/>
      <c r="H11" s="1"/>
    </row>
    <row r="12" spans="1:8" x14ac:dyDescent="0.25">
      <c r="B12" s="1"/>
      <c r="C12" s="1"/>
      <c r="D12" s="1"/>
      <c r="E12" s="1"/>
      <c r="F12" s="1"/>
      <c r="H12" s="1"/>
    </row>
    <row r="13" spans="1:8" x14ac:dyDescent="0.25">
      <c r="B13" s="1"/>
      <c r="C13" s="1"/>
      <c r="D13" s="1"/>
      <c r="E13" s="1"/>
      <c r="F13" s="1"/>
      <c r="H13" s="1"/>
    </row>
    <row r="14" spans="1:8" x14ac:dyDescent="0.25">
      <c r="B14" s="1"/>
      <c r="C14" s="1"/>
      <c r="D14" s="1"/>
      <c r="E14" s="1"/>
      <c r="F14" s="1"/>
      <c r="H14" s="1"/>
    </row>
    <row r="15" spans="1:8" x14ac:dyDescent="0.25">
      <c r="B15" s="1"/>
      <c r="C15" s="1"/>
      <c r="D15" s="1"/>
      <c r="E15" s="1"/>
      <c r="F15" s="1"/>
      <c r="H15" s="1"/>
    </row>
    <row r="16" spans="1:8" x14ac:dyDescent="0.25">
      <c r="B16" s="1"/>
      <c r="C16" s="1"/>
      <c r="D16" s="1"/>
      <c r="E16" s="1"/>
      <c r="F16" s="1"/>
      <c r="H16" s="1"/>
    </row>
    <row r="17" spans="2:8" x14ac:dyDescent="0.25">
      <c r="B17" s="1"/>
      <c r="C17" s="1"/>
      <c r="D17" s="1"/>
      <c r="E17" s="1"/>
      <c r="F17" s="1"/>
      <c r="H17" s="1"/>
    </row>
    <row r="18" spans="2:8" x14ac:dyDescent="0.25">
      <c r="B18" s="1"/>
      <c r="C18" s="1"/>
      <c r="D18" s="1"/>
      <c r="E18" s="1"/>
      <c r="F18" s="1"/>
      <c r="H18" s="1"/>
    </row>
    <row r="19" spans="2:8" x14ac:dyDescent="0.25">
      <c r="B19" s="1"/>
      <c r="C19" s="1"/>
      <c r="D19" s="1"/>
      <c r="E19" s="1"/>
      <c r="F19" s="1"/>
      <c r="H19" s="1"/>
    </row>
    <row r="20" spans="2:8" x14ac:dyDescent="0.25">
      <c r="B20" s="1"/>
      <c r="C20" s="1"/>
      <c r="D20" s="1"/>
      <c r="E20" s="1"/>
      <c r="F20" s="1"/>
      <c r="H20" s="1"/>
    </row>
    <row r="21" spans="2:8" x14ac:dyDescent="0.25">
      <c r="B21" s="1"/>
      <c r="C21" s="1"/>
      <c r="D21" s="1"/>
      <c r="E21" s="1"/>
      <c r="F21" s="1"/>
      <c r="H21" s="1"/>
    </row>
    <row r="22" spans="2:8" x14ac:dyDescent="0.25">
      <c r="B22" s="1"/>
      <c r="C22" s="1"/>
      <c r="D22" s="1"/>
      <c r="E22" s="1"/>
      <c r="F22" s="1"/>
      <c r="H22" s="1"/>
    </row>
    <row r="23" spans="2:8" x14ac:dyDescent="0.25">
      <c r="B23" s="1"/>
      <c r="C23" s="1"/>
      <c r="D23" s="1"/>
      <c r="E23" s="1"/>
      <c r="F23" s="1"/>
      <c r="H23" s="1"/>
    </row>
    <row r="24" spans="2:8" x14ac:dyDescent="0.25">
      <c r="B24" s="1"/>
      <c r="C24" s="1"/>
      <c r="D24" s="1"/>
      <c r="E24" s="1"/>
      <c r="F24" s="1"/>
      <c r="H24" s="1"/>
    </row>
    <row r="25" spans="2:8" x14ac:dyDescent="0.25">
      <c r="B25" s="1"/>
      <c r="C25" s="1"/>
      <c r="D25" s="1"/>
      <c r="E25" s="1"/>
      <c r="F25" s="1"/>
      <c r="H25" s="1"/>
    </row>
    <row r="26" spans="2:8" x14ac:dyDescent="0.25">
      <c r="B26" s="1"/>
      <c r="C26" s="1"/>
      <c r="D26" s="1"/>
      <c r="E26" s="1"/>
      <c r="F26" s="1"/>
      <c r="H26" s="1"/>
    </row>
    <row r="27" spans="2:8" x14ac:dyDescent="0.25">
      <c r="B27" s="1"/>
      <c r="C27" s="1"/>
      <c r="D27" s="1"/>
      <c r="E27" s="1"/>
      <c r="F27" s="1"/>
      <c r="H27" s="1"/>
    </row>
    <row r="28" spans="2:8" x14ac:dyDescent="0.25">
      <c r="B28" s="1"/>
      <c r="C28" s="1"/>
      <c r="D28" s="1"/>
      <c r="E28" s="1"/>
      <c r="F28" s="1"/>
      <c r="H28" s="1"/>
    </row>
    <row r="29" spans="2:8" x14ac:dyDescent="0.25">
      <c r="B29" s="1"/>
      <c r="C29" s="1"/>
      <c r="D29" s="1"/>
      <c r="E29" s="1"/>
      <c r="F29" s="1"/>
      <c r="H29" s="1"/>
    </row>
    <row r="30" spans="2:8" x14ac:dyDescent="0.25">
      <c r="B30" s="1"/>
      <c r="C30" s="1"/>
      <c r="D30" s="1"/>
      <c r="E30" s="1"/>
      <c r="F30" s="1"/>
      <c r="H30" s="1"/>
    </row>
    <row r="31" spans="2:8" x14ac:dyDescent="0.25">
      <c r="B31" s="1"/>
      <c r="C31" s="1"/>
      <c r="D31" s="1"/>
      <c r="E31" s="1"/>
      <c r="F31" s="1"/>
      <c r="H31" s="1"/>
    </row>
    <row r="32" spans="2:8" x14ac:dyDescent="0.25">
      <c r="B32" s="1"/>
      <c r="C32" s="1"/>
      <c r="D32" s="1"/>
      <c r="E32" s="1"/>
      <c r="F32" s="1"/>
      <c r="H32" s="1"/>
    </row>
    <row r="33" spans="2:8" x14ac:dyDescent="0.25">
      <c r="B33" s="1"/>
      <c r="C33" s="1"/>
      <c r="D33" s="1"/>
      <c r="E33" s="1"/>
      <c r="F33" s="1"/>
      <c r="H33" s="1"/>
    </row>
    <row r="34" spans="2:8" x14ac:dyDescent="0.25">
      <c r="B34" s="1"/>
      <c r="C34" s="1"/>
      <c r="D34" s="1"/>
      <c r="E34" s="1"/>
      <c r="F34" s="1"/>
      <c r="H34" s="1"/>
    </row>
    <row r="35" spans="2:8" x14ac:dyDescent="0.25">
      <c r="B35" s="1"/>
      <c r="C35" s="1"/>
      <c r="D35" s="1"/>
      <c r="E35" s="1"/>
      <c r="F35" s="1"/>
      <c r="H35" s="1"/>
    </row>
    <row r="36" spans="2:8" x14ac:dyDescent="0.25">
      <c r="B36" s="1"/>
      <c r="C36" s="1"/>
      <c r="D36" s="1"/>
      <c r="E36" s="1"/>
      <c r="F36" s="1"/>
      <c r="H36" s="1"/>
    </row>
    <row r="37" spans="2:8" x14ac:dyDescent="0.25">
      <c r="B37" s="1"/>
      <c r="C37" s="1"/>
      <c r="D37" s="1"/>
      <c r="E37" s="1"/>
      <c r="F37" s="1"/>
      <c r="H37" s="1"/>
    </row>
    <row r="38" spans="2:8" x14ac:dyDescent="0.25">
      <c r="B38" s="1"/>
      <c r="C38" s="1"/>
      <c r="D38" s="1"/>
      <c r="E38" s="1"/>
      <c r="F38" s="1"/>
      <c r="H38" s="1"/>
    </row>
    <row r="39" spans="2:8" x14ac:dyDescent="0.25">
      <c r="B39" s="1"/>
      <c r="C39" s="1"/>
      <c r="D39" s="1"/>
      <c r="E39" s="1"/>
      <c r="F39" s="1"/>
      <c r="H39" s="1"/>
    </row>
    <row r="40" spans="2:8" x14ac:dyDescent="0.25">
      <c r="B40" s="1"/>
      <c r="C40" s="1"/>
      <c r="D40" s="1"/>
      <c r="E40" s="1"/>
      <c r="F40" s="1"/>
      <c r="H40" s="1"/>
    </row>
    <row r="41" spans="2:8" x14ac:dyDescent="0.25">
      <c r="B41" s="1"/>
      <c r="C41" s="1"/>
      <c r="D41" s="1"/>
      <c r="E41" s="1"/>
      <c r="F41" s="1"/>
      <c r="H41" s="1"/>
    </row>
    <row r="42" spans="2:8" x14ac:dyDescent="0.25">
      <c r="B42" s="1"/>
      <c r="C42" s="1"/>
      <c r="D42" s="1"/>
      <c r="E42" s="1"/>
      <c r="F42" s="1"/>
      <c r="H42" s="1"/>
    </row>
    <row r="43" spans="2:8" x14ac:dyDescent="0.25">
      <c r="B43" s="1"/>
      <c r="C43" s="1"/>
      <c r="D43" s="1"/>
      <c r="E43" s="1"/>
      <c r="F43" s="1"/>
      <c r="H43" s="1"/>
    </row>
    <row r="44" spans="2:8" x14ac:dyDescent="0.25">
      <c r="B44" s="1"/>
      <c r="C44" s="1"/>
      <c r="D44" s="1"/>
      <c r="E44" s="1"/>
      <c r="F44" s="1"/>
      <c r="H44" s="1"/>
    </row>
    <row r="45" spans="2:8" x14ac:dyDescent="0.25">
      <c r="B45" s="1"/>
      <c r="C45" s="1"/>
      <c r="D45" s="1"/>
      <c r="E45" s="1"/>
      <c r="F45" s="1"/>
      <c r="H45" s="1"/>
    </row>
    <row r="46" spans="2:8" x14ac:dyDescent="0.25">
      <c r="B46" s="1"/>
      <c r="C46" s="1"/>
      <c r="D46" s="1"/>
      <c r="E46" s="1"/>
      <c r="F46" s="1"/>
      <c r="H46" s="1"/>
    </row>
    <row r="47" spans="2:8" x14ac:dyDescent="0.25">
      <c r="B47" s="1"/>
      <c r="C47" s="1"/>
      <c r="D47" s="1"/>
      <c r="E47" s="1"/>
      <c r="F47" s="1"/>
      <c r="H47" s="1"/>
    </row>
    <row r="48" spans="2:8" x14ac:dyDescent="0.25">
      <c r="B48" s="1"/>
      <c r="C48" s="1"/>
      <c r="D48" s="1"/>
      <c r="E48" s="1"/>
      <c r="F48" s="1"/>
      <c r="H48" s="1"/>
    </row>
    <row r="49" spans="2:8" x14ac:dyDescent="0.25">
      <c r="B49" s="1"/>
      <c r="C49" s="1"/>
      <c r="D49" s="1"/>
      <c r="E49" s="1"/>
      <c r="F49" s="1"/>
      <c r="H49" s="1"/>
    </row>
    <row r="50" spans="2:8" x14ac:dyDescent="0.25">
      <c r="B50" s="1"/>
      <c r="C50" s="1"/>
      <c r="D50" s="1"/>
      <c r="E50" s="1"/>
      <c r="F50" s="1"/>
      <c r="H50" s="1"/>
    </row>
    <row r="51" spans="2:8" x14ac:dyDescent="0.25">
      <c r="B51" s="1"/>
      <c r="C51" s="1"/>
      <c r="D51" s="1"/>
      <c r="E51" s="1"/>
      <c r="F51" s="1"/>
      <c r="H51" s="1"/>
    </row>
    <row r="52" spans="2:8" x14ac:dyDescent="0.25">
      <c r="B52" s="1"/>
      <c r="C52" s="1"/>
      <c r="D52" s="1"/>
      <c r="E52" s="1"/>
      <c r="F52" s="1"/>
      <c r="H52" s="1"/>
    </row>
    <row r="53" spans="2:8" x14ac:dyDescent="0.25">
      <c r="B53" s="1"/>
      <c r="C53" s="1"/>
      <c r="D53" s="1"/>
      <c r="E53" s="1"/>
      <c r="F53" s="1"/>
      <c r="H53" s="1"/>
    </row>
    <row r="54" spans="2:8" x14ac:dyDescent="0.25">
      <c r="B54" s="1"/>
      <c r="C54" s="1"/>
      <c r="D54" s="1"/>
      <c r="E54" s="1"/>
      <c r="F54" s="1"/>
      <c r="H54" s="1"/>
    </row>
    <row r="55" spans="2:8" x14ac:dyDescent="0.25">
      <c r="B55" s="1"/>
      <c r="C55" s="1"/>
      <c r="D55" s="1"/>
      <c r="E55" s="1"/>
      <c r="F55" s="1"/>
      <c r="H55" s="1"/>
    </row>
    <row r="56" spans="2:8" x14ac:dyDescent="0.25">
      <c r="B56" s="1"/>
      <c r="C56" s="1"/>
      <c r="D56" s="1"/>
      <c r="E56" s="1"/>
      <c r="F56" s="1"/>
      <c r="H56" s="1"/>
    </row>
    <row r="57" spans="2:8" x14ac:dyDescent="0.25">
      <c r="B57" s="1"/>
      <c r="C57" s="1"/>
      <c r="D57" s="1"/>
      <c r="E57" s="1"/>
      <c r="F57" s="1"/>
      <c r="H57" s="1"/>
    </row>
    <row r="58" spans="2:8" x14ac:dyDescent="0.25">
      <c r="B58" s="1"/>
      <c r="C58" s="1"/>
      <c r="D58" s="1"/>
      <c r="E58" s="1"/>
      <c r="F58" s="1"/>
      <c r="H58" s="1"/>
    </row>
    <row r="59" spans="2:8" x14ac:dyDescent="0.25">
      <c r="B59" s="1"/>
      <c r="C59" s="1"/>
      <c r="D59" s="1"/>
      <c r="E59" s="1"/>
      <c r="F59" s="1"/>
      <c r="H59" s="1"/>
    </row>
    <row r="60" spans="2:8" x14ac:dyDescent="0.25">
      <c r="B60" s="1"/>
      <c r="C60" s="1"/>
      <c r="D60" s="1"/>
      <c r="E60" s="1"/>
      <c r="F60" s="1"/>
      <c r="H60" s="1"/>
    </row>
    <row r="61" spans="2:8" x14ac:dyDescent="0.25">
      <c r="B61" s="1"/>
      <c r="C61" s="1"/>
      <c r="D61" s="1"/>
      <c r="E61" s="1"/>
      <c r="F61" s="1"/>
      <c r="H61" s="1"/>
    </row>
    <row r="62" spans="2:8" x14ac:dyDescent="0.25">
      <c r="B62" s="1"/>
      <c r="C62" s="1"/>
      <c r="D62" s="1"/>
      <c r="E62" s="1"/>
      <c r="F62" s="1"/>
      <c r="H62" s="1"/>
    </row>
    <row r="63" spans="2:8" x14ac:dyDescent="0.25">
      <c r="B63" s="1"/>
      <c r="C63" s="1"/>
      <c r="D63" s="1"/>
      <c r="E63" s="1"/>
      <c r="F63" s="1"/>
      <c r="H63" s="1"/>
    </row>
    <row r="64" spans="2:8" x14ac:dyDescent="0.25">
      <c r="B64" s="1"/>
      <c r="C64" s="1"/>
      <c r="D64" s="1"/>
      <c r="E64" s="1"/>
      <c r="F64" s="1"/>
      <c r="H64" s="1"/>
    </row>
    <row r="65" spans="2:8" x14ac:dyDescent="0.25">
      <c r="B65" s="1"/>
      <c r="C65" s="1"/>
      <c r="D65" s="1"/>
      <c r="E65" s="1"/>
      <c r="F65" s="1"/>
      <c r="H65" s="1"/>
    </row>
    <row r="66" spans="2:8" x14ac:dyDescent="0.25">
      <c r="B66" s="1"/>
      <c r="C66" s="1"/>
      <c r="D66" s="1"/>
      <c r="E66" s="1"/>
      <c r="F66" s="1"/>
      <c r="H66" s="1"/>
    </row>
    <row r="67" spans="2:8" x14ac:dyDescent="0.25">
      <c r="B67" s="1"/>
      <c r="C67" s="1"/>
      <c r="D67" s="1"/>
      <c r="E67" s="1"/>
      <c r="F67" s="1"/>
      <c r="H67" s="1"/>
    </row>
    <row r="68" spans="2:8" x14ac:dyDescent="0.25">
      <c r="B68" s="1"/>
      <c r="C68" s="1"/>
      <c r="D68" s="1"/>
      <c r="E68" s="1"/>
      <c r="F68" s="1"/>
      <c r="H68" s="1"/>
    </row>
    <row r="69" spans="2:8" x14ac:dyDescent="0.25">
      <c r="B69" s="1"/>
      <c r="C69" s="1"/>
      <c r="D69" s="1"/>
      <c r="E69" s="1"/>
      <c r="F69" s="1"/>
      <c r="H69" s="1"/>
    </row>
    <row r="70" spans="2:8" x14ac:dyDescent="0.25">
      <c r="B70" s="1"/>
      <c r="C70" s="1"/>
      <c r="D70" s="1"/>
      <c r="E70" s="1"/>
      <c r="F70" s="1"/>
      <c r="H70" s="1"/>
    </row>
    <row r="71" spans="2:8" x14ac:dyDescent="0.25">
      <c r="B71" s="1"/>
      <c r="C71" s="1"/>
      <c r="D71" s="1"/>
      <c r="E71" s="1"/>
      <c r="F71" s="1"/>
      <c r="H71" s="1"/>
    </row>
    <row r="72" spans="2:8" x14ac:dyDescent="0.25">
      <c r="B72" s="1"/>
      <c r="C72" s="1"/>
      <c r="D72" s="1"/>
      <c r="E72" s="1"/>
      <c r="F72" s="1"/>
      <c r="H72" s="1"/>
    </row>
    <row r="73" spans="2:8" x14ac:dyDescent="0.25">
      <c r="B73" s="1"/>
      <c r="C73" s="1"/>
      <c r="D73" s="1"/>
      <c r="E73" s="1"/>
      <c r="F73" s="1"/>
      <c r="H73" s="1"/>
    </row>
    <row r="74" spans="2:8" x14ac:dyDescent="0.25">
      <c r="B74" s="1"/>
      <c r="C74" s="1"/>
      <c r="D74" s="1"/>
      <c r="E74" s="1"/>
      <c r="F74" s="1"/>
      <c r="H74" s="1"/>
    </row>
    <row r="75" spans="2:8" x14ac:dyDescent="0.25">
      <c r="B75" s="1"/>
      <c r="C75" s="1"/>
      <c r="D75" s="1"/>
      <c r="E75" s="1"/>
      <c r="F75" s="1"/>
      <c r="H75" s="1"/>
    </row>
    <row r="76" spans="2:8" x14ac:dyDescent="0.25">
      <c r="B76" s="1"/>
      <c r="C76" s="1"/>
      <c r="D76" s="1"/>
      <c r="E76" s="1"/>
      <c r="F76" s="1"/>
      <c r="H76" s="1"/>
    </row>
    <row r="77" spans="2:8" x14ac:dyDescent="0.25">
      <c r="B77" s="1"/>
      <c r="C77" s="1"/>
      <c r="D77" s="1"/>
      <c r="E77" s="1"/>
      <c r="F77" s="1"/>
      <c r="H77" s="1"/>
    </row>
    <row r="78" spans="2:8" x14ac:dyDescent="0.25">
      <c r="B78" s="1"/>
      <c r="C78" s="1"/>
      <c r="D78" s="1"/>
      <c r="E78" s="1"/>
      <c r="F78" s="1"/>
      <c r="H78" s="1"/>
    </row>
    <row r="79" spans="2:8" x14ac:dyDescent="0.25">
      <c r="B79" s="1"/>
      <c r="C79" s="1"/>
      <c r="D79" s="1"/>
      <c r="E79" s="1"/>
      <c r="F79" s="1"/>
      <c r="H79" s="1"/>
    </row>
    <row r="80" spans="2:8" x14ac:dyDescent="0.25">
      <c r="B80" s="1"/>
      <c r="C80" s="1"/>
      <c r="D80" s="1"/>
      <c r="E80" s="1"/>
      <c r="F80" s="1"/>
      <c r="H80" s="1"/>
    </row>
    <row r="81" spans="2:8" x14ac:dyDescent="0.25">
      <c r="B81" s="1"/>
      <c r="C81" s="1"/>
      <c r="D81" s="1"/>
      <c r="E81" s="1"/>
      <c r="F81" s="1"/>
      <c r="H81" s="1"/>
    </row>
    <row r="82" spans="2:8" x14ac:dyDescent="0.25">
      <c r="B82" s="1"/>
      <c r="C82" s="1"/>
      <c r="D82" s="1"/>
      <c r="E82" s="1"/>
      <c r="F82" s="1"/>
      <c r="H82" s="1"/>
    </row>
    <row r="83" spans="2:8" x14ac:dyDescent="0.25">
      <c r="B83" s="1"/>
      <c r="C83" s="1"/>
      <c r="D83" s="1"/>
      <c r="E83" s="1"/>
      <c r="F83" s="1"/>
      <c r="H83" s="1"/>
    </row>
    <row r="84" spans="2:8" x14ac:dyDescent="0.25">
      <c r="B84" s="1"/>
      <c r="C84" s="1"/>
      <c r="D84" s="1"/>
      <c r="E84" s="1"/>
      <c r="F84" s="1"/>
      <c r="H84" s="1"/>
    </row>
    <row r="85" spans="2:8" x14ac:dyDescent="0.25">
      <c r="B85" s="1"/>
      <c r="C85" s="1"/>
      <c r="D85" s="1"/>
      <c r="E85" s="1"/>
      <c r="F85" s="1"/>
      <c r="H85" s="1"/>
    </row>
    <row r="86" spans="2:8" x14ac:dyDescent="0.25">
      <c r="B86" s="1"/>
      <c r="C86" s="1"/>
      <c r="D86" s="1"/>
      <c r="E86" s="1"/>
      <c r="F86" s="1"/>
      <c r="H86" s="1"/>
    </row>
    <row r="87" spans="2:8" x14ac:dyDescent="0.25">
      <c r="B87" s="1"/>
      <c r="C87" s="1"/>
      <c r="D87" s="1"/>
      <c r="E87" s="1"/>
      <c r="F87" s="1"/>
      <c r="H87" s="1"/>
    </row>
    <row r="88" spans="2:8" x14ac:dyDescent="0.25">
      <c r="B88" s="1"/>
      <c r="C88" s="1"/>
      <c r="D88" s="1"/>
      <c r="E88" s="1"/>
      <c r="F88" s="1"/>
      <c r="H88" s="1"/>
    </row>
    <row r="89" spans="2:8" x14ac:dyDescent="0.25">
      <c r="B89" s="1"/>
      <c r="C89" s="1"/>
      <c r="D89" s="1"/>
      <c r="E89" s="1"/>
      <c r="F89" s="1"/>
      <c r="H89" s="1"/>
    </row>
    <row r="90" spans="2:8" x14ac:dyDescent="0.25">
      <c r="B90" s="1"/>
      <c r="C90" s="1"/>
      <c r="D90" s="1"/>
      <c r="E90" s="1"/>
      <c r="F90" s="1"/>
      <c r="H90" s="1"/>
    </row>
    <row r="91" spans="2:8" x14ac:dyDescent="0.25">
      <c r="B91" s="1"/>
      <c r="C91" s="1"/>
      <c r="D91" s="1"/>
      <c r="E91" s="1"/>
      <c r="F91" s="1"/>
      <c r="H91" s="1"/>
    </row>
    <row r="92" spans="2:8" x14ac:dyDescent="0.25">
      <c r="B92" s="1"/>
      <c r="C92" s="1"/>
      <c r="D92" s="1"/>
      <c r="E92" s="1"/>
      <c r="F92" s="1"/>
      <c r="H92" s="1"/>
    </row>
    <row r="93" spans="2:8" x14ac:dyDescent="0.25">
      <c r="B93" s="1"/>
      <c r="C93" s="1"/>
      <c r="D93" s="1"/>
      <c r="E93" s="1"/>
      <c r="F93" s="1"/>
      <c r="H93" s="1"/>
    </row>
    <row r="94" spans="2:8" x14ac:dyDescent="0.25">
      <c r="B94" s="1"/>
      <c r="C94" s="1"/>
      <c r="D94" s="1"/>
      <c r="E94" s="1"/>
      <c r="F94" s="1"/>
      <c r="H94" s="1"/>
    </row>
    <row r="95" spans="2:8" x14ac:dyDescent="0.25">
      <c r="B95" s="1"/>
      <c r="C95" s="1"/>
      <c r="D95" s="1"/>
      <c r="E95" s="1"/>
      <c r="F95" s="1"/>
      <c r="H95" s="1"/>
    </row>
    <row r="96" spans="2:8" x14ac:dyDescent="0.25">
      <c r="B96" s="1"/>
      <c r="C96" s="1"/>
      <c r="D96" s="1"/>
      <c r="E96" s="1"/>
      <c r="F96" s="1"/>
      <c r="H96" s="1"/>
    </row>
    <row r="97" spans="2:8" x14ac:dyDescent="0.25">
      <c r="B97" s="1"/>
      <c r="C97" s="1"/>
      <c r="D97" s="1"/>
      <c r="E97" s="1"/>
      <c r="F97" s="1"/>
      <c r="H97" s="1"/>
    </row>
    <row r="98" spans="2:8" x14ac:dyDescent="0.25">
      <c r="B98" s="1"/>
      <c r="C98" s="1"/>
      <c r="D98" s="1"/>
      <c r="E98" s="1"/>
      <c r="F98" s="1"/>
      <c r="H98" s="1"/>
    </row>
    <row r="99" spans="2:8" x14ac:dyDescent="0.25">
      <c r="B99" s="1"/>
      <c r="C99" s="1"/>
      <c r="D99" s="1"/>
      <c r="E99" s="1"/>
      <c r="F99" s="1"/>
      <c r="H99" s="1"/>
    </row>
    <row r="100" spans="2:8" x14ac:dyDescent="0.25">
      <c r="B100" s="1"/>
      <c r="C100" s="1"/>
      <c r="D100" s="1"/>
      <c r="E100" s="1"/>
      <c r="F100" s="1"/>
      <c r="H100" s="1"/>
    </row>
    <row r="101" spans="2:8" x14ac:dyDescent="0.25">
      <c r="B101" s="1"/>
      <c r="C101" s="1"/>
      <c r="D101" s="1"/>
      <c r="E101" s="1"/>
      <c r="F101" s="1"/>
      <c r="H101" s="1"/>
    </row>
    <row r="102" spans="2:8" x14ac:dyDescent="0.25">
      <c r="B102" s="1"/>
      <c r="C102" s="1"/>
      <c r="D102" s="1"/>
      <c r="E102" s="1"/>
      <c r="F102" s="1"/>
      <c r="H102" s="1"/>
    </row>
    <row r="103" spans="2:8" x14ac:dyDescent="0.25">
      <c r="B103" s="1"/>
      <c r="C103" s="1"/>
      <c r="D103" s="1"/>
      <c r="E103" s="1"/>
      <c r="F103" s="1"/>
      <c r="H103" s="1"/>
    </row>
    <row r="104" spans="2:8" x14ac:dyDescent="0.25">
      <c r="B104" s="1"/>
      <c r="C104" s="1"/>
      <c r="D104" s="1"/>
      <c r="E104" s="1"/>
      <c r="F104" s="1"/>
      <c r="H104" s="1"/>
    </row>
    <row r="105" spans="2:8" x14ac:dyDescent="0.25">
      <c r="B105" s="1"/>
      <c r="C105" s="1"/>
      <c r="D105" s="1"/>
      <c r="E105" s="1"/>
      <c r="F105" s="1"/>
      <c r="H105" s="1"/>
    </row>
    <row r="106" spans="2:8" x14ac:dyDescent="0.25">
      <c r="B106" s="1"/>
      <c r="C106" s="1"/>
      <c r="D106" s="1"/>
      <c r="E106" s="1"/>
      <c r="F106" s="1"/>
      <c r="H106" s="1"/>
    </row>
    <row r="107" spans="2:8" x14ac:dyDescent="0.25">
      <c r="B107" s="1"/>
      <c r="C107" s="1"/>
      <c r="D107" s="1"/>
      <c r="E107" s="1"/>
      <c r="F107" s="1"/>
      <c r="H107" s="1"/>
    </row>
    <row r="108" spans="2:8" x14ac:dyDescent="0.25">
      <c r="B108" s="1"/>
      <c r="C108" s="1"/>
      <c r="D108" s="1"/>
      <c r="E108" s="1"/>
      <c r="F108" s="1"/>
      <c r="H108" s="1"/>
    </row>
    <row r="109" spans="2:8" x14ac:dyDescent="0.25">
      <c r="B109" s="1"/>
      <c r="C109" s="1"/>
      <c r="D109" s="1"/>
      <c r="E109" s="1"/>
      <c r="F109" s="1"/>
      <c r="H109" s="1"/>
    </row>
    <row r="110" spans="2:8" x14ac:dyDescent="0.25">
      <c r="B110" s="1"/>
      <c r="C110" s="1"/>
      <c r="D110" s="1"/>
      <c r="E110" s="1"/>
      <c r="F110" s="1"/>
      <c r="H110" s="1"/>
    </row>
    <row r="111" spans="2:8" x14ac:dyDescent="0.25">
      <c r="B111" s="1"/>
      <c r="C111" s="1"/>
      <c r="D111" s="1"/>
      <c r="E111" s="1"/>
      <c r="F111" s="1"/>
      <c r="H111" s="1"/>
    </row>
    <row r="112" spans="2:8" x14ac:dyDescent="0.25">
      <c r="B112" s="1"/>
      <c r="C112" s="1"/>
      <c r="D112" s="1"/>
      <c r="E112" s="1"/>
      <c r="F112" s="1"/>
      <c r="H112" s="1"/>
    </row>
    <row r="113" spans="2:8" x14ac:dyDescent="0.25">
      <c r="B113" s="1"/>
      <c r="C113" s="1"/>
      <c r="D113" s="1"/>
      <c r="E113" s="1"/>
      <c r="F113" s="1"/>
      <c r="H113" s="1"/>
    </row>
    <row r="114" spans="2:8" x14ac:dyDescent="0.25">
      <c r="B114" s="1"/>
      <c r="C114" s="1"/>
      <c r="D114" s="1"/>
      <c r="E114" s="1"/>
      <c r="F114" s="1"/>
      <c r="H114" s="1"/>
    </row>
    <row r="115" spans="2:8" x14ac:dyDescent="0.25">
      <c r="B115" s="1"/>
      <c r="C115" s="1"/>
      <c r="D115" s="1"/>
      <c r="E115" s="1"/>
      <c r="F115" s="1"/>
      <c r="H115" s="1"/>
    </row>
    <row r="116" spans="2:8" x14ac:dyDescent="0.25">
      <c r="B116" s="1"/>
      <c r="C116" s="1"/>
      <c r="D116" s="1"/>
      <c r="E116" s="1"/>
      <c r="F116" s="1"/>
      <c r="H116" s="1"/>
    </row>
    <row r="117" spans="2:8" x14ac:dyDescent="0.25">
      <c r="B117" s="1"/>
      <c r="C117" s="1"/>
      <c r="D117" s="1"/>
      <c r="E117" s="1"/>
      <c r="F117" s="1"/>
      <c r="H117" s="1"/>
    </row>
    <row r="118" spans="2:8" x14ac:dyDescent="0.25">
      <c r="B118" s="1"/>
      <c r="C118" s="1"/>
      <c r="D118" s="1"/>
      <c r="E118" s="1"/>
      <c r="F118" s="1"/>
      <c r="H118" s="1"/>
    </row>
    <row r="119" spans="2:8" x14ac:dyDescent="0.25">
      <c r="B119" s="1"/>
      <c r="C119" s="1"/>
      <c r="D119" s="1"/>
      <c r="E119" s="1"/>
      <c r="F119" s="1"/>
      <c r="H119" s="1"/>
    </row>
    <row r="120" spans="2:8" x14ac:dyDescent="0.25">
      <c r="B120" s="1"/>
      <c r="C120" s="1"/>
      <c r="D120" s="1"/>
      <c r="E120" s="1"/>
      <c r="F120" s="1"/>
      <c r="H120" s="1"/>
    </row>
    <row r="121" spans="2:8" x14ac:dyDescent="0.25">
      <c r="B121" s="1"/>
      <c r="C121" s="1"/>
      <c r="D121" s="1"/>
      <c r="E121" s="1"/>
      <c r="F121" s="1"/>
      <c r="H121" s="1"/>
    </row>
    <row r="122" spans="2:8" x14ac:dyDescent="0.25">
      <c r="B122" s="1"/>
      <c r="C122" s="1"/>
      <c r="D122" s="1"/>
      <c r="E122" s="1"/>
      <c r="F122" s="1"/>
      <c r="H122" s="1"/>
    </row>
    <row r="123" spans="2:8" x14ac:dyDescent="0.25">
      <c r="B123" s="1"/>
      <c r="C123" s="1"/>
      <c r="D123" s="1"/>
      <c r="E123" s="1"/>
      <c r="F123" s="1"/>
      <c r="H123" s="1"/>
    </row>
    <row r="124" spans="2:8" x14ac:dyDescent="0.25">
      <c r="B124" s="1"/>
      <c r="C124" s="1"/>
      <c r="D124" s="1"/>
      <c r="E124" s="1"/>
      <c r="F124" s="1"/>
      <c r="H124" s="1"/>
    </row>
    <row r="125" spans="2:8" x14ac:dyDescent="0.25">
      <c r="B125" s="1"/>
      <c r="C125" s="1"/>
      <c r="D125" s="1"/>
      <c r="E125" s="1"/>
      <c r="F125" s="1"/>
      <c r="H125" s="1"/>
    </row>
    <row r="126" spans="2:8" x14ac:dyDescent="0.25">
      <c r="B126" s="1"/>
      <c r="C126" s="1"/>
      <c r="D126" s="1"/>
      <c r="E126" s="1"/>
      <c r="F126" s="1"/>
      <c r="H126" s="1"/>
    </row>
    <row r="127" spans="2:8" x14ac:dyDescent="0.25">
      <c r="B127" s="1"/>
      <c r="C127" s="1"/>
      <c r="D127" s="1"/>
      <c r="E127" s="1"/>
      <c r="F127" s="1"/>
      <c r="H127" s="1"/>
    </row>
    <row r="128" spans="2:8" x14ac:dyDescent="0.25">
      <c r="B128" s="1"/>
      <c r="C128" s="1"/>
      <c r="D128" s="1"/>
      <c r="E128" s="1"/>
      <c r="F128" s="1"/>
      <c r="H128" s="1"/>
    </row>
    <row r="129" spans="2:8" x14ac:dyDescent="0.25">
      <c r="B129" s="1"/>
      <c r="C129" s="1"/>
      <c r="D129" s="1"/>
      <c r="E129" s="1"/>
      <c r="F129" s="1"/>
      <c r="H129" s="1"/>
    </row>
    <row r="130" spans="2:8" x14ac:dyDescent="0.25">
      <c r="B130" s="1"/>
      <c r="C130" s="1"/>
      <c r="D130" s="1"/>
      <c r="E130" s="1"/>
      <c r="F130" s="1"/>
      <c r="H130" s="1"/>
    </row>
    <row r="131" spans="2:8" x14ac:dyDescent="0.25">
      <c r="B131" s="1"/>
      <c r="C131" s="1"/>
      <c r="D131" s="1"/>
      <c r="E131" s="1"/>
      <c r="F131" s="1"/>
      <c r="H131" s="1"/>
    </row>
    <row r="132" spans="2:8" x14ac:dyDescent="0.25">
      <c r="B132" s="1"/>
      <c r="C132" s="1"/>
      <c r="D132" s="1"/>
      <c r="E132" s="1"/>
      <c r="F132" s="1"/>
      <c r="H132" s="1"/>
    </row>
    <row r="133" spans="2:8" x14ac:dyDescent="0.25">
      <c r="B133" s="1"/>
      <c r="C133" s="1"/>
      <c r="D133" s="1"/>
      <c r="E133" s="1"/>
      <c r="F133" s="1"/>
      <c r="H133" s="1"/>
    </row>
    <row r="134" spans="2:8" x14ac:dyDescent="0.25">
      <c r="B134" s="1"/>
      <c r="C134" s="1"/>
      <c r="D134" s="1"/>
      <c r="E134" s="1"/>
      <c r="F134" s="1"/>
      <c r="H134" s="1"/>
    </row>
    <row r="135" spans="2:8" x14ac:dyDescent="0.25">
      <c r="B135" s="1"/>
      <c r="C135" s="1"/>
      <c r="D135" s="1"/>
      <c r="E135" s="1"/>
      <c r="F135" s="1"/>
      <c r="H135" s="1"/>
    </row>
    <row r="136" spans="2:8" x14ac:dyDescent="0.25">
      <c r="B136" s="1"/>
      <c r="C136" s="1"/>
      <c r="D136" s="1"/>
      <c r="E136" s="1"/>
      <c r="F136" s="1"/>
      <c r="H136" s="1"/>
    </row>
    <row r="137" spans="2:8" x14ac:dyDescent="0.25">
      <c r="B137" s="1"/>
      <c r="C137" s="1"/>
      <c r="D137" s="1"/>
      <c r="E137" s="1"/>
      <c r="F137" s="1"/>
      <c r="H137" s="1"/>
    </row>
    <row r="138" spans="2:8" x14ac:dyDescent="0.25">
      <c r="B138" s="1"/>
      <c r="C138" s="1"/>
      <c r="D138" s="1"/>
      <c r="E138" s="1"/>
      <c r="F138" s="1"/>
      <c r="H138" s="1"/>
    </row>
    <row r="139" spans="2:8" x14ac:dyDescent="0.25">
      <c r="B139" s="1"/>
      <c r="C139" s="1"/>
      <c r="D139" s="1"/>
      <c r="E139" s="1"/>
      <c r="F139" s="1"/>
      <c r="H139" s="1"/>
    </row>
    <row r="140" spans="2:8" x14ac:dyDescent="0.25">
      <c r="B140" s="1"/>
      <c r="C140" s="1"/>
      <c r="D140" s="1"/>
      <c r="E140" s="1"/>
      <c r="F140" s="1"/>
      <c r="H140" s="1"/>
    </row>
    <row r="141" spans="2:8" x14ac:dyDescent="0.25">
      <c r="B141" s="1"/>
      <c r="C141" s="1"/>
      <c r="D141" s="1"/>
      <c r="E141" s="1"/>
      <c r="F141" s="1"/>
      <c r="H141" s="1"/>
    </row>
    <row r="142" spans="2:8" x14ac:dyDescent="0.25">
      <c r="B142" s="1"/>
      <c r="C142" s="1"/>
      <c r="D142" s="1"/>
      <c r="E142" s="1"/>
      <c r="F142" s="1"/>
      <c r="H142" s="1"/>
    </row>
    <row r="143" spans="2:8" x14ac:dyDescent="0.25">
      <c r="B143" s="1"/>
      <c r="C143" s="1"/>
      <c r="D143" s="1"/>
      <c r="E143" s="1"/>
      <c r="F143" s="1"/>
      <c r="H143" s="1"/>
    </row>
    <row r="144" spans="2:8" x14ac:dyDescent="0.25">
      <c r="B144" s="1"/>
      <c r="C144" s="1"/>
      <c r="D144" s="1"/>
      <c r="E144" s="1"/>
      <c r="F144" s="1"/>
      <c r="H144" s="1"/>
    </row>
    <row r="145" spans="2:8" x14ac:dyDescent="0.25">
      <c r="B145" s="1"/>
      <c r="C145" s="1"/>
      <c r="D145" s="1"/>
      <c r="E145" s="1"/>
      <c r="F145" s="1"/>
      <c r="H145" s="1"/>
    </row>
    <row r="146" spans="2:8" x14ac:dyDescent="0.25">
      <c r="B146" s="1"/>
      <c r="C146" s="1"/>
      <c r="D146" s="1"/>
      <c r="E146" s="1"/>
      <c r="F146" s="1"/>
      <c r="H146" s="1"/>
    </row>
    <row r="147" spans="2:8" x14ac:dyDescent="0.25">
      <c r="B147" s="1"/>
      <c r="C147" s="1"/>
      <c r="D147" s="1"/>
      <c r="E147" s="1"/>
      <c r="F147" s="1"/>
      <c r="H147" s="1"/>
    </row>
    <row r="148" spans="2:8" x14ac:dyDescent="0.25">
      <c r="B148" s="1"/>
      <c r="C148" s="1"/>
      <c r="D148" s="1"/>
      <c r="E148" s="1"/>
      <c r="F148" s="1"/>
      <c r="H148" s="1"/>
    </row>
    <row r="149" spans="2:8" x14ac:dyDescent="0.25">
      <c r="B149" s="1"/>
      <c r="C149" s="1"/>
      <c r="D149" s="1"/>
      <c r="E149" s="1"/>
      <c r="F149" s="1"/>
      <c r="H149" s="1"/>
    </row>
    <row r="150" spans="2:8" x14ac:dyDescent="0.25">
      <c r="B150" s="1"/>
      <c r="C150" s="1"/>
      <c r="D150" s="1"/>
      <c r="E150" s="1"/>
      <c r="F150" s="1"/>
      <c r="H150" s="1"/>
    </row>
    <row r="151" spans="2:8" x14ac:dyDescent="0.25">
      <c r="B151" s="1"/>
      <c r="C151" s="1"/>
      <c r="D151" s="1"/>
      <c r="E151" s="1"/>
      <c r="F151" s="1"/>
      <c r="H151" s="1"/>
    </row>
    <row r="152" spans="2:8" x14ac:dyDescent="0.25">
      <c r="B152" s="1"/>
      <c r="C152" s="1"/>
      <c r="D152" s="1"/>
      <c r="E152" s="1"/>
      <c r="F152" s="1"/>
      <c r="H152" s="1"/>
    </row>
    <row r="153" spans="2:8" x14ac:dyDescent="0.25">
      <c r="B153" s="1"/>
      <c r="C153" s="1"/>
      <c r="D153" s="1"/>
      <c r="E153" s="1"/>
      <c r="F153" s="1"/>
      <c r="H153" s="1"/>
    </row>
    <row r="154" spans="2:8" x14ac:dyDescent="0.25">
      <c r="B154" s="1"/>
      <c r="C154" s="1"/>
      <c r="D154" s="1"/>
      <c r="E154" s="1"/>
      <c r="F154" s="1"/>
      <c r="H154" s="1"/>
    </row>
    <row r="155" spans="2:8" x14ac:dyDescent="0.25">
      <c r="B155" s="1"/>
      <c r="C155" s="1"/>
      <c r="D155" s="1"/>
      <c r="E155" s="1"/>
      <c r="F155" s="1"/>
      <c r="H155" s="1"/>
    </row>
    <row r="156" spans="2:8" x14ac:dyDescent="0.25">
      <c r="B156" s="1"/>
      <c r="C156" s="1"/>
      <c r="D156" s="1"/>
      <c r="E156" s="1"/>
      <c r="F156" s="1"/>
      <c r="H156" s="1"/>
    </row>
    <row r="157" spans="2:8" x14ac:dyDescent="0.25">
      <c r="B157" s="1"/>
      <c r="C157" s="1"/>
      <c r="D157" s="1"/>
      <c r="E157" s="1"/>
      <c r="F157" s="1"/>
      <c r="H157" s="1"/>
    </row>
    <row r="158" spans="2:8" x14ac:dyDescent="0.25">
      <c r="B158" s="1"/>
      <c r="C158" s="1"/>
      <c r="D158" s="1"/>
      <c r="E158" s="1"/>
      <c r="F158" s="1"/>
      <c r="H158" s="1"/>
    </row>
    <row r="159" spans="2:8" x14ac:dyDescent="0.25">
      <c r="B159" s="1"/>
      <c r="C159" s="1"/>
      <c r="D159" s="1"/>
      <c r="E159" s="1"/>
      <c r="F159" s="1"/>
      <c r="H159" s="1"/>
    </row>
    <row r="160" spans="2:8" x14ac:dyDescent="0.25">
      <c r="B160" s="1"/>
      <c r="C160" s="1"/>
      <c r="D160" s="1"/>
      <c r="E160" s="1"/>
      <c r="F160" s="1"/>
      <c r="H160" s="1"/>
    </row>
    <row r="161" spans="2:8" x14ac:dyDescent="0.25">
      <c r="B161" s="1"/>
      <c r="C161" s="1"/>
      <c r="D161" s="1"/>
      <c r="E161" s="1"/>
      <c r="F161" s="1"/>
      <c r="H161" s="1"/>
    </row>
    <row r="162" spans="2:8" x14ac:dyDescent="0.25">
      <c r="B162" s="1"/>
      <c r="C162" s="1"/>
      <c r="D162" s="1"/>
      <c r="E162" s="1"/>
      <c r="F162" s="1"/>
      <c r="H162" s="1"/>
    </row>
    <row r="163" spans="2:8" x14ac:dyDescent="0.25">
      <c r="B163" s="1"/>
      <c r="C163" s="1"/>
      <c r="D163" s="1"/>
      <c r="E163" s="1"/>
      <c r="F163" s="1"/>
      <c r="H163" s="1"/>
    </row>
    <row r="164" spans="2:8" x14ac:dyDescent="0.25">
      <c r="B164" s="1"/>
      <c r="C164" s="1"/>
      <c r="D164" s="1"/>
      <c r="E164" s="1"/>
      <c r="F164" s="1"/>
      <c r="H164" s="1"/>
    </row>
    <row r="165" spans="2:8" x14ac:dyDescent="0.25">
      <c r="B165" s="1"/>
      <c r="C165" s="1"/>
      <c r="D165" s="1"/>
      <c r="E165" s="1"/>
      <c r="F165" s="1"/>
      <c r="H165" s="1"/>
    </row>
    <row r="166" spans="2:8" x14ac:dyDescent="0.25">
      <c r="B166" s="1"/>
      <c r="C166" s="1"/>
      <c r="D166" s="1"/>
      <c r="E166" s="1"/>
      <c r="F166" s="1"/>
      <c r="H166" s="1"/>
    </row>
    <row r="167" spans="2:8" x14ac:dyDescent="0.25">
      <c r="B167" s="1"/>
      <c r="C167" s="1"/>
      <c r="D167" s="1"/>
      <c r="E167" s="1"/>
      <c r="F167" s="1"/>
      <c r="H167" s="1"/>
    </row>
    <row r="168" spans="2:8" x14ac:dyDescent="0.25">
      <c r="B168" s="1"/>
      <c r="C168" s="1"/>
      <c r="D168" s="1"/>
      <c r="E168" s="1"/>
      <c r="F168" s="1"/>
      <c r="H168" s="1"/>
    </row>
    <row r="169" spans="2:8" x14ac:dyDescent="0.25">
      <c r="B169" s="1"/>
      <c r="C169" s="1"/>
      <c r="D169" s="1"/>
      <c r="E169" s="1"/>
      <c r="F169" s="1"/>
      <c r="H169" s="1"/>
    </row>
    <row r="170" spans="2:8" x14ac:dyDescent="0.25">
      <c r="B170" s="1"/>
      <c r="C170" s="1"/>
      <c r="D170" s="1"/>
      <c r="E170" s="1"/>
      <c r="F170" s="1"/>
      <c r="H170" s="1"/>
    </row>
    <row r="171" spans="2:8" x14ac:dyDescent="0.25">
      <c r="B171" s="1"/>
      <c r="C171" s="1"/>
      <c r="D171" s="1"/>
      <c r="E171" s="1"/>
      <c r="F171" s="1"/>
      <c r="H171" s="1"/>
    </row>
    <row r="172" spans="2:8" x14ac:dyDescent="0.25">
      <c r="B172" s="1"/>
      <c r="C172" s="1"/>
      <c r="D172" s="1"/>
      <c r="E172" s="1"/>
      <c r="F172" s="1"/>
      <c r="H172" s="1"/>
    </row>
    <row r="173" spans="2:8" x14ac:dyDescent="0.25">
      <c r="B173" s="1"/>
      <c r="C173" s="1"/>
      <c r="D173" s="1"/>
      <c r="E173" s="1"/>
      <c r="F173" s="1"/>
      <c r="H173" s="1"/>
    </row>
    <row r="174" spans="2:8" x14ac:dyDescent="0.25">
      <c r="B174" s="1"/>
      <c r="C174" s="1"/>
      <c r="D174" s="1"/>
      <c r="E174" s="1"/>
      <c r="F174" s="1"/>
      <c r="H174" s="1"/>
    </row>
    <row r="175" spans="2:8" x14ac:dyDescent="0.25">
      <c r="B175" s="1"/>
      <c r="C175" s="1"/>
      <c r="D175" s="1"/>
      <c r="E175" s="1"/>
      <c r="F175" s="1"/>
      <c r="H175" s="1"/>
    </row>
    <row r="176" spans="2:8" x14ac:dyDescent="0.25">
      <c r="B176" s="1"/>
      <c r="C176" s="1"/>
      <c r="D176" s="1"/>
      <c r="E176" s="1"/>
      <c r="F176" s="1"/>
      <c r="H176" s="1"/>
    </row>
    <row r="177" spans="2:8" x14ac:dyDescent="0.25">
      <c r="B177" s="1"/>
      <c r="C177" s="1"/>
      <c r="D177" s="1"/>
      <c r="E177" s="1"/>
      <c r="F177" s="1"/>
      <c r="H177" s="1"/>
    </row>
    <row r="178" spans="2:8" x14ac:dyDescent="0.25">
      <c r="B178" s="1"/>
      <c r="C178" s="1"/>
      <c r="D178" s="1"/>
      <c r="E178" s="1"/>
      <c r="F178" s="1"/>
      <c r="H178" s="1"/>
    </row>
    <row r="179" spans="2:8" x14ac:dyDescent="0.25">
      <c r="B179" s="1"/>
      <c r="C179" s="1"/>
      <c r="D179" s="1"/>
      <c r="E179" s="1"/>
      <c r="F179" s="1"/>
      <c r="H179" s="1"/>
    </row>
    <row r="180" spans="2:8" x14ac:dyDescent="0.25">
      <c r="B180" s="1"/>
      <c r="C180" s="1"/>
      <c r="D180" s="1"/>
      <c r="E180" s="1"/>
      <c r="F180" s="1"/>
      <c r="H180" s="1"/>
    </row>
    <row r="181" spans="2:8" x14ac:dyDescent="0.25">
      <c r="B181" s="1"/>
      <c r="C181" s="1"/>
      <c r="D181" s="1"/>
      <c r="E181" s="1"/>
      <c r="F181" s="1"/>
      <c r="H181" s="1"/>
    </row>
    <row r="182" spans="2:8" x14ac:dyDescent="0.25">
      <c r="B182" s="1"/>
      <c r="C182" s="1"/>
      <c r="D182" s="1"/>
      <c r="E182" s="1"/>
      <c r="F182" s="1"/>
      <c r="H182" s="1"/>
    </row>
    <row r="183" spans="2:8" x14ac:dyDescent="0.25">
      <c r="B183" s="1"/>
      <c r="C183" s="1"/>
      <c r="D183" s="1"/>
      <c r="E183" s="1"/>
      <c r="F183" s="1"/>
      <c r="H183" s="1"/>
    </row>
    <row r="184" spans="2:8" x14ac:dyDescent="0.25">
      <c r="B184" s="1"/>
      <c r="C184" s="1"/>
      <c r="D184" s="1"/>
      <c r="E184" s="1"/>
      <c r="F184" s="1"/>
      <c r="H184" s="1"/>
    </row>
    <row r="185" spans="2:8" x14ac:dyDescent="0.25">
      <c r="B185" s="1"/>
      <c r="C185" s="1"/>
      <c r="D185" s="1"/>
      <c r="E185" s="1"/>
      <c r="F185" s="1"/>
      <c r="H185" s="1"/>
    </row>
    <row r="186" spans="2:8" x14ac:dyDescent="0.25">
      <c r="B186" s="1"/>
      <c r="C186" s="1"/>
      <c r="D186" s="1"/>
      <c r="E186" s="1"/>
      <c r="F186" s="1"/>
      <c r="H186" s="1"/>
    </row>
    <row r="187" spans="2:8" x14ac:dyDescent="0.25">
      <c r="B187" s="1"/>
      <c r="C187" s="1"/>
      <c r="D187" s="1"/>
      <c r="E187" s="1"/>
      <c r="F187" s="1"/>
      <c r="H187" s="1"/>
    </row>
    <row r="188" spans="2:8" x14ac:dyDescent="0.25">
      <c r="B188" s="1"/>
      <c r="C188" s="1"/>
      <c r="D188" s="1"/>
      <c r="E188" s="1"/>
      <c r="F188" s="1"/>
      <c r="H188" s="1"/>
    </row>
    <row r="189" spans="2:8" x14ac:dyDescent="0.25">
      <c r="B189" s="1"/>
      <c r="C189" s="1"/>
      <c r="D189" s="1"/>
      <c r="E189" s="1"/>
      <c r="F189" s="1"/>
      <c r="H189" s="1"/>
    </row>
    <row r="190" spans="2:8" x14ac:dyDescent="0.25">
      <c r="B190" s="1"/>
      <c r="C190" s="1"/>
      <c r="D190" s="1"/>
      <c r="E190" s="1"/>
      <c r="F190" s="1"/>
      <c r="H190" s="1"/>
    </row>
    <row r="191" spans="2:8" x14ac:dyDescent="0.25">
      <c r="B191" s="1"/>
      <c r="C191" s="1"/>
      <c r="D191" s="1"/>
      <c r="E191" s="1"/>
      <c r="F191" s="1"/>
      <c r="H191" s="1"/>
    </row>
    <row r="192" spans="2:8" x14ac:dyDescent="0.25">
      <c r="B192" s="1"/>
      <c r="C192" s="1"/>
      <c r="D192" s="1"/>
      <c r="E192" s="1"/>
      <c r="F192" s="1"/>
      <c r="H192" s="1"/>
    </row>
    <row r="193" spans="2:8" x14ac:dyDescent="0.25">
      <c r="B193" s="1"/>
      <c r="C193" s="1"/>
      <c r="D193" s="1"/>
      <c r="E193" s="1"/>
      <c r="F193" s="1"/>
      <c r="H193" s="1"/>
    </row>
    <row r="194" spans="2:8" x14ac:dyDescent="0.25">
      <c r="B194" s="1"/>
      <c r="C194" s="1"/>
      <c r="D194" s="1"/>
      <c r="E194" s="1"/>
      <c r="F194" s="1"/>
      <c r="H194" s="1"/>
    </row>
    <row r="195" spans="2:8" x14ac:dyDescent="0.25">
      <c r="B195" s="1"/>
      <c r="C195" s="1"/>
      <c r="D195" s="1"/>
      <c r="E195" s="1"/>
      <c r="F195" s="1"/>
      <c r="H195" s="1"/>
    </row>
    <row r="196" spans="2:8" x14ac:dyDescent="0.25">
      <c r="B196" s="1"/>
      <c r="C196" s="1"/>
      <c r="D196" s="1"/>
      <c r="E196" s="1"/>
      <c r="F196" s="1"/>
      <c r="H196" s="1"/>
    </row>
    <row r="197" spans="2:8" x14ac:dyDescent="0.25">
      <c r="B197" s="1"/>
      <c r="C197" s="1"/>
      <c r="D197" s="1"/>
      <c r="E197" s="1"/>
      <c r="F197" s="1"/>
      <c r="H197" s="1"/>
    </row>
    <row r="198" spans="2:8" x14ac:dyDescent="0.25">
      <c r="B198" s="1"/>
      <c r="C198" s="1"/>
      <c r="D198" s="1"/>
      <c r="E198" s="1"/>
      <c r="F198" s="1"/>
      <c r="H198" s="1"/>
    </row>
    <row r="199" spans="2:8" x14ac:dyDescent="0.25">
      <c r="B199" s="1"/>
      <c r="C199" s="1"/>
      <c r="D199" s="1"/>
      <c r="E199" s="1"/>
      <c r="F199" s="1"/>
      <c r="H199" s="1"/>
    </row>
    <row r="200" spans="2:8" x14ac:dyDescent="0.25">
      <c r="B200" s="1"/>
      <c r="C200" s="1"/>
      <c r="D200" s="1"/>
      <c r="E200" s="1"/>
      <c r="F200" s="1"/>
      <c r="H200" s="1"/>
    </row>
    <row r="201" spans="2:8" x14ac:dyDescent="0.25">
      <c r="B201" s="1"/>
      <c r="C201" s="1"/>
      <c r="D201" s="1"/>
      <c r="E201" s="1"/>
      <c r="F201" s="1"/>
      <c r="H201" s="1"/>
    </row>
    <row r="202" spans="2:8" x14ac:dyDescent="0.25">
      <c r="B202" s="1"/>
      <c r="C202" s="1"/>
      <c r="D202" s="1"/>
      <c r="E202" s="1"/>
      <c r="F202" s="1"/>
      <c r="H202" s="1"/>
    </row>
    <row r="203" spans="2:8" x14ac:dyDescent="0.25">
      <c r="B203" s="1"/>
      <c r="C203" s="1"/>
      <c r="D203" s="1"/>
      <c r="E203" s="1"/>
      <c r="F203" s="1"/>
      <c r="H203" s="1"/>
    </row>
    <row r="204" spans="2:8" x14ac:dyDescent="0.25">
      <c r="B204" s="1"/>
      <c r="C204" s="1"/>
      <c r="D204" s="1"/>
      <c r="E204" s="1"/>
      <c r="F204" s="1"/>
      <c r="H204" s="1"/>
    </row>
    <row r="205" spans="2:8" x14ac:dyDescent="0.25">
      <c r="B205" s="1"/>
      <c r="C205" s="1"/>
      <c r="D205" s="1"/>
      <c r="E205" s="1"/>
      <c r="F205" s="1"/>
      <c r="H205" s="1"/>
    </row>
    <row r="206" spans="2:8" x14ac:dyDescent="0.25">
      <c r="B206" s="1"/>
      <c r="C206" s="1"/>
      <c r="D206" s="1"/>
      <c r="E206" s="1"/>
      <c r="F206" s="1"/>
      <c r="H206" s="1"/>
    </row>
    <row r="207" spans="2:8" x14ac:dyDescent="0.25">
      <c r="B207" s="1"/>
      <c r="C207" s="1"/>
      <c r="D207" s="1"/>
      <c r="E207" s="1"/>
      <c r="F207" s="1"/>
      <c r="H207" s="1"/>
    </row>
    <row r="208" spans="2:8" x14ac:dyDescent="0.25">
      <c r="B208" s="1"/>
      <c r="C208" s="1"/>
      <c r="D208" s="1"/>
      <c r="E208" s="1"/>
      <c r="F208" s="1"/>
      <c r="H208" s="1"/>
    </row>
    <row r="209" spans="2:8" x14ac:dyDescent="0.25">
      <c r="B209" s="1"/>
      <c r="C209" s="1"/>
      <c r="D209" s="1"/>
      <c r="E209" s="1"/>
      <c r="F209" s="1"/>
      <c r="H209" s="1"/>
    </row>
    <row r="210" spans="2:8" x14ac:dyDescent="0.25">
      <c r="B210" s="1"/>
      <c r="C210" s="1"/>
      <c r="D210" s="1"/>
      <c r="E210" s="1"/>
      <c r="F210" s="1"/>
      <c r="H210" s="1"/>
    </row>
    <row r="211" spans="2:8" x14ac:dyDescent="0.25">
      <c r="B211" s="1"/>
      <c r="C211" s="1"/>
      <c r="D211" s="1"/>
      <c r="E211" s="1"/>
      <c r="F211" s="1"/>
      <c r="H211" s="1"/>
    </row>
    <row r="212" spans="2:8" x14ac:dyDescent="0.25">
      <c r="B212" s="1"/>
      <c r="C212" s="1"/>
      <c r="D212" s="1"/>
      <c r="E212" s="1"/>
      <c r="F212" s="1"/>
      <c r="H212" s="1"/>
    </row>
    <row r="213" spans="2:8" x14ac:dyDescent="0.25">
      <c r="B213" s="1"/>
      <c r="C213" s="1"/>
      <c r="D213" s="1"/>
      <c r="E213" s="1"/>
      <c r="F213" s="1"/>
      <c r="H213" s="1"/>
    </row>
    <row r="214" spans="2:8" x14ac:dyDescent="0.25">
      <c r="B214" s="1"/>
      <c r="C214" s="1"/>
      <c r="D214" s="1"/>
      <c r="E214" s="1"/>
      <c r="F214" s="1"/>
      <c r="H214" s="1"/>
    </row>
    <row r="215" spans="2:8" x14ac:dyDescent="0.25">
      <c r="B215" s="1"/>
      <c r="C215" s="1"/>
      <c r="D215" s="1"/>
      <c r="E215" s="1"/>
      <c r="F215" s="1"/>
      <c r="H215" s="1"/>
    </row>
    <row r="216" spans="2:8" x14ac:dyDescent="0.25">
      <c r="B216" s="1"/>
      <c r="C216" s="1"/>
      <c r="D216" s="1"/>
      <c r="E216" s="1"/>
      <c r="F216" s="1"/>
      <c r="H216" s="1"/>
    </row>
    <row r="217" spans="2:8" x14ac:dyDescent="0.25">
      <c r="B217" s="1"/>
      <c r="C217" s="1"/>
      <c r="D217" s="1"/>
      <c r="E217" s="1"/>
      <c r="F217" s="1"/>
      <c r="H217" s="1"/>
    </row>
    <row r="218" spans="2:8" x14ac:dyDescent="0.25">
      <c r="B218" s="1"/>
      <c r="C218" s="1"/>
      <c r="D218" s="1"/>
      <c r="E218" s="1"/>
      <c r="F218" s="1"/>
      <c r="H218" s="1"/>
    </row>
    <row r="219" spans="2:8" x14ac:dyDescent="0.25">
      <c r="B219" s="1"/>
      <c r="C219" s="1"/>
      <c r="D219" s="1"/>
      <c r="E219" s="1"/>
      <c r="F219" s="1"/>
      <c r="H219" s="1"/>
    </row>
    <row r="220" spans="2:8" x14ac:dyDescent="0.25">
      <c r="B220" s="1"/>
      <c r="C220" s="1"/>
      <c r="D220" s="1"/>
      <c r="E220" s="1"/>
      <c r="F220" s="1"/>
      <c r="H220" s="1"/>
    </row>
    <row r="221" spans="2:8" x14ac:dyDescent="0.25">
      <c r="B221" s="1"/>
      <c r="C221" s="1"/>
      <c r="D221" s="1"/>
      <c r="E221" s="1"/>
      <c r="F221" s="1"/>
      <c r="H221" s="1"/>
    </row>
    <row r="222" spans="2:8" x14ac:dyDescent="0.25">
      <c r="B222" s="1"/>
      <c r="C222" s="1"/>
      <c r="D222" s="1"/>
      <c r="E222" s="1"/>
      <c r="F222" s="1"/>
      <c r="H222" s="1"/>
    </row>
    <row r="223" spans="2:8" x14ac:dyDescent="0.25">
      <c r="B223" s="1"/>
      <c r="C223" s="1"/>
      <c r="D223" s="1"/>
      <c r="E223" s="1"/>
      <c r="F223" s="1"/>
      <c r="H223" s="1"/>
    </row>
    <row r="224" spans="2:8" x14ac:dyDescent="0.25">
      <c r="B224" s="1"/>
      <c r="C224" s="1"/>
      <c r="D224" s="1"/>
      <c r="E224" s="1"/>
      <c r="F224" s="1"/>
      <c r="H224" s="1"/>
    </row>
    <row r="225" spans="2:8" x14ac:dyDescent="0.25">
      <c r="B225" s="1"/>
      <c r="C225" s="1"/>
      <c r="D225" s="1"/>
      <c r="E225" s="1"/>
      <c r="F225" s="1"/>
      <c r="H225" s="1"/>
    </row>
    <row r="226" spans="2:8" x14ac:dyDescent="0.25">
      <c r="B226" s="1"/>
      <c r="C226" s="1"/>
      <c r="D226" s="1"/>
      <c r="E226" s="1"/>
      <c r="F226" s="1"/>
      <c r="H226" s="1"/>
    </row>
    <row r="227" spans="2:8" x14ac:dyDescent="0.25">
      <c r="B227" s="1"/>
      <c r="C227" s="1"/>
      <c r="D227" s="1"/>
      <c r="E227" s="1"/>
      <c r="F227" s="1"/>
      <c r="H227" s="1"/>
    </row>
    <row r="228" spans="2:8" x14ac:dyDescent="0.25">
      <c r="B228" s="1"/>
      <c r="C228" s="1"/>
      <c r="D228" s="1"/>
      <c r="E228" s="1"/>
      <c r="F228" s="1"/>
      <c r="H228" s="1"/>
    </row>
    <row r="229" spans="2:8" x14ac:dyDescent="0.25">
      <c r="B229" s="1"/>
      <c r="C229" s="1"/>
      <c r="D229" s="1"/>
      <c r="E229" s="1"/>
      <c r="F229" s="1"/>
      <c r="H229" s="1"/>
    </row>
    <row r="230" spans="2:8" x14ac:dyDescent="0.25">
      <c r="B230" s="1"/>
      <c r="C230" s="1"/>
      <c r="D230" s="1"/>
      <c r="E230" s="1"/>
      <c r="F230" s="1"/>
      <c r="H230" s="1"/>
    </row>
    <row r="231" spans="2:8" x14ac:dyDescent="0.25">
      <c r="B231" s="1"/>
      <c r="C231" s="1"/>
      <c r="D231" s="1"/>
      <c r="E231" s="1"/>
      <c r="F231" s="1"/>
      <c r="H231" s="1"/>
    </row>
    <row r="232" spans="2:8" x14ac:dyDescent="0.25">
      <c r="B232" s="1"/>
      <c r="C232" s="1"/>
      <c r="D232" s="1"/>
      <c r="E232" s="1"/>
      <c r="F232" s="1"/>
      <c r="H232" s="1"/>
    </row>
    <row r="233" spans="2:8" x14ac:dyDescent="0.25">
      <c r="B233" s="1"/>
      <c r="C233" s="1"/>
      <c r="D233" s="1"/>
      <c r="E233" s="1"/>
      <c r="F233" s="1"/>
      <c r="H233" s="1"/>
    </row>
    <row r="234" spans="2:8" x14ac:dyDescent="0.25">
      <c r="B234" s="1"/>
      <c r="C234" s="1"/>
      <c r="D234" s="1"/>
      <c r="E234" s="1"/>
      <c r="F234" s="1"/>
      <c r="H234" s="1"/>
    </row>
    <row r="235" spans="2:8" x14ac:dyDescent="0.25">
      <c r="B235" s="1"/>
      <c r="C235" s="1"/>
      <c r="D235" s="1"/>
      <c r="E235" s="1"/>
      <c r="F235" s="1"/>
      <c r="H235" s="1"/>
    </row>
    <row r="236" spans="2:8" x14ac:dyDescent="0.25">
      <c r="B236" s="1"/>
      <c r="C236" s="1"/>
      <c r="D236" s="1"/>
      <c r="E236" s="1"/>
      <c r="F236" s="1"/>
      <c r="H236" s="1"/>
    </row>
    <row r="237" spans="2:8" x14ac:dyDescent="0.25">
      <c r="B237" s="1"/>
      <c r="C237" s="1"/>
      <c r="D237" s="1"/>
      <c r="E237" s="1"/>
      <c r="F237" s="1"/>
      <c r="H237" s="1"/>
    </row>
    <row r="238" spans="2:8" x14ac:dyDescent="0.25">
      <c r="B238" s="1"/>
      <c r="C238" s="1"/>
      <c r="D238" s="1"/>
      <c r="E238" s="1"/>
      <c r="F238" s="1"/>
      <c r="H238" s="1"/>
    </row>
    <row r="239" spans="2:8" x14ac:dyDescent="0.25">
      <c r="B239" s="1"/>
      <c r="C239" s="1"/>
      <c r="D239" s="1"/>
      <c r="E239" s="1"/>
      <c r="F239" s="1"/>
      <c r="H239" s="1"/>
    </row>
    <row r="240" spans="2:8" x14ac:dyDescent="0.25">
      <c r="B240" s="1"/>
      <c r="C240" s="1"/>
      <c r="D240" s="1"/>
      <c r="E240" s="1"/>
      <c r="F240" s="1"/>
      <c r="H240" s="1"/>
    </row>
    <row r="241" spans="2:8" x14ac:dyDescent="0.25">
      <c r="B241" s="1"/>
      <c r="C241" s="1"/>
      <c r="D241" s="1"/>
      <c r="E241" s="1"/>
      <c r="F241" s="1"/>
      <c r="H241" s="1"/>
    </row>
    <row r="242" spans="2:8" x14ac:dyDescent="0.25">
      <c r="B242" s="1"/>
      <c r="C242" s="1"/>
      <c r="D242" s="1"/>
      <c r="E242" s="1"/>
      <c r="F242" s="1"/>
      <c r="H242" s="1"/>
    </row>
    <row r="243" spans="2:8" x14ac:dyDescent="0.25">
      <c r="B243" s="1"/>
      <c r="C243" s="1"/>
      <c r="D243" s="1"/>
      <c r="E243" s="1"/>
      <c r="F243" s="1"/>
      <c r="H243" s="1"/>
    </row>
    <row r="244" spans="2:8" x14ac:dyDescent="0.25">
      <c r="B244" s="1"/>
      <c r="C244" s="1"/>
      <c r="D244" s="1"/>
      <c r="E244" s="1"/>
      <c r="F244" s="1"/>
      <c r="H244" s="1"/>
    </row>
    <row r="245" spans="2:8" x14ac:dyDescent="0.25">
      <c r="B245" s="1"/>
      <c r="C245" s="1"/>
      <c r="D245" s="1"/>
      <c r="E245" s="1"/>
      <c r="F245" s="1"/>
      <c r="H245" s="1"/>
    </row>
    <row r="246" spans="2:8" x14ac:dyDescent="0.25">
      <c r="B246" s="1"/>
      <c r="C246" s="1"/>
      <c r="D246" s="1"/>
      <c r="E246" s="1"/>
      <c r="F246" s="1"/>
      <c r="H246" s="1"/>
    </row>
    <row r="247" spans="2:8" x14ac:dyDescent="0.25">
      <c r="B247" s="1"/>
      <c r="C247" s="1"/>
      <c r="D247" s="1"/>
      <c r="E247" s="1"/>
      <c r="F247" s="1"/>
      <c r="H247" s="1"/>
    </row>
    <row r="248" spans="2:8" x14ac:dyDescent="0.25">
      <c r="B248" s="1"/>
      <c r="C248" s="1"/>
      <c r="D248" s="1"/>
      <c r="E248" s="1"/>
      <c r="F248" s="1"/>
      <c r="H248" s="1"/>
    </row>
    <row r="249" spans="2:8" x14ac:dyDescent="0.25">
      <c r="B249" s="1"/>
      <c r="C249" s="1"/>
      <c r="D249" s="1"/>
      <c r="E249" s="1"/>
      <c r="F249" s="1"/>
      <c r="H249" s="1"/>
    </row>
    <row r="250" spans="2:8" x14ac:dyDescent="0.25">
      <c r="B250" s="1"/>
      <c r="C250" s="1"/>
      <c r="D250" s="1"/>
      <c r="E250" s="1"/>
      <c r="F250" s="1"/>
      <c r="H250" s="1"/>
    </row>
    <row r="251" spans="2:8" x14ac:dyDescent="0.25">
      <c r="B251" s="1"/>
      <c r="C251" s="1"/>
      <c r="D251" s="1"/>
      <c r="E251" s="1"/>
      <c r="F251" s="1"/>
      <c r="H251" s="1"/>
    </row>
    <row r="252" spans="2:8" x14ac:dyDescent="0.25">
      <c r="B252" s="1"/>
      <c r="C252" s="1"/>
      <c r="D252" s="1"/>
      <c r="E252" s="1"/>
      <c r="F252" s="1"/>
      <c r="H252" s="1"/>
    </row>
    <row r="253" spans="2:8" x14ac:dyDescent="0.25">
      <c r="B253" s="1"/>
      <c r="C253" s="1"/>
      <c r="D253" s="1"/>
      <c r="E253" s="1"/>
      <c r="F253" s="1"/>
      <c r="H253" s="1"/>
    </row>
    <row r="254" spans="2:8" x14ac:dyDescent="0.25">
      <c r="B254" s="1"/>
      <c r="C254" s="1"/>
      <c r="D254" s="1"/>
      <c r="E254" s="1"/>
      <c r="F254" s="1"/>
      <c r="H254" s="1"/>
    </row>
    <row r="255" spans="2:8" x14ac:dyDescent="0.25">
      <c r="B255" s="1"/>
      <c r="C255" s="1"/>
      <c r="D255" s="1"/>
      <c r="E255" s="1"/>
      <c r="F255" s="1"/>
      <c r="H255" s="1"/>
    </row>
    <row r="256" spans="2:8" x14ac:dyDescent="0.25">
      <c r="B256" s="1"/>
      <c r="C256" s="1"/>
      <c r="D256" s="1"/>
      <c r="E256" s="1"/>
      <c r="F256" s="1"/>
      <c r="H256" s="1"/>
    </row>
    <row r="257" spans="2:8" x14ac:dyDescent="0.25">
      <c r="B257" s="1"/>
      <c r="C257" s="1"/>
      <c r="D257" s="1"/>
      <c r="E257" s="1"/>
      <c r="F257" s="1"/>
      <c r="H257" s="1"/>
    </row>
    <row r="258" spans="2:8" x14ac:dyDescent="0.25">
      <c r="B258" s="1"/>
      <c r="C258" s="1"/>
      <c r="D258" s="1"/>
      <c r="E258" s="1"/>
      <c r="F258" s="1"/>
      <c r="H258" s="1"/>
    </row>
    <row r="259" spans="2:8" x14ac:dyDescent="0.25">
      <c r="B259" s="1"/>
      <c r="C259" s="1"/>
      <c r="D259" s="1"/>
      <c r="E259" s="1"/>
      <c r="F259" s="1"/>
      <c r="H259" s="1"/>
    </row>
    <row r="260" spans="2:8" x14ac:dyDescent="0.25">
      <c r="B260" s="1"/>
      <c r="C260" s="1"/>
      <c r="D260" s="1"/>
      <c r="E260" s="1"/>
      <c r="F260" s="1"/>
      <c r="H260" s="1"/>
    </row>
    <row r="261" spans="2:8" x14ac:dyDescent="0.25">
      <c r="B261" s="1"/>
      <c r="C261" s="1"/>
      <c r="D261" s="1"/>
      <c r="E261" s="1"/>
      <c r="F261" s="1"/>
      <c r="H261" s="1"/>
    </row>
    <row r="262" spans="2:8" x14ac:dyDescent="0.25">
      <c r="B262" s="1"/>
      <c r="C262" s="1"/>
      <c r="D262" s="1"/>
      <c r="E262" s="1"/>
      <c r="F262" s="1"/>
      <c r="H262" s="1"/>
    </row>
    <row r="263" spans="2:8" x14ac:dyDescent="0.25">
      <c r="B263" s="1"/>
      <c r="C263" s="1"/>
      <c r="D263" s="1"/>
      <c r="E263" s="1"/>
      <c r="F263" s="1"/>
      <c r="H263" s="1"/>
    </row>
    <row r="264" spans="2:8" x14ac:dyDescent="0.25">
      <c r="B264" s="1"/>
      <c r="C264" s="1"/>
      <c r="D264" s="1"/>
      <c r="E264" s="1"/>
      <c r="F264" s="1"/>
      <c r="H264" s="1"/>
    </row>
    <row r="265" spans="2:8" x14ac:dyDescent="0.25">
      <c r="B265" s="1"/>
      <c r="C265" s="1"/>
      <c r="D265" s="1"/>
      <c r="E265" s="1"/>
      <c r="F265" s="1"/>
      <c r="H265" s="1"/>
    </row>
    <row r="266" spans="2:8" x14ac:dyDescent="0.25">
      <c r="B266" s="1"/>
      <c r="C266" s="1"/>
      <c r="D266" s="1"/>
      <c r="E266" s="1"/>
      <c r="F266" s="1"/>
      <c r="H266" s="1"/>
    </row>
    <row r="267" spans="2:8" x14ac:dyDescent="0.25">
      <c r="B267" s="1"/>
      <c r="C267" s="1"/>
      <c r="D267" s="1"/>
      <c r="E267" s="1"/>
      <c r="F267" s="1"/>
      <c r="H267" s="1"/>
    </row>
    <row r="268" spans="2:8" x14ac:dyDescent="0.25">
      <c r="B268" s="1"/>
      <c r="C268" s="1"/>
      <c r="D268" s="1"/>
      <c r="E268" s="1"/>
      <c r="F268" s="1"/>
      <c r="H268" s="1"/>
    </row>
    <row r="269" spans="2:8" x14ac:dyDescent="0.25">
      <c r="B269" s="1"/>
      <c r="C269" s="1"/>
      <c r="D269" s="1"/>
      <c r="E269" s="1"/>
      <c r="F269" s="1"/>
      <c r="H269" s="1"/>
    </row>
    <row r="270" spans="2:8" x14ac:dyDescent="0.25">
      <c r="B270" s="1"/>
      <c r="C270" s="1"/>
      <c r="D270" s="1"/>
      <c r="E270" s="1"/>
      <c r="F270" s="1"/>
      <c r="H270" s="1"/>
    </row>
    <row r="271" spans="2:8" x14ac:dyDescent="0.25">
      <c r="B271" s="1"/>
      <c r="C271" s="1"/>
      <c r="D271" s="1"/>
      <c r="E271" s="1"/>
      <c r="F271" s="1"/>
      <c r="H271" s="1"/>
    </row>
    <row r="272" spans="2:8" x14ac:dyDescent="0.25">
      <c r="B272" s="1"/>
      <c r="C272" s="1"/>
      <c r="D272" s="1"/>
      <c r="E272" s="1"/>
      <c r="F272" s="1"/>
      <c r="H272" s="1"/>
    </row>
    <row r="273" spans="2:8" x14ac:dyDescent="0.25">
      <c r="B273" s="1"/>
      <c r="C273" s="1"/>
      <c r="D273" s="1"/>
      <c r="E273" s="1"/>
      <c r="F273" s="1"/>
      <c r="H273" s="1"/>
    </row>
    <row r="274" spans="2:8" x14ac:dyDescent="0.25">
      <c r="B274" s="1"/>
      <c r="C274" s="1"/>
      <c r="D274" s="1"/>
      <c r="E274" s="1"/>
      <c r="F274" s="1"/>
      <c r="H274" s="1"/>
    </row>
    <row r="275" spans="2:8" x14ac:dyDescent="0.25">
      <c r="B275" s="1"/>
      <c r="C275" s="1"/>
      <c r="D275" s="1"/>
      <c r="E275" s="1"/>
      <c r="F275" s="1"/>
      <c r="H275" s="1"/>
    </row>
    <row r="276" spans="2:8" x14ac:dyDescent="0.25">
      <c r="B276" s="1"/>
      <c r="C276" s="1"/>
      <c r="D276" s="1"/>
      <c r="E276" s="1"/>
      <c r="F276" s="1"/>
      <c r="H276" s="1"/>
    </row>
    <row r="277" spans="2:8" x14ac:dyDescent="0.25">
      <c r="B277" s="1"/>
      <c r="C277" s="1"/>
      <c r="D277" s="1"/>
      <c r="E277" s="1"/>
      <c r="F277" s="1"/>
      <c r="H277" s="1"/>
    </row>
    <row r="278" spans="2:8" x14ac:dyDescent="0.25">
      <c r="B278" s="1"/>
      <c r="C278" s="1"/>
      <c r="D278" s="1"/>
      <c r="E278" s="1"/>
      <c r="F278" s="1"/>
      <c r="H278" s="1"/>
    </row>
    <row r="279" spans="2:8" x14ac:dyDescent="0.25">
      <c r="B279" s="1"/>
      <c r="C279" s="1"/>
      <c r="D279" s="1"/>
      <c r="E279" s="1"/>
      <c r="F279" s="1"/>
      <c r="H279" s="1"/>
    </row>
    <row r="280" spans="2:8" x14ac:dyDescent="0.25">
      <c r="B280" s="1"/>
      <c r="C280" s="1"/>
      <c r="D280" s="1"/>
      <c r="E280" s="1"/>
      <c r="F280" s="1"/>
      <c r="H280" s="1"/>
    </row>
    <row r="281" spans="2:8" x14ac:dyDescent="0.25">
      <c r="B281" s="1"/>
      <c r="C281" s="1"/>
      <c r="D281" s="1"/>
      <c r="E281" s="1"/>
      <c r="F281" s="1"/>
      <c r="H281" s="1"/>
    </row>
    <row r="282" spans="2:8" x14ac:dyDescent="0.25">
      <c r="B282" s="1"/>
      <c r="C282" s="1"/>
      <c r="D282" s="1"/>
      <c r="E282" s="1"/>
      <c r="F282" s="1"/>
      <c r="H282" s="1"/>
    </row>
    <row r="283" spans="2:8" x14ac:dyDescent="0.25">
      <c r="B283" s="1"/>
      <c r="C283" s="1"/>
      <c r="D283" s="1"/>
      <c r="E283" s="1"/>
      <c r="F283" s="1"/>
      <c r="H283" s="1"/>
    </row>
    <row r="284" spans="2:8" x14ac:dyDescent="0.25">
      <c r="B284" s="1"/>
      <c r="C284" s="1"/>
      <c r="D284" s="1"/>
      <c r="E284" s="1"/>
      <c r="F284" s="1"/>
      <c r="H284" s="1"/>
    </row>
    <row r="285" spans="2:8" x14ac:dyDescent="0.25">
      <c r="B285" s="1"/>
      <c r="C285" s="1"/>
      <c r="D285" s="1"/>
      <c r="E285" s="1"/>
      <c r="F285" s="1"/>
      <c r="H285" s="1"/>
    </row>
    <row r="286" spans="2:8" x14ac:dyDescent="0.25">
      <c r="B286" s="1"/>
      <c r="C286" s="1"/>
      <c r="D286" s="1"/>
      <c r="E286" s="1"/>
      <c r="F286" s="1"/>
      <c r="H286" s="1"/>
    </row>
    <row r="287" spans="2:8" x14ac:dyDescent="0.25">
      <c r="B287" s="1"/>
      <c r="C287" s="1"/>
      <c r="D287" s="1"/>
      <c r="E287" s="1"/>
      <c r="F287" s="1"/>
      <c r="H287" s="1"/>
    </row>
    <row r="288" spans="2:8" x14ac:dyDescent="0.25">
      <c r="B288" s="1"/>
      <c r="C288" s="1"/>
      <c r="D288" s="1"/>
      <c r="E288" s="1"/>
      <c r="F288" s="1"/>
      <c r="H288" s="1"/>
    </row>
    <row r="289" spans="2:8" x14ac:dyDescent="0.25">
      <c r="B289" s="1"/>
      <c r="C289" s="1"/>
      <c r="D289" s="1"/>
      <c r="E289" s="1"/>
      <c r="F289" s="1"/>
      <c r="H289" s="1"/>
    </row>
    <row r="290" spans="2:8" x14ac:dyDescent="0.25">
      <c r="B290" s="1"/>
      <c r="C290" s="1"/>
      <c r="D290" s="1"/>
      <c r="E290" s="1"/>
      <c r="F290" s="1"/>
      <c r="H290" s="1"/>
    </row>
    <row r="291" spans="2:8" x14ac:dyDescent="0.25">
      <c r="B291" s="1"/>
      <c r="C291" s="1"/>
      <c r="D291" s="1"/>
      <c r="E291" s="1"/>
      <c r="F291" s="1"/>
      <c r="H291" s="1"/>
    </row>
    <row r="292" spans="2:8" x14ac:dyDescent="0.25">
      <c r="B292" s="1"/>
      <c r="C292" s="1"/>
      <c r="D292" s="1"/>
      <c r="E292" s="1"/>
      <c r="F292" s="1"/>
      <c r="H292" s="1"/>
    </row>
    <row r="293" spans="2:8" x14ac:dyDescent="0.25">
      <c r="B293" s="1"/>
      <c r="C293" s="1"/>
      <c r="D293" s="1"/>
      <c r="E293" s="1"/>
      <c r="F293" s="1"/>
      <c r="H293" s="1"/>
    </row>
    <row r="294" spans="2:8" x14ac:dyDescent="0.25">
      <c r="B294" s="1"/>
      <c r="C294" s="1"/>
      <c r="D294" s="1"/>
      <c r="E294" s="1"/>
      <c r="F294" s="1"/>
      <c r="H294" s="1"/>
    </row>
    <row r="295" spans="2:8" x14ac:dyDescent="0.25">
      <c r="B295" s="1"/>
      <c r="C295" s="1"/>
      <c r="D295" s="1"/>
      <c r="E295" s="1"/>
      <c r="F295" s="1"/>
      <c r="H295" s="1"/>
    </row>
    <row r="296" spans="2:8" x14ac:dyDescent="0.25">
      <c r="B296" s="1"/>
      <c r="C296" s="1"/>
      <c r="D296" s="1"/>
      <c r="E296" s="1"/>
      <c r="F296" s="1"/>
      <c r="H296" s="1"/>
    </row>
    <row r="297" spans="2:8" x14ac:dyDescent="0.25">
      <c r="B297" s="1"/>
      <c r="C297" s="1"/>
      <c r="D297" s="1"/>
      <c r="E297" s="1"/>
      <c r="F297" s="1"/>
      <c r="H297" s="1"/>
    </row>
    <row r="298" spans="2:8" x14ac:dyDescent="0.25">
      <c r="B298" s="1"/>
      <c r="C298" s="1"/>
      <c r="D298" s="1"/>
      <c r="E298" s="1"/>
      <c r="F298" s="1"/>
      <c r="H298" s="1"/>
    </row>
    <row r="299" spans="2:8" x14ac:dyDescent="0.25">
      <c r="B299" s="1"/>
      <c r="C299" s="1"/>
      <c r="D299" s="1"/>
      <c r="E299" s="1"/>
      <c r="F299" s="1"/>
      <c r="H299" s="1"/>
    </row>
    <row r="300" spans="2:8" x14ac:dyDescent="0.25">
      <c r="B300" s="1"/>
      <c r="C300" s="1"/>
      <c r="D300" s="1"/>
      <c r="E300" s="1"/>
      <c r="F300" s="1"/>
      <c r="H300" s="1"/>
    </row>
    <row r="301" spans="2:8" x14ac:dyDescent="0.25">
      <c r="B301" s="1"/>
      <c r="C301" s="1"/>
      <c r="D301" s="1"/>
      <c r="E301" s="1"/>
      <c r="F301" s="1"/>
      <c r="H301" s="1"/>
    </row>
    <row r="302" spans="2:8" x14ac:dyDescent="0.25">
      <c r="B302" s="1"/>
      <c r="C302" s="1"/>
      <c r="D302" s="1"/>
      <c r="E302" s="1"/>
      <c r="F302" s="1"/>
      <c r="H302" s="1"/>
    </row>
    <row r="303" spans="2:8" x14ac:dyDescent="0.25">
      <c r="B303" s="1"/>
      <c r="C303" s="1"/>
      <c r="D303" s="1"/>
      <c r="E303" s="1"/>
      <c r="F303" s="1"/>
      <c r="H303" s="1"/>
    </row>
    <row r="304" spans="2:8" x14ac:dyDescent="0.25">
      <c r="B304" s="1"/>
      <c r="C304" s="1"/>
      <c r="D304" s="1"/>
      <c r="E304" s="1"/>
      <c r="F304" s="1"/>
      <c r="H304" s="1"/>
    </row>
    <row r="305" spans="2:8" x14ac:dyDescent="0.25">
      <c r="B305" s="1"/>
      <c r="C305" s="1"/>
      <c r="D305" s="1"/>
      <c r="E305" s="1"/>
      <c r="F305" s="1"/>
      <c r="H305" s="1"/>
    </row>
    <row r="306" spans="2:8" x14ac:dyDescent="0.25">
      <c r="B306" s="1"/>
      <c r="C306" s="1"/>
      <c r="D306" s="1"/>
      <c r="E306" s="1"/>
      <c r="F306" s="1"/>
      <c r="H306" s="1"/>
    </row>
    <row r="307" spans="2:8" x14ac:dyDescent="0.25">
      <c r="B307" s="1"/>
      <c r="C307" s="1"/>
      <c r="D307" s="1"/>
      <c r="E307" s="1"/>
      <c r="F307" s="1"/>
      <c r="H307" s="1"/>
    </row>
    <row r="308" spans="2:8" x14ac:dyDescent="0.25">
      <c r="B308" s="1"/>
      <c r="C308" s="1"/>
      <c r="D308" s="1"/>
      <c r="E308" s="1"/>
      <c r="F308" s="1"/>
      <c r="H308" s="1"/>
    </row>
    <row r="309" spans="2:8" x14ac:dyDescent="0.25">
      <c r="B309" s="1"/>
      <c r="C309" s="1"/>
      <c r="D309" s="1"/>
      <c r="E309" s="1"/>
      <c r="F309" s="1"/>
      <c r="H309" s="1"/>
    </row>
    <row r="310" spans="2:8" x14ac:dyDescent="0.25">
      <c r="B310" s="1"/>
      <c r="C310" s="1"/>
      <c r="D310" s="1"/>
      <c r="E310" s="1"/>
      <c r="F310" s="1"/>
      <c r="H310" s="1"/>
    </row>
    <row r="311" spans="2:8" x14ac:dyDescent="0.25">
      <c r="B311" s="1"/>
      <c r="C311" s="1"/>
      <c r="D311" s="1"/>
      <c r="E311" s="1"/>
      <c r="F311" s="1"/>
      <c r="H311" s="1"/>
    </row>
    <row r="312" spans="2:8" x14ac:dyDescent="0.25">
      <c r="B312" s="1"/>
      <c r="C312" s="1"/>
      <c r="D312" s="1"/>
      <c r="E312" s="1"/>
      <c r="F312" s="1"/>
      <c r="H312" s="1"/>
    </row>
    <row r="313" spans="2:8" x14ac:dyDescent="0.25">
      <c r="B313" s="1"/>
      <c r="C313" s="1"/>
      <c r="D313" s="1"/>
      <c r="E313" s="1"/>
      <c r="F313" s="1"/>
      <c r="H313" s="1"/>
    </row>
    <row r="314" spans="2:8" x14ac:dyDescent="0.25">
      <c r="B314" s="1"/>
      <c r="C314" s="1"/>
      <c r="D314" s="1"/>
      <c r="E314" s="1"/>
      <c r="F314" s="1"/>
      <c r="H314" s="1"/>
    </row>
    <row r="315" spans="2:8" x14ac:dyDescent="0.25">
      <c r="B315" s="1"/>
      <c r="C315" s="1"/>
      <c r="D315" s="1"/>
      <c r="E315" s="1"/>
      <c r="F315" s="1"/>
      <c r="H315" s="1"/>
    </row>
    <row r="316" spans="2:8" x14ac:dyDescent="0.25">
      <c r="B316" s="1"/>
      <c r="C316" s="1"/>
      <c r="D316" s="1"/>
      <c r="E316" s="1"/>
      <c r="F316" s="1"/>
      <c r="H316" s="1"/>
    </row>
    <row r="317" spans="2:8" x14ac:dyDescent="0.25">
      <c r="B317" s="1"/>
      <c r="C317" s="1"/>
      <c r="D317" s="1"/>
      <c r="E317" s="1"/>
      <c r="F317" s="1"/>
      <c r="H317" s="1"/>
    </row>
    <row r="318" spans="2:8" x14ac:dyDescent="0.25">
      <c r="B318" s="1"/>
      <c r="C318" s="1"/>
      <c r="D318" s="1"/>
      <c r="E318" s="1"/>
      <c r="F318" s="1"/>
      <c r="H318" s="1"/>
    </row>
    <row r="319" spans="2:8" x14ac:dyDescent="0.25">
      <c r="B319" s="1"/>
      <c r="C319" s="1"/>
      <c r="D319" s="1"/>
      <c r="E319" s="1"/>
      <c r="F319" s="1"/>
      <c r="H319" s="1"/>
    </row>
    <row r="320" spans="2:8" x14ac:dyDescent="0.25">
      <c r="B320" s="1"/>
      <c r="C320" s="1"/>
      <c r="D320" s="1"/>
      <c r="E320" s="1"/>
      <c r="F320" s="1"/>
      <c r="H320" s="1"/>
    </row>
    <row r="321" spans="2:8" x14ac:dyDescent="0.25">
      <c r="B321" s="1"/>
      <c r="C321" s="1"/>
      <c r="D321" s="1"/>
      <c r="E321" s="1"/>
      <c r="F321" s="1"/>
      <c r="H321" s="1"/>
    </row>
    <row r="322" spans="2:8" x14ac:dyDescent="0.25">
      <c r="B322" s="1"/>
      <c r="C322" s="1"/>
      <c r="D322" s="1"/>
      <c r="E322" s="1"/>
      <c r="F322" s="1"/>
      <c r="H322" s="1"/>
    </row>
    <row r="323" spans="2:8" x14ac:dyDescent="0.25">
      <c r="B323" s="1"/>
      <c r="C323" s="1"/>
      <c r="D323" s="1"/>
      <c r="E323" s="1"/>
      <c r="F323" s="1"/>
      <c r="H323" s="1"/>
    </row>
    <row r="324" spans="2:8" x14ac:dyDescent="0.25">
      <c r="B324" s="1"/>
      <c r="C324" s="1"/>
      <c r="D324" s="1"/>
      <c r="E324" s="1"/>
      <c r="F324" s="1"/>
      <c r="H324" s="1"/>
    </row>
    <row r="325" spans="2:8" x14ac:dyDescent="0.25">
      <c r="B325" s="1"/>
      <c r="C325" s="1"/>
      <c r="D325" s="1"/>
      <c r="E325" s="1"/>
      <c r="F325" s="1"/>
      <c r="H325" s="1"/>
    </row>
    <row r="326" spans="2:8" x14ac:dyDescent="0.25">
      <c r="B326" s="1"/>
      <c r="C326" s="1"/>
      <c r="D326" s="1"/>
      <c r="E326" s="1"/>
      <c r="F326" s="1"/>
      <c r="H326" s="1"/>
    </row>
    <row r="327" spans="2:8" x14ac:dyDescent="0.25">
      <c r="B327" s="1"/>
      <c r="C327" s="1"/>
      <c r="D327" s="1"/>
      <c r="E327" s="1"/>
      <c r="F327" s="1"/>
      <c r="H327" s="1"/>
    </row>
    <row r="328" spans="2:8" x14ac:dyDescent="0.25">
      <c r="B328" s="1"/>
      <c r="C328" s="1"/>
      <c r="D328" s="1"/>
      <c r="E328" s="1"/>
      <c r="F328" s="1"/>
      <c r="H328" s="1"/>
    </row>
    <row r="329" spans="2:8" x14ac:dyDescent="0.25">
      <c r="B329" s="1"/>
      <c r="C329" s="1"/>
      <c r="D329" s="1"/>
      <c r="E329" s="1"/>
      <c r="F329" s="1"/>
      <c r="H329" s="1"/>
    </row>
    <row r="330" spans="2:8" x14ac:dyDescent="0.25">
      <c r="B330" s="1"/>
      <c r="C330" s="1"/>
      <c r="D330" s="1"/>
      <c r="E330" s="1"/>
      <c r="F330" s="1"/>
      <c r="H330" s="1"/>
    </row>
    <row r="331" spans="2:8" x14ac:dyDescent="0.25">
      <c r="B331" s="1"/>
      <c r="C331" s="1"/>
      <c r="D331" s="1"/>
      <c r="E331" s="1"/>
      <c r="F331" s="1"/>
      <c r="H331" s="1"/>
    </row>
    <row r="332" spans="2:8" x14ac:dyDescent="0.25">
      <c r="B332" s="1"/>
      <c r="C332" s="1"/>
      <c r="D332" s="1"/>
      <c r="E332" s="1"/>
      <c r="F332" s="1"/>
      <c r="H332" s="1"/>
    </row>
    <row r="333" spans="2:8" x14ac:dyDescent="0.25">
      <c r="B333" s="1"/>
      <c r="C333" s="1"/>
      <c r="D333" s="1"/>
      <c r="E333" s="1"/>
      <c r="F333" s="1"/>
      <c r="H333" s="1"/>
    </row>
    <row r="334" spans="2:8" x14ac:dyDescent="0.25">
      <c r="B334" s="1"/>
      <c r="C334" s="1"/>
      <c r="D334" s="1"/>
      <c r="E334" s="1"/>
      <c r="F334" s="1"/>
      <c r="H334" s="1"/>
    </row>
    <row r="335" spans="2:8" x14ac:dyDescent="0.25">
      <c r="B335" s="1"/>
      <c r="C335" s="1"/>
      <c r="D335" s="1"/>
      <c r="E335" s="1"/>
      <c r="F335" s="1"/>
      <c r="H335" s="1"/>
    </row>
    <row r="336" spans="2:8" x14ac:dyDescent="0.25">
      <c r="B336" s="1"/>
      <c r="C336" s="1"/>
      <c r="D336" s="1"/>
      <c r="E336" s="1"/>
      <c r="F336" s="1"/>
      <c r="H336" s="1"/>
    </row>
    <row r="337" spans="2:8" x14ac:dyDescent="0.25">
      <c r="B337" s="1"/>
      <c r="C337" s="1"/>
      <c r="D337" s="1"/>
      <c r="E337" s="1"/>
      <c r="F337" s="1"/>
      <c r="H337" s="1"/>
    </row>
    <row r="338" spans="2:8" x14ac:dyDescent="0.25">
      <c r="B338" s="1"/>
      <c r="C338" s="1"/>
      <c r="D338" s="1"/>
      <c r="E338" s="1"/>
      <c r="F338" s="1"/>
      <c r="H338" s="1"/>
    </row>
    <row r="339" spans="2:8" x14ac:dyDescent="0.25">
      <c r="B339" s="1"/>
      <c r="C339" s="1"/>
      <c r="D339" s="1"/>
      <c r="E339" s="1"/>
      <c r="F339" s="1"/>
      <c r="H339" s="1"/>
    </row>
    <row r="340" spans="2:8" x14ac:dyDescent="0.25">
      <c r="B340" s="1"/>
      <c r="C340" s="1"/>
      <c r="D340" s="1"/>
      <c r="E340" s="1"/>
      <c r="F340" s="1"/>
      <c r="H340" s="1"/>
    </row>
    <row r="341" spans="2:8" x14ac:dyDescent="0.25">
      <c r="B341" s="1"/>
      <c r="C341" s="1"/>
      <c r="D341" s="1"/>
      <c r="E341" s="1"/>
      <c r="F341" s="1"/>
      <c r="H341" s="1"/>
    </row>
    <row r="342" spans="2:8" x14ac:dyDescent="0.25">
      <c r="B342" s="1"/>
      <c r="C342" s="1"/>
      <c r="D342" s="1"/>
      <c r="E342" s="1"/>
      <c r="F342" s="1"/>
      <c r="H342" s="1"/>
    </row>
    <row r="343" spans="2:8" x14ac:dyDescent="0.25">
      <c r="B343" s="1"/>
      <c r="C343" s="1"/>
      <c r="D343" s="1"/>
      <c r="E343" s="1"/>
      <c r="F343" s="1"/>
      <c r="H343" s="1"/>
    </row>
    <row r="344" spans="2:8" x14ac:dyDescent="0.25">
      <c r="B344" s="1"/>
      <c r="C344" s="1"/>
      <c r="D344" s="1"/>
      <c r="E344" s="1"/>
      <c r="F344" s="1"/>
      <c r="H344" s="1"/>
    </row>
    <row r="345" spans="2:8" x14ac:dyDescent="0.25">
      <c r="B345" s="1"/>
      <c r="C345" s="1"/>
      <c r="D345" s="1"/>
      <c r="E345" s="1"/>
      <c r="F345" s="1"/>
      <c r="H345" s="1"/>
    </row>
    <row r="346" spans="2:8" x14ac:dyDescent="0.25">
      <c r="B346" s="1"/>
      <c r="C346" s="1"/>
      <c r="D346" s="1"/>
      <c r="E346" s="1"/>
      <c r="F346" s="1"/>
      <c r="H346" s="1"/>
    </row>
    <row r="347" spans="2:8" x14ac:dyDescent="0.25">
      <c r="B347" s="1"/>
      <c r="C347" s="1"/>
      <c r="D347" s="1"/>
      <c r="E347" s="1"/>
      <c r="F347" s="1"/>
      <c r="H347" s="1"/>
    </row>
    <row r="348" spans="2:8" x14ac:dyDescent="0.25">
      <c r="B348" s="1"/>
      <c r="C348" s="1"/>
      <c r="D348" s="1"/>
      <c r="E348" s="1"/>
      <c r="F348" s="1"/>
      <c r="H348" s="1"/>
    </row>
    <row r="349" spans="2:8" x14ac:dyDescent="0.25">
      <c r="B349" s="1"/>
      <c r="C349" s="1"/>
      <c r="D349" s="1"/>
      <c r="E349" s="1"/>
      <c r="F349" s="1"/>
      <c r="H349" s="1"/>
    </row>
    <row r="350" spans="2:8" x14ac:dyDescent="0.25">
      <c r="B350" s="1"/>
      <c r="C350" s="1"/>
      <c r="D350" s="1"/>
      <c r="E350" s="1"/>
      <c r="F350" s="1"/>
      <c r="H350" s="1"/>
    </row>
    <row r="351" spans="2:8" x14ac:dyDescent="0.25">
      <c r="B351" s="1"/>
      <c r="C351" s="1"/>
      <c r="D351" s="1"/>
      <c r="E351" s="1"/>
      <c r="F351" s="1"/>
      <c r="H351" s="1"/>
    </row>
    <row r="352" spans="2:8" x14ac:dyDescent="0.25">
      <c r="B352" s="1"/>
      <c r="C352" s="1"/>
      <c r="D352" s="1"/>
      <c r="E352" s="1"/>
      <c r="F352" s="1"/>
      <c r="H352" s="1"/>
    </row>
    <row r="353" spans="2:8" x14ac:dyDescent="0.25">
      <c r="B353" s="1"/>
      <c r="C353" s="1"/>
      <c r="D353" s="1"/>
      <c r="E353" s="1"/>
      <c r="F353" s="1"/>
      <c r="H353" s="1"/>
    </row>
    <row r="354" spans="2:8" x14ac:dyDescent="0.25">
      <c r="B354" s="1"/>
      <c r="C354" s="1"/>
      <c r="D354" s="1"/>
      <c r="E354" s="1"/>
      <c r="F354" s="1"/>
      <c r="H354" s="1"/>
    </row>
    <row r="355" spans="2:8" x14ac:dyDescent="0.25">
      <c r="B355" s="1"/>
      <c r="C355" s="1"/>
      <c r="D355" s="1"/>
      <c r="E355" s="1"/>
      <c r="F355" s="1"/>
      <c r="H355" s="1"/>
    </row>
    <row r="356" spans="2:8" x14ac:dyDescent="0.25">
      <c r="B356" s="1"/>
      <c r="C356" s="1"/>
      <c r="D356" s="1"/>
      <c r="E356" s="1"/>
      <c r="F356" s="1"/>
      <c r="H356" s="1"/>
    </row>
    <row r="357" spans="2:8" x14ac:dyDescent="0.25">
      <c r="B357" s="1"/>
      <c r="C357" s="1"/>
      <c r="D357" s="1"/>
      <c r="E357" s="1"/>
      <c r="F357" s="1"/>
      <c r="H357" s="1"/>
    </row>
    <row r="358" spans="2:8" x14ac:dyDescent="0.25">
      <c r="B358" s="1"/>
      <c r="C358" s="1"/>
      <c r="D358" s="1"/>
      <c r="E358" s="1"/>
      <c r="F358" s="1"/>
      <c r="H358" s="1"/>
    </row>
    <row r="359" spans="2:8" x14ac:dyDescent="0.25">
      <c r="B359" s="1"/>
      <c r="C359" s="1"/>
      <c r="D359" s="1"/>
      <c r="E359" s="1"/>
      <c r="F359" s="1"/>
      <c r="H359" s="1"/>
    </row>
    <row r="360" spans="2:8" x14ac:dyDescent="0.25">
      <c r="B360" s="1"/>
      <c r="C360" s="1"/>
      <c r="D360" s="1"/>
      <c r="E360" s="1"/>
      <c r="F360" s="1"/>
      <c r="H360" s="1"/>
    </row>
    <row r="361" spans="2:8" x14ac:dyDescent="0.25">
      <c r="B361" s="1"/>
      <c r="C361" s="1"/>
      <c r="D361" s="1"/>
      <c r="E361" s="1"/>
      <c r="F361" s="1"/>
      <c r="H361" s="1"/>
    </row>
    <row r="362" spans="2:8" x14ac:dyDescent="0.25">
      <c r="B362" s="1"/>
      <c r="C362" s="1"/>
      <c r="D362" s="1"/>
      <c r="E362" s="1"/>
      <c r="F362" s="1"/>
      <c r="H362" s="1"/>
    </row>
    <row r="363" spans="2:8" x14ac:dyDescent="0.25">
      <c r="B363" s="1"/>
      <c r="C363" s="1"/>
      <c r="D363" s="1"/>
      <c r="E363" s="1"/>
      <c r="F363" s="1"/>
      <c r="H363" s="1"/>
    </row>
    <row r="364" spans="2:8" x14ac:dyDescent="0.25">
      <c r="B364" s="1"/>
      <c r="C364" s="1"/>
      <c r="D364" s="1"/>
      <c r="E364" s="1"/>
      <c r="F364" s="1"/>
      <c r="H364" s="1"/>
    </row>
    <row r="365" spans="2:8" x14ac:dyDescent="0.25">
      <c r="B365" s="1"/>
      <c r="C365" s="1"/>
      <c r="D365" s="1"/>
      <c r="E365" s="1"/>
      <c r="F365" s="1"/>
      <c r="H365" s="1"/>
    </row>
    <row r="366" spans="2:8" x14ac:dyDescent="0.25">
      <c r="B366" s="1"/>
      <c r="C366" s="1"/>
      <c r="D366" s="1"/>
      <c r="E366" s="1"/>
      <c r="F366" s="1"/>
      <c r="H366" s="1"/>
    </row>
    <row r="367" spans="2:8" x14ac:dyDescent="0.25">
      <c r="B367" s="1"/>
      <c r="C367" s="1"/>
      <c r="D367" s="1"/>
      <c r="E367" s="1"/>
      <c r="F367" s="1"/>
      <c r="H367" s="1"/>
    </row>
    <row r="368" spans="2:8" x14ac:dyDescent="0.25">
      <c r="B368" s="1"/>
      <c r="C368" s="1"/>
      <c r="D368" s="1"/>
      <c r="E368" s="1"/>
      <c r="F368" s="1"/>
      <c r="H368" s="1"/>
    </row>
    <row r="369" spans="2:8" x14ac:dyDescent="0.25">
      <c r="B369" s="1"/>
      <c r="C369" s="1"/>
      <c r="D369" s="1"/>
      <c r="E369" s="1"/>
      <c r="F369" s="1"/>
      <c r="H369" s="1"/>
    </row>
    <row r="370" spans="2:8" x14ac:dyDescent="0.25">
      <c r="B370" s="1"/>
      <c r="C370" s="1"/>
      <c r="D370" s="1"/>
      <c r="E370" s="1"/>
      <c r="F370" s="1"/>
      <c r="H370" s="1"/>
    </row>
    <row r="371" spans="2:8" x14ac:dyDescent="0.25">
      <c r="B371" s="1"/>
      <c r="C371" s="1"/>
      <c r="D371" s="1"/>
      <c r="E371" s="1"/>
      <c r="F371" s="1"/>
      <c r="H371" s="1"/>
    </row>
    <row r="372" spans="2:8" x14ac:dyDescent="0.25">
      <c r="B372" s="1"/>
      <c r="C372" s="1"/>
      <c r="D372" s="1"/>
      <c r="E372" s="1"/>
      <c r="F372" s="1"/>
      <c r="H372" s="1"/>
    </row>
    <row r="373" spans="2:8" x14ac:dyDescent="0.25">
      <c r="B373" s="1"/>
      <c r="C373" s="1"/>
      <c r="D373" s="1"/>
      <c r="E373" s="1"/>
      <c r="F373" s="1"/>
      <c r="H373" s="1"/>
    </row>
    <row r="374" spans="2:8" x14ac:dyDescent="0.25">
      <c r="B374" s="1"/>
      <c r="C374" s="1"/>
      <c r="D374" s="1"/>
      <c r="E374" s="1"/>
      <c r="F374" s="1"/>
      <c r="H374" s="1"/>
    </row>
    <row r="375" spans="2:8" x14ac:dyDescent="0.25">
      <c r="B375" s="1"/>
      <c r="C375" s="1"/>
      <c r="D375" s="1"/>
      <c r="E375" s="1"/>
      <c r="F375" s="1"/>
      <c r="H375" s="1"/>
    </row>
    <row r="376" spans="2:8" x14ac:dyDescent="0.25">
      <c r="B376" s="1"/>
      <c r="C376" s="1"/>
      <c r="D376" s="1"/>
      <c r="E376" s="1"/>
      <c r="F376" s="1"/>
      <c r="H376" s="1"/>
    </row>
    <row r="377" spans="2:8" x14ac:dyDescent="0.25">
      <c r="B377" s="1"/>
      <c r="C377" s="1"/>
      <c r="D377" s="1"/>
      <c r="E377" s="1"/>
      <c r="F377" s="1"/>
      <c r="H377" s="1"/>
    </row>
    <row r="378" spans="2:8" x14ac:dyDescent="0.25">
      <c r="B378" s="1"/>
      <c r="C378" s="1"/>
      <c r="D378" s="1"/>
      <c r="E378" s="1"/>
      <c r="F378" s="1"/>
      <c r="H378" s="1"/>
    </row>
    <row r="379" spans="2:8" x14ac:dyDescent="0.25">
      <c r="B379" s="1"/>
      <c r="C379" s="1"/>
      <c r="D379" s="1"/>
      <c r="E379" s="1"/>
      <c r="F379" s="1"/>
      <c r="H379" s="1"/>
    </row>
    <row r="380" spans="2:8" x14ac:dyDescent="0.25">
      <c r="B380" s="1"/>
      <c r="C380" s="1"/>
      <c r="D380" s="1"/>
      <c r="E380" s="1"/>
      <c r="F380" s="1"/>
      <c r="H380" s="1"/>
    </row>
    <row r="381" spans="2:8" x14ac:dyDescent="0.25">
      <c r="B381" s="1"/>
      <c r="C381" s="1"/>
      <c r="D381" s="1"/>
      <c r="E381" s="1"/>
      <c r="F381" s="1"/>
      <c r="H381" s="1"/>
    </row>
    <row r="382" spans="2:8" x14ac:dyDescent="0.25">
      <c r="B382" s="1"/>
      <c r="C382" s="1"/>
      <c r="D382" s="1"/>
      <c r="E382" s="1"/>
      <c r="F382" s="1"/>
      <c r="H382" s="1"/>
    </row>
    <row r="383" spans="2:8" x14ac:dyDescent="0.25">
      <c r="B383" s="1"/>
      <c r="C383" s="1"/>
      <c r="D383" s="1"/>
      <c r="E383" s="1"/>
      <c r="F383" s="1"/>
      <c r="H383" s="1"/>
    </row>
    <row r="384" spans="2:8" x14ac:dyDescent="0.25">
      <c r="B384" s="1"/>
      <c r="C384" s="1"/>
      <c r="D384" s="1"/>
      <c r="E384" s="1"/>
      <c r="F384" s="1"/>
      <c r="H384" s="1"/>
    </row>
    <row r="385" spans="2:8" x14ac:dyDescent="0.25">
      <c r="B385" s="1"/>
      <c r="C385" s="1"/>
      <c r="D385" s="1"/>
      <c r="E385" s="1"/>
      <c r="F385" s="1"/>
      <c r="H385" s="1"/>
    </row>
    <row r="386" spans="2:8" x14ac:dyDescent="0.25">
      <c r="B386" s="1"/>
      <c r="C386" s="1"/>
      <c r="D386" s="1"/>
      <c r="E386" s="1"/>
      <c r="F386" s="1"/>
      <c r="H386" s="1"/>
    </row>
    <row r="387" spans="2:8" x14ac:dyDescent="0.25">
      <c r="B387" s="1"/>
      <c r="C387" s="1"/>
      <c r="D387" s="1"/>
      <c r="E387" s="1"/>
      <c r="F387" s="1"/>
      <c r="H387" s="1"/>
    </row>
    <row r="388" spans="2:8" x14ac:dyDescent="0.25">
      <c r="B388" s="1"/>
      <c r="C388" s="1"/>
      <c r="D388" s="1"/>
      <c r="E388" s="1"/>
      <c r="F388" s="1"/>
      <c r="H388" s="1"/>
    </row>
    <row r="389" spans="2:8" x14ac:dyDescent="0.25">
      <c r="B389" s="1"/>
      <c r="C389" s="1"/>
      <c r="D389" s="1"/>
      <c r="E389" s="1"/>
      <c r="F389" s="1"/>
      <c r="H389" s="1"/>
    </row>
    <row r="390" spans="2:8" x14ac:dyDescent="0.25">
      <c r="B390" s="1"/>
      <c r="C390" s="1"/>
      <c r="D390" s="1"/>
      <c r="E390" s="1"/>
      <c r="F390" s="1"/>
      <c r="H390" s="1"/>
    </row>
    <row r="391" spans="2:8" x14ac:dyDescent="0.25">
      <c r="B391" s="1"/>
      <c r="C391" s="1"/>
      <c r="D391" s="1"/>
      <c r="E391" s="1"/>
      <c r="F391" s="1"/>
      <c r="H391" s="1"/>
    </row>
    <row r="392" spans="2:8" x14ac:dyDescent="0.25">
      <c r="B392" s="1"/>
      <c r="C392" s="1"/>
      <c r="D392" s="1"/>
      <c r="E392" s="1"/>
      <c r="F392" s="1"/>
      <c r="H392" s="1"/>
    </row>
    <row r="393" spans="2:8" x14ac:dyDescent="0.25">
      <c r="B393" s="1"/>
      <c r="C393" s="1"/>
      <c r="D393" s="1"/>
      <c r="E393" s="1"/>
      <c r="F393" s="1"/>
      <c r="H393" s="1"/>
    </row>
    <row r="394" spans="2:8" x14ac:dyDescent="0.25">
      <c r="B394" s="1"/>
      <c r="C394" s="1"/>
      <c r="D394" s="1"/>
      <c r="E394" s="1"/>
      <c r="F394" s="1"/>
      <c r="H394" s="1"/>
    </row>
    <row r="395" spans="2:8" x14ac:dyDescent="0.25">
      <c r="B395" s="1"/>
      <c r="C395" s="1"/>
      <c r="D395" s="1"/>
      <c r="E395" s="1"/>
      <c r="F395" s="1"/>
      <c r="H395" s="1"/>
    </row>
    <row r="396" spans="2:8" x14ac:dyDescent="0.25">
      <c r="B396" s="1"/>
      <c r="C396" s="1"/>
      <c r="D396" s="1"/>
      <c r="E396" s="1"/>
      <c r="F396" s="1"/>
      <c r="H396" s="1"/>
    </row>
    <row r="397" spans="2:8" x14ac:dyDescent="0.25">
      <c r="B397" s="1"/>
      <c r="C397" s="1"/>
      <c r="D397" s="1"/>
      <c r="E397" s="1"/>
      <c r="F397" s="1"/>
      <c r="H397" s="1"/>
    </row>
    <row r="398" spans="2:8" x14ac:dyDescent="0.25">
      <c r="B398" s="1"/>
      <c r="C398" s="1"/>
      <c r="D398" s="1"/>
      <c r="E398" s="1"/>
      <c r="F398" s="1"/>
      <c r="H398" s="1"/>
    </row>
    <row r="399" spans="2:8" x14ac:dyDescent="0.25">
      <c r="B399" s="1"/>
      <c r="C399" s="1"/>
      <c r="D399" s="1"/>
      <c r="E399" s="1"/>
      <c r="F399" s="1"/>
      <c r="H399" s="1"/>
    </row>
    <row r="400" spans="2:8" x14ac:dyDescent="0.25">
      <c r="B400" s="1"/>
      <c r="C400" s="1"/>
      <c r="D400" s="1"/>
      <c r="E400" s="1"/>
      <c r="F400" s="1"/>
      <c r="H400" s="1"/>
    </row>
    <row r="401" spans="2:8" x14ac:dyDescent="0.25">
      <c r="B401" s="1"/>
      <c r="C401" s="1"/>
      <c r="D401" s="1"/>
      <c r="E401" s="1"/>
      <c r="F401" s="1"/>
      <c r="H401" s="1"/>
    </row>
    <row r="402" spans="2:8" x14ac:dyDescent="0.25">
      <c r="B402" s="1"/>
      <c r="C402" s="1"/>
      <c r="D402" s="1"/>
      <c r="E402" s="1"/>
      <c r="F402" s="1"/>
      <c r="H402" s="1"/>
    </row>
    <row r="403" spans="2:8" x14ac:dyDescent="0.25">
      <c r="B403" s="1"/>
      <c r="C403" s="1"/>
      <c r="D403" s="1"/>
      <c r="E403" s="1"/>
      <c r="F403" s="1"/>
      <c r="H403" s="1"/>
    </row>
    <row r="404" spans="2:8" x14ac:dyDescent="0.25">
      <c r="B404" s="1"/>
      <c r="C404" s="1"/>
      <c r="D404" s="1"/>
      <c r="E404" s="1"/>
      <c r="F404" s="1"/>
      <c r="H404" s="1"/>
    </row>
    <row r="405" spans="2:8" x14ac:dyDescent="0.25">
      <c r="B405" s="1"/>
      <c r="C405" s="1"/>
      <c r="D405" s="1"/>
      <c r="E405" s="1"/>
      <c r="F405" s="1"/>
      <c r="H405" s="1"/>
    </row>
    <row r="406" spans="2:8" x14ac:dyDescent="0.25">
      <c r="B406" s="1"/>
      <c r="C406" s="1"/>
      <c r="D406" s="1"/>
      <c r="E406" s="1"/>
      <c r="F406" s="1"/>
      <c r="H406" s="1"/>
    </row>
    <row r="407" spans="2:8" x14ac:dyDescent="0.25">
      <c r="B407" s="1"/>
      <c r="C407" s="1"/>
      <c r="D407" s="1"/>
      <c r="E407" s="1"/>
      <c r="F407" s="1"/>
      <c r="H407" s="1"/>
    </row>
    <row r="408" spans="2:8" x14ac:dyDescent="0.25">
      <c r="B408" s="1"/>
      <c r="C408" s="1"/>
      <c r="D408" s="1"/>
      <c r="E408" s="1"/>
      <c r="F408" s="1"/>
      <c r="H408" s="1"/>
    </row>
    <row r="409" spans="2:8" x14ac:dyDescent="0.25">
      <c r="B409" s="1"/>
      <c r="C409" s="1"/>
      <c r="D409" s="1"/>
      <c r="E409" s="1"/>
      <c r="F409" s="1"/>
      <c r="H409" s="1"/>
    </row>
    <row r="410" spans="2:8" x14ac:dyDescent="0.25">
      <c r="B410" s="1"/>
      <c r="C410" s="1"/>
      <c r="D410" s="1"/>
      <c r="E410" s="1"/>
      <c r="F410" s="1"/>
      <c r="H410" s="1"/>
    </row>
    <row r="411" spans="2:8" x14ac:dyDescent="0.25">
      <c r="B411" s="1"/>
      <c r="C411" s="1"/>
      <c r="D411" s="1"/>
      <c r="E411" s="1"/>
      <c r="F411" s="1"/>
      <c r="H411" s="1"/>
    </row>
    <row r="412" spans="2:8" x14ac:dyDescent="0.25">
      <c r="B412" s="1"/>
      <c r="C412" s="1"/>
      <c r="D412" s="1"/>
      <c r="E412" s="1"/>
      <c r="F412" s="1"/>
      <c r="H412" s="1"/>
    </row>
    <row r="413" spans="2:8" x14ac:dyDescent="0.25">
      <c r="B413" s="1"/>
      <c r="C413" s="1"/>
      <c r="D413" s="1"/>
      <c r="E413" s="1"/>
      <c r="F413" s="1"/>
      <c r="H413" s="1"/>
    </row>
    <row r="414" spans="2:8" x14ac:dyDescent="0.25">
      <c r="B414" s="1"/>
      <c r="C414" s="1"/>
      <c r="D414" s="1"/>
      <c r="E414" s="1"/>
      <c r="F414" s="1"/>
      <c r="H414" s="1"/>
    </row>
    <row r="415" spans="2:8" x14ac:dyDescent="0.25">
      <c r="B415" s="1"/>
      <c r="C415" s="1"/>
      <c r="D415" s="1"/>
      <c r="E415" s="1"/>
      <c r="F415" s="1"/>
      <c r="H415" s="1"/>
    </row>
    <row r="416" spans="2:8" x14ac:dyDescent="0.25">
      <c r="B416" s="1"/>
      <c r="C416" s="1"/>
      <c r="D416" s="1"/>
      <c r="E416" s="1"/>
      <c r="F416" s="1"/>
      <c r="H416" s="1"/>
    </row>
    <row r="417" spans="2:8" x14ac:dyDescent="0.25">
      <c r="B417" s="1"/>
      <c r="C417" s="1"/>
      <c r="D417" s="1"/>
      <c r="E417" s="1"/>
      <c r="F417" s="1"/>
      <c r="H417" s="1"/>
    </row>
    <row r="418" spans="2:8" x14ac:dyDescent="0.25">
      <c r="B418" s="1"/>
      <c r="C418" s="1"/>
      <c r="D418" s="1"/>
      <c r="E418" s="1"/>
      <c r="F418" s="1"/>
      <c r="H418" s="1"/>
    </row>
    <row r="419" spans="2:8" x14ac:dyDescent="0.25">
      <c r="B419" s="1"/>
      <c r="C419" s="1"/>
      <c r="D419" s="1"/>
      <c r="E419" s="1"/>
      <c r="F419" s="1"/>
      <c r="H419" s="1"/>
    </row>
    <row r="420" spans="2:8" x14ac:dyDescent="0.25">
      <c r="B420" s="1"/>
      <c r="C420" s="1"/>
      <c r="D420" s="1"/>
      <c r="E420" s="1"/>
      <c r="F420" s="1"/>
      <c r="H420" s="1"/>
    </row>
    <row r="421" spans="2:8" x14ac:dyDescent="0.25">
      <c r="B421" s="1"/>
      <c r="C421" s="1"/>
      <c r="D421" s="1"/>
      <c r="E421" s="1"/>
      <c r="F421" s="1"/>
      <c r="H421" s="1"/>
    </row>
    <row r="422" spans="2:8" x14ac:dyDescent="0.25">
      <c r="B422" s="1"/>
      <c r="C422" s="1"/>
      <c r="D422" s="1"/>
      <c r="E422" s="1"/>
      <c r="F422" s="1"/>
      <c r="H422" s="1"/>
    </row>
    <row r="423" spans="2:8" x14ac:dyDescent="0.25">
      <c r="B423" s="1"/>
      <c r="C423" s="1"/>
      <c r="D423" s="1"/>
      <c r="E423" s="1"/>
      <c r="F423" s="1"/>
      <c r="H423" s="1"/>
    </row>
    <row r="424" spans="2:8" x14ac:dyDescent="0.25">
      <c r="B424" s="1"/>
      <c r="C424" s="1"/>
      <c r="D424" s="1"/>
      <c r="E424" s="1"/>
      <c r="F424" s="1"/>
      <c r="H424" s="1"/>
    </row>
    <row r="425" spans="2:8" x14ac:dyDescent="0.25">
      <c r="B425" s="1"/>
      <c r="C425" s="1"/>
      <c r="D425" s="1"/>
      <c r="E425" s="1"/>
      <c r="F425" s="1"/>
      <c r="H425" s="1"/>
    </row>
    <row r="426" spans="2:8" x14ac:dyDescent="0.25">
      <c r="B426" s="1"/>
      <c r="C426" s="1"/>
      <c r="D426" s="1"/>
      <c r="E426" s="1"/>
      <c r="F426" s="1"/>
      <c r="H426" s="1"/>
    </row>
    <row r="427" spans="2:8" x14ac:dyDescent="0.25">
      <c r="B427" s="1"/>
      <c r="C427" s="1"/>
      <c r="D427" s="1"/>
      <c r="E427" s="1"/>
      <c r="F427" s="1"/>
      <c r="H427" s="1"/>
    </row>
    <row r="428" spans="2:8" x14ac:dyDescent="0.25">
      <c r="B428" s="1"/>
      <c r="C428" s="1"/>
      <c r="D428" s="1"/>
      <c r="E428" s="1"/>
      <c r="F428" s="1"/>
      <c r="H428" s="1"/>
    </row>
    <row r="429" spans="2:8" x14ac:dyDescent="0.25">
      <c r="B429" s="1"/>
      <c r="C429" s="1"/>
      <c r="D429" s="1"/>
      <c r="E429" s="1"/>
      <c r="F429" s="1"/>
      <c r="H429" s="1"/>
    </row>
    <row r="430" spans="2:8" x14ac:dyDescent="0.25">
      <c r="B430" s="1"/>
      <c r="C430" s="1"/>
      <c r="D430" s="1"/>
      <c r="E430" s="1"/>
      <c r="F430" s="1"/>
      <c r="H430" s="1"/>
    </row>
    <row r="431" spans="2:8" x14ac:dyDescent="0.25">
      <c r="B431" s="1"/>
      <c r="C431" s="1"/>
      <c r="D431" s="1"/>
      <c r="E431" s="1"/>
      <c r="F431" s="1"/>
      <c r="H431" s="1"/>
    </row>
    <row r="432" spans="2:8" x14ac:dyDescent="0.25">
      <c r="B432" s="1"/>
      <c r="C432" s="1"/>
      <c r="D432" s="1"/>
      <c r="E432" s="1"/>
      <c r="F432" s="1"/>
      <c r="H432" s="1"/>
    </row>
    <row r="433" spans="2:8" x14ac:dyDescent="0.25">
      <c r="B433" s="1"/>
      <c r="C433" s="1"/>
      <c r="D433" s="1"/>
      <c r="E433" s="1"/>
      <c r="F433" s="1"/>
      <c r="H433" s="1"/>
    </row>
    <row r="434" spans="2:8" x14ac:dyDescent="0.25">
      <c r="B434" s="1"/>
      <c r="C434" s="1"/>
      <c r="D434" s="1"/>
      <c r="E434" s="1"/>
      <c r="F434" s="1"/>
      <c r="H434" s="1"/>
    </row>
    <row r="435" spans="2:8" x14ac:dyDescent="0.25">
      <c r="B435" s="1"/>
      <c r="C435" s="1"/>
      <c r="D435" s="1"/>
      <c r="E435" s="1"/>
      <c r="F435" s="1"/>
      <c r="H435" s="1"/>
    </row>
    <row r="436" spans="2:8" x14ac:dyDescent="0.25">
      <c r="B436" s="1"/>
      <c r="C436" s="1"/>
      <c r="D436" s="1"/>
      <c r="E436" s="1"/>
      <c r="F436" s="1"/>
      <c r="H436" s="1"/>
    </row>
    <row r="437" spans="2:8" x14ac:dyDescent="0.25">
      <c r="B437" s="1"/>
      <c r="C437" s="1"/>
      <c r="D437" s="1"/>
      <c r="E437" s="1"/>
      <c r="F437" s="1"/>
      <c r="H437" s="1"/>
    </row>
    <row r="438" spans="2:8" x14ac:dyDescent="0.25">
      <c r="B438" s="1"/>
      <c r="C438" s="1"/>
      <c r="D438" s="1"/>
      <c r="E438" s="1"/>
      <c r="F438" s="1"/>
      <c r="H438" s="1"/>
    </row>
    <row r="439" spans="2:8" x14ac:dyDescent="0.25">
      <c r="B439" s="1"/>
      <c r="C439" s="1"/>
      <c r="D439" s="1"/>
      <c r="E439" s="1"/>
      <c r="F439" s="1"/>
      <c r="H439" s="1"/>
    </row>
    <row r="440" spans="2:8" x14ac:dyDescent="0.25">
      <c r="B440" s="1"/>
      <c r="C440" s="1"/>
      <c r="D440" s="1"/>
      <c r="E440" s="1"/>
      <c r="F440" s="1"/>
      <c r="H440" s="1"/>
    </row>
    <row r="441" spans="2:8" x14ac:dyDescent="0.25">
      <c r="B441" s="1"/>
      <c r="C441" s="1"/>
      <c r="D441" s="1"/>
      <c r="E441" s="1"/>
      <c r="F441" s="1"/>
      <c r="H441" s="1"/>
    </row>
    <row r="442" spans="2:8" x14ac:dyDescent="0.25">
      <c r="B442" s="1"/>
      <c r="C442" s="1"/>
      <c r="D442" s="1"/>
      <c r="E442" s="1"/>
      <c r="F442" s="1"/>
      <c r="H442" s="1"/>
    </row>
    <row r="443" spans="2:8" x14ac:dyDescent="0.25">
      <c r="B443" s="1"/>
      <c r="C443" s="1"/>
      <c r="D443" s="1"/>
      <c r="E443" s="1"/>
      <c r="F443" s="1"/>
      <c r="H443" s="1"/>
    </row>
    <row r="444" spans="2:8" x14ac:dyDescent="0.25">
      <c r="B444" s="1"/>
      <c r="C444" s="1"/>
      <c r="D444" s="1"/>
      <c r="E444" s="1"/>
      <c r="F444" s="1"/>
      <c r="H444" s="1"/>
    </row>
    <row r="445" spans="2:8" x14ac:dyDescent="0.25">
      <c r="B445" s="1"/>
      <c r="C445" s="1"/>
      <c r="D445" s="1"/>
      <c r="E445" s="1"/>
      <c r="F445" s="1"/>
      <c r="H445" s="1"/>
    </row>
    <row r="446" spans="2:8" x14ac:dyDescent="0.25">
      <c r="B446" s="1"/>
      <c r="C446" s="1"/>
      <c r="D446" s="1"/>
      <c r="E446" s="1"/>
      <c r="F446" s="1"/>
      <c r="H446" s="1"/>
    </row>
    <row r="447" spans="2:8" x14ac:dyDescent="0.25">
      <c r="B447" s="1"/>
      <c r="C447" s="1"/>
      <c r="D447" s="1"/>
      <c r="E447" s="1"/>
      <c r="F447" s="1"/>
      <c r="H447" s="1"/>
    </row>
    <row r="448" spans="2:8" x14ac:dyDescent="0.25">
      <c r="B448" s="1"/>
      <c r="C448" s="1"/>
      <c r="D448" s="1"/>
      <c r="E448" s="1"/>
      <c r="F448" s="1"/>
      <c r="H448" s="1"/>
    </row>
    <row r="449" spans="2:8" x14ac:dyDescent="0.25">
      <c r="B449" s="1"/>
      <c r="C449" s="1"/>
      <c r="D449" s="1"/>
      <c r="E449" s="1"/>
      <c r="F449" s="1"/>
      <c r="H449" s="1"/>
    </row>
    <row r="450" spans="2:8" x14ac:dyDescent="0.25">
      <c r="B450" s="1"/>
      <c r="C450" s="1"/>
      <c r="D450" s="1"/>
      <c r="E450" s="1"/>
      <c r="F450" s="1"/>
      <c r="H450" s="1"/>
    </row>
    <row r="451" spans="2:8" x14ac:dyDescent="0.25">
      <c r="B451" s="1"/>
      <c r="C451" s="1"/>
      <c r="D451" s="1"/>
      <c r="E451" s="1"/>
      <c r="F451" s="1"/>
      <c r="H451" s="1"/>
    </row>
    <row r="452" spans="2:8" x14ac:dyDescent="0.25">
      <c r="B452" s="1"/>
      <c r="C452" s="1"/>
      <c r="D452" s="1"/>
      <c r="E452" s="1"/>
      <c r="F452" s="1"/>
      <c r="H452" s="1"/>
    </row>
    <row r="453" spans="2:8" x14ac:dyDescent="0.25">
      <c r="B453" s="1"/>
      <c r="C453" s="1"/>
      <c r="D453" s="1"/>
      <c r="E453" s="1"/>
      <c r="F453" s="1"/>
      <c r="H453" s="1"/>
    </row>
    <row r="454" spans="2:8" x14ac:dyDescent="0.25">
      <c r="B454" s="1"/>
      <c r="C454" s="1"/>
      <c r="D454" s="1"/>
      <c r="E454" s="1"/>
      <c r="F454" s="1"/>
      <c r="H454" s="1"/>
    </row>
    <row r="455" spans="2:8" x14ac:dyDescent="0.25">
      <c r="B455" s="1"/>
      <c r="C455" s="1"/>
      <c r="D455" s="1"/>
      <c r="E455" s="1"/>
      <c r="F455" s="1"/>
      <c r="H455" s="1"/>
    </row>
    <row r="456" spans="2:8" x14ac:dyDescent="0.25">
      <c r="B456" s="1"/>
      <c r="C456" s="1"/>
      <c r="D456" s="1"/>
      <c r="E456" s="1"/>
      <c r="F456" s="1"/>
      <c r="H456" s="1"/>
    </row>
    <row r="457" spans="2:8" x14ac:dyDescent="0.25">
      <c r="B457" s="1"/>
      <c r="C457" s="1"/>
      <c r="D457" s="1"/>
      <c r="E457" s="1"/>
      <c r="F457" s="1"/>
      <c r="H457" s="1"/>
    </row>
    <row r="458" spans="2:8" x14ac:dyDescent="0.25">
      <c r="B458" s="1"/>
      <c r="C458" s="1"/>
      <c r="D458" s="1"/>
      <c r="E458" s="1"/>
      <c r="F458" s="1"/>
      <c r="H458" s="1"/>
    </row>
    <row r="459" spans="2:8" x14ac:dyDescent="0.25">
      <c r="B459" s="1"/>
      <c r="C459" s="1"/>
      <c r="D459" s="1"/>
      <c r="E459" s="1"/>
      <c r="F459" s="1"/>
      <c r="H459" s="1"/>
    </row>
    <row r="460" spans="2:8" x14ac:dyDescent="0.25">
      <c r="B460" s="1"/>
      <c r="C460" s="1"/>
      <c r="D460" s="1"/>
      <c r="E460" s="1"/>
      <c r="F460" s="1"/>
      <c r="H460" s="1"/>
    </row>
    <row r="461" spans="2:8" x14ac:dyDescent="0.25">
      <c r="B461" s="1"/>
      <c r="C461" s="1"/>
      <c r="D461" s="1"/>
      <c r="E461" s="1"/>
      <c r="F461" s="1"/>
      <c r="H461" s="1"/>
    </row>
    <row r="462" spans="2:8" x14ac:dyDescent="0.25">
      <c r="B462" s="1"/>
      <c r="C462" s="1"/>
      <c r="D462" s="1"/>
      <c r="E462" s="1"/>
      <c r="F462" s="1"/>
      <c r="H462" s="1"/>
    </row>
    <row r="463" spans="2:8" x14ac:dyDescent="0.25">
      <c r="B463" s="1"/>
      <c r="C463" s="1"/>
      <c r="D463" s="1"/>
      <c r="E463" s="1"/>
      <c r="F463" s="1"/>
      <c r="H463" s="1"/>
    </row>
    <row r="464" spans="2:8" x14ac:dyDescent="0.25">
      <c r="B464" s="1"/>
      <c r="C464" s="1"/>
      <c r="D464" s="1"/>
      <c r="E464" s="1"/>
      <c r="F464" s="1"/>
      <c r="H464" s="1"/>
    </row>
    <row r="465" spans="2:8" x14ac:dyDescent="0.25">
      <c r="B465" s="1"/>
      <c r="C465" s="1"/>
      <c r="D465" s="1"/>
      <c r="E465" s="1"/>
      <c r="F465" s="1"/>
      <c r="H465" s="1"/>
    </row>
    <row r="466" spans="2:8" x14ac:dyDescent="0.25">
      <c r="B466" s="1"/>
      <c r="C466" s="1"/>
      <c r="D466" s="1"/>
      <c r="E466" s="1"/>
      <c r="F466" s="1"/>
      <c r="H466" s="1"/>
    </row>
    <row r="467" spans="2:8" x14ac:dyDescent="0.25">
      <c r="B467" s="1"/>
      <c r="C467" s="1"/>
      <c r="D467" s="1"/>
      <c r="E467" s="1"/>
      <c r="F467" s="1"/>
      <c r="H467" s="1"/>
    </row>
    <row r="468" spans="2:8" x14ac:dyDescent="0.25">
      <c r="B468" s="1"/>
      <c r="C468" s="1"/>
      <c r="D468" s="1"/>
      <c r="E468" s="1"/>
      <c r="F468" s="1"/>
      <c r="H468" s="1"/>
    </row>
    <row r="469" spans="2:8" x14ac:dyDescent="0.25">
      <c r="B469" s="1"/>
      <c r="C469" s="1"/>
      <c r="D469" s="1"/>
      <c r="E469" s="1"/>
      <c r="F469" s="1"/>
      <c r="H469" s="1"/>
    </row>
    <row r="470" spans="2:8" x14ac:dyDescent="0.25">
      <c r="B470" s="1"/>
      <c r="C470" s="1"/>
      <c r="D470" s="1"/>
      <c r="E470" s="1"/>
      <c r="F470" s="1"/>
      <c r="H470" s="1"/>
    </row>
    <row r="471" spans="2:8" x14ac:dyDescent="0.25">
      <c r="B471" s="1"/>
      <c r="C471" s="1"/>
      <c r="D471" s="1"/>
      <c r="E471" s="1"/>
      <c r="F471" s="1"/>
      <c r="H471" s="1"/>
    </row>
    <row r="472" spans="2:8" x14ac:dyDescent="0.25">
      <c r="B472" s="1"/>
      <c r="C472" s="1"/>
      <c r="D472" s="1"/>
      <c r="E472" s="1"/>
      <c r="F472" s="1"/>
      <c r="H472" s="1"/>
    </row>
    <row r="473" spans="2:8" x14ac:dyDescent="0.25">
      <c r="B473" s="1"/>
      <c r="C473" s="1"/>
      <c r="D473" s="1"/>
      <c r="E473" s="1"/>
      <c r="F473" s="1"/>
      <c r="H473" s="1"/>
    </row>
    <row r="474" spans="2:8" x14ac:dyDescent="0.25">
      <c r="B474" s="1"/>
      <c r="C474" s="1"/>
      <c r="D474" s="1"/>
      <c r="E474" s="1"/>
      <c r="F474" s="1"/>
      <c r="H474" s="1"/>
    </row>
    <row r="475" spans="2:8" x14ac:dyDescent="0.25">
      <c r="B475" s="1"/>
      <c r="C475" s="1"/>
      <c r="D475" s="1"/>
      <c r="E475" s="1"/>
      <c r="F475" s="1"/>
      <c r="H475" s="1"/>
    </row>
    <row r="476" spans="2:8" x14ac:dyDescent="0.25">
      <c r="B476" s="1"/>
      <c r="C476" s="1"/>
      <c r="D476" s="1"/>
      <c r="E476" s="1"/>
      <c r="F476" s="1"/>
      <c r="H476" s="1"/>
    </row>
    <row r="477" spans="2:8" x14ac:dyDescent="0.25">
      <c r="B477" s="1"/>
      <c r="C477" s="1"/>
      <c r="D477" s="1"/>
      <c r="E477" s="1"/>
      <c r="F477" s="1"/>
      <c r="H477" s="1"/>
    </row>
    <row r="478" spans="2:8" x14ac:dyDescent="0.25">
      <c r="B478" s="1"/>
      <c r="C478" s="1"/>
      <c r="D478" s="1"/>
      <c r="E478" s="1"/>
      <c r="F478" s="1"/>
      <c r="H478" s="1"/>
    </row>
    <row r="479" spans="2:8" x14ac:dyDescent="0.25">
      <c r="B479" s="1"/>
      <c r="C479" s="1"/>
      <c r="D479" s="1"/>
      <c r="E479" s="1"/>
      <c r="F479" s="1"/>
      <c r="H479" s="1"/>
    </row>
    <row r="480" spans="2:8" x14ac:dyDescent="0.25">
      <c r="B480" s="1"/>
      <c r="C480" s="1"/>
      <c r="D480" s="1"/>
      <c r="E480" s="1"/>
      <c r="F480" s="1"/>
      <c r="H480" s="1"/>
    </row>
    <row r="481" spans="2:8" x14ac:dyDescent="0.25">
      <c r="B481" s="1"/>
      <c r="C481" s="1"/>
      <c r="D481" s="1"/>
      <c r="E481" s="1"/>
      <c r="F481" s="1"/>
      <c r="H481" s="1"/>
    </row>
    <row r="482" spans="2:8" x14ac:dyDescent="0.25">
      <c r="B482" s="1"/>
      <c r="C482" s="1"/>
      <c r="D482" s="1"/>
      <c r="E482" s="1"/>
      <c r="F482" s="1"/>
      <c r="H482" s="1"/>
    </row>
    <row r="483" spans="2:8" x14ac:dyDescent="0.25">
      <c r="B483" s="1"/>
      <c r="C483" s="1"/>
      <c r="D483" s="1"/>
      <c r="E483" s="1"/>
      <c r="F483" s="1"/>
      <c r="H483" s="1"/>
    </row>
    <row r="484" spans="2:8" x14ac:dyDescent="0.25">
      <c r="B484" s="1"/>
      <c r="C484" s="1"/>
      <c r="D484" s="1"/>
      <c r="E484" s="1"/>
      <c r="F484" s="1"/>
      <c r="H484" s="1"/>
    </row>
    <row r="485" spans="2:8" x14ac:dyDescent="0.25">
      <c r="B485" s="1"/>
      <c r="C485" s="1"/>
      <c r="D485" s="1"/>
      <c r="E485" s="1"/>
      <c r="F485" s="1"/>
      <c r="H485" s="1"/>
    </row>
    <row r="486" spans="2:8" x14ac:dyDescent="0.25">
      <c r="B486" s="1"/>
      <c r="C486" s="1"/>
      <c r="D486" s="1"/>
      <c r="E486" s="1"/>
      <c r="F486" s="1"/>
      <c r="H486" s="1"/>
    </row>
    <row r="487" spans="2:8" x14ac:dyDescent="0.25">
      <c r="B487" s="1"/>
      <c r="C487" s="1"/>
      <c r="D487" s="1"/>
      <c r="E487" s="1"/>
      <c r="F487" s="1"/>
      <c r="H487" s="1"/>
    </row>
    <row r="488" spans="2:8" x14ac:dyDescent="0.25">
      <c r="B488" s="1"/>
      <c r="C488" s="1"/>
      <c r="D488" s="1"/>
      <c r="E488" s="1"/>
      <c r="F488" s="1"/>
      <c r="H488" s="1"/>
    </row>
    <row r="489" spans="2:8" x14ac:dyDescent="0.25">
      <c r="B489" s="1"/>
      <c r="C489" s="1"/>
      <c r="D489" s="1"/>
      <c r="E489" s="1"/>
      <c r="F489" s="1"/>
      <c r="H489" s="1"/>
    </row>
    <row r="490" spans="2:8" x14ac:dyDescent="0.25">
      <c r="B490" s="1"/>
      <c r="C490" s="1"/>
      <c r="D490" s="1"/>
      <c r="E490" s="1"/>
      <c r="F490" s="1"/>
      <c r="H490" s="1"/>
    </row>
    <row r="491" spans="2:8" x14ac:dyDescent="0.25">
      <c r="B491" s="1"/>
      <c r="C491" s="1"/>
      <c r="D491" s="1"/>
      <c r="E491" s="1"/>
      <c r="F491" s="1"/>
      <c r="H491" s="1"/>
    </row>
    <row r="492" spans="2:8" x14ac:dyDescent="0.25">
      <c r="B492" s="1"/>
      <c r="C492" s="1"/>
      <c r="D492" s="1"/>
      <c r="E492" s="1"/>
      <c r="F492" s="1"/>
      <c r="H492" s="1"/>
    </row>
    <row r="493" spans="2:8" x14ac:dyDescent="0.25">
      <c r="B493" s="1"/>
      <c r="C493" s="1"/>
      <c r="D493" s="1"/>
      <c r="E493" s="1"/>
      <c r="F493" s="1"/>
      <c r="H493" s="1"/>
    </row>
    <row r="494" spans="2:8" x14ac:dyDescent="0.25">
      <c r="B494" s="1"/>
      <c r="C494" s="1"/>
      <c r="D494" s="1"/>
      <c r="E494" s="1"/>
      <c r="F494" s="1"/>
      <c r="H494" s="1"/>
    </row>
    <row r="495" spans="2:8" x14ac:dyDescent="0.25">
      <c r="B495" s="1"/>
      <c r="C495" s="1"/>
      <c r="D495" s="1"/>
      <c r="E495" s="1"/>
      <c r="F495" s="1"/>
      <c r="H495" s="1"/>
    </row>
    <row r="496" spans="2:8" x14ac:dyDescent="0.25">
      <c r="B496" s="1"/>
      <c r="C496" s="1"/>
      <c r="D496" s="1"/>
      <c r="E496" s="1"/>
      <c r="F496" s="1"/>
      <c r="H496" s="1"/>
    </row>
    <row r="497" spans="2:8" x14ac:dyDescent="0.25">
      <c r="B497" s="1"/>
      <c r="C497" s="1"/>
      <c r="D497" s="1"/>
      <c r="E497" s="1"/>
      <c r="F497" s="1"/>
      <c r="H497" s="1"/>
    </row>
    <row r="498" spans="2:8" x14ac:dyDescent="0.25">
      <c r="B498" s="1"/>
      <c r="C498" s="1"/>
      <c r="D498" s="1"/>
      <c r="E498" s="1"/>
      <c r="F498" s="1"/>
      <c r="H498" s="1"/>
    </row>
    <row r="499" spans="2:8" x14ac:dyDescent="0.25">
      <c r="B499" s="1"/>
      <c r="C499" s="1"/>
      <c r="D499" s="1"/>
      <c r="E499" s="1"/>
      <c r="F499" s="1"/>
      <c r="H499" s="1"/>
    </row>
    <row r="500" spans="2:8" x14ac:dyDescent="0.25">
      <c r="B500" s="1"/>
      <c r="C500" s="1"/>
      <c r="D500" s="1"/>
      <c r="E500" s="1"/>
      <c r="F500" s="1"/>
      <c r="H500" s="1"/>
    </row>
    <row r="501" spans="2:8" x14ac:dyDescent="0.25">
      <c r="B501" s="1"/>
      <c r="C501" s="1"/>
      <c r="D501" s="1"/>
      <c r="E501" s="1"/>
      <c r="F501" s="1"/>
      <c r="H501" s="1"/>
    </row>
    <row r="502" spans="2:8" x14ac:dyDescent="0.25">
      <c r="B502" s="1"/>
      <c r="C502" s="1"/>
      <c r="D502" s="1"/>
      <c r="E502" s="1"/>
      <c r="F502" s="1"/>
      <c r="H502" s="1"/>
    </row>
    <row r="503" spans="2:8" x14ac:dyDescent="0.25">
      <c r="B503" s="1"/>
      <c r="C503" s="1"/>
      <c r="D503" s="1"/>
      <c r="E503" s="1"/>
      <c r="F503" s="1"/>
      <c r="H503" s="1"/>
    </row>
    <row r="504" spans="2:8" x14ac:dyDescent="0.25">
      <c r="B504" s="1"/>
      <c r="C504" s="1"/>
      <c r="D504" s="1"/>
      <c r="E504" s="1"/>
      <c r="F504" s="1"/>
      <c r="H504" s="1"/>
    </row>
    <row r="505" spans="2:8" x14ac:dyDescent="0.25">
      <c r="B505" s="1"/>
      <c r="C505" s="1"/>
      <c r="D505" s="1"/>
      <c r="E505" s="1"/>
      <c r="F505" s="1"/>
      <c r="H505" s="1"/>
    </row>
    <row r="506" spans="2:8" x14ac:dyDescent="0.25">
      <c r="B506" s="1"/>
      <c r="C506" s="1"/>
      <c r="D506" s="1"/>
      <c r="E506" s="1"/>
      <c r="F506" s="1"/>
      <c r="H506" s="1"/>
    </row>
    <row r="507" spans="2:8" x14ac:dyDescent="0.25">
      <c r="B507" s="1"/>
      <c r="C507" s="1"/>
      <c r="D507" s="1"/>
      <c r="E507" s="1"/>
      <c r="F507" s="1"/>
      <c r="H507" s="1"/>
    </row>
    <row r="508" spans="2:8" x14ac:dyDescent="0.25">
      <c r="B508" s="1"/>
      <c r="C508" s="1"/>
      <c r="D508" s="1"/>
      <c r="E508" s="1"/>
      <c r="F508" s="1"/>
      <c r="H508" s="1"/>
    </row>
    <row r="509" spans="2:8" x14ac:dyDescent="0.25">
      <c r="B509" s="1"/>
      <c r="C509" s="1"/>
      <c r="D509" s="1"/>
      <c r="E509" s="1"/>
      <c r="F509" s="1"/>
      <c r="H509" s="1"/>
    </row>
    <row r="510" spans="2:8" x14ac:dyDescent="0.25">
      <c r="B510" s="1"/>
      <c r="C510" s="1"/>
      <c r="D510" s="1"/>
      <c r="E510" s="1"/>
      <c r="F510" s="1"/>
      <c r="H510" s="1"/>
    </row>
    <row r="511" spans="2:8" x14ac:dyDescent="0.25">
      <c r="B511" s="1"/>
      <c r="C511" s="1"/>
      <c r="D511" s="1"/>
      <c r="E511" s="1"/>
      <c r="F511" s="1"/>
      <c r="H511" s="1"/>
    </row>
    <row r="512" spans="2:8" x14ac:dyDescent="0.25">
      <c r="B512" s="1"/>
      <c r="C512" s="1"/>
      <c r="D512" s="1"/>
      <c r="E512" s="1"/>
      <c r="F512" s="1"/>
      <c r="H512" s="1"/>
    </row>
    <row r="513" spans="2:8" x14ac:dyDescent="0.25">
      <c r="B513" s="1"/>
      <c r="C513" s="1"/>
      <c r="D513" s="1"/>
      <c r="E513" s="1"/>
      <c r="F513" s="1"/>
      <c r="H513" s="1"/>
    </row>
    <row r="514" spans="2:8" x14ac:dyDescent="0.25">
      <c r="B514" s="1"/>
      <c r="C514" s="1"/>
      <c r="D514" s="1"/>
      <c r="E514" s="1"/>
      <c r="F514" s="1"/>
      <c r="H514" s="1"/>
    </row>
    <row r="515" spans="2:8" x14ac:dyDescent="0.25">
      <c r="B515" s="1"/>
      <c r="C515" s="1"/>
      <c r="D515" s="1"/>
      <c r="E515" s="1"/>
      <c r="F515" s="1"/>
      <c r="H515" s="1"/>
    </row>
    <row r="516" spans="2:8" x14ac:dyDescent="0.25">
      <c r="B516" s="1"/>
      <c r="C516" s="1"/>
      <c r="D516" s="1"/>
      <c r="E516" s="1"/>
      <c r="F516" s="1"/>
      <c r="H516" s="1"/>
    </row>
    <row r="517" spans="2:8" x14ac:dyDescent="0.25">
      <c r="B517" s="1"/>
      <c r="C517" s="1"/>
      <c r="D517" s="1"/>
      <c r="E517" s="1"/>
      <c r="F517" s="1"/>
      <c r="H517" s="1"/>
    </row>
    <row r="518" spans="2:8" x14ac:dyDescent="0.25">
      <c r="B518" s="1"/>
      <c r="C518" s="1"/>
      <c r="D518" s="1"/>
      <c r="E518" s="1"/>
      <c r="F518" s="1"/>
      <c r="H518" s="1"/>
    </row>
    <row r="519" spans="2:8" x14ac:dyDescent="0.25">
      <c r="B519" s="1"/>
      <c r="C519" s="1"/>
      <c r="D519" s="1"/>
      <c r="E519" s="1"/>
      <c r="F519" s="1"/>
      <c r="H519" s="1"/>
    </row>
    <row r="520" spans="2:8" x14ac:dyDescent="0.25">
      <c r="B520" s="1"/>
      <c r="C520" s="1"/>
      <c r="D520" s="1"/>
      <c r="E520" s="1"/>
      <c r="F520" s="1"/>
      <c r="H520" s="1"/>
    </row>
    <row r="521" spans="2:8" x14ac:dyDescent="0.25">
      <c r="B521" s="1"/>
      <c r="C521" s="1"/>
      <c r="D521" s="1"/>
      <c r="E521" s="1"/>
      <c r="F521" s="1"/>
      <c r="H521" s="1"/>
    </row>
    <row r="522" spans="2:8" x14ac:dyDescent="0.25">
      <c r="B522" s="1"/>
      <c r="C522" s="1"/>
      <c r="D522" s="1"/>
      <c r="E522" s="1"/>
      <c r="F522" s="1"/>
      <c r="H522" s="1"/>
    </row>
    <row r="523" spans="2:8" x14ac:dyDescent="0.25">
      <c r="B523" s="1"/>
      <c r="C523" s="1"/>
      <c r="D523" s="1"/>
      <c r="E523" s="1"/>
      <c r="F523" s="1"/>
      <c r="H523" s="1"/>
    </row>
    <row r="524" spans="2:8" x14ac:dyDescent="0.25">
      <c r="B524" s="1"/>
      <c r="C524" s="1"/>
      <c r="D524" s="1"/>
      <c r="E524" s="1"/>
      <c r="F524" s="1"/>
      <c r="H524" s="1"/>
    </row>
    <row r="525" spans="2:8" x14ac:dyDescent="0.25">
      <c r="B525" s="1"/>
      <c r="C525" s="1"/>
      <c r="D525" s="1"/>
      <c r="E525" s="1"/>
      <c r="F525" s="1"/>
      <c r="H525" s="1"/>
    </row>
    <row r="526" spans="2:8" x14ac:dyDescent="0.25">
      <c r="B526" s="1"/>
      <c r="C526" s="1"/>
      <c r="D526" s="1"/>
      <c r="E526" s="1"/>
      <c r="F526" s="1"/>
      <c r="H526" s="1"/>
    </row>
    <row r="527" spans="2:8" x14ac:dyDescent="0.25">
      <c r="B527" s="1"/>
      <c r="C527" s="1"/>
      <c r="D527" s="1"/>
      <c r="E527" s="1"/>
      <c r="F527" s="1"/>
      <c r="H527" s="1"/>
    </row>
    <row r="528" spans="2:8" x14ac:dyDescent="0.25">
      <c r="B528" s="1"/>
      <c r="C528" s="1"/>
      <c r="D528" s="1"/>
      <c r="E528" s="1"/>
      <c r="F528" s="1"/>
      <c r="H528" s="1"/>
    </row>
    <row r="529" spans="2:8" x14ac:dyDescent="0.25">
      <c r="B529" s="1"/>
      <c r="C529" s="1"/>
      <c r="D529" s="1"/>
      <c r="E529" s="1"/>
      <c r="F529" s="1"/>
      <c r="H529" s="1"/>
    </row>
    <row r="530" spans="2:8" x14ac:dyDescent="0.25">
      <c r="B530" s="1"/>
      <c r="C530" s="1"/>
      <c r="D530" s="1"/>
      <c r="E530" s="1"/>
      <c r="F530" s="1"/>
      <c r="H530" s="1"/>
    </row>
    <row r="531" spans="2:8" x14ac:dyDescent="0.25">
      <c r="B531" s="1"/>
      <c r="C531" s="1"/>
      <c r="D531" s="1"/>
      <c r="E531" s="1"/>
      <c r="F531" s="1"/>
      <c r="H531" s="1"/>
    </row>
    <row r="532" spans="2:8" x14ac:dyDescent="0.25">
      <c r="B532" s="1"/>
      <c r="C532" s="1"/>
      <c r="D532" s="1"/>
      <c r="E532" s="1"/>
      <c r="F532" s="1"/>
      <c r="H532" s="1"/>
    </row>
    <row r="533" spans="2:8" x14ac:dyDescent="0.25">
      <c r="B533" s="1"/>
      <c r="C533" s="1"/>
      <c r="D533" s="1"/>
      <c r="E533" s="1"/>
      <c r="F533" s="1"/>
      <c r="H533" s="1"/>
    </row>
    <row r="534" spans="2:8" x14ac:dyDescent="0.25">
      <c r="B534" s="1"/>
      <c r="C534" s="1"/>
      <c r="D534" s="1"/>
      <c r="E534" s="1"/>
      <c r="F534" s="1"/>
      <c r="H534" s="1"/>
    </row>
    <row r="535" spans="2:8" x14ac:dyDescent="0.25">
      <c r="B535" s="1"/>
      <c r="C535" s="1"/>
      <c r="D535" s="1"/>
      <c r="E535" s="1"/>
      <c r="F535" s="1"/>
      <c r="H535" s="1"/>
    </row>
    <row r="536" spans="2:8" x14ac:dyDescent="0.25">
      <c r="B536" s="1"/>
      <c r="C536" s="1"/>
      <c r="D536" s="1"/>
      <c r="E536" s="1"/>
      <c r="F536" s="1"/>
      <c r="H536" s="1"/>
    </row>
    <row r="537" spans="2:8" x14ac:dyDescent="0.25">
      <c r="B537" s="1"/>
      <c r="C537" s="1"/>
      <c r="D537" s="1"/>
      <c r="E537" s="1"/>
      <c r="F537" s="1"/>
      <c r="H537" s="1"/>
    </row>
    <row r="538" spans="2:8" x14ac:dyDescent="0.25">
      <c r="B538" s="1"/>
      <c r="C538" s="1"/>
      <c r="D538" s="1"/>
      <c r="E538" s="1"/>
      <c r="F538" s="1"/>
      <c r="H538" s="1"/>
    </row>
    <row r="539" spans="2:8" x14ac:dyDescent="0.25">
      <c r="B539" s="1"/>
      <c r="C539" s="1"/>
      <c r="D539" s="1"/>
      <c r="E539" s="1"/>
      <c r="F539" s="1"/>
      <c r="H539" s="1"/>
    </row>
    <row r="540" spans="2:8" x14ac:dyDescent="0.25">
      <c r="B540" s="1"/>
      <c r="C540" s="1"/>
      <c r="D540" s="1"/>
      <c r="E540" s="1"/>
      <c r="F540" s="1"/>
      <c r="H540" s="1"/>
    </row>
    <row r="541" spans="2:8" x14ac:dyDescent="0.25">
      <c r="B541" s="1"/>
      <c r="C541" s="1"/>
      <c r="D541" s="1"/>
      <c r="E541" s="1"/>
      <c r="F541" s="1"/>
      <c r="H541" s="1"/>
    </row>
    <row r="542" spans="2:8" x14ac:dyDescent="0.25">
      <c r="B542" s="1"/>
      <c r="C542" s="1"/>
      <c r="D542" s="1"/>
      <c r="E542" s="1"/>
      <c r="F542" s="1"/>
      <c r="H542" s="1"/>
    </row>
    <row r="543" spans="2:8" x14ac:dyDescent="0.25">
      <c r="B543" s="1"/>
      <c r="C543" s="1"/>
      <c r="D543" s="1"/>
      <c r="E543" s="1"/>
      <c r="F543" s="1"/>
      <c r="H543" s="1"/>
    </row>
    <row r="544" spans="2:8" x14ac:dyDescent="0.25">
      <c r="B544" s="1"/>
      <c r="C544" s="1"/>
      <c r="D544" s="1"/>
      <c r="E544" s="1"/>
      <c r="F544" s="1"/>
      <c r="H544" s="1"/>
    </row>
    <row r="545" spans="2:8" x14ac:dyDescent="0.25">
      <c r="B545" s="1"/>
      <c r="C545" s="1"/>
      <c r="D545" s="1"/>
      <c r="E545" s="1"/>
      <c r="F545" s="1"/>
      <c r="H545" s="1"/>
    </row>
    <row r="546" spans="2:8" x14ac:dyDescent="0.25">
      <c r="B546" s="1"/>
      <c r="C546" s="1"/>
      <c r="D546" s="1"/>
      <c r="E546" s="1"/>
      <c r="F546" s="1"/>
      <c r="H546" s="1"/>
    </row>
    <row r="547" spans="2:8" x14ac:dyDescent="0.25">
      <c r="B547" s="1"/>
      <c r="C547" s="1"/>
      <c r="D547" s="1"/>
      <c r="E547" s="1"/>
      <c r="F547" s="1"/>
      <c r="H547" s="1"/>
    </row>
    <row r="548" spans="2:8" x14ac:dyDescent="0.25">
      <c r="B548" s="1"/>
      <c r="C548" s="1"/>
      <c r="D548" s="1"/>
      <c r="E548" s="1"/>
      <c r="F548" s="1"/>
      <c r="H548" s="1"/>
    </row>
    <row r="549" spans="2:8" x14ac:dyDescent="0.25">
      <c r="B549" s="1"/>
      <c r="C549" s="1"/>
      <c r="D549" s="1"/>
      <c r="E549" s="1"/>
      <c r="F549" s="1"/>
      <c r="H549" s="1"/>
    </row>
    <row r="550" spans="2:8" x14ac:dyDescent="0.25">
      <c r="B550" s="1"/>
      <c r="C550" s="1"/>
      <c r="D550" s="1"/>
      <c r="E550" s="1"/>
      <c r="F550" s="1"/>
      <c r="H550" s="1"/>
    </row>
    <row r="551" spans="2:8" x14ac:dyDescent="0.25">
      <c r="B551" s="1"/>
      <c r="C551" s="1"/>
      <c r="D551" s="1"/>
      <c r="E551" s="1"/>
      <c r="F551" s="1"/>
      <c r="H551" s="1"/>
    </row>
    <row r="552" spans="2:8" x14ac:dyDescent="0.25">
      <c r="B552" s="1"/>
      <c r="C552" s="1"/>
      <c r="D552" s="1"/>
      <c r="E552" s="1"/>
      <c r="F552" s="1"/>
      <c r="H552" s="1"/>
    </row>
    <row r="553" spans="2:8" x14ac:dyDescent="0.25">
      <c r="B553" s="1"/>
      <c r="C553" s="1"/>
      <c r="D553" s="1"/>
      <c r="E553" s="1"/>
      <c r="F553" s="1"/>
      <c r="H553" s="1"/>
    </row>
    <row r="554" spans="2:8" x14ac:dyDescent="0.25">
      <c r="B554" s="1"/>
      <c r="C554" s="1"/>
      <c r="D554" s="1"/>
      <c r="E554" s="1"/>
      <c r="F554" s="1"/>
      <c r="H554" s="1"/>
    </row>
    <row r="555" spans="2:8" x14ac:dyDescent="0.25">
      <c r="B555" s="1"/>
      <c r="C555" s="1"/>
      <c r="D555" s="1"/>
      <c r="E555" s="1"/>
      <c r="F555" s="1"/>
      <c r="H555" s="1"/>
    </row>
    <row r="556" spans="2:8" x14ac:dyDescent="0.25">
      <c r="B556" s="1"/>
      <c r="C556" s="1"/>
      <c r="D556" s="1"/>
      <c r="E556" s="1"/>
      <c r="F556" s="1"/>
      <c r="H556" s="1"/>
    </row>
    <row r="557" spans="2:8" x14ac:dyDescent="0.25">
      <c r="B557" s="1"/>
      <c r="C557" s="1"/>
      <c r="D557" s="1"/>
      <c r="E557" s="1"/>
      <c r="F557" s="1"/>
      <c r="H557" s="1"/>
    </row>
    <row r="558" spans="2:8" x14ac:dyDescent="0.25">
      <c r="B558" s="1"/>
      <c r="C558" s="1"/>
      <c r="D558" s="1"/>
      <c r="E558" s="1"/>
      <c r="F558" s="1"/>
      <c r="H558" s="1"/>
    </row>
    <row r="559" spans="2:8" x14ac:dyDescent="0.25">
      <c r="B559" s="1"/>
      <c r="C559" s="1"/>
      <c r="D559" s="1"/>
      <c r="E559" s="1"/>
      <c r="F559" s="1"/>
      <c r="H559" s="1"/>
    </row>
    <row r="560" spans="2:8" x14ac:dyDescent="0.25">
      <c r="B560" s="1"/>
      <c r="C560" s="1"/>
      <c r="D560" s="1"/>
      <c r="E560" s="1"/>
      <c r="F560" s="1"/>
      <c r="H560" s="1"/>
    </row>
    <row r="561" spans="2:8" x14ac:dyDescent="0.25">
      <c r="B561" s="1"/>
      <c r="C561" s="1"/>
      <c r="D561" s="1"/>
      <c r="E561" s="1"/>
      <c r="F561" s="1"/>
      <c r="H561" s="1"/>
    </row>
    <row r="562" spans="2:8" x14ac:dyDescent="0.25">
      <c r="B562" s="1"/>
      <c r="C562" s="1"/>
      <c r="D562" s="1"/>
      <c r="E562" s="1"/>
      <c r="F562" s="1"/>
      <c r="H562" s="1"/>
    </row>
    <row r="563" spans="2:8" x14ac:dyDescent="0.25">
      <c r="B563" s="1"/>
      <c r="C563" s="1"/>
      <c r="D563" s="1"/>
      <c r="E563" s="1"/>
      <c r="F563" s="1"/>
      <c r="H563" s="1"/>
    </row>
    <row r="564" spans="2:8" x14ac:dyDescent="0.25">
      <c r="B564" s="1"/>
      <c r="C564" s="1"/>
      <c r="D564" s="1"/>
      <c r="E564" s="1"/>
      <c r="F564" s="1"/>
      <c r="H564" s="1"/>
    </row>
    <row r="565" spans="2:8" x14ac:dyDescent="0.25">
      <c r="B565" s="1"/>
      <c r="C565" s="1"/>
      <c r="D565" s="1"/>
      <c r="E565" s="1"/>
      <c r="F565" s="1"/>
      <c r="H565" s="1"/>
    </row>
    <row r="566" spans="2:8" x14ac:dyDescent="0.25">
      <c r="B566" s="1"/>
      <c r="C566" s="1"/>
      <c r="D566" s="1"/>
      <c r="E566" s="1"/>
      <c r="F566" s="1"/>
      <c r="H566" s="1"/>
    </row>
    <row r="567" spans="2:8" x14ac:dyDescent="0.25">
      <c r="B567" s="1"/>
      <c r="C567" s="1"/>
      <c r="D567" s="1"/>
      <c r="E567" s="1"/>
      <c r="F567" s="1"/>
      <c r="H567" s="1"/>
    </row>
    <row r="568" spans="2:8" x14ac:dyDescent="0.25">
      <c r="B568" s="1"/>
      <c r="C568" s="1"/>
      <c r="D568" s="1"/>
      <c r="E568" s="1"/>
      <c r="F568" s="1"/>
      <c r="H568" s="1"/>
    </row>
    <row r="569" spans="2:8" x14ac:dyDescent="0.25">
      <c r="B569" s="1"/>
      <c r="C569" s="1"/>
      <c r="D569" s="1"/>
      <c r="E569" s="1"/>
      <c r="F569" s="1"/>
      <c r="H569" s="1"/>
    </row>
    <row r="570" spans="2:8" x14ac:dyDescent="0.25">
      <c r="B570" s="1"/>
      <c r="C570" s="1"/>
      <c r="D570" s="1"/>
      <c r="E570" s="1"/>
      <c r="F570" s="1"/>
      <c r="H570" s="1"/>
    </row>
    <row r="571" spans="2:8" x14ac:dyDescent="0.25">
      <c r="B571" s="1"/>
      <c r="C571" s="1"/>
      <c r="D571" s="1"/>
      <c r="E571" s="1"/>
      <c r="F571" s="1"/>
      <c r="H571" s="1"/>
    </row>
    <row r="572" spans="2:8" x14ac:dyDescent="0.25">
      <c r="B572" s="1"/>
      <c r="C572" s="1"/>
      <c r="D572" s="1"/>
      <c r="E572" s="1"/>
      <c r="F572" s="1"/>
      <c r="H572" s="1"/>
    </row>
    <row r="573" spans="2:8" x14ac:dyDescent="0.25">
      <c r="B573" s="1"/>
      <c r="C573" s="1"/>
      <c r="D573" s="1"/>
      <c r="E573" s="1"/>
      <c r="F573" s="1"/>
      <c r="H573" s="1"/>
    </row>
    <row r="574" spans="2:8" x14ac:dyDescent="0.25">
      <c r="B574" s="1"/>
      <c r="C574" s="1"/>
      <c r="D574" s="1"/>
      <c r="E574" s="1"/>
      <c r="F574" s="1"/>
      <c r="H574" s="1"/>
    </row>
    <row r="575" spans="2:8" x14ac:dyDescent="0.25">
      <c r="B575" s="1"/>
      <c r="C575" s="1"/>
      <c r="D575" s="1"/>
      <c r="E575" s="1"/>
      <c r="F575" s="1"/>
      <c r="H575" s="1"/>
    </row>
    <row r="576" spans="2:8" x14ac:dyDescent="0.25">
      <c r="B576" s="1"/>
      <c r="C576" s="1"/>
      <c r="D576" s="1"/>
      <c r="E576" s="1"/>
      <c r="F576" s="1"/>
      <c r="H576" s="1"/>
    </row>
    <row r="577" spans="2:8" x14ac:dyDescent="0.25">
      <c r="B577" s="1"/>
      <c r="C577" s="1"/>
      <c r="D577" s="1"/>
      <c r="E577" s="1"/>
      <c r="F577" s="1"/>
      <c r="H577" s="1"/>
    </row>
    <row r="578" spans="2:8" x14ac:dyDescent="0.25">
      <c r="B578" s="1"/>
      <c r="C578" s="1"/>
      <c r="D578" s="1"/>
      <c r="E578" s="1"/>
      <c r="F578" s="1"/>
      <c r="H578" s="1"/>
    </row>
    <row r="579" spans="2:8" x14ac:dyDescent="0.25">
      <c r="B579" s="1"/>
      <c r="C579" s="1"/>
      <c r="D579" s="1"/>
      <c r="E579" s="1"/>
      <c r="F579" s="1"/>
      <c r="H579" s="1"/>
    </row>
    <row r="580" spans="2:8" x14ac:dyDescent="0.25">
      <c r="B580" s="1"/>
      <c r="C580" s="1"/>
      <c r="D580" s="1"/>
      <c r="E580" s="1"/>
      <c r="F580" s="1"/>
      <c r="H580" s="1"/>
    </row>
    <row r="581" spans="2:8" x14ac:dyDescent="0.25">
      <c r="B581" s="1"/>
      <c r="C581" s="1"/>
      <c r="D581" s="1"/>
      <c r="E581" s="1"/>
      <c r="F581" s="1"/>
      <c r="H581" s="1"/>
    </row>
    <row r="582" spans="2:8" x14ac:dyDescent="0.25">
      <c r="B582" s="1"/>
      <c r="C582" s="1"/>
      <c r="D582" s="1"/>
      <c r="E582" s="1"/>
      <c r="F582" s="1"/>
      <c r="H582" s="1"/>
    </row>
    <row r="583" spans="2:8" x14ac:dyDescent="0.25">
      <c r="B583" s="1"/>
      <c r="C583" s="1"/>
      <c r="D583" s="1"/>
      <c r="E583" s="1"/>
      <c r="F583" s="1"/>
      <c r="H583" s="1"/>
    </row>
    <row r="584" spans="2:8" x14ac:dyDescent="0.25">
      <c r="B584" s="1"/>
      <c r="C584" s="1"/>
      <c r="D584" s="1"/>
      <c r="E584" s="1"/>
      <c r="F584" s="1"/>
      <c r="H584" s="1"/>
    </row>
    <row r="585" spans="2:8" x14ac:dyDescent="0.25">
      <c r="B585" s="1"/>
      <c r="C585" s="1"/>
      <c r="D585" s="1"/>
      <c r="E585" s="1"/>
      <c r="F585" s="1"/>
      <c r="H585" s="1"/>
    </row>
    <row r="586" spans="2:8" x14ac:dyDescent="0.25">
      <c r="B586" s="1"/>
      <c r="C586" s="1"/>
      <c r="D586" s="1"/>
      <c r="E586" s="1"/>
      <c r="F586" s="1"/>
      <c r="H586" s="1"/>
    </row>
    <row r="587" spans="2:8" x14ac:dyDescent="0.25">
      <c r="B587" s="1"/>
      <c r="C587" s="1"/>
      <c r="D587" s="1"/>
      <c r="E587" s="1"/>
      <c r="F587" s="1"/>
      <c r="H587" s="1"/>
    </row>
    <row r="588" spans="2:8" x14ac:dyDescent="0.25">
      <c r="B588" s="1"/>
      <c r="C588" s="1"/>
      <c r="D588" s="1"/>
      <c r="E588" s="1"/>
      <c r="F588" s="1"/>
      <c r="H588" s="1"/>
    </row>
    <row r="589" spans="2:8" x14ac:dyDescent="0.25">
      <c r="B589" s="1"/>
      <c r="C589" s="1"/>
      <c r="D589" s="1"/>
      <c r="E589" s="1"/>
      <c r="F589" s="1"/>
      <c r="H589" s="1"/>
    </row>
    <row r="590" spans="2:8" x14ac:dyDescent="0.25">
      <c r="B590" s="1"/>
      <c r="C590" s="1"/>
      <c r="D590" s="1"/>
      <c r="E590" s="1"/>
      <c r="F590" s="1"/>
      <c r="H590" s="1"/>
    </row>
    <row r="591" spans="2:8" x14ac:dyDescent="0.25">
      <c r="B591" s="1"/>
      <c r="C591" s="1"/>
      <c r="D591" s="1"/>
      <c r="E591" s="1"/>
      <c r="F591" s="1"/>
      <c r="H591" s="1"/>
    </row>
    <row r="592" spans="2:8" x14ac:dyDescent="0.25">
      <c r="B592" s="1"/>
      <c r="C592" s="1"/>
      <c r="D592" s="1"/>
      <c r="E592" s="1"/>
      <c r="F592" s="1"/>
      <c r="H592" s="1"/>
    </row>
    <row r="593" spans="2:8" x14ac:dyDescent="0.25">
      <c r="B593" s="1"/>
      <c r="C593" s="1"/>
      <c r="D593" s="1"/>
      <c r="E593" s="1"/>
      <c r="F593" s="1"/>
      <c r="H593" s="1"/>
    </row>
    <row r="594" spans="2:8" x14ac:dyDescent="0.25">
      <c r="B594" s="1"/>
      <c r="C594" s="1"/>
      <c r="D594" s="1"/>
      <c r="E594" s="1"/>
      <c r="F594" s="1"/>
      <c r="H594" s="1"/>
    </row>
    <row r="595" spans="2:8" x14ac:dyDescent="0.25">
      <c r="B595" s="1"/>
      <c r="C595" s="1"/>
      <c r="D595" s="1"/>
      <c r="E595" s="1"/>
      <c r="F595" s="1"/>
      <c r="H595" s="1"/>
    </row>
    <row r="596" spans="2:8" x14ac:dyDescent="0.25">
      <c r="B596" s="1"/>
      <c r="C596" s="1"/>
      <c r="D596" s="1"/>
      <c r="E596" s="1"/>
      <c r="F596" s="1"/>
      <c r="H596" s="1"/>
    </row>
    <row r="597" spans="2:8" x14ac:dyDescent="0.25">
      <c r="B597" s="1"/>
      <c r="C597" s="1"/>
      <c r="D597" s="1"/>
      <c r="E597" s="1"/>
      <c r="F597" s="1"/>
      <c r="H597" s="1"/>
    </row>
    <row r="598" spans="2:8" x14ac:dyDescent="0.25">
      <c r="B598" s="1"/>
      <c r="C598" s="1"/>
      <c r="D598" s="1"/>
      <c r="E598" s="1"/>
      <c r="F598" s="1"/>
      <c r="H598" s="1"/>
    </row>
    <row r="599" spans="2:8" x14ac:dyDescent="0.25">
      <c r="B599" s="1"/>
      <c r="C599" s="1"/>
      <c r="D599" s="1"/>
      <c r="E599" s="1"/>
      <c r="F599" s="1"/>
      <c r="H599" s="1"/>
    </row>
    <row r="600" spans="2:8" x14ac:dyDescent="0.25">
      <c r="B600" s="1"/>
      <c r="C600" s="1"/>
      <c r="D600" s="1"/>
      <c r="E600" s="1"/>
      <c r="F600" s="1"/>
      <c r="H600" s="1"/>
    </row>
    <row r="601" spans="2:8" x14ac:dyDescent="0.25">
      <c r="B601" s="1"/>
      <c r="C601" s="1"/>
      <c r="D601" s="1"/>
      <c r="E601" s="1"/>
      <c r="F601" s="1"/>
      <c r="H601" s="1"/>
    </row>
    <row r="602" spans="2:8" x14ac:dyDescent="0.25">
      <c r="B602" s="1"/>
      <c r="C602" s="1"/>
      <c r="D602" s="1"/>
      <c r="E602" s="1"/>
      <c r="F602" s="1"/>
      <c r="H602" s="1"/>
    </row>
    <row r="603" spans="2:8" x14ac:dyDescent="0.25">
      <c r="B603" s="1"/>
      <c r="C603" s="1"/>
      <c r="D603" s="1"/>
      <c r="E603" s="1"/>
      <c r="F603" s="1"/>
      <c r="H603" s="1"/>
    </row>
    <row r="604" spans="2:8" x14ac:dyDescent="0.25">
      <c r="B604" s="1"/>
      <c r="C604" s="1"/>
      <c r="D604" s="1"/>
      <c r="E604" s="1"/>
      <c r="F604" s="1"/>
      <c r="H604" s="1"/>
    </row>
    <row r="605" spans="2:8" x14ac:dyDescent="0.25">
      <c r="B605" s="1"/>
      <c r="C605" s="1"/>
      <c r="D605" s="1"/>
      <c r="E605" s="1"/>
      <c r="F605" s="1"/>
      <c r="H605" s="1"/>
    </row>
    <row r="606" spans="2:8" x14ac:dyDescent="0.25">
      <c r="B606" s="1"/>
      <c r="C606" s="1"/>
      <c r="D606" s="1"/>
      <c r="E606" s="1"/>
      <c r="F606" s="1"/>
      <c r="H606" s="1"/>
    </row>
    <row r="607" spans="2:8" x14ac:dyDescent="0.25">
      <c r="B607" s="1"/>
      <c r="C607" s="1"/>
      <c r="D607" s="1"/>
      <c r="E607" s="1"/>
      <c r="F607" s="1"/>
      <c r="H607" s="1"/>
    </row>
    <row r="608" spans="2:8" x14ac:dyDescent="0.25">
      <c r="B608" s="1"/>
      <c r="C608" s="1"/>
      <c r="D608" s="1"/>
      <c r="E608" s="1"/>
      <c r="F608" s="1"/>
      <c r="H608" s="1"/>
    </row>
    <row r="609" spans="2:8" x14ac:dyDescent="0.25">
      <c r="B609" s="1"/>
      <c r="C609" s="1"/>
      <c r="D609" s="1"/>
      <c r="E609" s="1"/>
      <c r="F609" s="1"/>
      <c r="H609" s="1"/>
    </row>
    <row r="610" spans="2:8" x14ac:dyDescent="0.25">
      <c r="B610" s="1"/>
      <c r="C610" s="1"/>
      <c r="D610" s="1"/>
      <c r="E610" s="1"/>
      <c r="F610" s="1"/>
      <c r="H610" s="1"/>
    </row>
    <row r="611" spans="2:8" x14ac:dyDescent="0.25">
      <c r="B611" s="1"/>
      <c r="C611" s="1"/>
      <c r="D611" s="1"/>
      <c r="E611" s="1"/>
      <c r="F611" s="1"/>
      <c r="H611" s="1"/>
    </row>
    <row r="612" spans="2:8" x14ac:dyDescent="0.25">
      <c r="B612" s="1"/>
      <c r="C612" s="1"/>
      <c r="D612" s="1"/>
      <c r="E612" s="1"/>
      <c r="F612" s="1"/>
      <c r="H612" s="1"/>
    </row>
    <row r="613" spans="2:8" x14ac:dyDescent="0.25">
      <c r="B613" s="1"/>
      <c r="C613" s="1"/>
      <c r="D613" s="1"/>
      <c r="E613" s="1"/>
      <c r="F613" s="1"/>
      <c r="H613" s="1"/>
    </row>
    <row r="614" spans="2:8" x14ac:dyDescent="0.25">
      <c r="B614" s="1"/>
      <c r="C614" s="1"/>
      <c r="D614" s="1"/>
      <c r="E614" s="1"/>
      <c r="F614" s="1"/>
      <c r="H614" s="1"/>
    </row>
    <row r="615" spans="2:8" x14ac:dyDescent="0.25">
      <c r="B615" s="1"/>
      <c r="C615" s="1"/>
      <c r="D615" s="1"/>
      <c r="E615" s="1"/>
      <c r="F615" s="1"/>
      <c r="H615" s="1"/>
    </row>
    <row r="616" spans="2:8" x14ac:dyDescent="0.25">
      <c r="B616" s="1"/>
      <c r="C616" s="1"/>
      <c r="D616" s="1"/>
      <c r="E616" s="1"/>
      <c r="F616" s="1"/>
      <c r="H616" s="1"/>
    </row>
    <row r="617" spans="2:8" x14ac:dyDescent="0.25">
      <c r="B617" s="1"/>
      <c r="C617" s="1"/>
      <c r="D617" s="1"/>
      <c r="E617" s="1"/>
      <c r="F617" s="1"/>
      <c r="H617" s="1"/>
    </row>
    <row r="618" spans="2:8" x14ac:dyDescent="0.25">
      <c r="B618" s="1"/>
      <c r="C618" s="1"/>
      <c r="D618" s="1"/>
      <c r="E618" s="1"/>
      <c r="F618" s="1"/>
      <c r="H618" s="1"/>
    </row>
    <row r="619" spans="2:8" x14ac:dyDescent="0.25">
      <c r="B619" s="1"/>
      <c r="C619" s="1"/>
      <c r="D619" s="1"/>
      <c r="E619" s="1"/>
      <c r="F619" s="1"/>
      <c r="H619" s="1"/>
    </row>
    <row r="620" spans="2:8" x14ac:dyDescent="0.25">
      <c r="B620" s="1"/>
      <c r="C620" s="1"/>
      <c r="D620" s="1"/>
      <c r="E620" s="1"/>
      <c r="F620" s="1"/>
      <c r="H620" s="1"/>
    </row>
    <row r="621" spans="2:8" x14ac:dyDescent="0.25">
      <c r="B621" s="1"/>
      <c r="C621" s="1"/>
      <c r="D621" s="1"/>
      <c r="E621" s="1"/>
      <c r="F621" s="1"/>
      <c r="H621" s="1"/>
    </row>
    <row r="622" spans="2:8" x14ac:dyDescent="0.25">
      <c r="B622" s="1"/>
      <c r="C622" s="1"/>
      <c r="D622" s="1"/>
      <c r="E622" s="1"/>
      <c r="F622" s="1"/>
      <c r="H622" s="1"/>
    </row>
    <row r="623" spans="2:8" x14ac:dyDescent="0.25">
      <c r="B623" s="1"/>
      <c r="C623" s="1"/>
      <c r="D623" s="1"/>
      <c r="E623" s="1"/>
      <c r="F623" s="1"/>
      <c r="H623" s="1"/>
    </row>
    <row r="624" spans="2:8" x14ac:dyDescent="0.25">
      <c r="B624" s="1"/>
      <c r="C624" s="1"/>
      <c r="D624" s="1"/>
      <c r="E624" s="1"/>
      <c r="F624" s="1"/>
      <c r="H624" s="1"/>
    </row>
    <row r="625" spans="2:8" x14ac:dyDescent="0.25">
      <c r="B625" s="1"/>
      <c r="C625" s="1"/>
      <c r="D625" s="1"/>
      <c r="E625" s="1"/>
      <c r="F625" s="1"/>
      <c r="H625" s="1"/>
    </row>
    <row r="626" spans="2:8" x14ac:dyDescent="0.25">
      <c r="B626" s="1"/>
      <c r="C626" s="1"/>
      <c r="D626" s="1"/>
      <c r="E626" s="1"/>
      <c r="F626" s="1"/>
      <c r="H626" s="1"/>
    </row>
    <row r="627" spans="2:8" x14ac:dyDescent="0.25">
      <c r="B627" s="1"/>
      <c r="C627" s="1"/>
      <c r="D627" s="1"/>
      <c r="E627" s="1"/>
      <c r="F627" s="1"/>
      <c r="H627" s="1"/>
    </row>
    <row r="628" spans="2:8" x14ac:dyDescent="0.25">
      <c r="B628" s="1"/>
      <c r="C628" s="1"/>
      <c r="D628" s="1"/>
      <c r="E628" s="1"/>
      <c r="F628" s="1"/>
      <c r="H628" s="1"/>
    </row>
    <row r="629" spans="2:8" x14ac:dyDescent="0.25">
      <c r="B629" s="1"/>
      <c r="C629" s="1"/>
      <c r="D629" s="1"/>
      <c r="E629" s="1"/>
      <c r="F629" s="1"/>
      <c r="H629" s="1"/>
    </row>
    <row r="630" spans="2:8" x14ac:dyDescent="0.25">
      <c r="B630" s="1"/>
      <c r="C630" s="1"/>
      <c r="D630" s="1"/>
      <c r="E630" s="1"/>
      <c r="F630" s="1"/>
      <c r="H630" s="1"/>
    </row>
    <row r="631" spans="2:8" x14ac:dyDescent="0.25">
      <c r="B631" s="1"/>
      <c r="C631" s="1"/>
      <c r="D631" s="1"/>
      <c r="E631" s="1"/>
      <c r="F631" s="1"/>
      <c r="H631" s="1"/>
    </row>
    <row r="632" spans="2:8" x14ac:dyDescent="0.25">
      <c r="B632" s="1"/>
      <c r="C632" s="1"/>
      <c r="D632" s="1"/>
      <c r="E632" s="1"/>
      <c r="F632" s="1"/>
      <c r="H632" s="1"/>
    </row>
    <row r="633" spans="2:8" x14ac:dyDescent="0.25">
      <c r="B633" s="1"/>
      <c r="C633" s="1"/>
      <c r="D633" s="1"/>
      <c r="E633" s="1"/>
      <c r="F633" s="1"/>
      <c r="H633" s="1"/>
    </row>
    <row r="634" spans="2:8" x14ac:dyDescent="0.25">
      <c r="B634" s="1"/>
      <c r="C634" s="1"/>
      <c r="D634" s="1"/>
      <c r="E634" s="1"/>
      <c r="F634" s="1"/>
      <c r="H634" s="1"/>
    </row>
    <row r="635" spans="2:8" x14ac:dyDescent="0.25">
      <c r="B635" s="1"/>
      <c r="C635" s="1"/>
      <c r="D635" s="1"/>
      <c r="E635" s="1"/>
      <c r="F635" s="1"/>
      <c r="H635" s="1"/>
    </row>
    <row r="636" spans="2:8" x14ac:dyDescent="0.25">
      <c r="B636" s="1"/>
      <c r="C636" s="1"/>
      <c r="D636" s="1"/>
      <c r="E636" s="1"/>
      <c r="F636" s="1"/>
      <c r="H636" s="1"/>
    </row>
    <row r="637" spans="2:8" x14ac:dyDescent="0.25">
      <c r="B637" s="1"/>
      <c r="C637" s="1"/>
      <c r="D637" s="1"/>
      <c r="E637" s="1"/>
      <c r="F637" s="1"/>
      <c r="H637" s="1"/>
    </row>
    <row r="638" spans="2:8" x14ac:dyDescent="0.25">
      <c r="B638" s="1"/>
      <c r="C638" s="1"/>
      <c r="D638" s="1"/>
      <c r="E638" s="1"/>
      <c r="F638" s="1"/>
      <c r="H638" s="1"/>
    </row>
    <row r="639" spans="2:8" x14ac:dyDescent="0.25">
      <c r="B639" s="1"/>
      <c r="C639" s="1"/>
      <c r="D639" s="1"/>
      <c r="E639" s="1"/>
      <c r="F639" s="1"/>
      <c r="H639" s="1"/>
    </row>
    <row r="640" spans="2:8" x14ac:dyDescent="0.25">
      <c r="B640" s="1"/>
      <c r="C640" s="1"/>
      <c r="D640" s="1"/>
      <c r="E640" s="1"/>
      <c r="F640" s="1"/>
      <c r="H640" s="1"/>
    </row>
    <row r="641" spans="2:8" x14ac:dyDescent="0.25">
      <c r="B641" s="1"/>
      <c r="C641" s="1"/>
      <c r="D641" s="1"/>
      <c r="E641" s="1"/>
      <c r="F641" s="1"/>
      <c r="H641" s="1"/>
    </row>
    <row r="642" spans="2:8" x14ac:dyDescent="0.25">
      <c r="B642" s="1"/>
      <c r="C642" s="1"/>
      <c r="D642" s="1"/>
      <c r="E642" s="1"/>
      <c r="F642" s="1"/>
      <c r="H642" s="1"/>
    </row>
    <row r="643" spans="2:8" x14ac:dyDescent="0.25">
      <c r="B643" s="1"/>
      <c r="C643" s="1"/>
      <c r="D643" s="1"/>
      <c r="E643" s="1"/>
      <c r="F643" s="1"/>
      <c r="H643" s="1"/>
    </row>
    <row r="644" spans="2:8" x14ac:dyDescent="0.25">
      <c r="B644" s="1"/>
      <c r="C644" s="1"/>
      <c r="D644" s="1"/>
      <c r="E644" s="1"/>
      <c r="F644" s="1"/>
      <c r="H644" s="1"/>
    </row>
    <row r="645" spans="2:8" x14ac:dyDescent="0.25">
      <c r="B645" s="1"/>
      <c r="C645" s="1"/>
      <c r="D645" s="1"/>
      <c r="E645" s="1"/>
      <c r="F645" s="1"/>
      <c r="H645" s="1"/>
    </row>
    <row r="646" spans="2:8" x14ac:dyDescent="0.25">
      <c r="B646" s="1"/>
      <c r="C646" s="1"/>
      <c r="D646" s="1"/>
      <c r="E646" s="1"/>
      <c r="F646" s="1"/>
      <c r="H646" s="1"/>
    </row>
    <row r="647" spans="2:8" x14ac:dyDescent="0.25">
      <c r="B647" s="1"/>
      <c r="C647" s="1"/>
      <c r="D647" s="1"/>
      <c r="E647" s="1"/>
      <c r="F647" s="1"/>
      <c r="H647" s="1"/>
    </row>
    <row r="648" spans="2:8" x14ac:dyDescent="0.25">
      <c r="B648" s="1"/>
      <c r="C648" s="1"/>
      <c r="D648" s="1"/>
      <c r="E648" s="1"/>
      <c r="F648" s="1"/>
      <c r="H648" s="1"/>
    </row>
    <row r="649" spans="2:8" x14ac:dyDescent="0.25">
      <c r="B649" s="1"/>
      <c r="C649" s="1"/>
      <c r="D649" s="1"/>
      <c r="E649" s="1"/>
      <c r="F649" s="1"/>
      <c r="H649" s="1"/>
    </row>
    <row r="650" spans="2:8" x14ac:dyDescent="0.25">
      <c r="B650" s="1"/>
      <c r="C650" s="1"/>
      <c r="D650" s="1"/>
      <c r="E650" s="1"/>
      <c r="F650" s="1"/>
      <c r="H650" s="1"/>
    </row>
    <row r="651" spans="2:8" x14ac:dyDescent="0.25">
      <c r="B651" s="1"/>
      <c r="C651" s="1"/>
      <c r="D651" s="1"/>
      <c r="E651" s="1"/>
      <c r="F651" s="1"/>
      <c r="H651" s="1"/>
    </row>
    <row r="652" spans="2:8" x14ac:dyDescent="0.25">
      <c r="B652" s="1"/>
      <c r="C652" s="1"/>
      <c r="D652" s="1"/>
      <c r="E652" s="1"/>
      <c r="F652" s="1"/>
      <c r="H652" s="1"/>
    </row>
    <row r="653" spans="2:8" x14ac:dyDescent="0.25">
      <c r="B653" s="1"/>
      <c r="C653" s="1"/>
      <c r="D653" s="1"/>
      <c r="E653" s="1"/>
      <c r="F653" s="1"/>
      <c r="H653" s="1"/>
    </row>
    <row r="654" spans="2:8" x14ac:dyDescent="0.25">
      <c r="B654" s="1"/>
      <c r="C654" s="1"/>
      <c r="D654" s="1"/>
      <c r="E654" s="1"/>
      <c r="F654" s="1"/>
      <c r="H654" s="1"/>
    </row>
    <row r="655" spans="2:8" x14ac:dyDescent="0.25">
      <c r="B655" s="1"/>
      <c r="C655" s="1"/>
      <c r="D655" s="1"/>
      <c r="E655" s="1"/>
      <c r="F655" s="1"/>
      <c r="H655" s="1"/>
    </row>
    <row r="656" spans="2:8" x14ac:dyDescent="0.25">
      <c r="B656" s="1"/>
      <c r="C656" s="1"/>
      <c r="D656" s="1"/>
      <c r="E656" s="1"/>
      <c r="F656" s="1"/>
      <c r="H656" s="1"/>
    </row>
    <row r="657" spans="2:8" x14ac:dyDescent="0.25">
      <c r="B657" s="1"/>
      <c r="C657" s="1"/>
      <c r="D657" s="1"/>
      <c r="E657" s="1"/>
      <c r="F657" s="1"/>
      <c r="H657" s="1"/>
    </row>
    <row r="658" spans="2:8" x14ac:dyDescent="0.25">
      <c r="B658" s="1"/>
      <c r="C658" s="1"/>
      <c r="D658" s="1"/>
      <c r="E658" s="1"/>
      <c r="F658" s="1"/>
      <c r="H658" s="1"/>
    </row>
    <row r="659" spans="2:8" x14ac:dyDescent="0.25">
      <c r="B659" s="1"/>
      <c r="C659" s="1"/>
      <c r="D659" s="1"/>
      <c r="E659" s="1"/>
      <c r="F659" s="1"/>
      <c r="H659" s="1"/>
    </row>
    <row r="660" spans="2:8" x14ac:dyDescent="0.25">
      <c r="B660" s="1"/>
      <c r="C660" s="1"/>
      <c r="D660" s="1"/>
      <c r="E660" s="1"/>
      <c r="F660" s="1"/>
      <c r="H660" s="1"/>
    </row>
    <row r="661" spans="2:8" x14ac:dyDescent="0.25">
      <c r="B661" s="1"/>
      <c r="C661" s="1"/>
      <c r="D661" s="1"/>
      <c r="E661" s="1"/>
      <c r="F661" s="1"/>
      <c r="H661" s="1"/>
    </row>
    <row r="662" spans="2:8" x14ac:dyDescent="0.25">
      <c r="B662" s="1"/>
      <c r="C662" s="1"/>
      <c r="D662" s="1"/>
      <c r="E662" s="1"/>
      <c r="F662" s="1"/>
      <c r="H662" s="1"/>
    </row>
    <row r="663" spans="2:8" x14ac:dyDescent="0.25">
      <c r="B663" s="1"/>
      <c r="C663" s="1"/>
      <c r="D663" s="1"/>
      <c r="E663" s="1"/>
      <c r="F663" s="1"/>
      <c r="H663" s="1"/>
    </row>
    <row r="664" spans="2:8" x14ac:dyDescent="0.25">
      <c r="B664" s="1"/>
      <c r="C664" s="1"/>
      <c r="D664" s="1"/>
      <c r="E664" s="1"/>
      <c r="F664" s="1"/>
      <c r="H664" s="1"/>
    </row>
    <row r="665" spans="2:8" x14ac:dyDescent="0.25">
      <c r="B665" s="1"/>
      <c r="C665" s="1"/>
      <c r="D665" s="1"/>
      <c r="E665" s="1"/>
      <c r="F665" s="1"/>
      <c r="H665" s="1"/>
    </row>
    <row r="666" spans="2:8" x14ac:dyDescent="0.25">
      <c r="B666" s="1"/>
      <c r="C666" s="1"/>
      <c r="D666" s="1"/>
      <c r="E666" s="1"/>
      <c r="F666" s="1"/>
      <c r="H666" s="1"/>
    </row>
    <row r="667" spans="2:8" x14ac:dyDescent="0.25">
      <c r="B667" s="1"/>
      <c r="C667" s="1"/>
      <c r="D667" s="1"/>
      <c r="E667" s="1"/>
      <c r="F667" s="1"/>
      <c r="H667" s="1"/>
    </row>
    <row r="668" spans="2:8" x14ac:dyDescent="0.25">
      <c r="B668" s="1"/>
      <c r="C668" s="1"/>
      <c r="D668" s="1"/>
      <c r="E668" s="1"/>
      <c r="F668" s="1"/>
      <c r="H668" s="1"/>
    </row>
    <row r="669" spans="2:8" x14ac:dyDescent="0.25">
      <c r="B669" s="1"/>
      <c r="C669" s="1"/>
      <c r="D669" s="1"/>
      <c r="E669" s="1"/>
      <c r="F669" s="1"/>
      <c r="H669" s="1"/>
    </row>
    <row r="670" spans="2:8" x14ac:dyDescent="0.25">
      <c r="B670" s="1"/>
      <c r="C670" s="1"/>
      <c r="D670" s="1"/>
      <c r="E670" s="1"/>
      <c r="F670" s="1"/>
      <c r="H670" s="1"/>
    </row>
    <row r="671" spans="2:8" x14ac:dyDescent="0.25">
      <c r="B671" s="1"/>
      <c r="C671" s="1"/>
      <c r="D671" s="1"/>
      <c r="E671" s="1"/>
      <c r="F671" s="1"/>
      <c r="H671" s="1"/>
    </row>
    <row r="672" spans="2:8" x14ac:dyDescent="0.25">
      <c r="B672" s="1"/>
      <c r="C672" s="1"/>
      <c r="D672" s="1"/>
      <c r="E672" s="1"/>
      <c r="F672" s="1"/>
      <c r="H672" s="1"/>
    </row>
    <row r="673" spans="2:8" x14ac:dyDescent="0.25">
      <c r="B673" s="1"/>
      <c r="C673" s="1"/>
      <c r="D673" s="1"/>
      <c r="E673" s="1"/>
      <c r="F673" s="1"/>
      <c r="H673" s="1"/>
    </row>
    <row r="674" spans="2:8" x14ac:dyDescent="0.25">
      <c r="B674" s="1"/>
      <c r="C674" s="1"/>
      <c r="D674" s="1"/>
      <c r="E674" s="1"/>
      <c r="F674" s="1"/>
      <c r="H674" s="1"/>
    </row>
    <row r="675" spans="2:8" x14ac:dyDescent="0.25">
      <c r="B675" s="1"/>
      <c r="C675" s="1"/>
      <c r="D675" s="1"/>
      <c r="E675" s="1"/>
      <c r="F675" s="1"/>
      <c r="H675" s="1"/>
    </row>
    <row r="676" spans="2:8" x14ac:dyDescent="0.25">
      <c r="B676" s="1"/>
      <c r="C676" s="1"/>
      <c r="D676" s="1"/>
      <c r="E676" s="1"/>
      <c r="F676" s="1"/>
      <c r="H676" s="1"/>
    </row>
    <row r="677" spans="2:8" x14ac:dyDescent="0.25">
      <c r="B677" s="1"/>
      <c r="C677" s="1"/>
      <c r="D677" s="1"/>
      <c r="E677" s="1"/>
      <c r="F677" s="1"/>
      <c r="H677" s="1"/>
    </row>
    <row r="678" spans="2:8" x14ac:dyDescent="0.25">
      <c r="B678" s="1"/>
      <c r="C678" s="1"/>
      <c r="D678" s="1"/>
      <c r="E678" s="1"/>
      <c r="F678" s="1"/>
      <c r="H678" s="1"/>
    </row>
    <row r="679" spans="2:8" x14ac:dyDescent="0.25">
      <c r="B679" s="1"/>
      <c r="C679" s="1"/>
      <c r="D679" s="1"/>
      <c r="E679" s="1"/>
      <c r="F679" s="1"/>
      <c r="H679" s="1"/>
    </row>
    <row r="680" spans="2:8" x14ac:dyDescent="0.25">
      <c r="B680" s="1"/>
      <c r="C680" s="1"/>
      <c r="D680" s="1"/>
      <c r="E680" s="1"/>
      <c r="F680" s="1"/>
      <c r="H680" s="1"/>
    </row>
    <row r="681" spans="2:8" x14ac:dyDescent="0.25">
      <c r="B681" s="1"/>
      <c r="C681" s="1"/>
      <c r="D681" s="1"/>
      <c r="E681" s="1"/>
      <c r="F681" s="1"/>
      <c r="H681" s="1"/>
    </row>
    <row r="682" spans="2:8" x14ac:dyDescent="0.25">
      <c r="B682" s="1"/>
      <c r="C682" s="1"/>
      <c r="D682" s="1"/>
      <c r="E682" s="1"/>
      <c r="F682" s="1"/>
      <c r="H682" s="1"/>
    </row>
    <row r="683" spans="2:8" x14ac:dyDescent="0.25">
      <c r="B683" s="1"/>
      <c r="C683" s="1"/>
      <c r="D683" s="1"/>
      <c r="E683" s="1"/>
      <c r="F683" s="1"/>
      <c r="H683" s="1"/>
    </row>
    <row r="684" spans="2:8" x14ac:dyDescent="0.25">
      <c r="B684" s="1"/>
      <c r="C684" s="1"/>
      <c r="D684" s="1"/>
      <c r="E684" s="1"/>
      <c r="F684" s="1"/>
      <c r="H684" s="1"/>
    </row>
    <row r="685" spans="2:8" x14ac:dyDescent="0.25">
      <c r="B685" s="1"/>
      <c r="C685" s="1"/>
      <c r="D685" s="1"/>
      <c r="E685" s="1"/>
      <c r="F685" s="1"/>
      <c r="H685" s="1"/>
    </row>
    <row r="686" spans="2:8" x14ac:dyDescent="0.25">
      <c r="B686" s="1"/>
      <c r="C686" s="1"/>
      <c r="D686" s="1"/>
      <c r="E686" s="1"/>
      <c r="F686" s="1"/>
      <c r="H686" s="1"/>
    </row>
    <row r="687" spans="2:8" x14ac:dyDescent="0.25">
      <c r="B687" s="1"/>
      <c r="C687" s="1"/>
      <c r="D687" s="1"/>
      <c r="E687" s="1"/>
      <c r="F687" s="1"/>
      <c r="H687" s="1"/>
    </row>
    <row r="688" spans="2:8" x14ac:dyDescent="0.25">
      <c r="B688" s="1"/>
      <c r="C688" s="1"/>
      <c r="D688" s="1"/>
      <c r="E688" s="1"/>
      <c r="F688" s="1"/>
      <c r="H688" s="1"/>
    </row>
    <row r="689" spans="2:8" x14ac:dyDescent="0.25">
      <c r="B689" s="1"/>
      <c r="C689" s="1"/>
      <c r="D689" s="1"/>
      <c r="E689" s="1"/>
      <c r="F689" s="1"/>
      <c r="H689" s="1"/>
    </row>
    <row r="690" spans="2:8" x14ac:dyDescent="0.25">
      <c r="B690" s="1"/>
      <c r="C690" s="1"/>
      <c r="D690" s="1"/>
      <c r="E690" s="1"/>
      <c r="F690" s="1"/>
      <c r="H690" s="1"/>
    </row>
    <row r="691" spans="2:8" x14ac:dyDescent="0.25">
      <c r="B691" s="1"/>
      <c r="C691" s="1"/>
      <c r="D691" s="1"/>
      <c r="E691" s="1"/>
      <c r="F691" s="1"/>
      <c r="H691" s="1"/>
    </row>
    <row r="692" spans="2:8" x14ac:dyDescent="0.25">
      <c r="B692" s="1"/>
      <c r="C692" s="1"/>
      <c r="D692" s="1"/>
      <c r="E692" s="1"/>
      <c r="F692" s="1"/>
      <c r="H692" s="1"/>
    </row>
    <row r="693" spans="2:8" x14ac:dyDescent="0.25">
      <c r="B693" s="1"/>
      <c r="C693" s="1"/>
      <c r="D693" s="1"/>
      <c r="E693" s="1"/>
      <c r="F693" s="1"/>
      <c r="H693" s="1"/>
    </row>
    <row r="694" spans="2:8" x14ac:dyDescent="0.25">
      <c r="B694" s="1"/>
      <c r="C694" s="1"/>
      <c r="D694" s="1"/>
      <c r="E694" s="1"/>
      <c r="F694" s="1"/>
      <c r="H694" s="1"/>
    </row>
    <row r="695" spans="2:8" x14ac:dyDescent="0.25">
      <c r="B695" s="1"/>
      <c r="C695" s="1"/>
      <c r="D695" s="1"/>
      <c r="E695" s="1"/>
      <c r="F695" s="1"/>
      <c r="H695" s="1"/>
    </row>
    <row r="696" spans="2:8" x14ac:dyDescent="0.25">
      <c r="B696" s="1"/>
      <c r="C696" s="1"/>
      <c r="D696" s="1"/>
      <c r="E696" s="1"/>
      <c r="F696" s="1"/>
      <c r="H696" s="1"/>
    </row>
    <row r="697" spans="2:8" x14ac:dyDescent="0.25">
      <c r="B697" s="1"/>
      <c r="C697" s="1"/>
      <c r="D697" s="1"/>
      <c r="E697" s="1"/>
      <c r="F697" s="1"/>
      <c r="H697" s="1"/>
    </row>
    <row r="698" spans="2:8" x14ac:dyDescent="0.25">
      <c r="B698" s="1"/>
      <c r="C698" s="1"/>
      <c r="D698" s="1"/>
      <c r="E698" s="1"/>
      <c r="F698" s="1"/>
      <c r="H698" s="1"/>
    </row>
    <row r="699" spans="2:8" x14ac:dyDescent="0.25">
      <c r="B699" s="1"/>
      <c r="C699" s="1"/>
      <c r="D699" s="1"/>
      <c r="E699" s="1"/>
      <c r="F699" s="1"/>
      <c r="H699" s="1"/>
    </row>
    <row r="700" spans="2:8" x14ac:dyDescent="0.25">
      <c r="B700" s="1"/>
      <c r="C700" s="1"/>
      <c r="D700" s="1"/>
      <c r="E700" s="1"/>
      <c r="F700" s="1"/>
      <c r="H700" s="1"/>
    </row>
    <row r="701" spans="2:8" x14ac:dyDescent="0.25">
      <c r="B701" s="1"/>
      <c r="C701" s="1"/>
      <c r="D701" s="1"/>
      <c r="E701" s="1"/>
      <c r="F701" s="1"/>
      <c r="H701" s="1"/>
    </row>
    <row r="702" spans="2:8" x14ac:dyDescent="0.25">
      <c r="B702" s="1"/>
      <c r="C702" s="1"/>
      <c r="D702" s="1"/>
      <c r="E702" s="1"/>
      <c r="F702" s="1"/>
      <c r="H702" s="1"/>
    </row>
    <row r="703" spans="2:8" x14ac:dyDescent="0.25">
      <c r="B703" s="1"/>
      <c r="C703" s="1"/>
      <c r="D703" s="1"/>
      <c r="E703" s="1"/>
      <c r="F703" s="1"/>
      <c r="H703" s="1"/>
    </row>
    <row r="704" spans="2:8" x14ac:dyDescent="0.25">
      <c r="B704" s="1"/>
      <c r="C704" s="1"/>
      <c r="D704" s="1"/>
      <c r="E704" s="1"/>
      <c r="F704" s="1"/>
      <c r="H704" s="1"/>
    </row>
    <row r="705" spans="2:8" x14ac:dyDescent="0.25">
      <c r="B705" s="1"/>
      <c r="C705" s="1"/>
      <c r="D705" s="1"/>
      <c r="E705" s="1"/>
      <c r="F705" s="1"/>
      <c r="H705" s="1"/>
    </row>
    <row r="706" spans="2:8" x14ac:dyDescent="0.25">
      <c r="B706" s="1"/>
      <c r="C706" s="1"/>
      <c r="D706" s="1"/>
      <c r="E706" s="1"/>
      <c r="F706" s="1"/>
      <c r="H706" s="1"/>
    </row>
    <row r="707" spans="2:8" x14ac:dyDescent="0.25">
      <c r="B707" s="1"/>
      <c r="C707" s="1"/>
      <c r="D707" s="1"/>
      <c r="E707" s="1"/>
      <c r="F707" s="1"/>
      <c r="H707" s="1"/>
    </row>
    <row r="708" spans="2:8" x14ac:dyDescent="0.25">
      <c r="B708" s="1"/>
      <c r="C708" s="1"/>
      <c r="D708" s="1"/>
      <c r="E708" s="1"/>
      <c r="F708" s="1"/>
      <c r="H708" s="1"/>
    </row>
    <row r="709" spans="2:8" x14ac:dyDescent="0.25">
      <c r="B709" s="1"/>
      <c r="C709" s="1"/>
      <c r="D709" s="1"/>
      <c r="E709" s="1"/>
      <c r="F709" s="1"/>
      <c r="H709" s="1"/>
    </row>
    <row r="710" spans="2:8" x14ac:dyDescent="0.25">
      <c r="B710" s="1"/>
      <c r="C710" s="1"/>
      <c r="D710" s="1"/>
      <c r="E710" s="1"/>
      <c r="F710" s="1"/>
      <c r="H710" s="1"/>
    </row>
    <row r="711" spans="2:8" x14ac:dyDescent="0.25">
      <c r="B711" s="1"/>
      <c r="C711" s="1"/>
      <c r="D711" s="1"/>
      <c r="E711" s="1"/>
      <c r="F711" s="1"/>
      <c r="H711" s="1"/>
    </row>
    <row r="712" spans="2:8" x14ac:dyDescent="0.25">
      <c r="B712" s="1"/>
      <c r="C712" s="1"/>
      <c r="D712" s="1"/>
      <c r="E712" s="1"/>
      <c r="F712" s="1"/>
      <c r="H712" s="1"/>
    </row>
    <row r="713" spans="2:8" x14ac:dyDescent="0.25">
      <c r="B713" s="1"/>
      <c r="C713" s="1"/>
      <c r="D713" s="1"/>
      <c r="E713" s="1"/>
      <c r="F713" s="1"/>
      <c r="H713" s="1"/>
    </row>
    <row r="714" spans="2:8" x14ac:dyDescent="0.25">
      <c r="B714" s="1"/>
      <c r="C714" s="1"/>
      <c r="D714" s="1"/>
      <c r="E714" s="1"/>
      <c r="F714" s="1"/>
      <c r="H714" s="1"/>
    </row>
    <row r="715" spans="2:8" x14ac:dyDescent="0.25">
      <c r="B715" s="1"/>
      <c r="C715" s="1"/>
      <c r="D715" s="1"/>
      <c r="E715" s="1"/>
      <c r="F715" s="1"/>
      <c r="H715" s="1"/>
    </row>
    <row r="716" spans="2:8" x14ac:dyDescent="0.25">
      <c r="B716" s="1"/>
      <c r="C716" s="1"/>
      <c r="D716" s="1"/>
      <c r="E716" s="1"/>
      <c r="F716" s="1"/>
      <c r="H716" s="1"/>
    </row>
    <row r="717" spans="2:8" x14ac:dyDescent="0.25">
      <c r="B717" s="1"/>
      <c r="C717" s="1"/>
      <c r="D717" s="1"/>
      <c r="E717" s="1"/>
      <c r="F717" s="1"/>
      <c r="H717" s="1"/>
    </row>
    <row r="718" spans="2:8" x14ac:dyDescent="0.25">
      <c r="B718" s="1"/>
      <c r="C718" s="1"/>
      <c r="D718" s="1"/>
      <c r="E718" s="1"/>
      <c r="F718" s="1"/>
      <c r="H718" s="1"/>
    </row>
    <row r="719" spans="2:8" x14ac:dyDescent="0.25">
      <c r="B719" s="1"/>
      <c r="C719" s="1"/>
      <c r="D719" s="1"/>
      <c r="E719" s="1"/>
      <c r="F719" s="1"/>
      <c r="H719" s="1"/>
    </row>
    <row r="720" spans="2:8" x14ac:dyDescent="0.25">
      <c r="B720" s="1"/>
      <c r="C720" s="1"/>
      <c r="D720" s="1"/>
      <c r="E720" s="1"/>
      <c r="F720" s="1"/>
      <c r="H720" s="1"/>
    </row>
    <row r="721" spans="2:8" x14ac:dyDescent="0.25">
      <c r="B721" s="1"/>
      <c r="C721" s="1"/>
      <c r="D721" s="1"/>
      <c r="E721" s="1"/>
      <c r="F721" s="1"/>
      <c r="H721" s="1"/>
    </row>
    <row r="722" spans="2:8" x14ac:dyDescent="0.25">
      <c r="B722" s="1"/>
      <c r="C722" s="1"/>
      <c r="D722" s="1"/>
      <c r="E722" s="1"/>
      <c r="F722" s="1"/>
      <c r="H722" s="1"/>
    </row>
    <row r="723" spans="2:8" x14ac:dyDescent="0.25">
      <c r="B723" s="1"/>
      <c r="C723" s="1"/>
      <c r="D723" s="1"/>
      <c r="E723" s="1"/>
      <c r="F723" s="1"/>
      <c r="H723" s="1"/>
    </row>
    <row r="724" spans="2:8" x14ac:dyDescent="0.25">
      <c r="B724" s="1"/>
      <c r="C724" s="1"/>
      <c r="D724" s="1"/>
      <c r="E724" s="1"/>
      <c r="F724" s="1"/>
      <c r="H724" s="1"/>
    </row>
    <row r="725" spans="2:8" x14ac:dyDescent="0.25">
      <c r="B725" s="1"/>
      <c r="C725" s="1"/>
      <c r="D725" s="1"/>
      <c r="E725" s="1"/>
      <c r="F725" s="1"/>
      <c r="H725" s="1"/>
    </row>
    <row r="726" spans="2:8" x14ac:dyDescent="0.25">
      <c r="B726" s="1"/>
      <c r="C726" s="1"/>
      <c r="D726" s="1"/>
      <c r="E726" s="1"/>
      <c r="F726" s="1"/>
      <c r="H726" s="1"/>
    </row>
    <row r="727" spans="2:8" x14ac:dyDescent="0.25">
      <c r="B727" s="1"/>
      <c r="C727" s="1"/>
      <c r="D727" s="1"/>
      <c r="E727" s="1"/>
      <c r="F727" s="1"/>
      <c r="H727" s="1"/>
    </row>
    <row r="728" spans="2:8" x14ac:dyDescent="0.25">
      <c r="B728" s="1"/>
      <c r="C728" s="1"/>
      <c r="D728" s="1"/>
      <c r="E728" s="1"/>
      <c r="F728" s="1"/>
      <c r="H728" s="1"/>
    </row>
    <row r="729" spans="2:8" x14ac:dyDescent="0.25">
      <c r="B729" s="1"/>
      <c r="C729" s="1"/>
      <c r="D729" s="1"/>
      <c r="E729" s="1"/>
      <c r="F729" s="1"/>
      <c r="H729" s="1"/>
    </row>
    <row r="730" spans="2:8" x14ac:dyDescent="0.25">
      <c r="B730" s="1"/>
      <c r="C730" s="1"/>
      <c r="D730" s="1"/>
      <c r="E730" s="1"/>
      <c r="F730" s="1"/>
      <c r="H730" s="1"/>
    </row>
    <row r="731" spans="2:8" x14ac:dyDescent="0.25">
      <c r="B731" s="1"/>
      <c r="C731" s="1"/>
      <c r="D731" s="1"/>
      <c r="E731" s="1"/>
      <c r="F731" s="1"/>
      <c r="H731" s="1"/>
    </row>
    <row r="732" spans="2:8" x14ac:dyDescent="0.25">
      <c r="B732" s="1"/>
      <c r="C732" s="1"/>
      <c r="D732" s="1"/>
      <c r="E732" s="1"/>
      <c r="F732" s="1"/>
      <c r="H732" s="1"/>
    </row>
    <row r="733" spans="2:8" x14ac:dyDescent="0.25">
      <c r="B733" s="1"/>
      <c r="C733" s="1"/>
      <c r="D733" s="1"/>
      <c r="E733" s="1"/>
      <c r="F733" s="1"/>
      <c r="H733" s="1"/>
    </row>
    <row r="734" spans="2:8" x14ac:dyDescent="0.25">
      <c r="B734" s="1"/>
      <c r="C734" s="1"/>
      <c r="D734" s="1"/>
      <c r="E734" s="1"/>
      <c r="F734" s="1"/>
      <c r="H734" s="1"/>
    </row>
    <row r="735" spans="2:8" x14ac:dyDescent="0.25">
      <c r="B735" s="1"/>
      <c r="C735" s="1"/>
      <c r="D735" s="1"/>
      <c r="E735" s="1"/>
      <c r="F735" s="1"/>
      <c r="H735" s="1"/>
    </row>
    <row r="736" spans="2:8" x14ac:dyDescent="0.25">
      <c r="B736" s="1"/>
      <c r="C736" s="1"/>
      <c r="D736" s="1"/>
      <c r="E736" s="1"/>
      <c r="F736" s="1"/>
      <c r="H736" s="1"/>
    </row>
    <row r="737" spans="2:8" x14ac:dyDescent="0.25">
      <c r="B737" s="1"/>
      <c r="C737" s="1"/>
      <c r="D737" s="1"/>
      <c r="E737" s="1"/>
      <c r="F737" s="1"/>
      <c r="H737" s="1"/>
    </row>
    <row r="738" spans="2:8" x14ac:dyDescent="0.25">
      <c r="B738" s="1"/>
      <c r="C738" s="1"/>
      <c r="D738" s="1"/>
      <c r="E738" s="1"/>
      <c r="F738" s="1"/>
      <c r="H738" s="1"/>
    </row>
    <row r="739" spans="2:8" x14ac:dyDescent="0.25">
      <c r="B739" s="1"/>
      <c r="C739" s="1"/>
      <c r="D739" s="1"/>
      <c r="E739" s="1"/>
      <c r="F739" s="1"/>
      <c r="H739" s="1"/>
    </row>
    <row r="740" spans="2:8" x14ac:dyDescent="0.25">
      <c r="B740" s="1"/>
      <c r="C740" s="1"/>
      <c r="D740" s="1"/>
      <c r="E740" s="1"/>
      <c r="F740" s="1"/>
      <c r="H740" s="1"/>
    </row>
    <row r="741" spans="2:8" x14ac:dyDescent="0.25">
      <c r="B741" s="1"/>
      <c r="C741" s="1"/>
      <c r="D741" s="1"/>
      <c r="E741" s="1"/>
      <c r="F741" s="1"/>
      <c r="H741" s="1"/>
    </row>
    <row r="742" spans="2:8" x14ac:dyDescent="0.25">
      <c r="B742" s="1"/>
      <c r="C742" s="1"/>
      <c r="D742" s="1"/>
      <c r="E742" s="1"/>
      <c r="F742" s="1"/>
      <c r="H742" s="1"/>
    </row>
    <row r="743" spans="2:8" x14ac:dyDescent="0.25">
      <c r="B743" s="1"/>
      <c r="C743" s="1"/>
      <c r="D743" s="1"/>
      <c r="E743" s="1"/>
      <c r="F743" s="1"/>
      <c r="H743" s="1"/>
    </row>
    <row r="744" spans="2:8" x14ac:dyDescent="0.25">
      <c r="B744" s="1"/>
      <c r="C744" s="1"/>
      <c r="D744" s="1"/>
      <c r="E744" s="1"/>
      <c r="F744" s="1"/>
      <c r="H744" s="1"/>
    </row>
    <row r="745" spans="2:8" x14ac:dyDescent="0.25">
      <c r="B745" s="1"/>
      <c r="C745" s="1"/>
      <c r="D745" s="1"/>
      <c r="E745" s="1"/>
      <c r="F745" s="1"/>
      <c r="H745" s="1"/>
    </row>
    <row r="746" spans="2:8" x14ac:dyDescent="0.25">
      <c r="B746" s="1"/>
      <c r="C746" s="1"/>
      <c r="D746" s="1"/>
      <c r="E746" s="1"/>
      <c r="F746" s="1"/>
      <c r="H746" s="1"/>
    </row>
    <row r="747" spans="2:8" x14ac:dyDescent="0.25">
      <c r="B747" s="1"/>
      <c r="C747" s="1"/>
      <c r="D747" s="1"/>
      <c r="E747" s="1"/>
      <c r="F747" s="1"/>
      <c r="H747" s="1"/>
    </row>
    <row r="748" spans="2:8" x14ac:dyDescent="0.25">
      <c r="B748" s="1"/>
      <c r="C748" s="1"/>
      <c r="D748" s="1"/>
      <c r="E748" s="1"/>
      <c r="F748" s="1"/>
      <c r="H748" s="1"/>
    </row>
    <row r="749" spans="2:8" x14ac:dyDescent="0.25">
      <c r="B749" s="1"/>
      <c r="C749" s="1"/>
      <c r="D749" s="1"/>
      <c r="E749" s="1"/>
      <c r="F749" s="1"/>
      <c r="H749" s="1"/>
    </row>
    <row r="750" spans="2:8" x14ac:dyDescent="0.25">
      <c r="B750" s="1"/>
      <c r="C750" s="1"/>
      <c r="D750" s="1"/>
      <c r="E750" s="1"/>
      <c r="F750" s="1"/>
      <c r="H750" s="1"/>
    </row>
    <row r="751" spans="2:8" x14ac:dyDescent="0.25">
      <c r="B751" s="1"/>
      <c r="C751" s="1"/>
      <c r="D751" s="1"/>
      <c r="E751" s="1"/>
      <c r="F751" s="1"/>
      <c r="H751" s="1"/>
    </row>
    <row r="752" spans="2:8" x14ac:dyDescent="0.25">
      <c r="B752" s="1"/>
      <c r="C752" s="1"/>
      <c r="D752" s="1"/>
      <c r="E752" s="1"/>
      <c r="F752" s="1"/>
      <c r="H752" s="1"/>
    </row>
    <row r="753" spans="2:8" x14ac:dyDescent="0.25">
      <c r="B753" s="1"/>
      <c r="C753" s="1"/>
      <c r="D753" s="1"/>
      <c r="E753" s="1"/>
      <c r="F753" s="1"/>
      <c r="H753" s="1"/>
    </row>
    <row r="754" spans="2:8" x14ac:dyDescent="0.25">
      <c r="B754" s="1"/>
      <c r="C754" s="1"/>
      <c r="D754" s="1"/>
      <c r="E754" s="1"/>
      <c r="F754" s="1"/>
      <c r="H754" s="1"/>
    </row>
    <row r="755" spans="2:8" x14ac:dyDescent="0.25">
      <c r="B755" s="1"/>
      <c r="C755" s="1"/>
      <c r="D755" s="1"/>
      <c r="E755" s="1"/>
      <c r="F755" s="1"/>
      <c r="H755" s="1"/>
    </row>
    <row r="756" spans="2:8" x14ac:dyDescent="0.25">
      <c r="B756" s="1"/>
      <c r="C756" s="1"/>
      <c r="D756" s="1"/>
      <c r="E756" s="1"/>
      <c r="F756" s="1"/>
      <c r="H756" s="1"/>
    </row>
    <row r="757" spans="2:8" x14ac:dyDescent="0.25">
      <c r="B757" s="1"/>
      <c r="C757" s="1"/>
      <c r="D757" s="1"/>
      <c r="E757" s="1"/>
      <c r="F757" s="1"/>
      <c r="H757" s="1"/>
    </row>
    <row r="758" spans="2:8" x14ac:dyDescent="0.25">
      <c r="B758" s="1"/>
      <c r="C758" s="1"/>
      <c r="D758" s="1"/>
      <c r="E758" s="1"/>
      <c r="F758" s="1"/>
      <c r="H758" s="1"/>
    </row>
    <row r="759" spans="2:8" x14ac:dyDescent="0.25">
      <c r="B759" s="1"/>
      <c r="C759" s="1"/>
      <c r="D759" s="1"/>
      <c r="E759" s="1"/>
      <c r="F759" s="1"/>
      <c r="H759" s="1"/>
    </row>
    <row r="760" spans="2:8" x14ac:dyDescent="0.25">
      <c r="B760" s="1"/>
      <c r="C760" s="1"/>
      <c r="D760" s="1"/>
      <c r="E760" s="1"/>
      <c r="F760" s="1"/>
      <c r="H760" s="1"/>
    </row>
    <row r="761" spans="2:8" x14ac:dyDescent="0.25">
      <c r="B761" s="1"/>
      <c r="C761" s="1"/>
      <c r="D761" s="1"/>
      <c r="E761" s="1"/>
      <c r="F761" s="1"/>
      <c r="H761" s="1"/>
    </row>
    <row r="762" spans="2:8" x14ac:dyDescent="0.25">
      <c r="B762" s="1"/>
      <c r="C762" s="1"/>
      <c r="D762" s="1"/>
      <c r="E762" s="1"/>
      <c r="F762" s="1"/>
      <c r="H762" s="1"/>
    </row>
    <row r="763" spans="2:8" x14ac:dyDescent="0.25">
      <c r="B763" s="1"/>
      <c r="C763" s="1"/>
      <c r="D763" s="1"/>
      <c r="E763" s="1"/>
      <c r="F763" s="1"/>
      <c r="H763" s="1"/>
    </row>
    <row r="764" spans="2:8" x14ac:dyDescent="0.25">
      <c r="B764" s="1"/>
      <c r="C764" s="1"/>
      <c r="D764" s="1"/>
      <c r="E764" s="1"/>
      <c r="F764" s="1"/>
      <c r="H764" s="1"/>
    </row>
    <row r="765" spans="2:8" x14ac:dyDescent="0.25">
      <c r="B765" s="1"/>
      <c r="C765" s="1"/>
      <c r="D765" s="1"/>
      <c r="E765" s="1"/>
      <c r="F765" s="1"/>
      <c r="H765" s="1"/>
    </row>
    <row r="766" spans="2:8" x14ac:dyDescent="0.25">
      <c r="B766" s="1"/>
      <c r="C766" s="1"/>
      <c r="D766" s="1"/>
      <c r="E766" s="1"/>
      <c r="F766" s="1"/>
      <c r="H766" s="1"/>
    </row>
    <row r="767" spans="2:8" x14ac:dyDescent="0.25">
      <c r="B767" s="1"/>
      <c r="C767" s="1"/>
      <c r="D767" s="1"/>
      <c r="E767" s="1"/>
      <c r="F767" s="1"/>
      <c r="H767" s="1"/>
    </row>
    <row r="768" spans="2:8" x14ac:dyDescent="0.25">
      <c r="B768" s="1"/>
      <c r="C768" s="1"/>
      <c r="D768" s="1"/>
      <c r="E768" s="1"/>
      <c r="F768" s="1"/>
      <c r="H768" s="1"/>
    </row>
    <row r="769" spans="2:8" x14ac:dyDescent="0.25">
      <c r="B769" s="1"/>
      <c r="C769" s="1"/>
      <c r="D769" s="1"/>
      <c r="E769" s="1"/>
      <c r="F769" s="1"/>
      <c r="H769" s="1"/>
    </row>
    <row r="770" spans="2:8" x14ac:dyDescent="0.25">
      <c r="B770" s="1"/>
      <c r="C770" s="1"/>
      <c r="D770" s="1"/>
      <c r="E770" s="1"/>
      <c r="F770" s="1"/>
      <c r="H770" s="1"/>
    </row>
    <row r="771" spans="2:8" x14ac:dyDescent="0.25">
      <c r="B771" s="1"/>
      <c r="C771" s="1"/>
      <c r="D771" s="1"/>
      <c r="E771" s="1"/>
      <c r="F771" s="1"/>
      <c r="H771" s="1"/>
    </row>
    <row r="772" spans="2:8" x14ac:dyDescent="0.25">
      <c r="B772" s="1"/>
      <c r="C772" s="1"/>
      <c r="D772" s="1"/>
      <c r="E772" s="1"/>
      <c r="F772" s="1"/>
      <c r="H772" s="1"/>
    </row>
    <row r="773" spans="2:8" x14ac:dyDescent="0.25">
      <c r="B773" s="1"/>
      <c r="C773" s="1"/>
      <c r="D773" s="1"/>
      <c r="E773" s="1"/>
      <c r="F773" s="1"/>
      <c r="H773" s="1"/>
    </row>
    <row r="774" spans="2:8" x14ac:dyDescent="0.25">
      <c r="B774" s="1"/>
      <c r="C774" s="1"/>
      <c r="D774" s="1"/>
      <c r="E774" s="1"/>
      <c r="F774" s="1"/>
      <c r="H774" s="1"/>
    </row>
    <row r="775" spans="2:8" x14ac:dyDescent="0.25">
      <c r="B775" s="1"/>
      <c r="C775" s="1"/>
      <c r="D775" s="1"/>
      <c r="E775" s="1"/>
      <c r="F775" s="1"/>
      <c r="H775" s="1"/>
    </row>
    <row r="776" spans="2:8" x14ac:dyDescent="0.25">
      <c r="B776" s="1"/>
      <c r="C776" s="1"/>
      <c r="D776" s="1"/>
      <c r="E776" s="1"/>
      <c r="F776" s="1"/>
      <c r="H776" s="1"/>
    </row>
    <row r="777" spans="2:8" x14ac:dyDescent="0.25">
      <c r="B777" s="1"/>
      <c r="C777" s="1"/>
      <c r="D777" s="1"/>
      <c r="E777" s="1"/>
      <c r="F777" s="1"/>
      <c r="H777" s="1"/>
    </row>
    <row r="778" spans="2:8" x14ac:dyDescent="0.25">
      <c r="B778" s="1"/>
      <c r="C778" s="1"/>
      <c r="D778" s="1"/>
      <c r="E778" s="1"/>
      <c r="F778" s="1"/>
      <c r="H778" s="1"/>
    </row>
    <row r="779" spans="2:8" x14ac:dyDescent="0.25">
      <c r="B779" s="1"/>
      <c r="C779" s="1"/>
      <c r="D779" s="1"/>
      <c r="E779" s="1"/>
      <c r="F779" s="1"/>
      <c r="H779" s="1"/>
    </row>
    <row r="780" spans="2:8" x14ac:dyDescent="0.25">
      <c r="B780" s="1"/>
      <c r="C780" s="1"/>
      <c r="D780" s="1"/>
      <c r="E780" s="1"/>
      <c r="F780" s="1"/>
      <c r="H780" s="1"/>
    </row>
    <row r="781" spans="2:8" x14ac:dyDescent="0.25">
      <c r="B781" s="1"/>
      <c r="C781" s="1"/>
      <c r="D781" s="1"/>
      <c r="E781" s="1"/>
      <c r="F781" s="1"/>
      <c r="H781" s="1"/>
    </row>
    <row r="782" spans="2:8" x14ac:dyDescent="0.25">
      <c r="B782" s="1"/>
      <c r="C782" s="1"/>
      <c r="D782" s="1"/>
      <c r="E782" s="1"/>
      <c r="F782" s="1"/>
      <c r="H782" s="1"/>
    </row>
    <row r="783" spans="2:8" x14ac:dyDescent="0.25">
      <c r="B783" s="1"/>
      <c r="C783" s="1"/>
      <c r="D783" s="1"/>
      <c r="E783" s="1"/>
      <c r="F783" s="1"/>
      <c r="H783" s="1"/>
    </row>
    <row r="784" spans="2:8" x14ac:dyDescent="0.25">
      <c r="B784" s="1"/>
      <c r="C784" s="1"/>
      <c r="D784" s="1"/>
      <c r="E784" s="1"/>
      <c r="F784" s="1"/>
      <c r="H784" s="1"/>
    </row>
    <row r="785" spans="2:8" x14ac:dyDescent="0.25">
      <c r="B785" s="1"/>
      <c r="C785" s="1"/>
      <c r="D785" s="1"/>
      <c r="E785" s="1"/>
      <c r="F785" s="1"/>
      <c r="H785" s="1"/>
    </row>
    <row r="786" spans="2:8" x14ac:dyDescent="0.25">
      <c r="B786" s="1"/>
      <c r="C786" s="1"/>
      <c r="D786" s="1"/>
      <c r="E786" s="1"/>
      <c r="F786" s="1"/>
      <c r="H786" s="1"/>
    </row>
    <row r="787" spans="2:8" x14ac:dyDescent="0.25">
      <c r="B787" s="1"/>
      <c r="C787" s="1"/>
      <c r="D787" s="1"/>
      <c r="E787" s="1"/>
      <c r="F787" s="1"/>
      <c r="H787" s="1"/>
    </row>
    <row r="788" spans="2:8" x14ac:dyDescent="0.25">
      <c r="B788" s="1"/>
      <c r="C788" s="1"/>
      <c r="D788" s="1"/>
      <c r="E788" s="1"/>
      <c r="F788" s="1"/>
      <c r="H788" s="1"/>
    </row>
    <row r="789" spans="2:8" x14ac:dyDescent="0.25">
      <c r="B789" s="1"/>
      <c r="C789" s="1"/>
      <c r="D789" s="1"/>
      <c r="E789" s="1"/>
      <c r="F789" s="1"/>
      <c r="H789" s="1"/>
    </row>
    <row r="790" spans="2:8" x14ac:dyDescent="0.25">
      <c r="B790" s="1"/>
      <c r="C790" s="1"/>
      <c r="D790" s="1"/>
      <c r="E790" s="1"/>
      <c r="F790" s="1"/>
      <c r="H790" s="1"/>
    </row>
    <row r="791" spans="2:8" x14ac:dyDescent="0.25">
      <c r="B791" s="1"/>
      <c r="C791" s="1"/>
      <c r="D791" s="1"/>
      <c r="E791" s="1"/>
      <c r="F791" s="1"/>
      <c r="H791" s="1"/>
    </row>
    <row r="792" spans="2:8" x14ac:dyDescent="0.25">
      <c r="B792" s="1"/>
      <c r="C792" s="1"/>
      <c r="D792" s="1"/>
      <c r="E792" s="1"/>
      <c r="F792" s="1"/>
      <c r="H792" s="1"/>
    </row>
    <row r="793" spans="2:8" x14ac:dyDescent="0.25">
      <c r="B793" s="1"/>
      <c r="C793" s="1"/>
      <c r="D793" s="1"/>
      <c r="E793" s="1"/>
      <c r="F793" s="1"/>
      <c r="H793" s="1"/>
    </row>
    <row r="794" spans="2:8" x14ac:dyDescent="0.25">
      <c r="B794" s="1"/>
      <c r="C794" s="1"/>
      <c r="D794" s="1"/>
      <c r="E794" s="1"/>
      <c r="F794" s="1"/>
      <c r="H794" s="1"/>
    </row>
    <row r="795" spans="2:8" x14ac:dyDescent="0.25">
      <c r="B795" s="1"/>
      <c r="C795" s="1"/>
      <c r="D795" s="1"/>
      <c r="E795" s="1"/>
      <c r="F795" s="1"/>
      <c r="H795" s="1"/>
    </row>
    <row r="796" spans="2:8" x14ac:dyDescent="0.25">
      <c r="B796" s="1"/>
      <c r="C796" s="1"/>
      <c r="D796" s="1"/>
      <c r="E796" s="1"/>
      <c r="F796" s="1"/>
      <c r="H796" s="1"/>
    </row>
    <row r="797" spans="2:8" x14ac:dyDescent="0.25">
      <c r="B797" s="1"/>
      <c r="C797" s="1"/>
      <c r="D797" s="1"/>
      <c r="E797" s="1"/>
      <c r="F797" s="1"/>
      <c r="H797" s="1"/>
    </row>
    <row r="798" spans="2:8" x14ac:dyDescent="0.25">
      <c r="B798" s="1"/>
      <c r="C798" s="1"/>
      <c r="D798" s="1"/>
      <c r="E798" s="1"/>
      <c r="F798" s="1"/>
      <c r="H798" s="1"/>
    </row>
    <row r="799" spans="2:8" x14ac:dyDescent="0.25">
      <c r="B799" s="1"/>
      <c r="C799" s="1"/>
      <c r="D799" s="1"/>
      <c r="E799" s="1"/>
      <c r="F799" s="1"/>
      <c r="H799" s="1"/>
    </row>
    <row r="800" spans="2:8" x14ac:dyDescent="0.25">
      <c r="B800" s="1"/>
      <c r="C800" s="1"/>
      <c r="D800" s="1"/>
      <c r="E800" s="1"/>
      <c r="F800" s="1"/>
      <c r="H800" s="1"/>
    </row>
    <row r="801" spans="2:8" x14ac:dyDescent="0.25">
      <c r="B801" s="1"/>
      <c r="C801" s="1"/>
      <c r="D801" s="1"/>
      <c r="E801" s="1"/>
      <c r="F801" s="1"/>
      <c r="H801" s="1"/>
    </row>
    <row r="802" spans="2:8" x14ac:dyDescent="0.25">
      <c r="B802" s="1"/>
      <c r="C802" s="1"/>
      <c r="D802" s="1"/>
      <c r="E802" s="1"/>
      <c r="F802" s="1"/>
      <c r="H802" s="1"/>
    </row>
    <row r="803" spans="2:8" x14ac:dyDescent="0.25">
      <c r="B803" s="1"/>
      <c r="C803" s="1"/>
      <c r="D803" s="1"/>
      <c r="E803" s="1"/>
      <c r="F803" s="1"/>
      <c r="H803" s="1"/>
    </row>
    <row r="804" spans="2:8" x14ac:dyDescent="0.25">
      <c r="B804" s="1"/>
      <c r="C804" s="1"/>
      <c r="D804" s="1"/>
      <c r="E804" s="1"/>
      <c r="F804" s="1"/>
      <c r="H804" s="1"/>
    </row>
    <row r="805" spans="2:8" x14ac:dyDescent="0.25">
      <c r="B805" s="1"/>
      <c r="C805" s="1"/>
      <c r="D805" s="1"/>
      <c r="E805" s="1"/>
      <c r="F805" s="1"/>
      <c r="H805" s="1"/>
    </row>
    <row r="806" spans="2:8" x14ac:dyDescent="0.25">
      <c r="B806" s="1"/>
      <c r="C806" s="1"/>
      <c r="D806" s="1"/>
      <c r="E806" s="1"/>
      <c r="F806" s="1"/>
      <c r="H806" s="1"/>
    </row>
    <row r="807" spans="2:8" x14ac:dyDescent="0.25">
      <c r="B807" s="1"/>
      <c r="C807" s="1"/>
      <c r="D807" s="1"/>
      <c r="E807" s="1"/>
      <c r="F807" s="1"/>
      <c r="H807" s="1"/>
    </row>
    <row r="808" spans="2:8" x14ac:dyDescent="0.25">
      <c r="B808" s="1"/>
      <c r="C808" s="1"/>
      <c r="D808" s="1"/>
      <c r="E808" s="1"/>
      <c r="F808" s="1"/>
      <c r="H808" s="1"/>
    </row>
    <row r="809" spans="2:8" x14ac:dyDescent="0.25">
      <c r="B809" s="1"/>
      <c r="C809" s="1"/>
      <c r="D809" s="1"/>
      <c r="E809" s="1"/>
      <c r="F809" s="1"/>
      <c r="H809" s="1"/>
    </row>
    <row r="810" spans="2:8" x14ac:dyDescent="0.25">
      <c r="B810" s="1"/>
      <c r="C810" s="1"/>
      <c r="D810" s="1"/>
      <c r="E810" s="1"/>
      <c r="F810" s="1"/>
      <c r="H810" s="1"/>
    </row>
    <row r="811" spans="2:8" x14ac:dyDescent="0.25">
      <c r="B811" s="1"/>
      <c r="C811" s="1"/>
      <c r="D811" s="1"/>
      <c r="E811" s="1"/>
      <c r="F811" s="1"/>
      <c r="H811" s="1"/>
    </row>
    <row r="812" spans="2:8" x14ac:dyDescent="0.25">
      <c r="B812" s="1"/>
      <c r="C812" s="1"/>
      <c r="D812" s="1"/>
      <c r="E812" s="1"/>
      <c r="F812" s="1"/>
      <c r="H812" s="1"/>
    </row>
    <row r="813" spans="2:8" x14ac:dyDescent="0.25">
      <c r="B813" s="1"/>
      <c r="C813" s="1"/>
      <c r="D813" s="1"/>
      <c r="E813" s="1"/>
      <c r="F813" s="1"/>
      <c r="H813" s="1"/>
    </row>
    <row r="814" spans="2:8" x14ac:dyDescent="0.25">
      <c r="B814" s="1"/>
      <c r="C814" s="1"/>
      <c r="D814" s="1"/>
      <c r="E814" s="1"/>
      <c r="F814" s="1"/>
      <c r="H814" s="1"/>
    </row>
    <row r="815" spans="2:8" x14ac:dyDescent="0.25">
      <c r="B815" s="1"/>
      <c r="C815" s="1"/>
      <c r="D815" s="1"/>
      <c r="E815" s="1"/>
      <c r="F815" s="1"/>
      <c r="H815" s="1"/>
    </row>
    <row r="816" spans="2:8" x14ac:dyDescent="0.25">
      <c r="B816" s="1"/>
      <c r="C816" s="1"/>
      <c r="D816" s="1"/>
      <c r="E816" s="1"/>
      <c r="F816" s="1"/>
      <c r="H816" s="1"/>
    </row>
    <row r="817" spans="2:8" x14ac:dyDescent="0.25">
      <c r="B817" s="1"/>
      <c r="C817" s="1"/>
      <c r="D817" s="1"/>
      <c r="E817" s="1"/>
      <c r="F817" s="1"/>
      <c r="H817" s="1"/>
    </row>
    <row r="818" spans="2:8" x14ac:dyDescent="0.25">
      <c r="B818" s="1"/>
      <c r="C818" s="1"/>
      <c r="D818" s="1"/>
      <c r="E818" s="1"/>
      <c r="F818" s="1"/>
      <c r="H818" s="1"/>
    </row>
    <row r="819" spans="2:8" x14ac:dyDescent="0.25">
      <c r="B819" s="1"/>
      <c r="C819" s="1"/>
      <c r="D819" s="1"/>
      <c r="E819" s="1"/>
      <c r="F819" s="1"/>
      <c r="H819" s="1"/>
    </row>
    <row r="820" spans="2:8" x14ac:dyDescent="0.25">
      <c r="B820" s="1"/>
      <c r="C820" s="1"/>
      <c r="D820" s="1"/>
      <c r="E820" s="1"/>
      <c r="F820" s="1"/>
      <c r="H820" s="1"/>
    </row>
    <row r="821" spans="2:8" x14ac:dyDescent="0.25">
      <c r="B821" s="1"/>
      <c r="C821" s="1"/>
      <c r="D821" s="1"/>
      <c r="E821" s="1"/>
      <c r="F821" s="1"/>
      <c r="H821" s="1"/>
    </row>
    <row r="822" spans="2:8" x14ac:dyDescent="0.25">
      <c r="B822" s="1"/>
      <c r="C822" s="1"/>
      <c r="D822" s="1"/>
      <c r="E822" s="1"/>
      <c r="F822" s="1"/>
      <c r="H822" s="1"/>
    </row>
    <row r="823" spans="2:8" x14ac:dyDescent="0.25">
      <c r="B823" s="1"/>
      <c r="C823" s="1"/>
      <c r="D823" s="1"/>
      <c r="E823" s="1"/>
      <c r="F823" s="1"/>
      <c r="H823" s="1"/>
    </row>
    <row r="824" spans="2:8" x14ac:dyDescent="0.25">
      <c r="B824" s="1"/>
      <c r="C824" s="1"/>
      <c r="D824" s="1"/>
      <c r="E824" s="1"/>
      <c r="F824" s="1"/>
      <c r="H824" s="1"/>
    </row>
    <row r="825" spans="2:8" x14ac:dyDescent="0.25">
      <c r="B825" s="1"/>
      <c r="C825" s="1"/>
      <c r="D825" s="1"/>
      <c r="E825" s="1"/>
      <c r="F825" s="1"/>
      <c r="H825" s="1"/>
    </row>
    <row r="826" spans="2:8" x14ac:dyDescent="0.25">
      <c r="B826" s="1"/>
      <c r="C826" s="1"/>
      <c r="D826" s="1"/>
      <c r="E826" s="1"/>
      <c r="F826" s="1"/>
      <c r="H826" s="1"/>
    </row>
    <row r="827" spans="2:8" x14ac:dyDescent="0.25">
      <c r="B827" s="1"/>
      <c r="C827" s="1"/>
      <c r="D827" s="1"/>
      <c r="E827" s="1"/>
      <c r="F827" s="1"/>
      <c r="H827" s="1"/>
    </row>
    <row r="828" spans="2:8" x14ac:dyDescent="0.25">
      <c r="B828" s="1"/>
      <c r="C828" s="1"/>
      <c r="D828" s="1"/>
      <c r="E828" s="1"/>
      <c r="F828" s="1"/>
      <c r="H828" s="1"/>
    </row>
    <row r="829" spans="2:8" x14ac:dyDescent="0.25">
      <c r="B829" s="1"/>
      <c r="C829" s="1"/>
      <c r="D829" s="1"/>
      <c r="E829" s="1"/>
      <c r="F829" s="1"/>
      <c r="H829" s="1"/>
    </row>
    <row r="830" spans="2:8" x14ac:dyDescent="0.25">
      <c r="B830" s="1"/>
      <c r="C830" s="1"/>
      <c r="D830" s="1"/>
      <c r="E830" s="1"/>
      <c r="F830" s="1"/>
      <c r="H830" s="1"/>
    </row>
    <row r="831" spans="2:8" x14ac:dyDescent="0.25">
      <c r="B831" s="1"/>
      <c r="C831" s="1"/>
      <c r="D831" s="1"/>
      <c r="E831" s="1"/>
      <c r="F831" s="1"/>
      <c r="H831" s="1"/>
    </row>
    <row r="832" spans="2:8" x14ac:dyDescent="0.25">
      <c r="B832" s="1"/>
      <c r="C832" s="1"/>
      <c r="D832" s="1"/>
      <c r="E832" s="1"/>
      <c r="F832" s="1"/>
      <c r="H832" s="1"/>
    </row>
    <row r="833" spans="2:8" x14ac:dyDescent="0.25">
      <c r="B833" s="1"/>
      <c r="C833" s="1"/>
      <c r="D833" s="1"/>
      <c r="E833" s="1"/>
      <c r="F833" s="1"/>
      <c r="H833" s="1"/>
    </row>
    <row r="834" spans="2:8" x14ac:dyDescent="0.25">
      <c r="B834" s="1"/>
      <c r="C834" s="1"/>
      <c r="D834" s="1"/>
      <c r="E834" s="1"/>
      <c r="F834" s="1"/>
      <c r="H834" s="1"/>
    </row>
    <row r="835" spans="2:8" x14ac:dyDescent="0.25">
      <c r="B835" s="1"/>
      <c r="C835" s="1"/>
      <c r="D835" s="1"/>
      <c r="E835" s="1"/>
      <c r="F835" s="1"/>
      <c r="H835" s="1"/>
    </row>
    <row r="836" spans="2:8" x14ac:dyDescent="0.25">
      <c r="B836" s="1"/>
      <c r="C836" s="1"/>
      <c r="D836" s="1"/>
      <c r="E836" s="1"/>
      <c r="F836" s="1"/>
      <c r="H836" s="1"/>
    </row>
    <row r="837" spans="2:8" x14ac:dyDescent="0.25">
      <c r="B837" s="1"/>
      <c r="C837" s="1"/>
      <c r="D837" s="1"/>
      <c r="E837" s="1"/>
      <c r="F837" s="1"/>
      <c r="H837" s="1"/>
    </row>
    <row r="838" spans="2:8" x14ac:dyDescent="0.25">
      <c r="B838" s="1"/>
      <c r="C838" s="1"/>
      <c r="D838" s="1"/>
      <c r="E838" s="1"/>
      <c r="F838" s="1"/>
      <c r="H838" s="1"/>
    </row>
    <row r="839" spans="2:8" x14ac:dyDescent="0.25">
      <c r="B839" s="1"/>
      <c r="C839" s="1"/>
      <c r="D839" s="1"/>
      <c r="E839" s="1"/>
      <c r="F839" s="1"/>
      <c r="H839" s="1"/>
    </row>
    <row r="840" spans="2:8" x14ac:dyDescent="0.25">
      <c r="B840" s="1"/>
      <c r="C840" s="1"/>
      <c r="D840" s="1"/>
      <c r="E840" s="1"/>
      <c r="F840" s="1"/>
      <c r="H840" s="1"/>
    </row>
    <row r="841" spans="2:8" x14ac:dyDescent="0.25">
      <c r="B841" s="1"/>
      <c r="C841" s="1"/>
      <c r="D841" s="1"/>
      <c r="E841" s="1"/>
      <c r="F841" s="1"/>
      <c r="H841" s="1"/>
    </row>
    <row r="842" spans="2:8" x14ac:dyDescent="0.25">
      <c r="B842" s="1"/>
      <c r="C842" s="1"/>
      <c r="D842" s="1"/>
      <c r="E842" s="1"/>
      <c r="F842" s="1"/>
      <c r="H842" s="1"/>
    </row>
    <row r="843" spans="2:8" x14ac:dyDescent="0.25">
      <c r="B843" s="1"/>
      <c r="C843" s="1"/>
      <c r="D843" s="1"/>
      <c r="E843" s="1"/>
      <c r="F843" s="1"/>
      <c r="H843" s="1"/>
    </row>
    <row r="844" spans="2:8" x14ac:dyDescent="0.25">
      <c r="B844" s="1"/>
      <c r="C844" s="1"/>
      <c r="D844" s="1"/>
      <c r="E844" s="1"/>
      <c r="F844" s="1"/>
      <c r="H844" s="1"/>
    </row>
    <row r="845" spans="2:8" x14ac:dyDescent="0.25">
      <c r="B845" s="1"/>
      <c r="C845" s="1"/>
      <c r="D845" s="1"/>
      <c r="E845" s="1"/>
      <c r="F845" s="1"/>
      <c r="H845" s="1"/>
    </row>
    <row r="846" spans="2:8" x14ac:dyDescent="0.25">
      <c r="B846" s="1"/>
      <c r="C846" s="1"/>
      <c r="D846" s="1"/>
      <c r="E846" s="1"/>
      <c r="F846" s="1"/>
      <c r="H846" s="1"/>
    </row>
    <row r="847" spans="2:8" x14ac:dyDescent="0.25">
      <c r="B847" s="1"/>
      <c r="C847" s="1"/>
      <c r="D847" s="1"/>
      <c r="E847" s="1"/>
      <c r="F847" s="1"/>
      <c r="H847" s="1"/>
    </row>
    <row r="848" spans="2:8" x14ac:dyDescent="0.25">
      <c r="B848" s="1"/>
      <c r="C848" s="1"/>
      <c r="D848" s="1"/>
      <c r="E848" s="1"/>
      <c r="F848" s="1"/>
      <c r="H848" s="1"/>
    </row>
    <row r="849" spans="2:8" x14ac:dyDescent="0.25">
      <c r="B849" s="1"/>
      <c r="C849" s="1"/>
      <c r="D849" s="1"/>
      <c r="E849" s="1"/>
      <c r="F849" s="1"/>
      <c r="H849" s="1"/>
    </row>
    <row r="850" spans="2:8" x14ac:dyDescent="0.25">
      <c r="B850" s="1"/>
      <c r="C850" s="1"/>
      <c r="D850" s="1"/>
      <c r="E850" s="1"/>
      <c r="F850" s="1"/>
      <c r="H850" s="1"/>
    </row>
    <row r="851" spans="2:8" x14ac:dyDescent="0.25">
      <c r="B851" s="1"/>
      <c r="C851" s="1"/>
      <c r="D851" s="1"/>
      <c r="E851" s="1"/>
      <c r="F851" s="1"/>
      <c r="H851" s="1"/>
    </row>
    <row r="852" spans="2:8" x14ac:dyDescent="0.25">
      <c r="B852" s="1"/>
      <c r="C852" s="1"/>
      <c r="D852" s="1"/>
      <c r="E852" s="1"/>
      <c r="F852" s="1"/>
      <c r="H852" s="1"/>
    </row>
    <row r="853" spans="2:8" x14ac:dyDescent="0.25">
      <c r="B853" s="1"/>
      <c r="C853" s="1"/>
      <c r="D853" s="1"/>
      <c r="E853" s="1"/>
      <c r="F853" s="1"/>
      <c r="H853" s="1"/>
    </row>
    <row r="854" spans="2:8" x14ac:dyDescent="0.25">
      <c r="B854" s="1"/>
      <c r="C854" s="1"/>
      <c r="D854" s="1"/>
      <c r="E854" s="1"/>
      <c r="F854" s="1"/>
      <c r="H854" s="1"/>
    </row>
    <row r="855" spans="2:8" x14ac:dyDescent="0.25">
      <c r="B855" s="1"/>
      <c r="C855" s="1"/>
      <c r="D855" s="1"/>
      <c r="E855" s="1"/>
      <c r="F855" s="1"/>
      <c r="H855" s="1"/>
    </row>
    <row r="856" spans="2:8" x14ac:dyDescent="0.25">
      <c r="B856" s="1"/>
      <c r="C856" s="1"/>
      <c r="D856" s="1"/>
      <c r="E856" s="1"/>
      <c r="F856" s="1"/>
      <c r="H856" s="1"/>
    </row>
    <row r="857" spans="2:8" x14ac:dyDescent="0.25">
      <c r="B857" s="1"/>
      <c r="C857" s="1"/>
      <c r="D857" s="1"/>
      <c r="E857" s="1"/>
      <c r="F857" s="1"/>
      <c r="H857" s="1"/>
    </row>
    <row r="858" spans="2:8" x14ac:dyDescent="0.25">
      <c r="B858" s="1"/>
      <c r="C858" s="1"/>
      <c r="D858" s="1"/>
      <c r="E858" s="1"/>
      <c r="F858" s="1"/>
      <c r="H858" s="1"/>
    </row>
    <row r="859" spans="2:8" x14ac:dyDescent="0.25">
      <c r="B859" s="1"/>
      <c r="C859" s="1"/>
      <c r="D859" s="1"/>
      <c r="E859" s="1"/>
      <c r="F859" s="1"/>
      <c r="H859" s="1"/>
    </row>
    <row r="860" spans="2:8" x14ac:dyDescent="0.25">
      <c r="B860" s="1"/>
      <c r="C860" s="1"/>
      <c r="D860" s="1"/>
      <c r="E860" s="1"/>
      <c r="F860" s="1"/>
      <c r="H860" s="1"/>
    </row>
    <row r="861" spans="2:8" x14ac:dyDescent="0.25">
      <c r="B861" s="1"/>
      <c r="C861" s="1"/>
      <c r="D861" s="1"/>
      <c r="E861" s="1"/>
      <c r="F861" s="1"/>
      <c r="H861" s="1"/>
    </row>
    <row r="862" spans="2:8" x14ac:dyDescent="0.25">
      <c r="B862" s="1"/>
      <c r="C862" s="1"/>
      <c r="D862" s="1"/>
      <c r="E862" s="1"/>
      <c r="F862" s="1"/>
      <c r="H862" s="1"/>
    </row>
    <row r="863" spans="2:8" x14ac:dyDescent="0.25">
      <c r="B863" s="1"/>
      <c r="C863" s="1"/>
      <c r="D863" s="1"/>
      <c r="E863" s="1"/>
      <c r="F863" s="1"/>
      <c r="H863" s="1"/>
    </row>
    <row r="864" spans="2:8" x14ac:dyDescent="0.25">
      <c r="B864" s="1"/>
      <c r="C864" s="1"/>
      <c r="D864" s="1"/>
      <c r="E864" s="1"/>
      <c r="F864" s="1"/>
      <c r="H864" s="1"/>
    </row>
    <row r="865" spans="2:8" x14ac:dyDescent="0.25">
      <c r="B865" s="1"/>
      <c r="C865" s="1"/>
      <c r="D865" s="1"/>
      <c r="E865" s="1"/>
      <c r="F865" s="1"/>
      <c r="H865" s="1"/>
    </row>
    <row r="866" spans="2:8" x14ac:dyDescent="0.25">
      <c r="B866" s="1"/>
      <c r="C866" s="1"/>
      <c r="D866" s="1"/>
      <c r="E866" s="1"/>
      <c r="F866" s="1"/>
      <c r="H866" s="1"/>
    </row>
    <row r="867" spans="2:8" x14ac:dyDescent="0.25">
      <c r="B867" s="1"/>
      <c r="C867" s="1"/>
      <c r="D867" s="1"/>
      <c r="E867" s="1"/>
      <c r="F867" s="1"/>
      <c r="H867" s="1"/>
    </row>
    <row r="868" spans="2:8" x14ac:dyDescent="0.25">
      <c r="B868" s="1"/>
      <c r="C868" s="1"/>
      <c r="D868" s="1"/>
      <c r="E868" s="1"/>
      <c r="F868" s="1"/>
      <c r="H868" s="1"/>
    </row>
    <row r="869" spans="2:8" x14ac:dyDescent="0.25">
      <c r="B869" s="1"/>
      <c r="C869" s="1"/>
      <c r="D869" s="1"/>
      <c r="E869" s="1"/>
      <c r="F869" s="1"/>
      <c r="H869" s="1"/>
    </row>
    <row r="870" spans="2:8" x14ac:dyDescent="0.25">
      <c r="B870" s="1"/>
      <c r="C870" s="1"/>
      <c r="D870" s="1"/>
      <c r="E870" s="1"/>
      <c r="F870" s="1"/>
      <c r="H870" s="1"/>
    </row>
    <row r="871" spans="2:8" x14ac:dyDescent="0.25">
      <c r="B871" s="1"/>
      <c r="C871" s="1"/>
      <c r="D871" s="1"/>
      <c r="E871" s="1"/>
      <c r="F871" s="1"/>
      <c r="H871" s="1"/>
    </row>
    <row r="872" spans="2:8" x14ac:dyDescent="0.25">
      <c r="B872" s="1"/>
      <c r="C872" s="1"/>
      <c r="D872" s="1"/>
      <c r="E872" s="1"/>
      <c r="F872" s="1"/>
      <c r="H872" s="1"/>
    </row>
    <row r="873" spans="2:8" x14ac:dyDescent="0.25">
      <c r="B873" s="1"/>
      <c r="C873" s="1"/>
      <c r="D873" s="1"/>
      <c r="E873" s="1"/>
      <c r="F873" s="1"/>
      <c r="H873" s="1"/>
    </row>
    <row r="874" spans="2:8" x14ac:dyDescent="0.25">
      <c r="B874" s="1"/>
      <c r="C874" s="1"/>
      <c r="D874" s="1"/>
      <c r="E874" s="1"/>
      <c r="F874" s="1"/>
      <c r="H874" s="1"/>
    </row>
    <row r="875" spans="2:8" x14ac:dyDescent="0.25">
      <c r="B875" s="1"/>
      <c r="C875" s="1"/>
      <c r="D875" s="1"/>
      <c r="E875" s="1"/>
      <c r="F875" s="1"/>
      <c r="H875" s="1"/>
    </row>
    <row r="876" spans="2:8" x14ac:dyDescent="0.25">
      <c r="B876" s="1"/>
      <c r="C876" s="1"/>
      <c r="D876" s="1"/>
      <c r="E876" s="1"/>
      <c r="F876" s="1"/>
      <c r="H876" s="1"/>
    </row>
    <row r="877" spans="2:8" x14ac:dyDescent="0.25">
      <c r="B877" s="1"/>
      <c r="C877" s="1"/>
      <c r="D877" s="1"/>
      <c r="E877" s="1"/>
      <c r="F877" s="1"/>
      <c r="H877" s="1"/>
    </row>
    <row r="878" spans="2:8" x14ac:dyDescent="0.25">
      <c r="B878" s="1"/>
      <c r="C878" s="1"/>
      <c r="D878" s="1"/>
      <c r="E878" s="1"/>
      <c r="F878" s="1"/>
      <c r="H878" s="1"/>
    </row>
    <row r="879" spans="2:8" x14ac:dyDescent="0.25">
      <c r="B879" s="1"/>
      <c r="C879" s="1"/>
      <c r="D879" s="1"/>
      <c r="E879" s="1"/>
      <c r="F879" s="1"/>
      <c r="H879" s="1"/>
    </row>
    <row r="880" spans="2:8" x14ac:dyDescent="0.25">
      <c r="B880" s="1"/>
      <c r="C880" s="1"/>
      <c r="D880" s="1"/>
      <c r="E880" s="1"/>
      <c r="F880" s="1"/>
      <c r="H880" s="1"/>
    </row>
    <row r="881" spans="2:8" x14ac:dyDescent="0.25">
      <c r="B881" s="1"/>
      <c r="C881" s="1"/>
      <c r="D881" s="1"/>
      <c r="E881" s="1"/>
      <c r="F881" s="1"/>
      <c r="H881" s="1"/>
    </row>
    <row r="882" spans="2:8" x14ac:dyDescent="0.25">
      <c r="B882" s="1"/>
      <c r="C882" s="1"/>
      <c r="D882" s="1"/>
      <c r="E882" s="1"/>
      <c r="F882" s="1"/>
      <c r="H882" s="1"/>
    </row>
    <row r="883" spans="2:8" x14ac:dyDescent="0.25">
      <c r="B883" s="1"/>
      <c r="C883" s="1"/>
      <c r="D883" s="1"/>
      <c r="E883" s="1"/>
      <c r="F883" s="1"/>
      <c r="H883" s="1"/>
    </row>
    <row r="884" spans="2:8" x14ac:dyDescent="0.25">
      <c r="B884" s="1"/>
      <c r="C884" s="1"/>
      <c r="D884" s="1"/>
      <c r="E884" s="1"/>
      <c r="F884" s="1"/>
      <c r="H884" s="1"/>
    </row>
    <row r="885" spans="2:8" x14ac:dyDescent="0.25">
      <c r="B885" s="1"/>
      <c r="C885" s="1"/>
      <c r="D885" s="1"/>
      <c r="E885" s="1"/>
      <c r="F885" s="1"/>
      <c r="H885" s="1"/>
    </row>
    <row r="886" spans="2:8" x14ac:dyDescent="0.25">
      <c r="B886" s="1"/>
      <c r="C886" s="1"/>
      <c r="D886" s="1"/>
      <c r="E886" s="1"/>
      <c r="F886" s="1"/>
      <c r="H886" s="1"/>
    </row>
    <row r="887" spans="2:8" x14ac:dyDescent="0.25">
      <c r="B887" s="1"/>
      <c r="C887" s="1"/>
      <c r="D887" s="1"/>
      <c r="E887" s="1"/>
      <c r="F887" s="1"/>
      <c r="H887" s="1"/>
    </row>
    <row r="888" spans="2:8" x14ac:dyDescent="0.25">
      <c r="B888" s="1"/>
      <c r="C888" s="1"/>
      <c r="D888" s="1"/>
      <c r="E888" s="1"/>
      <c r="F888" s="1"/>
      <c r="H888" s="1"/>
    </row>
    <row r="889" spans="2:8" x14ac:dyDescent="0.25">
      <c r="B889" s="1"/>
      <c r="C889" s="1"/>
      <c r="D889" s="1"/>
      <c r="E889" s="1"/>
      <c r="F889" s="1"/>
      <c r="H889" s="1"/>
    </row>
    <row r="890" spans="2:8" x14ac:dyDescent="0.25">
      <c r="B890" s="1"/>
      <c r="C890" s="1"/>
      <c r="D890" s="1"/>
      <c r="E890" s="1"/>
      <c r="F890" s="1"/>
      <c r="H890" s="1"/>
    </row>
    <row r="891" spans="2:8" x14ac:dyDescent="0.25">
      <c r="B891" s="1"/>
      <c r="C891" s="1"/>
      <c r="D891" s="1"/>
      <c r="E891" s="1"/>
      <c r="F891" s="1"/>
      <c r="H891" s="1"/>
    </row>
    <row r="892" spans="2:8" x14ac:dyDescent="0.25">
      <c r="B892" s="1"/>
      <c r="C892" s="1"/>
      <c r="D892" s="1"/>
      <c r="E892" s="1"/>
      <c r="F892" s="1"/>
      <c r="H892" s="1"/>
    </row>
    <row r="893" spans="2:8" x14ac:dyDescent="0.25">
      <c r="B893" s="1"/>
      <c r="C893" s="1"/>
      <c r="D893" s="1"/>
      <c r="E893" s="1"/>
      <c r="F893" s="1"/>
      <c r="H893" s="1"/>
    </row>
    <row r="894" spans="2:8" x14ac:dyDescent="0.25">
      <c r="B894" s="1"/>
      <c r="C894" s="1"/>
      <c r="D894" s="1"/>
      <c r="E894" s="1"/>
      <c r="F894" s="1"/>
      <c r="H894" s="1"/>
    </row>
    <row r="895" spans="2:8" x14ac:dyDescent="0.25">
      <c r="B895" s="1"/>
      <c r="C895" s="1"/>
      <c r="D895" s="1"/>
      <c r="E895" s="1"/>
      <c r="F895" s="1"/>
      <c r="H895" s="1"/>
    </row>
    <row r="896" spans="2:8" x14ac:dyDescent="0.25">
      <c r="B896" s="1"/>
      <c r="C896" s="1"/>
      <c r="D896" s="1"/>
      <c r="E896" s="1"/>
      <c r="F896" s="1"/>
      <c r="H896" s="1"/>
    </row>
    <row r="897" spans="2:8" x14ac:dyDescent="0.25">
      <c r="B897" s="1"/>
      <c r="C897" s="1"/>
      <c r="D897" s="1"/>
      <c r="E897" s="1"/>
      <c r="F897" s="1"/>
      <c r="H897" s="1"/>
    </row>
    <row r="898" spans="2:8" x14ac:dyDescent="0.25">
      <c r="B898" s="1"/>
      <c r="C898" s="1"/>
      <c r="D898" s="1"/>
      <c r="E898" s="1"/>
      <c r="F898" s="1"/>
      <c r="H898" s="1"/>
    </row>
    <row r="899" spans="2:8" x14ac:dyDescent="0.25">
      <c r="B899" s="1"/>
      <c r="C899" s="1"/>
      <c r="D899" s="1"/>
      <c r="E899" s="1"/>
      <c r="F899" s="1"/>
      <c r="H899" s="1"/>
    </row>
    <row r="900" spans="2:8" x14ac:dyDescent="0.25">
      <c r="B900" s="1"/>
      <c r="C900" s="1"/>
      <c r="D900" s="1"/>
      <c r="E900" s="1"/>
      <c r="F900" s="1"/>
      <c r="H900" s="1"/>
    </row>
    <row r="901" spans="2:8" x14ac:dyDescent="0.25">
      <c r="B901" s="1"/>
      <c r="C901" s="1"/>
      <c r="D901" s="1"/>
      <c r="E901" s="1"/>
      <c r="F901" s="1"/>
      <c r="H901" s="1"/>
    </row>
    <row r="902" spans="2:8" x14ac:dyDescent="0.25">
      <c r="B902" s="1"/>
      <c r="C902" s="1"/>
      <c r="D902" s="1"/>
      <c r="E902" s="1"/>
      <c r="F902" s="1"/>
      <c r="H902" s="1"/>
    </row>
    <row r="903" spans="2:8" x14ac:dyDescent="0.25">
      <c r="B903" s="1"/>
      <c r="C903" s="1"/>
      <c r="D903" s="1"/>
      <c r="E903" s="1"/>
      <c r="F903" s="1"/>
      <c r="H903" s="1"/>
    </row>
    <row r="904" spans="2:8" x14ac:dyDescent="0.25">
      <c r="B904" s="1"/>
      <c r="C904" s="1"/>
      <c r="D904" s="1"/>
      <c r="E904" s="1"/>
      <c r="F904" s="1"/>
      <c r="H904" s="1"/>
    </row>
    <row r="905" spans="2:8" x14ac:dyDescent="0.25">
      <c r="B905" s="1"/>
      <c r="C905" s="1"/>
      <c r="D905" s="1"/>
      <c r="E905" s="1"/>
      <c r="F905" s="1"/>
      <c r="H905" s="1"/>
    </row>
    <row r="906" spans="2:8" x14ac:dyDescent="0.25">
      <c r="B906" s="1"/>
      <c r="C906" s="1"/>
      <c r="D906" s="1"/>
      <c r="E906" s="1"/>
      <c r="F906" s="1"/>
      <c r="H906" s="1"/>
    </row>
    <row r="907" spans="2:8" x14ac:dyDescent="0.25">
      <c r="B907" s="1"/>
      <c r="C907" s="1"/>
      <c r="D907" s="1"/>
      <c r="E907" s="1"/>
      <c r="F907" s="1"/>
      <c r="H907" s="1"/>
    </row>
    <row r="908" spans="2:8" x14ac:dyDescent="0.25">
      <c r="B908" s="1"/>
      <c r="C908" s="1"/>
      <c r="D908" s="1"/>
      <c r="E908" s="1"/>
      <c r="F908" s="1"/>
      <c r="H908" s="1"/>
    </row>
    <row r="909" spans="2:8" x14ac:dyDescent="0.25">
      <c r="B909" s="1"/>
      <c r="C909" s="1"/>
      <c r="D909" s="1"/>
      <c r="E909" s="1"/>
      <c r="F909" s="1"/>
      <c r="H909" s="1"/>
    </row>
    <row r="910" spans="2:8" x14ac:dyDescent="0.25">
      <c r="B910" s="1"/>
      <c r="C910" s="1"/>
      <c r="D910" s="1"/>
      <c r="E910" s="1"/>
      <c r="F910" s="1"/>
      <c r="H910" s="1"/>
    </row>
    <row r="911" spans="2:8" x14ac:dyDescent="0.25">
      <c r="B911" s="1"/>
      <c r="C911" s="1"/>
      <c r="D911" s="1"/>
      <c r="E911" s="1"/>
      <c r="F911" s="1"/>
      <c r="H911" s="1"/>
    </row>
    <row r="912" spans="2:8" x14ac:dyDescent="0.25">
      <c r="B912" s="1"/>
      <c r="C912" s="1"/>
      <c r="D912" s="1"/>
      <c r="E912" s="1"/>
      <c r="F912" s="1"/>
      <c r="H912" s="1"/>
    </row>
    <row r="913" spans="2:8" x14ac:dyDescent="0.25">
      <c r="B913" s="1"/>
      <c r="C913" s="1"/>
      <c r="D913" s="1"/>
      <c r="E913" s="1"/>
      <c r="F913" s="1"/>
      <c r="H913" s="1"/>
    </row>
    <row r="914" spans="2:8" x14ac:dyDescent="0.25">
      <c r="B914" s="1"/>
      <c r="C914" s="1"/>
      <c r="D914" s="1"/>
      <c r="E914" s="1"/>
      <c r="F914" s="1"/>
      <c r="H914" s="1"/>
    </row>
    <row r="915" spans="2:8" x14ac:dyDescent="0.25">
      <c r="B915" s="1"/>
      <c r="C915" s="1"/>
      <c r="D915" s="1"/>
      <c r="E915" s="1"/>
      <c r="F915" s="1"/>
      <c r="H915" s="1"/>
    </row>
    <row r="916" spans="2:8" x14ac:dyDescent="0.25">
      <c r="B916" s="1"/>
      <c r="C916" s="1"/>
      <c r="D916" s="1"/>
      <c r="E916" s="1"/>
      <c r="F916" s="1"/>
      <c r="H916" s="1"/>
    </row>
    <row r="917" spans="2:8" x14ac:dyDescent="0.25">
      <c r="B917" s="1"/>
      <c r="C917" s="1"/>
      <c r="D917" s="1"/>
      <c r="E917" s="1"/>
      <c r="F917" s="1"/>
      <c r="H917" s="1"/>
    </row>
    <row r="918" spans="2:8" x14ac:dyDescent="0.25">
      <c r="B918" s="1"/>
      <c r="C918" s="1"/>
      <c r="D918" s="1"/>
      <c r="E918" s="1"/>
      <c r="F918" s="1"/>
      <c r="H918" s="1"/>
    </row>
    <row r="919" spans="2:8" x14ac:dyDescent="0.25">
      <c r="B919" s="1"/>
      <c r="C919" s="1"/>
      <c r="D919" s="1"/>
      <c r="E919" s="1"/>
      <c r="F919" s="1"/>
      <c r="H919" s="1"/>
    </row>
    <row r="920" spans="2:8" x14ac:dyDescent="0.25">
      <c r="B920" s="1"/>
      <c r="C920" s="1"/>
      <c r="D920" s="1"/>
      <c r="E920" s="1"/>
      <c r="F920" s="1"/>
      <c r="H920" s="1"/>
    </row>
    <row r="921" spans="2:8" x14ac:dyDescent="0.25">
      <c r="B921" s="1"/>
      <c r="C921" s="1"/>
      <c r="D921" s="1"/>
      <c r="E921" s="1"/>
      <c r="F921" s="1"/>
      <c r="H921" s="1"/>
    </row>
    <row r="922" spans="2:8" x14ac:dyDescent="0.25">
      <c r="B922" s="1"/>
      <c r="C922" s="1"/>
      <c r="D922" s="1"/>
      <c r="E922" s="1"/>
      <c r="F922" s="1"/>
      <c r="H922" s="1"/>
    </row>
    <row r="923" spans="2:8" x14ac:dyDescent="0.25">
      <c r="B923" s="1"/>
      <c r="C923" s="1"/>
      <c r="D923" s="1"/>
      <c r="E923" s="1"/>
      <c r="F923" s="1"/>
      <c r="H923" s="1"/>
    </row>
    <row r="924" spans="2:8" x14ac:dyDescent="0.25">
      <c r="B924" s="1"/>
      <c r="C924" s="1"/>
      <c r="D924" s="1"/>
      <c r="E924" s="1"/>
      <c r="F924" s="1"/>
      <c r="H924" s="1"/>
    </row>
    <row r="925" spans="2:8" x14ac:dyDescent="0.25">
      <c r="B925" s="1"/>
      <c r="C925" s="1"/>
      <c r="D925" s="1"/>
      <c r="E925" s="1"/>
      <c r="F925" s="1"/>
      <c r="H925" s="1"/>
    </row>
    <row r="926" spans="2:8" x14ac:dyDescent="0.25">
      <c r="B926" s="1"/>
      <c r="C926" s="1"/>
      <c r="D926" s="1"/>
      <c r="E926" s="1"/>
      <c r="F926" s="1"/>
      <c r="H926" s="1"/>
    </row>
    <row r="927" spans="2:8" x14ac:dyDescent="0.25">
      <c r="B927" s="1"/>
      <c r="C927" s="1"/>
      <c r="D927" s="1"/>
      <c r="E927" s="1"/>
      <c r="F927" s="1"/>
      <c r="H927" s="1"/>
    </row>
    <row r="928" spans="2:8" x14ac:dyDescent="0.25">
      <c r="B928" s="1"/>
      <c r="C928" s="1"/>
      <c r="D928" s="1"/>
      <c r="E928" s="1"/>
      <c r="F928" s="1"/>
      <c r="H928" s="1"/>
    </row>
    <row r="929" spans="2:8" x14ac:dyDescent="0.25">
      <c r="B929" s="1"/>
      <c r="C929" s="1"/>
      <c r="D929" s="1"/>
      <c r="E929" s="1"/>
      <c r="F929" s="1"/>
      <c r="H929" s="1"/>
    </row>
    <row r="930" spans="2:8" x14ac:dyDescent="0.25">
      <c r="B930" s="1"/>
      <c r="C930" s="1"/>
      <c r="D930" s="1"/>
      <c r="E930" s="1"/>
      <c r="F930" s="1"/>
      <c r="H930" s="1"/>
    </row>
    <row r="931" spans="2:8" x14ac:dyDescent="0.25">
      <c r="B931" s="1"/>
      <c r="C931" s="1"/>
      <c r="D931" s="1"/>
      <c r="E931" s="1"/>
      <c r="F931" s="1"/>
      <c r="H931" s="1"/>
    </row>
    <row r="932" spans="2:8" x14ac:dyDescent="0.25">
      <c r="B932" s="1"/>
      <c r="C932" s="1"/>
      <c r="D932" s="1"/>
      <c r="E932" s="1"/>
      <c r="F932" s="1"/>
      <c r="H932" s="1"/>
    </row>
    <row r="933" spans="2:8" x14ac:dyDescent="0.25">
      <c r="B933" s="1"/>
      <c r="C933" s="1"/>
      <c r="D933" s="1"/>
      <c r="E933" s="1"/>
      <c r="F933" s="1"/>
      <c r="H933" s="1"/>
    </row>
    <row r="934" spans="2:8" x14ac:dyDescent="0.25">
      <c r="B934" s="1"/>
      <c r="C934" s="1"/>
      <c r="D934" s="1"/>
      <c r="E934" s="1"/>
      <c r="F934" s="1"/>
      <c r="H934" s="1"/>
    </row>
    <row r="935" spans="2:8" x14ac:dyDescent="0.25">
      <c r="B935" s="1"/>
      <c r="C935" s="1"/>
      <c r="D935" s="1"/>
      <c r="E935" s="1"/>
      <c r="F935" s="1"/>
      <c r="H935" s="1"/>
    </row>
    <row r="936" spans="2:8" x14ac:dyDescent="0.25">
      <c r="B936" s="1"/>
      <c r="C936" s="1"/>
      <c r="D936" s="1"/>
      <c r="E936" s="1"/>
      <c r="F936" s="1"/>
      <c r="H936" s="1"/>
    </row>
    <row r="937" spans="2:8" x14ac:dyDescent="0.25">
      <c r="B937" s="1"/>
      <c r="C937" s="1"/>
      <c r="D937" s="1"/>
      <c r="E937" s="1"/>
      <c r="F937" s="1"/>
      <c r="H937" s="1"/>
    </row>
    <row r="938" spans="2:8" x14ac:dyDescent="0.25">
      <c r="B938" s="1"/>
      <c r="C938" s="1"/>
      <c r="D938" s="1"/>
      <c r="E938" s="1"/>
      <c r="F938" s="1"/>
      <c r="H938" s="1"/>
    </row>
    <row r="939" spans="2:8" x14ac:dyDescent="0.25">
      <c r="B939" s="1"/>
      <c r="C939" s="1"/>
      <c r="D939" s="1"/>
      <c r="E939" s="1"/>
      <c r="F939" s="1"/>
      <c r="H939" s="1"/>
    </row>
    <row r="940" spans="2:8" x14ac:dyDescent="0.25">
      <c r="B940" s="1"/>
      <c r="C940" s="1"/>
      <c r="D940" s="1"/>
      <c r="E940" s="1"/>
      <c r="F940" s="1"/>
      <c r="H940" s="1"/>
    </row>
    <row r="941" spans="2:8" x14ac:dyDescent="0.25">
      <c r="B941" s="1"/>
      <c r="C941" s="1"/>
      <c r="D941" s="1"/>
      <c r="E941" s="1"/>
      <c r="F941" s="1"/>
      <c r="H941" s="1"/>
    </row>
    <row r="942" spans="2:8" x14ac:dyDescent="0.25">
      <c r="B942" s="1"/>
      <c r="C942" s="1"/>
      <c r="D942" s="1"/>
      <c r="E942" s="1"/>
      <c r="F942" s="1"/>
      <c r="H942" s="1"/>
    </row>
    <row r="943" spans="2:8" x14ac:dyDescent="0.25">
      <c r="B943" s="1"/>
      <c r="C943" s="1"/>
      <c r="D943" s="1"/>
      <c r="E943" s="1"/>
      <c r="F943" s="1"/>
      <c r="H943" s="1"/>
    </row>
    <row r="944" spans="2:8" x14ac:dyDescent="0.25">
      <c r="B944" s="1"/>
      <c r="C944" s="1"/>
      <c r="D944" s="1"/>
      <c r="E944" s="1"/>
      <c r="F944" s="1"/>
      <c r="H944" s="1"/>
    </row>
    <row r="945" spans="2:8" x14ac:dyDescent="0.25">
      <c r="B945" s="1"/>
      <c r="C945" s="1"/>
      <c r="D945" s="1"/>
      <c r="E945" s="1"/>
      <c r="F945" s="1"/>
      <c r="H945" s="1"/>
    </row>
    <row r="946" spans="2:8" x14ac:dyDescent="0.25">
      <c r="B946" s="1"/>
      <c r="C946" s="1"/>
      <c r="D946" s="1"/>
      <c r="E946" s="1"/>
      <c r="F946" s="1"/>
      <c r="H946" s="1"/>
    </row>
    <row r="947" spans="2:8" x14ac:dyDescent="0.25">
      <c r="B947" s="1"/>
      <c r="C947" s="1"/>
      <c r="D947" s="1"/>
      <c r="E947" s="1"/>
      <c r="F947" s="1"/>
      <c r="H947" s="1"/>
    </row>
    <row r="948" spans="2:8" x14ac:dyDescent="0.25">
      <c r="B948" s="1"/>
      <c r="C948" s="1"/>
      <c r="D948" s="1"/>
      <c r="E948" s="1"/>
      <c r="F948" s="1"/>
      <c r="H948" s="1"/>
    </row>
    <row r="949" spans="2:8" x14ac:dyDescent="0.25">
      <c r="B949" s="1"/>
      <c r="C949" s="1"/>
      <c r="D949" s="1"/>
      <c r="E949" s="1"/>
      <c r="F949" s="1"/>
      <c r="H949" s="1"/>
    </row>
    <row r="950" spans="2:8" x14ac:dyDescent="0.25">
      <c r="B950" s="1"/>
      <c r="C950" s="1"/>
      <c r="D950" s="1"/>
      <c r="E950" s="1"/>
      <c r="F950" s="1"/>
      <c r="H950" s="1"/>
    </row>
    <row r="951" spans="2:8" x14ac:dyDescent="0.25">
      <c r="B951" s="1"/>
      <c r="C951" s="1"/>
      <c r="D951" s="1"/>
      <c r="E951" s="1"/>
      <c r="F951" s="1"/>
      <c r="H951" s="1"/>
    </row>
    <row r="952" spans="2:8" x14ac:dyDescent="0.25">
      <c r="B952" s="1"/>
      <c r="C952" s="1"/>
      <c r="D952" s="1"/>
      <c r="E952" s="1"/>
      <c r="F952" s="1"/>
      <c r="H952" s="1"/>
    </row>
    <row r="953" spans="2:8" x14ac:dyDescent="0.25">
      <c r="B953" s="1"/>
      <c r="C953" s="1"/>
      <c r="D953" s="1"/>
      <c r="E953" s="1"/>
      <c r="F953" s="1"/>
      <c r="H953" s="1"/>
    </row>
    <row r="954" spans="2:8" x14ac:dyDescent="0.25">
      <c r="B954" s="1"/>
      <c r="C954" s="1"/>
      <c r="D954" s="1"/>
      <c r="E954" s="1"/>
      <c r="F954" s="1"/>
      <c r="H954" s="1"/>
    </row>
    <row r="955" spans="2:8" x14ac:dyDescent="0.25">
      <c r="B955" s="1"/>
      <c r="C955" s="1"/>
      <c r="D955" s="1"/>
      <c r="E955" s="1"/>
      <c r="F955" s="1"/>
      <c r="H955" s="1"/>
    </row>
    <row r="956" spans="2:8" x14ac:dyDescent="0.25">
      <c r="B956" s="1"/>
      <c r="C956" s="1"/>
      <c r="D956" s="1"/>
      <c r="E956" s="1"/>
      <c r="F956" s="1"/>
      <c r="H956" s="1"/>
    </row>
    <row r="957" spans="2:8" x14ac:dyDescent="0.25">
      <c r="B957" s="1"/>
      <c r="C957" s="1"/>
      <c r="D957" s="1"/>
      <c r="E957" s="1"/>
      <c r="F957" s="1"/>
      <c r="H957" s="1"/>
    </row>
    <row r="958" spans="2:8" x14ac:dyDescent="0.25">
      <c r="B958" s="1"/>
      <c r="C958" s="1"/>
      <c r="D958" s="1"/>
      <c r="E958" s="1"/>
      <c r="F958" s="1"/>
      <c r="H958" s="1"/>
    </row>
    <row r="959" spans="2:8" x14ac:dyDescent="0.25">
      <c r="B959" s="1"/>
      <c r="C959" s="1"/>
      <c r="D959" s="1"/>
      <c r="E959" s="1"/>
      <c r="F959" s="1"/>
      <c r="H959" s="1"/>
    </row>
    <row r="960" spans="2:8" x14ac:dyDescent="0.25">
      <c r="B960" s="1"/>
      <c r="C960" s="1"/>
      <c r="D960" s="1"/>
      <c r="E960" s="1"/>
      <c r="F960" s="1"/>
      <c r="H960" s="1"/>
    </row>
    <row r="961" spans="2:8" x14ac:dyDescent="0.25">
      <c r="B961" s="1"/>
      <c r="C961" s="1"/>
      <c r="D961" s="1"/>
      <c r="E961" s="1"/>
      <c r="F961" s="1"/>
      <c r="H961" s="1"/>
    </row>
    <row r="962" spans="2:8" x14ac:dyDescent="0.25">
      <c r="B962" s="1"/>
      <c r="C962" s="1"/>
      <c r="D962" s="1"/>
      <c r="E962" s="1"/>
      <c r="F962" s="1"/>
      <c r="H962" s="1"/>
    </row>
    <row r="963" spans="2:8" x14ac:dyDescent="0.25">
      <c r="B963" s="1"/>
      <c r="C963" s="1"/>
      <c r="D963" s="1"/>
      <c r="E963" s="1"/>
      <c r="F963" s="1"/>
      <c r="H963" s="1"/>
    </row>
    <row r="964" spans="2:8" x14ac:dyDescent="0.25">
      <c r="B964" s="1"/>
      <c r="C964" s="1"/>
      <c r="D964" s="1"/>
      <c r="E964" s="1"/>
      <c r="F964" s="1"/>
      <c r="H964" s="1"/>
    </row>
    <row r="965" spans="2:8" x14ac:dyDescent="0.25">
      <c r="B965" s="1"/>
      <c r="C965" s="1"/>
      <c r="D965" s="1"/>
      <c r="E965" s="1"/>
      <c r="F965" s="1"/>
      <c r="H965" s="1"/>
    </row>
    <row r="966" spans="2:8" x14ac:dyDescent="0.25">
      <c r="B966" s="1"/>
      <c r="C966" s="1"/>
      <c r="D966" s="1"/>
      <c r="E966" s="1"/>
      <c r="F966" s="1"/>
      <c r="H966" s="1"/>
    </row>
    <row r="967" spans="2:8" x14ac:dyDescent="0.25">
      <c r="B967" s="1"/>
      <c r="C967" s="1"/>
      <c r="D967" s="1"/>
      <c r="E967" s="1"/>
      <c r="F967" s="1"/>
      <c r="H967" s="1"/>
    </row>
    <row r="968" spans="2:8" x14ac:dyDescent="0.25">
      <c r="B968" s="1"/>
      <c r="C968" s="1"/>
      <c r="D968" s="1"/>
      <c r="E968" s="1"/>
      <c r="F968" s="1"/>
      <c r="H968" s="1"/>
    </row>
    <row r="969" spans="2:8" x14ac:dyDescent="0.25">
      <c r="B969" s="1"/>
      <c r="C969" s="1"/>
      <c r="D969" s="1"/>
      <c r="E969" s="1"/>
      <c r="F969" s="1"/>
      <c r="H969" s="1"/>
    </row>
    <row r="970" spans="2:8" x14ac:dyDescent="0.25">
      <c r="B970" s="1"/>
      <c r="C970" s="1"/>
      <c r="D970" s="1"/>
      <c r="E970" s="1"/>
      <c r="F970" s="1"/>
      <c r="H970" s="1"/>
    </row>
    <row r="971" spans="2:8" x14ac:dyDescent="0.25">
      <c r="B971" s="1"/>
      <c r="C971" s="1"/>
      <c r="D971" s="1"/>
      <c r="E971" s="1"/>
      <c r="F971" s="1"/>
      <c r="H971" s="1"/>
    </row>
    <row r="972" spans="2:8" x14ac:dyDescent="0.25">
      <c r="B972" s="1"/>
      <c r="C972" s="1"/>
      <c r="D972" s="1"/>
      <c r="E972" s="1"/>
      <c r="F972" s="1"/>
      <c r="H972" s="1"/>
    </row>
    <row r="973" spans="2:8" x14ac:dyDescent="0.25">
      <c r="B973" s="1"/>
      <c r="C973" s="1"/>
      <c r="D973" s="1"/>
      <c r="E973" s="1"/>
      <c r="F973" s="1"/>
      <c r="H973" s="1"/>
    </row>
    <row r="974" spans="2:8" x14ac:dyDescent="0.25">
      <c r="B974" s="1"/>
      <c r="C974" s="1"/>
      <c r="D974" s="1"/>
      <c r="E974" s="1"/>
      <c r="F974" s="1"/>
      <c r="H974" s="1"/>
    </row>
    <row r="975" spans="2:8" x14ac:dyDescent="0.25">
      <c r="B975" s="1"/>
      <c r="C975" s="1"/>
      <c r="D975" s="1"/>
      <c r="E975" s="1"/>
      <c r="F975" s="1"/>
      <c r="H975" s="1"/>
    </row>
    <row r="976" spans="2:8" x14ac:dyDescent="0.25">
      <c r="B976" s="1"/>
      <c r="C976" s="1"/>
      <c r="D976" s="1"/>
      <c r="E976" s="1"/>
      <c r="F976" s="1"/>
      <c r="H976" s="1"/>
    </row>
    <row r="977" spans="2:8" x14ac:dyDescent="0.25">
      <c r="B977" s="1"/>
      <c r="C977" s="1"/>
      <c r="D977" s="1"/>
      <c r="E977" s="1"/>
      <c r="F977" s="1"/>
      <c r="H977" s="1"/>
    </row>
    <row r="978" spans="2:8" x14ac:dyDescent="0.25">
      <c r="B978" s="1"/>
      <c r="C978" s="1"/>
      <c r="D978" s="1"/>
      <c r="E978" s="1"/>
      <c r="F978" s="1"/>
      <c r="H978" s="1"/>
    </row>
    <row r="979" spans="2:8" x14ac:dyDescent="0.25">
      <c r="B979" s="1"/>
      <c r="C979" s="1"/>
      <c r="D979" s="1"/>
      <c r="E979" s="1"/>
      <c r="F979" s="1"/>
      <c r="H979" s="1"/>
    </row>
    <row r="980" spans="2:8" x14ac:dyDescent="0.25">
      <c r="B980" s="1"/>
      <c r="C980" s="1"/>
      <c r="D980" s="1"/>
      <c r="E980" s="1"/>
      <c r="F980" s="1"/>
      <c r="H980" s="1"/>
    </row>
    <row r="981" spans="2:8" x14ac:dyDescent="0.25">
      <c r="B981" s="1"/>
      <c r="C981" s="1"/>
      <c r="D981" s="1"/>
      <c r="E981" s="1"/>
      <c r="F981" s="1"/>
      <c r="H981" s="1"/>
    </row>
    <row r="982" spans="2:8" x14ac:dyDescent="0.25">
      <c r="B982" s="1"/>
      <c r="C982" s="1"/>
      <c r="D982" s="1"/>
      <c r="E982" s="1"/>
      <c r="F982" s="1"/>
      <c r="H982" s="1"/>
    </row>
    <row r="983" spans="2:8" x14ac:dyDescent="0.25">
      <c r="B983" s="1"/>
      <c r="C983" s="1"/>
      <c r="D983" s="1"/>
      <c r="E983" s="1"/>
      <c r="F983" s="1"/>
      <c r="H983" s="1"/>
    </row>
    <row r="984" spans="2:8" x14ac:dyDescent="0.25">
      <c r="B984" s="1"/>
      <c r="C984" s="1"/>
      <c r="D984" s="1"/>
      <c r="E984" s="1"/>
      <c r="F984" s="1"/>
      <c r="H984" s="1"/>
    </row>
    <row r="985" spans="2:8" x14ac:dyDescent="0.25">
      <c r="B985" s="1"/>
      <c r="C985" s="1"/>
      <c r="D985" s="1"/>
      <c r="E985" s="1"/>
      <c r="F985" s="1"/>
      <c r="H985" s="1"/>
    </row>
    <row r="986" spans="2:8" x14ac:dyDescent="0.25">
      <c r="B986" s="1"/>
      <c r="C986" s="1"/>
      <c r="D986" s="1"/>
      <c r="E986" s="1"/>
      <c r="F986" s="1"/>
      <c r="H986" s="1"/>
    </row>
    <row r="987" spans="2:8" x14ac:dyDescent="0.25">
      <c r="B987" s="1"/>
      <c r="C987" s="1"/>
      <c r="D987" s="1"/>
      <c r="E987" s="1"/>
      <c r="F987" s="1"/>
      <c r="H987" s="1"/>
    </row>
    <row r="988" spans="2:8" x14ac:dyDescent="0.25">
      <c r="B988" s="1"/>
      <c r="C988" s="1"/>
      <c r="D988" s="1"/>
      <c r="E988" s="1"/>
      <c r="F988" s="1"/>
      <c r="H988" s="1"/>
    </row>
    <row r="989" spans="2:8" x14ac:dyDescent="0.25">
      <c r="B989" s="1"/>
      <c r="C989" s="1"/>
      <c r="D989" s="1"/>
      <c r="E989" s="1"/>
      <c r="F989" s="1"/>
      <c r="H989" s="1"/>
    </row>
    <row r="990" spans="2:8" x14ac:dyDescent="0.25">
      <c r="B990" s="1"/>
      <c r="C990" s="1"/>
      <c r="D990" s="1"/>
      <c r="E990" s="1"/>
      <c r="F990" s="1"/>
      <c r="H990" s="1"/>
    </row>
    <row r="991" spans="2:8" x14ac:dyDescent="0.25">
      <c r="B991" s="1"/>
      <c r="C991" s="1"/>
      <c r="D991" s="1"/>
      <c r="E991" s="1"/>
      <c r="F991" s="1"/>
      <c r="H991" s="1"/>
    </row>
    <row r="992" spans="2:8" x14ac:dyDescent="0.25">
      <c r="B992" s="1"/>
      <c r="C992" s="1"/>
      <c r="D992" s="1"/>
      <c r="E992" s="1"/>
      <c r="F992" s="1"/>
      <c r="H992" s="1"/>
    </row>
    <row r="993" spans="2:8" x14ac:dyDescent="0.25">
      <c r="B993" s="1"/>
      <c r="C993" s="1"/>
      <c r="D993" s="1"/>
      <c r="E993" s="1"/>
      <c r="F993" s="1"/>
      <c r="H993" s="1"/>
    </row>
    <row r="994" spans="2:8" x14ac:dyDescent="0.25">
      <c r="B994" s="1"/>
      <c r="C994" s="1"/>
      <c r="D994" s="1"/>
      <c r="E994" s="1"/>
      <c r="F994" s="1"/>
      <c r="H994" s="1"/>
    </row>
    <row r="995" spans="2:8" x14ac:dyDescent="0.25">
      <c r="B995" s="1"/>
      <c r="C995" s="1"/>
      <c r="D995" s="1"/>
      <c r="E995" s="1"/>
      <c r="F995" s="1"/>
      <c r="H995" s="1"/>
    </row>
    <row r="996" spans="2:8" x14ac:dyDescent="0.25">
      <c r="B996" s="1"/>
      <c r="C996" s="1"/>
      <c r="D996" s="1"/>
      <c r="E996" s="1"/>
      <c r="F996" s="1"/>
      <c r="H996" s="1"/>
    </row>
    <row r="997" spans="2:8" x14ac:dyDescent="0.25">
      <c r="B997" s="1"/>
      <c r="C997" s="1"/>
      <c r="D997" s="1"/>
      <c r="E997" s="1"/>
      <c r="F997" s="1"/>
      <c r="H997" s="1"/>
    </row>
    <row r="998" spans="2:8" x14ac:dyDescent="0.25">
      <c r="B998" s="1"/>
      <c r="C998" s="1"/>
      <c r="D998" s="1"/>
      <c r="E998" s="1"/>
      <c r="F998" s="1"/>
      <c r="H998" s="1"/>
    </row>
    <row r="999" spans="2:8" x14ac:dyDescent="0.25">
      <c r="B999" s="1"/>
      <c r="C999" s="1"/>
      <c r="D999" s="1"/>
      <c r="E999" s="1"/>
      <c r="F999" s="1"/>
      <c r="H999" s="1"/>
    </row>
    <row r="1000" spans="2:8" x14ac:dyDescent="0.25">
      <c r="B1000" s="1"/>
      <c r="C1000" s="1"/>
      <c r="D1000" s="1"/>
      <c r="E1000" s="1"/>
      <c r="F1000" s="1"/>
      <c r="H1000" s="1"/>
    </row>
    <row r="1001" spans="2:8" x14ac:dyDescent="0.25">
      <c r="B1001" s="1"/>
      <c r="C1001" s="1"/>
      <c r="D1001" s="1"/>
      <c r="E1001" s="1"/>
      <c r="F1001" s="1"/>
      <c r="H1001" s="1"/>
    </row>
    <row r="1002" spans="2:8" x14ac:dyDescent="0.25">
      <c r="B1002" s="1"/>
      <c r="C1002" s="1"/>
      <c r="D1002" s="1"/>
      <c r="E1002" s="1"/>
      <c r="F1002" s="1"/>
      <c r="H1002" s="1"/>
    </row>
    <row r="1003" spans="2:8" x14ac:dyDescent="0.25">
      <c r="B1003" s="1"/>
      <c r="C1003" s="1"/>
      <c r="D1003" s="1"/>
      <c r="E1003" s="1"/>
      <c r="F1003" s="1"/>
      <c r="H1003" s="1"/>
    </row>
    <row r="1004" spans="2:8" x14ac:dyDescent="0.25">
      <c r="B1004" s="1"/>
      <c r="C1004" s="1"/>
      <c r="D1004" s="1"/>
      <c r="E1004" s="1"/>
      <c r="F1004" s="1"/>
      <c r="H1004" s="1"/>
    </row>
    <row r="1005" spans="2:8" x14ac:dyDescent="0.25">
      <c r="B1005" s="1"/>
      <c r="C1005" s="1"/>
      <c r="D1005" s="1"/>
      <c r="E1005" s="1"/>
      <c r="F1005" s="1"/>
      <c r="H1005" s="1"/>
    </row>
    <row r="1006" spans="2:8" x14ac:dyDescent="0.25">
      <c r="B1006" s="1"/>
      <c r="C1006" s="1"/>
      <c r="D1006" s="1"/>
      <c r="E1006" s="1"/>
      <c r="F1006" s="1"/>
      <c r="H1006" s="1"/>
    </row>
    <row r="1007" spans="2:8" x14ac:dyDescent="0.25">
      <c r="B1007" s="1"/>
      <c r="C1007" s="1"/>
      <c r="D1007" s="1"/>
      <c r="E1007" s="1"/>
      <c r="F1007" s="1"/>
      <c r="H1007" s="1"/>
    </row>
    <row r="1008" spans="2:8" x14ac:dyDescent="0.25">
      <c r="B1008" s="1"/>
      <c r="C1008" s="1"/>
      <c r="D1008" s="1"/>
      <c r="E1008" s="1"/>
      <c r="F1008" s="1"/>
      <c r="H1008" s="1"/>
    </row>
    <row r="1009" spans="2:8" x14ac:dyDescent="0.25">
      <c r="B1009" s="1"/>
      <c r="C1009" s="1"/>
      <c r="D1009" s="1"/>
      <c r="E1009" s="1"/>
      <c r="F1009" s="1"/>
      <c r="H1009" s="1"/>
    </row>
    <row r="1010" spans="2:8" x14ac:dyDescent="0.25">
      <c r="B1010" s="1"/>
      <c r="C1010" s="1"/>
      <c r="D1010" s="1"/>
      <c r="E1010" s="1"/>
      <c r="F1010" s="1"/>
      <c r="H1010" s="1"/>
    </row>
    <row r="1011" spans="2:8" x14ac:dyDescent="0.25">
      <c r="B1011" s="1"/>
      <c r="C1011" s="1"/>
      <c r="D1011" s="1"/>
      <c r="E1011" s="1"/>
      <c r="F1011" s="1"/>
      <c r="H1011" s="1"/>
    </row>
    <row r="1012" spans="2:8" x14ac:dyDescent="0.25">
      <c r="B1012" s="1"/>
      <c r="C1012" s="1"/>
      <c r="D1012" s="1"/>
      <c r="E1012" s="1"/>
      <c r="F1012" s="1"/>
      <c r="H1012" s="1"/>
    </row>
    <row r="1013" spans="2:8" x14ac:dyDescent="0.25">
      <c r="B1013" s="1"/>
      <c r="C1013" s="1"/>
      <c r="D1013" s="1"/>
      <c r="E1013" s="1"/>
      <c r="F1013" s="1"/>
      <c r="H1013" s="1"/>
    </row>
    <row r="1014" spans="2:8" x14ac:dyDescent="0.25">
      <c r="B1014" s="1"/>
      <c r="C1014" s="1"/>
      <c r="D1014" s="1"/>
      <c r="E1014" s="1"/>
      <c r="F1014" s="1"/>
      <c r="H1014" s="1"/>
    </row>
    <row r="1015" spans="2:8" x14ac:dyDescent="0.25">
      <c r="B1015" s="1"/>
      <c r="C1015" s="1"/>
      <c r="D1015" s="1"/>
      <c r="E1015" s="1"/>
      <c r="F1015" s="1"/>
      <c r="H1015" s="1"/>
    </row>
    <row r="1016" spans="2:8" x14ac:dyDescent="0.25">
      <c r="B1016" s="1"/>
      <c r="C1016" s="1"/>
      <c r="D1016" s="1"/>
      <c r="E1016" s="1"/>
      <c r="F1016" s="1"/>
      <c r="H1016" s="1"/>
    </row>
    <row r="1017" spans="2:8" x14ac:dyDescent="0.25">
      <c r="B1017" s="1"/>
      <c r="C1017" s="1"/>
      <c r="D1017" s="1"/>
      <c r="E1017" s="1"/>
      <c r="F1017" s="1"/>
      <c r="H1017" s="1"/>
    </row>
    <row r="1018" spans="2:8" x14ac:dyDescent="0.25">
      <c r="B1018" s="1"/>
      <c r="C1018" s="1"/>
      <c r="D1018" s="1"/>
      <c r="E1018" s="1"/>
      <c r="F1018" s="1"/>
      <c r="H1018" s="1"/>
    </row>
    <row r="1019" spans="2:8" x14ac:dyDescent="0.25">
      <c r="B1019" s="1"/>
      <c r="C1019" s="1"/>
      <c r="D1019" s="1"/>
      <c r="E1019" s="1"/>
      <c r="F1019" s="1"/>
      <c r="H1019" s="1"/>
    </row>
    <row r="1020" spans="2:8" x14ac:dyDescent="0.25">
      <c r="B1020" s="1"/>
      <c r="C1020" s="1"/>
      <c r="D1020" s="1"/>
      <c r="E1020" s="1"/>
      <c r="F1020" s="1"/>
      <c r="H1020" s="1"/>
    </row>
    <row r="1021" spans="2:8" x14ac:dyDescent="0.25">
      <c r="B1021" s="1"/>
      <c r="C1021" s="1"/>
      <c r="D1021" s="1"/>
      <c r="E1021" s="1"/>
      <c r="F1021" s="1"/>
      <c r="H1021" s="1"/>
    </row>
    <row r="1022" spans="2:8" x14ac:dyDescent="0.25">
      <c r="B1022" s="1"/>
      <c r="C1022" s="1"/>
      <c r="D1022" s="1"/>
      <c r="E1022" s="1"/>
      <c r="F1022" s="1"/>
      <c r="H1022" s="1"/>
    </row>
    <row r="1023" spans="2:8" x14ac:dyDescent="0.25">
      <c r="B1023" s="1"/>
      <c r="C1023" s="1"/>
      <c r="D1023" s="1"/>
      <c r="E1023" s="1"/>
      <c r="F1023" s="1"/>
      <c r="H1023" s="1"/>
    </row>
    <row r="1024" spans="2:8" x14ac:dyDescent="0.25">
      <c r="B1024" s="1"/>
      <c r="C1024" s="1"/>
      <c r="D1024" s="1"/>
      <c r="E1024" s="1"/>
      <c r="F1024" s="1"/>
      <c r="H1024" s="1"/>
    </row>
    <row r="1025" spans="2:8" x14ac:dyDescent="0.25">
      <c r="B1025" s="1"/>
      <c r="C1025" s="1"/>
      <c r="D1025" s="1"/>
      <c r="E1025" s="1"/>
      <c r="F1025" s="1"/>
      <c r="H1025" s="1"/>
    </row>
    <row r="1026" spans="2:8" x14ac:dyDescent="0.25">
      <c r="B1026" s="1"/>
      <c r="C1026" s="1"/>
      <c r="D1026" s="1"/>
      <c r="E1026" s="1"/>
      <c r="F1026" s="1"/>
      <c r="H1026" s="1"/>
    </row>
    <row r="1027" spans="2:8" x14ac:dyDescent="0.25">
      <c r="B1027" s="1"/>
      <c r="C1027" s="1"/>
      <c r="D1027" s="1"/>
      <c r="E1027" s="1"/>
      <c r="F1027" s="1"/>
      <c r="H1027" s="1"/>
    </row>
    <row r="1028" spans="2:8" x14ac:dyDescent="0.25">
      <c r="B1028" s="1"/>
      <c r="C1028" s="1"/>
      <c r="D1028" s="1"/>
      <c r="E1028" s="1"/>
      <c r="F1028" s="1"/>
      <c r="H1028" s="1"/>
    </row>
    <row r="1029" spans="2:8" x14ac:dyDescent="0.25">
      <c r="B1029" s="1"/>
      <c r="C1029" s="1"/>
      <c r="D1029" s="1"/>
      <c r="E1029" s="1"/>
      <c r="F1029" s="1"/>
      <c r="H1029" s="1"/>
    </row>
    <row r="1030" spans="2:8" x14ac:dyDescent="0.25">
      <c r="B1030" s="1"/>
      <c r="C1030" s="1"/>
      <c r="D1030" s="1"/>
      <c r="E1030" s="1"/>
      <c r="F1030" s="1"/>
      <c r="H1030" s="1"/>
    </row>
    <row r="1031" spans="2:8" x14ac:dyDescent="0.25">
      <c r="B1031" s="1"/>
      <c r="C1031" s="1"/>
      <c r="D1031" s="1"/>
      <c r="E1031" s="1"/>
      <c r="F1031" s="1"/>
      <c r="H1031" s="1"/>
    </row>
    <row r="1032" spans="2:8" x14ac:dyDescent="0.25">
      <c r="B1032" s="1"/>
      <c r="C1032" s="1"/>
      <c r="D1032" s="1"/>
      <c r="E1032" s="1"/>
      <c r="F1032" s="1"/>
      <c r="H1032" s="1"/>
    </row>
    <row r="1033" spans="2:8" x14ac:dyDescent="0.25">
      <c r="B1033" s="1"/>
      <c r="C1033" s="1"/>
      <c r="D1033" s="1"/>
      <c r="E1033" s="1"/>
      <c r="F1033" s="1"/>
      <c r="H1033" s="1"/>
    </row>
    <row r="1034" spans="2:8" x14ac:dyDescent="0.25">
      <c r="B1034" s="1"/>
      <c r="C1034" s="1"/>
      <c r="D1034" s="1"/>
      <c r="E1034" s="1"/>
      <c r="F1034" s="1"/>
      <c r="H1034" s="1"/>
    </row>
    <row r="1035" spans="2:8" x14ac:dyDescent="0.25">
      <c r="B1035" s="1"/>
      <c r="C1035" s="1"/>
      <c r="D1035" s="1"/>
      <c r="E1035" s="1"/>
      <c r="F1035" s="1"/>
      <c r="H1035" s="1"/>
    </row>
    <row r="1036" spans="2:8" x14ac:dyDescent="0.25">
      <c r="B1036" s="1"/>
      <c r="C1036" s="1"/>
      <c r="D1036" s="1"/>
      <c r="E1036" s="1"/>
      <c r="F1036" s="1"/>
      <c r="H1036" s="1"/>
    </row>
    <row r="1037" spans="2:8" x14ac:dyDescent="0.25">
      <c r="B1037" s="1"/>
      <c r="C1037" s="1"/>
      <c r="D1037" s="1"/>
      <c r="E1037" s="1"/>
      <c r="F1037" s="1"/>
      <c r="H1037" s="1"/>
    </row>
    <row r="1038" spans="2:8" x14ac:dyDescent="0.25">
      <c r="B1038" s="1"/>
      <c r="C1038" s="1"/>
      <c r="D1038" s="1"/>
      <c r="E1038" s="1"/>
      <c r="F1038" s="1"/>
      <c r="H1038" s="1"/>
    </row>
    <row r="1039" spans="2:8" x14ac:dyDescent="0.25">
      <c r="B1039" s="1"/>
      <c r="C1039" s="1"/>
      <c r="D1039" s="1"/>
      <c r="E1039" s="1"/>
      <c r="F1039" s="1"/>
      <c r="H1039" s="1"/>
    </row>
    <row r="1040" spans="2:8" x14ac:dyDescent="0.25">
      <c r="B1040" s="1"/>
      <c r="C1040" s="1"/>
      <c r="D1040" s="1"/>
      <c r="E1040" s="1"/>
      <c r="F1040" s="1"/>
      <c r="H1040" s="1"/>
    </row>
    <row r="1041" spans="2:8" x14ac:dyDescent="0.25">
      <c r="B1041" s="1"/>
      <c r="C1041" s="1"/>
      <c r="D1041" s="1"/>
      <c r="E1041" s="1"/>
      <c r="F1041" s="1"/>
      <c r="H1041" s="1"/>
    </row>
    <row r="1042" spans="2:8" x14ac:dyDescent="0.25">
      <c r="B1042" s="1"/>
      <c r="C1042" s="1"/>
      <c r="D1042" s="1"/>
      <c r="E1042" s="1"/>
      <c r="F1042" s="1"/>
      <c r="H1042" s="1"/>
    </row>
    <row r="1043" spans="2:8" x14ac:dyDescent="0.25">
      <c r="B1043" s="1"/>
      <c r="C1043" s="1"/>
      <c r="D1043" s="1"/>
      <c r="E1043" s="1"/>
      <c r="F1043" s="1"/>
      <c r="H1043" s="1"/>
    </row>
    <row r="1044" spans="2:8" x14ac:dyDescent="0.25">
      <c r="B1044" s="1"/>
      <c r="C1044" s="1"/>
      <c r="D1044" s="1"/>
      <c r="E1044" s="1"/>
      <c r="F1044" s="1"/>
      <c r="H1044" s="1"/>
    </row>
    <row r="1045" spans="2:8" x14ac:dyDescent="0.25">
      <c r="B1045" s="1"/>
      <c r="C1045" s="1"/>
      <c r="D1045" s="1"/>
      <c r="E1045" s="1"/>
      <c r="F1045" s="1"/>
      <c r="H1045" s="1"/>
    </row>
    <row r="1046" spans="2:8" x14ac:dyDescent="0.25">
      <c r="B1046" s="1"/>
      <c r="C1046" s="1"/>
      <c r="D1046" s="1"/>
      <c r="E1046" s="1"/>
      <c r="F1046" s="1"/>
      <c r="H1046" s="1"/>
    </row>
    <row r="1047" spans="2:8" x14ac:dyDescent="0.25">
      <c r="B1047" s="1"/>
      <c r="C1047" s="1"/>
      <c r="D1047" s="1"/>
      <c r="E1047" s="1"/>
      <c r="F1047" s="1"/>
      <c r="H1047" s="1"/>
    </row>
    <row r="1048" spans="2:8" x14ac:dyDescent="0.25">
      <c r="B1048" s="1"/>
      <c r="C1048" s="1"/>
      <c r="D1048" s="1"/>
      <c r="E1048" s="1"/>
      <c r="F1048" s="1"/>
      <c r="H1048" s="1"/>
    </row>
    <row r="1049" spans="2:8" x14ac:dyDescent="0.25">
      <c r="B1049" s="1"/>
      <c r="C1049" s="1"/>
      <c r="D1049" s="1"/>
      <c r="E1049" s="1"/>
      <c r="F1049" s="1"/>
      <c r="H1049" s="1"/>
    </row>
    <row r="1050" spans="2:8" x14ac:dyDescent="0.25">
      <c r="B1050" s="1"/>
      <c r="C1050" s="1"/>
      <c r="D1050" s="1"/>
      <c r="E1050" s="1"/>
      <c r="F1050" s="1"/>
      <c r="H1050" s="1"/>
    </row>
    <row r="1051" spans="2:8" x14ac:dyDescent="0.25">
      <c r="B1051" s="1"/>
      <c r="C1051" s="1"/>
      <c r="D1051" s="1"/>
      <c r="E1051" s="1"/>
      <c r="F1051" s="1"/>
      <c r="H1051" s="1"/>
    </row>
    <row r="1052" spans="2:8" x14ac:dyDescent="0.25">
      <c r="B1052" s="1"/>
      <c r="C1052" s="1"/>
      <c r="D1052" s="1"/>
      <c r="E1052" s="1"/>
      <c r="F1052" s="1"/>
      <c r="H1052" s="1"/>
    </row>
    <row r="1053" spans="2:8" x14ac:dyDescent="0.25">
      <c r="B1053" s="1"/>
      <c r="C1053" s="1"/>
      <c r="D1053" s="1"/>
      <c r="E1053" s="1"/>
      <c r="F1053" s="1"/>
      <c r="H1053" s="1"/>
    </row>
    <row r="1054" spans="2:8" x14ac:dyDescent="0.25">
      <c r="B1054" s="1"/>
      <c r="C1054" s="1"/>
      <c r="D1054" s="1"/>
      <c r="E1054" s="1"/>
      <c r="F1054" s="1"/>
      <c r="H1054" s="1"/>
    </row>
    <row r="1055" spans="2:8" x14ac:dyDescent="0.25">
      <c r="B1055" s="1"/>
      <c r="C1055" s="1"/>
      <c r="D1055" s="1"/>
      <c r="E1055" s="1"/>
      <c r="F1055" s="1"/>
      <c r="H1055" s="1"/>
    </row>
    <row r="1056" spans="2:8" x14ac:dyDescent="0.25">
      <c r="B1056" s="1"/>
      <c r="C1056" s="1"/>
      <c r="D1056" s="1"/>
      <c r="E1056" s="1"/>
      <c r="F1056" s="1"/>
      <c r="H1056" s="1"/>
    </row>
    <row r="1057" spans="2:8" x14ac:dyDescent="0.25">
      <c r="B1057" s="1"/>
      <c r="C1057" s="1"/>
      <c r="D1057" s="1"/>
      <c r="E1057" s="1"/>
      <c r="F1057" s="1"/>
      <c r="H1057" s="1"/>
    </row>
    <row r="1058" spans="2:8" x14ac:dyDescent="0.25">
      <c r="B1058" s="1"/>
      <c r="C1058" s="1"/>
      <c r="D1058" s="1"/>
      <c r="E1058" s="1"/>
      <c r="F1058" s="1"/>
      <c r="H1058" s="1"/>
    </row>
    <row r="1059" spans="2:8" x14ac:dyDescent="0.25">
      <c r="B1059" s="1"/>
      <c r="C1059" s="1"/>
      <c r="D1059" s="1"/>
      <c r="E1059" s="1"/>
      <c r="F1059" s="1"/>
      <c r="H1059" s="1"/>
    </row>
    <row r="1060" spans="2:8" x14ac:dyDescent="0.25">
      <c r="B1060" s="1"/>
      <c r="C1060" s="1"/>
      <c r="D1060" s="1"/>
      <c r="E1060" s="1"/>
      <c r="F1060" s="1"/>
      <c r="H1060" s="1"/>
    </row>
    <row r="1061" spans="2:8" x14ac:dyDescent="0.25">
      <c r="B1061" s="1"/>
      <c r="C1061" s="1"/>
      <c r="D1061" s="1"/>
      <c r="E1061" s="1"/>
      <c r="F1061" s="1"/>
      <c r="H1061" s="1"/>
    </row>
    <row r="1062" spans="2:8" x14ac:dyDescent="0.25">
      <c r="B1062" s="1"/>
      <c r="C1062" s="1"/>
      <c r="D1062" s="1"/>
      <c r="E1062" s="1"/>
      <c r="F1062" s="1"/>
      <c r="H1062" s="1"/>
    </row>
    <row r="1063" spans="2:8" x14ac:dyDescent="0.25">
      <c r="B1063" s="1"/>
      <c r="C1063" s="1"/>
      <c r="D1063" s="1"/>
      <c r="E1063" s="1"/>
      <c r="F1063" s="1"/>
      <c r="H1063" s="1"/>
    </row>
    <row r="1064" spans="2:8" x14ac:dyDescent="0.25">
      <c r="B1064" s="1"/>
      <c r="C1064" s="1"/>
      <c r="D1064" s="1"/>
      <c r="E1064" s="1"/>
      <c r="F1064" s="1"/>
      <c r="H1064" s="1"/>
    </row>
    <row r="1065" spans="2:8" x14ac:dyDescent="0.25">
      <c r="B1065" s="1"/>
      <c r="C1065" s="1"/>
      <c r="D1065" s="1"/>
      <c r="E1065" s="1"/>
      <c r="F1065" s="1"/>
      <c r="H1065" s="1"/>
    </row>
    <row r="1066" spans="2:8" x14ac:dyDescent="0.25">
      <c r="B1066" s="1"/>
      <c r="C1066" s="1"/>
      <c r="D1066" s="1"/>
      <c r="E1066" s="1"/>
      <c r="F1066" s="1"/>
      <c r="H1066" s="1"/>
    </row>
    <row r="1067" spans="2:8" x14ac:dyDescent="0.25">
      <c r="B1067" s="1"/>
      <c r="C1067" s="1"/>
      <c r="D1067" s="1"/>
      <c r="E1067" s="1"/>
      <c r="F1067" s="1"/>
      <c r="H1067" s="1"/>
    </row>
    <row r="1068" spans="2:8" x14ac:dyDescent="0.25">
      <c r="B1068" s="1"/>
      <c r="C1068" s="1"/>
      <c r="D1068" s="1"/>
      <c r="E1068" s="1"/>
      <c r="F1068" s="1"/>
      <c r="H1068" s="1"/>
    </row>
    <row r="1069" spans="2:8" x14ac:dyDescent="0.25">
      <c r="B1069" s="1"/>
      <c r="C1069" s="1"/>
      <c r="D1069" s="1"/>
      <c r="E1069" s="1"/>
      <c r="F1069" s="1"/>
      <c r="H1069" s="1"/>
    </row>
    <row r="1070" spans="2:8" x14ac:dyDescent="0.25">
      <c r="B1070" s="1"/>
      <c r="C1070" s="1"/>
      <c r="D1070" s="1"/>
      <c r="E1070" s="1"/>
      <c r="F1070" s="1"/>
      <c r="H1070" s="1"/>
    </row>
    <row r="1071" spans="2:8" x14ac:dyDescent="0.25">
      <c r="B1071" s="1"/>
      <c r="C1071" s="1"/>
      <c r="D1071" s="1"/>
      <c r="E1071" s="1"/>
      <c r="F1071" s="1"/>
      <c r="H1071" s="1"/>
    </row>
    <row r="1072" spans="2:8" x14ac:dyDescent="0.25">
      <c r="B1072" s="1"/>
      <c r="C1072" s="1"/>
      <c r="D1072" s="1"/>
      <c r="E1072" s="1"/>
      <c r="F1072" s="1"/>
      <c r="H1072" s="1"/>
    </row>
    <row r="1073" spans="2:8" x14ac:dyDescent="0.25">
      <c r="B1073" s="1"/>
      <c r="C1073" s="1"/>
      <c r="D1073" s="1"/>
      <c r="E1073" s="1"/>
      <c r="F1073" s="1"/>
      <c r="H1073" s="1"/>
    </row>
    <row r="1074" spans="2:8" x14ac:dyDescent="0.25">
      <c r="B1074" s="1"/>
      <c r="C1074" s="1"/>
      <c r="D1074" s="1"/>
      <c r="E1074" s="1"/>
      <c r="F1074" s="1"/>
      <c r="H1074" s="1"/>
    </row>
    <row r="1075" spans="2:8" x14ac:dyDescent="0.25">
      <c r="B1075" s="1"/>
      <c r="C1075" s="1"/>
      <c r="D1075" s="1"/>
      <c r="E1075" s="1"/>
      <c r="F1075" s="1"/>
      <c r="H1075" s="1"/>
    </row>
    <row r="1076" spans="2:8" x14ac:dyDescent="0.25">
      <c r="B1076" s="1"/>
      <c r="C1076" s="1"/>
      <c r="D1076" s="1"/>
      <c r="E1076" s="1"/>
      <c r="F1076" s="1"/>
      <c r="H1076" s="1"/>
    </row>
    <row r="1077" spans="2:8" x14ac:dyDescent="0.25">
      <c r="B1077" s="1"/>
      <c r="C1077" s="1"/>
      <c r="D1077" s="1"/>
      <c r="E1077" s="1"/>
      <c r="F1077" s="1"/>
      <c r="H1077" s="1"/>
    </row>
    <row r="1078" spans="2:8" x14ac:dyDescent="0.25">
      <c r="B1078" s="1"/>
      <c r="C1078" s="1"/>
      <c r="D1078" s="1"/>
      <c r="E1078" s="1"/>
      <c r="F1078" s="1"/>
      <c r="H1078" s="1"/>
    </row>
    <row r="1079" spans="2:8" x14ac:dyDescent="0.25">
      <c r="B1079" s="1"/>
      <c r="C1079" s="1"/>
      <c r="D1079" s="1"/>
      <c r="E1079" s="1"/>
      <c r="F1079" s="1"/>
      <c r="H1079" s="1"/>
    </row>
    <row r="1080" spans="2:8" x14ac:dyDescent="0.25">
      <c r="B1080" s="1"/>
      <c r="C1080" s="1"/>
      <c r="D1080" s="1"/>
      <c r="E1080" s="1"/>
      <c r="F1080" s="1"/>
      <c r="H1080" s="1"/>
    </row>
    <row r="1081" spans="2:8" x14ac:dyDescent="0.25">
      <c r="B1081" s="1"/>
      <c r="C1081" s="1"/>
      <c r="D1081" s="1"/>
      <c r="E1081" s="1"/>
      <c r="F1081" s="1"/>
      <c r="H1081" s="1"/>
    </row>
    <row r="1082" spans="2:8" x14ac:dyDescent="0.25">
      <c r="B1082" s="1"/>
      <c r="C1082" s="1"/>
      <c r="D1082" s="1"/>
      <c r="E1082" s="1"/>
      <c r="F1082" s="1"/>
      <c r="H1082" s="1"/>
    </row>
    <row r="1083" spans="2:8" x14ac:dyDescent="0.25">
      <c r="B1083" s="1"/>
      <c r="C1083" s="1"/>
      <c r="D1083" s="1"/>
      <c r="E1083" s="1"/>
      <c r="F1083" s="1"/>
      <c r="H1083" s="1"/>
    </row>
    <row r="1084" spans="2:8" x14ac:dyDescent="0.25">
      <c r="B1084" s="1"/>
      <c r="C1084" s="1"/>
      <c r="D1084" s="1"/>
      <c r="E1084" s="1"/>
      <c r="F1084" s="1"/>
      <c r="H1084" s="1"/>
    </row>
    <row r="1085" spans="2:8" x14ac:dyDescent="0.25">
      <c r="B1085" s="1"/>
      <c r="C1085" s="1"/>
      <c r="D1085" s="1"/>
      <c r="E1085" s="1"/>
      <c r="F1085" s="1"/>
      <c r="H1085" s="1"/>
    </row>
    <row r="1086" spans="2:8" x14ac:dyDescent="0.25">
      <c r="B1086" s="1"/>
      <c r="C1086" s="1"/>
      <c r="D1086" s="1"/>
      <c r="E1086" s="1"/>
      <c r="F1086" s="1"/>
      <c r="H1086" s="1"/>
    </row>
    <row r="1087" spans="2:8" x14ac:dyDescent="0.25">
      <c r="B1087" s="1"/>
      <c r="C1087" s="1"/>
      <c r="D1087" s="1"/>
      <c r="E1087" s="1"/>
      <c r="F1087" s="1"/>
      <c r="H1087" s="1"/>
    </row>
    <row r="1088" spans="2:8" x14ac:dyDescent="0.25">
      <c r="B1088" s="1"/>
      <c r="C1088" s="1"/>
      <c r="D1088" s="1"/>
      <c r="E1088" s="1"/>
      <c r="F1088" s="1"/>
      <c r="H1088" s="1"/>
    </row>
    <row r="1089" spans="2:8" x14ac:dyDescent="0.25">
      <c r="B1089" s="1"/>
      <c r="C1089" s="1"/>
      <c r="D1089" s="1"/>
      <c r="E1089" s="1"/>
      <c r="F1089" s="1"/>
      <c r="H1089" s="1"/>
    </row>
    <row r="1090" spans="2:8" x14ac:dyDescent="0.25">
      <c r="B1090" s="1"/>
      <c r="C1090" s="1"/>
      <c r="D1090" s="1"/>
      <c r="E1090" s="1"/>
      <c r="F1090" s="1"/>
      <c r="H1090" s="1"/>
    </row>
    <row r="1091" spans="2:8" x14ac:dyDescent="0.25">
      <c r="B1091" s="1"/>
      <c r="C1091" s="1"/>
      <c r="D1091" s="1"/>
      <c r="E1091" s="1"/>
      <c r="F1091" s="1"/>
      <c r="H1091" s="1"/>
    </row>
    <row r="1092" spans="2:8" x14ac:dyDescent="0.25">
      <c r="B1092" s="1"/>
      <c r="C1092" s="1"/>
      <c r="D1092" s="1"/>
      <c r="E1092" s="1"/>
      <c r="F1092" s="1"/>
      <c r="H1092" s="1"/>
    </row>
    <row r="1093" spans="2:8" x14ac:dyDescent="0.25">
      <c r="B1093" s="1"/>
      <c r="C1093" s="1"/>
      <c r="D1093" s="1"/>
      <c r="E1093" s="1"/>
      <c r="F1093" s="1"/>
      <c r="H1093" s="1"/>
    </row>
    <row r="1094" spans="2:8" x14ac:dyDescent="0.25">
      <c r="B1094" s="1"/>
      <c r="C1094" s="1"/>
      <c r="D1094" s="1"/>
      <c r="E1094" s="1"/>
      <c r="F1094" s="1"/>
      <c r="H1094" s="1"/>
    </row>
    <row r="1095" spans="2:8" x14ac:dyDescent="0.25">
      <c r="B1095" s="1"/>
      <c r="C1095" s="1"/>
      <c r="D1095" s="1"/>
      <c r="E1095" s="1"/>
      <c r="F1095" s="1"/>
      <c r="H1095" s="1"/>
    </row>
    <row r="1096" spans="2:8" x14ac:dyDescent="0.25">
      <c r="B1096" s="1"/>
      <c r="C1096" s="1"/>
      <c r="D1096" s="1"/>
      <c r="E1096" s="1"/>
      <c r="F1096" s="1"/>
      <c r="H1096" s="1"/>
    </row>
    <row r="1097" spans="2:8" x14ac:dyDescent="0.25">
      <c r="B1097" s="1"/>
      <c r="C1097" s="1"/>
      <c r="D1097" s="1"/>
      <c r="E1097" s="1"/>
      <c r="F1097" s="1"/>
      <c r="H1097" s="1"/>
    </row>
    <row r="1098" spans="2:8" x14ac:dyDescent="0.25">
      <c r="B1098" s="1"/>
      <c r="C1098" s="1"/>
      <c r="D1098" s="1"/>
      <c r="E1098" s="1"/>
      <c r="F1098" s="1"/>
      <c r="H1098" s="1"/>
    </row>
    <row r="1099" spans="2:8" x14ac:dyDescent="0.25">
      <c r="B1099" s="1"/>
      <c r="C1099" s="1"/>
      <c r="D1099" s="1"/>
      <c r="E1099" s="1"/>
      <c r="F1099" s="1"/>
      <c r="H1099" s="1"/>
    </row>
    <row r="1100" spans="2:8" x14ac:dyDescent="0.25">
      <c r="B1100" s="1"/>
      <c r="C1100" s="1"/>
      <c r="D1100" s="1"/>
      <c r="E1100" s="1"/>
      <c r="F1100" s="1"/>
      <c r="H1100" s="1"/>
    </row>
    <row r="1101" spans="2:8" x14ac:dyDescent="0.25">
      <c r="B1101" s="1"/>
      <c r="C1101" s="1"/>
      <c r="D1101" s="1"/>
      <c r="E1101" s="1"/>
      <c r="F1101" s="1"/>
      <c r="H1101" s="1"/>
    </row>
    <row r="1102" spans="2:8" x14ac:dyDescent="0.25">
      <c r="B1102" s="1"/>
      <c r="C1102" s="1"/>
      <c r="D1102" s="1"/>
      <c r="E1102" s="1"/>
      <c r="F1102" s="1"/>
      <c r="H1102" s="1"/>
    </row>
    <row r="1103" spans="2:8" x14ac:dyDescent="0.25">
      <c r="B1103" s="1"/>
      <c r="C1103" s="1"/>
      <c r="D1103" s="1"/>
      <c r="E1103" s="1"/>
      <c r="F1103" s="1"/>
      <c r="H1103" s="1"/>
    </row>
    <row r="1104" spans="2:8" x14ac:dyDescent="0.25">
      <c r="B1104" s="1"/>
      <c r="C1104" s="1"/>
      <c r="D1104" s="1"/>
      <c r="E1104" s="1"/>
      <c r="F1104" s="1"/>
      <c r="H1104" s="1"/>
    </row>
    <row r="1105" spans="2:8" x14ac:dyDescent="0.25">
      <c r="B1105" s="1"/>
      <c r="C1105" s="1"/>
      <c r="D1105" s="1"/>
      <c r="E1105" s="1"/>
      <c r="F1105" s="1"/>
      <c r="H1105" s="1"/>
    </row>
    <row r="1106" spans="2:8" x14ac:dyDescent="0.25">
      <c r="B1106" s="1"/>
      <c r="C1106" s="1"/>
      <c r="D1106" s="1"/>
      <c r="E1106" s="1"/>
      <c r="F1106" s="1"/>
      <c r="H1106" s="1"/>
    </row>
    <row r="1107" spans="2:8" x14ac:dyDescent="0.25">
      <c r="B1107" s="1"/>
      <c r="C1107" s="1"/>
      <c r="D1107" s="1"/>
      <c r="E1107" s="1"/>
      <c r="F1107" s="1"/>
      <c r="H1107" s="1"/>
    </row>
    <row r="1108" spans="2:8" x14ac:dyDescent="0.25">
      <c r="B1108" s="1"/>
      <c r="C1108" s="1"/>
      <c r="D1108" s="1"/>
      <c r="E1108" s="1"/>
      <c r="F1108" s="1"/>
      <c r="H1108" s="1"/>
    </row>
    <row r="1109" spans="2:8" x14ac:dyDescent="0.25">
      <c r="B1109" s="1"/>
      <c r="C1109" s="1"/>
      <c r="D1109" s="1"/>
      <c r="E1109" s="1"/>
      <c r="F1109" s="1"/>
      <c r="H1109" s="1"/>
    </row>
    <row r="1110" spans="2:8" x14ac:dyDescent="0.25">
      <c r="B1110" s="1"/>
      <c r="C1110" s="1"/>
      <c r="D1110" s="1"/>
      <c r="E1110" s="1"/>
      <c r="F1110" s="1"/>
      <c r="H1110" s="1"/>
    </row>
    <row r="1111" spans="2:8" x14ac:dyDescent="0.25">
      <c r="B1111" s="1"/>
      <c r="C1111" s="1"/>
      <c r="D1111" s="1"/>
      <c r="E1111" s="1"/>
      <c r="F1111" s="1"/>
      <c r="H1111" s="1"/>
    </row>
    <row r="1112" spans="2:8" x14ac:dyDescent="0.25">
      <c r="B1112" s="1"/>
      <c r="C1112" s="1"/>
      <c r="D1112" s="1"/>
      <c r="E1112" s="1"/>
      <c r="F1112" s="1"/>
      <c r="H1112" s="1"/>
    </row>
    <row r="1113" spans="2:8" x14ac:dyDescent="0.25">
      <c r="B1113" s="1"/>
      <c r="C1113" s="1"/>
      <c r="D1113" s="1"/>
      <c r="E1113" s="1"/>
      <c r="F1113" s="1"/>
      <c r="H1113" s="1"/>
    </row>
    <row r="1114" spans="2:8" x14ac:dyDescent="0.25">
      <c r="B1114" s="1"/>
      <c r="C1114" s="1"/>
      <c r="D1114" s="1"/>
      <c r="E1114" s="1"/>
      <c r="F1114" s="1"/>
      <c r="H1114" s="1"/>
    </row>
    <row r="1115" spans="2:8" x14ac:dyDescent="0.25">
      <c r="B1115" s="1"/>
      <c r="C1115" s="1"/>
      <c r="D1115" s="1"/>
      <c r="E1115" s="1"/>
      <c r="F1115" s="1"/>
      <c r="H1115" s="1"/>
    </row>
    <row r="1116" spans="2:8" x14ac:dyDescent="0.25">
      <c r="B1116" s="1"/>
      <c r="C1116" s="1"/>
      <c r="D1116" s="1"/>
      <c r="E1116" s="1"/>
      <c r="F1116" s="1"/>
      <c r="H1116" s="1"/>
    </row>
    <row r="1117" spans="2:8" x14ac:dyDescent="0.25">
      <c r="B1117" s="1"/>
      <c r="C1117" s="1"/>
      <c r="D1117" s="1"/>
      <c r="E1117" s="1"/>
      <c r="F1117" s="1"/>
      <c r="H1117" s="1"/>
    </row>
    <row r="1118" spans="2:8" x14ac:dyDescent="0.25">
      <c r="B1118" s="1"/>
      <c r="C1118" s="1"/>
      <c r="D1118" s="1"/>
      <c r="E1118" s="1"/>
      <c r="F1118" s="1"/>
      <c r="H1118" s="1"/>
    </row>
    <row r="1119" spans="2:8" x14ac:dyDescent="0.25">
      <c r="B1119" s="1"/>
      <c r="C1119" s="1"/>
      <c r="D1119" s="1"/>
      <c r="E1119" s="1"/>
      <c r="F1119" s="1"/>
      <c r="H1119" s="1"/>
    </row>
    <row r="1120" spans="2:8" x14ac:dyDescent="0.25">
      <c r="B1120" s="1"/>
      <c r="C1120" s="1"/>
      <c r="D1120" s="1"/>
      <c r="E1120" s="1"/>
      <c r="F1120" s="1"/>
      <c r="H1120" s="1"/>
    </row>
    <row r="1121" spans="2:8" x14ac:dyDescent="0.25">
      <c r="B1121" s="1"/>
      <c r="C1121" s="1"/>
      <c r="D1121" s="1"/>
      <c r="E1121" s="1"/>
      <c r="F1121" s="1"/>
      <c r="H1121" s="1"/>
    </row>
    <row r="1122" spans="2:8" x14ac:dyDescent="0.25">
      <c r="B1122" s="1"/>
      <c r="C1122" s="1"/>
      <c r="D1122" s="1"/>
      <c r="E1122" s="1"/>
      <c r="F1122" s="1"/>
      <c r="H1122" s="1"/>
    </row>
    <row r="1123" spans="2:8" x14ac:dyDescent="0.25">
      <c r="B1123" s="1"/>
      <c r="C1123" s="1"/>
      <c r="D1123" s="1"/>
      <c r="E1123" s="1"/>
      <c r="F1123" s="1"/>
      <c r="H1123" s="1"/>
    </row>
    <row r="1124" spans="2:8" x14ac:dyDescent="0.25">
      <c r="B1124" s="1"/>
      <c r="C1124" s="1"/>
      <c r="D1124" s="1"/>
      <c r="E1124" s="1"/>
      <c r="F1124" s="1"/>
      <c r="H1124" s="1"/>
    </row>
    <row r="1125" spans="2:8" x14ac:dyDescent="0.25">
      <c r="B1125" s="1"/>
      <c r="C1125" s="1"/>
      <c r="D1125" s="1"/>
      <c r="E1125" s="1"/>
      <c r="F1125" s="1"/>
      <c r="H1125" s="1"/>
    </row>
    <row r="1126" spans="2:8" x14ac:dyDescent="0.25">
      <c r="B1126" s="1"/>
      <c r="C1126" s="1"/>
      <c r="D1126" s="1"/>
      <c r="E1126" s="1"/>
      <c r="F1126" s="1"/>
      <c r="H1126" s="1"/>
    </row>
    <row r="1127" spans="2:8" x14ac:dyDescent="0.25">
      <c r="B1127" s="1"/>
      <c r="C1127" s="1"/>
      <c r="D1127" s="1"/>
      <c r="E1127" s="1"/>
      <c r="F1127" s="1"/>
      <c r="H1127" s="1"/>
    </row>
    <row r="1128" spans="2:8" x14ac:dyDescent="0.25">
      <c r="B1128" s="1"/>
      <c r="C1128" s="1"/>
      <c r="D1128" s="1"/>
      <c r="E1128" s="1"/>
      <c r="F1128" s="1"/>
      <c r="H1128" s="1"/>
    </row>
    <row r="1129" spans="2:8" x14ac:dyDescent="0.25">
      <c r="B1129" s="1"/>
      <c r="C1129" s="1"/>
      <c r="D1129" s="1"/>
      <c r="E1129" s="1"/>
      <c r="F1129" s="1"/>
      <c r="H1129" s="1"/>
    </row>
    <row r="1130" spans="2:8" x14ac:dyDescent="0.25">
      <c r="B1130" s="1"/>
      <c r="C1130" s="1"/>
      <c r="D1130" s="1"/>
      <c r="E1130" s="1"/>
      <c r="F1130" s="1"/>
      <c r="H1130" s="1"/>
    </row>
    <row r="1131" spans="2:8" x14ac:dyDescent="0.25">
      <c r="B1131" s="1"/>
      <c r="C1131" s="1"/>
      <c r="D1131" s="1"/>
      <c r="E1131" s="1"/>
      <c r="F1131" s="1"/>
      <c r="H1131" s="1"/>
    </row>
    <row r="1132" spans="2:8" x14ac:dyDescent="0.25">
      <c r="B1132" s="1"/>
      <c r="C1132" s="1"/>
      <c r="D1132" s="1"/>
      <c r="E1132" s="1"/>
      <c r="F1132" s="1"/>
      <c r="H1132" s="1"/>
    </row>
    <row r="1133" spans="2:8" x14ac:dyDescent="0.25">
      <c r="B1133" s="1"/>
      <c r="C1133" s="1"/>
      <c r="D1133" s="1"/>
      <c r="E1133" s="1"/>
      <c r="F1133" s="1"/>
      <c r="H1133" s="1"/>
    </row>
    <row r="1134" spans="2:8" x14ac:dyDescent="0.25">
      <c r="B1134" s="1"/>
      <c r="C1134" s="1"/>
      <c r="D1134" s="1"/>
      <c r="E1134" s="1"/>
      <c r="F1134" s="1"/>
      <c r="H1134" s="1"/>
    </row>
    <row r="1135" spans="2:8" x14ac:dyDescent="0.25">
      <c r="B1135" s="1"/>
      <c r="C1135" s="1"/>
      <c r="D1135" s="1"/>
      <c r="E1135" s="1"/>
      <c r="F1135" s="1"/>
      <c r="H1135" s="1"/>
    </row>
    <row r="1136" spans="2:8" x14ac:dyDescent="0.25">
      <c r="B1136" s="1"/>
      <c r="C1136" s="1"/>
      <c r="D1136" s="1"/>
      <c r="E1136" s="1"/>
      <c r="F1136" s="1"/>
      <c r="H1136" s="1"/>
    </row>
    <row r="1137" spans="2:8" x14ac:dyDescent="0.25">
      <c r="B1137" s="1"/>
      <c r="C1137" s="1"/>
      <c r="D1137" s="1"/>
      <c r="E1137" s="1"/>
      <c r="F1137" s="1"/>
      <c r="H1137" s="1"/>
    </row>
    <row r="1138" spans="2:8" x14ac:dyDescent="0.25">
      <c r="B1138" s="1"/>
      <c r="C1138" s="1"/>
      <c r="D1138" s="1"/>
      <c r="E1138" s="1"/>
      <c r="F1138" s="1"/>
      <c r="H1138" s="1"/>
    </row>
    <row r="1139" spans="2:8" x14ac:dyDescent="0.25">
      <c r="B1139" s="1"/>
      <c r="C1139" s="1"/>
      <c r="D1139" s="1"/>
      <c r="E1139" s="1"/>
      <c r="F1139" s="1"/>
      <c r="H1139" s="1"/>
    </row>
    <row r="1140" spans="2:8" x14ac:dyDescent="0.25">
      <c r="B1140" s="1"/>
      <c r="C1140" s="1"/>
      <c r="D1140" s="1"/>
      <c r="E1140" s="1"/>
      <c r="F1140" s="1"/>
      <c r="H1140" s="1"/>
    </row>
    <row r="1141" spans="2:8" x14ac:dyDescent="0.25">
      <c r="B1141" s="1"/>
      <c r="C1141" s="1"/>
      <c r="D1141" s="1"/>
      <c r="E1141" s="1"/>
      <c r="F1141" s="1"/>
      <c r="H1141" s="1"/>
    </row>
    <row r="1142" spans="2:8" x14ac:dyDescent="0.25">
      <c r="B1142" s="1"/>
      <c r="C1142" s="1"/>
      <c r="D1142" s="1"/>
      <c r="E1142" s="1"/>
      <c r="F1142" s="1"/>
      <c r="H1142" s="1"/>
    </row>
    <row r="1143" spans="2:8" x14ac:dyDescent="0.25">
      <c r="B1143" s="1"/>
      <c r="C1143" s="1"/>
      <c r="D1143" s="1"/>
      <c r="E1143" s="1"/>
      <c r="F1143" s="1"/>
      <c r="H1143" s="1"/>
    </row>
    <row r="1144" spans="2:8" x14ac:dyDescent="0.25">
      <c r="B1144" s="1"/>
      <c r="C1144" s="1"/>
      <c r="D1144" s="1"/>
      <c r="E1144" s="1"/>
      <c r="F1144" s="1"/>
      <c r="H1144" s="1"/>
    </row>
    <row r="1145" spans="2:8" x14ac:dyDescent="0.25">
      <c r="B1145" s="1"/>
      <c r="C1145" s="1"/>
      <c r="D1145" s="1"/>
      <c r="E1145" s="1"/>
      <c r="F1145" s="1"/>
      <c r="H1145" s="1"/>
    </row>
    <row r="1146" spans="2:8" x14ac:dyDescent="0.25">
      <c r="B1146" s="1"/>
      <c r="C1146" s="1"/>
      <c r="D1146" s="1"/>
      <c r="E1146" s="1"/>
      <c r="F1146" s="1"/>
      <c r="H1146" s="1"/>
    </row>
    <row r="1147" spans="2:8" x14ac:dyDescent="0.25">
      <c r="B1147" s="1"/>
      <c r="C1147" s="1"/>
      <c r="D1147" s="1"/>
      <c r="E1147" s="1"/>
      <c r="F1147" s="1"/>
      <c r="H1147" s="1"/>
    </row>
    <row r="1148" spans="2:8" x14ac:dyDescent="0.25">
      <c r="B1148" s="1"/>
      <c r="C1148" s="1"/>
      <c r="D1148" s="1"/>
      <c r="E1148" s="1"/>
      <c r="F1148" s="1"/>
      <c r="H1148" s="1"/>
    </row>
    <row r="1149" spans="2:8" x14ac:dyDescent="0.25">
      <c r="B1149" s="1"/>
      <c r="C1149" s="1"/>
      <c r="D1149" s="1"/>
      <c r="E1149" s="1"/>
      <c r="F1149" s="1"/>
      <c r="H1149" s="1"/>
    </row>
    <row r="1150" spans="2:8" x14ac:dyDescent="0.25">
      <c r="B1150" s="1"/>
      <c r="C1150" s="1"/>
      <c r="D1150" s="1"/>
      <c r="E1150" s="1"/>
      <c r="F1150" s="1"/>
      <c r="H1150" s="1"/>
    </row>
    <row r="1151" spans="2:8" x14ac:dyDescent="0.25">
      <c r="B1151" s="1"/>
      <c r="C1151" s="1"/>
      <c r="D1151" s="1"/>
      <c r="E1151" s="1"/>
      <c r="F1151" s="1"/>
      <c r="H1151" s="1"/>
    </row>
    <row r="1152" spans="2:8" x14ac:dyDescent="0.25">
      <c r="B1152" s="1"/>
      <c r="C1152" s="1"/>
      <c r="D1152" s="1"/>
      <c r="E1152" s="1"/>
      <c r="F1152" s="1"/>
      <c r="H1152" s="1"/>
    </row>
    <row r="1153" spans="2:8" x14ac:dyDescent="0.25">
      <c r="B1153" s="1"/>
      <c r="C1153" s="1"/>
      <c r="D1153" s="1"/>
      <c r="E1153" s="1"/>
      <c r="F1153" s="1"/>
      <c r="H1153" s="1"/>
    </row>
    <row r="1154" spans="2:8" x14ac:dyDescent="0.25">
      <c r="B1154" s="1"/>
      <c r="C1154" s="1"/>
      <c r="D1154" s="1"/>
      <c r="E1154" s="1"/>
      <c r="F1154" s="1"/>
      <c r="H1154" s="1"/>
    </row>
    <row r="1155" spans="2:8" x14ac:dyDescent="0.25">
      <c r="B1155" s="1"/>
      <c r="C1155" s="1"/>
      <c r="D1155" s="1"/>
      <c r="E1155" s="1"/>
      <c r="F1155" s="1"/>
      <c r="H1155" s="1"/>
    </row>
    <row r="1156" spans="2:8" x14ac:dyDescent="0.25">
      <c r="B1156" s="1"/>
      <c r="C1156" s="1"/>
      <c r="D1156" s="1"/>
      <c r="E1156" s="1"/>
      <c r="F1156" s="1"/>
      <c r="H1156" s="1"/>
    </row>
    <row r="1157" spans="2:8" x14ac:dyDescent="0.25">
      <c r="B1157" s="1"/>
      <c r="C1157" s="1"/>
      <c r="D1157" s="1"/>
      <c r="E1157" s="1"/>
      <c r="F1157" s="1"/>
      <c r="H1157" s="1"/>
    </row>
    <row r="1158" spans="2:8" x14ac:dyDescent="0.25">
      <c r="B1158" s="1"/>
      <c r="C1158" s="1"/>
      <c r="D1158" s="1"/>
      <c r="E1158" s="1"/>
      <c r="F1158" s="1"/>
      <c r="H1158" s="1"/>
    </row>
    <row r="1159" spans="2:8" x14ac:dyDescent="0.25">
      <c r="B1159" s="1"/>
      <c r="C1159" s="1"/>
      <c r="D1159" s="1"/>
      <c r="E1159" s="1"/>
      <c r="F1159" s="1"/>
      <c r="H1159" s="1"/>
    </row>
    <row r="1160" spans="2:8" x14ac:dyDescent="0.25">
      <c r="B1160" s="1"/>
      <c r="C1160" s="1"/>
      <c r="D1160" s="1"/>
      <c r="E1160" s="1"/>
      <c r="F1160" s="1"/>
      <c r="H1160" s="1"/>
    </row>
    <row r="1161" spans="2:8" x14ac:dyDescent="0.25">
      <c r="B1161" s="1"/>
      <c r="C1161" s="1"/>
      <c r="D1161" s="1"/>
      <c r="E1161" s="1"/>
      <c r="F1161" s="1"/>
      <c r="H1161" s="1"/>
    </row>
    <row r="1162" spans="2:8" x14ac:dyDescent="0.25">
      <c r="B1162" s="1"/>
      <c r="C1162" s="1"/>
      <c r="D1162" s="1"/>
      <c r="E1162" s="1"/>
      <c r="F1162" s="1"/>
      <c r="H1162" s="1"/>
    </row>
    <row r="1163" spans="2:8" x14ac:dyDescent="0.25">
      <c r="B1163" s="1"/>
      <c r="C1163" s="1"/>
      <c r="D1163" s="1"/>
      <c r="E1163" s="1"/>
      <c r="F1163" s="1"/>
      <c r="H1163" s="1"/>
    </row>
    <row r="1164" spans="2:8" x14ac:dyDescent="0.25">
      <c r="B1164" s="1"/>
      <c r="C1164" s="1"/>
      <c r="D1164" s="1"/>
      <c r="E1164" s="1"/>
      <c r="F1164" s="1"/>
      <c r="H1164" s="1"/>
    </row>
    <row r="1165" spans="2:8" x14ac:dyDescent="0.25">
      <c r="B1165" s="1"/>
      <c r="C1165" s="1"/>
      <c r="D1165" s="1"/>
      <c r="E1165" s="1"/>
      <c r="F1165" s="1"/>
      <c r="H1165" s="1"/>
    </row>
    <row r="1166" spans="2:8" x14ac:dyDescent="0.25">
      <c r="B1166" s="1"/>
      <c r="C1166" s="1"/>
      <c r="D1166" s="1"/>
      <c r="E1166" s="1"/>
      <c r="F1166" s="1"/>
      <c r="H1166" s="1"/>
    </row>
    <row r="1167" spans="2:8" x14ac:dyDescent="0.25">
      <c r="B1167" s="1"/>
      <c r="C1167" s="1"/>
      <c r="D1167" s="1"/>
      <c r="E1167" s="1"/>
      <c r="F1167" s="1"/>
      <c r="H1167" s="1"/>
    </row>
    <row r="1168" spans="2:8" x14ac:dyDescent="0.25">
      <c r="B1168" s="1"/>
      <c r="C1168" s="1"/>
      <c r="D1168" s="1"/>
      <c r="E1168" s="1"/>
      <c r="F1168" s="1"/>
      <c r="H1168" s="1"/>
    </row>
    <row r="1169" spans="2:8" x14ac:dyDescent="0.25">
      <c r="B1169" s="1"/>
      <c r="C1169" s="1"/>
      <c r="D1169" s="1"/>
      <c r="E1169" s="1"/>
      <c r="F1169" s="1"/>
      <c r="H1169" s="1"/>
    </row>
    <row r="1170" spans="2:8" x14ac:dyDescent="0.25">
      <c r="B1170" s="1"/>
      <c r="C1170" s="1"/>
      <c r="D1170" s="1"/>
      <c r="E1170" s="1"/>
      <c r="F1170" s="1"/>
      <c r="H1170" s="1"/>
    </row>
    <row r="1171" spans="2:8" x14ac:dyDescent="0.25">
      <c r="B1171" s="1"/>
      <c r="C1171" s="1"/>
      <c r="D1171" s="1"/>
      <c r="E1171" s="1"/>
      <c r="F1171" s="1"/>
      <c r="H1171" s="1"/>
    </row>
    <row r="1172" spans="2:8" x14ac:dyDescent="0.25">
      <c r="B1172" s="1"/>
      <c r="C1172" s="1"/>
      <c r="D1172" s="1"/>
      <c r="E1172" s="1"/>
      <c r="F1172" s="1"/>
      <c r="H1172" s="1"/>
    </row>
    <row r="1173" spans="2:8" x14ac:dyDescent="0.25">
      <c r="B1173" s="1"/>
      <c r="C1173" s="1"/>
      <c r="D1173" s="1"/>
      <c r="E1173" s="1"/>
      <c r="F1173" s="1"/>
      <c r="H1173" s="1"/>
    </row>
    <row r="1174" spans="2:8" x14ac:dyDescent="0.25">
      <c r="B1174" s="1"/>
      <c r="C1174" s="1"/>
      <c r="D1174" s="1"/>
      <c r="E1174" s="1"/>
      <c r="F1174" s="1"/>
      <c r="H1174" s="1"/>
    </row>
    <row r="1175" spans="2:8" x14ac:dyDescent="0.25">
      <c r="B1175" s="1"/>
      <c r="C1175" s="1"/>
      <c r="D1175" s="1"/>
      <c r="E1175" s="1"/>
      <c r="F1175" s="1"/>
      <c r="H1175" s="1"/>
    </row>
    <row r="1176" spans="2:8" x14ac:dyDescent="0.25">
      <c r="B1176" s="1"/>
      <c r="C1176" s="1"/>
      <c r="D1176" s="1"/>
      <c r="E1176" s="1"/>
      <c r="F1176" s="1"/>
      <c r="H1176" s="1"/>
    </row>
    <row r="1177" spans="2:8" x14ac:dyDescent="0.25">
      <c r="B1177" s="1"/>
      <c r="C1177" s="1"/>
      <c r="D1177" s="1"/>
      <c r="E1177" s="1"/>
      <c r="F1177" s="1"/>
      <c r="H1177" s="1"/>
    </row>
    <row r="1178" spans="2:8" x14ac:dyDescent="0.25">
      <c r="B1178" s="1"/>
      <c r="C1178" s="1"/>
      <c r="D1178" s="1"/>
      <c r="E1178" s="1"/>
      <c r="F1178" s="1"/>
      <c r="H1178" s="1"/>
    </row>
    <row r="1179" spans="2:8" x14ac:dyDescent="0.25">
      <c r="B1179" s="1"/>
      <c r="C1179" s="1"/>
      <c r="D1179" s="1"/>
      <c r="E1179" s="1"/>
      <c r="F1179" s="1"/>
      <c r="H1179" s="1"/>
    </row>
    <row r="1180" spans="2:8" x14ac:dyDescent="0.25">
      <c r="B1180" s="1"/>
      <c r="C1180" s="1"/>
      <c r="D1180" s="1"/>
      <c r="E1180" s="1"/>
      <c r="F1180" s="1"/>
      <c r="H1180" s="1"/>
    </row>
    <row r="1181" spans="2:8" x14ac:dyDescent="0.25">
      <c r="B1181" s="1"/>
      <c r="C1181" s="1"/>
      <c r="D1181" s="1"/>
      <c r="E1181" s="1"/>
      <c r="F1181" s="1"/>
      <c r="H1181" s="1"/>
    </row>
    <row r="1182" spans="2:8" x14ac:dyDescent="0.25">
      <c r="B1182" s="1"/>
      <c r="C1182" s="1"/>
      <c r="D1182" s="1"/>
      <c r="E1182" s="1"/>
      <c r="F1182" s="1"/>
      <c r="H1182" s="1"/>
    </row>
    <row r="1183" spans="2:8" x14ac:dyDescent="0.25">
      <c r="B1183" s="1"/>
      <c r="C1183" s="1"/>
      <c r="D1183" s="1"/>
      <c r="E1183" s="1"/>
      <c r="F1183" s="1"/>
      <c r="H1183" s="1"/>
    </row>
    <row r="1184" spans="2:8" x14ac:dyDescent="0.25">
      <c r="B1184" s="1"/>
      <c r="C1184" s="1"/>
      <c r="D1184" s="1"/>
      <c r="E1184" s="1"/>
      <c r="F1184" s="1"/>
      <c r="H1184" s="1"/>
    </row>
    <row r="1185" spans="2:8" x14ac:dyDescent="0.25">
      <c r="B1185" s="1"/>
      <c r="C1185" s="1"/>
      <c r="D1185" s="1"/>
      <c r="E1185" s="1"/>
      <c r="F1185" s="1"/>
      <c r="H1185" s="1"/>
    </row>
    <row r="1186" spans="2:8" x14ac:dyDescent="0.25">
      <c r="B1186" s="1"/>
      <c r="C1186" s="1"/>
      <c r="D1186" s="1"/>
      <c r="E1186" s="1"/>
      <c r="F1186" s="1"/>
      <c r="H1186" s="1"/>
    </row>
    <row r="1187" spans="2:8" x14ac:dyDescent="0.25">
      <c r="B1187" s="1"/>
      <c r="C1187" s="1"/>
      <c r="D1187" s="1"/>
      <c r="E1187" s="1"/>
      <c r="F1187" s="1"/>
      <c r="H1187" s="1"/>
    </row>
    <row r="1188" spans="2:8" x14ac:dyDescent="0.25">
      <c r="B1188" s="1"/>
      <c r="C1188" s="1"/>
      <c r="D1188" s="1"/>
      <c r="E1188" s="1"/>
      <c r="F1188" s="1"/>
      <c r="H1188" s="1"/>
    </row>
    <row r="1189" spans="2:8" x14ac:dyDescent="0.25">
      <c r="B1189" s="1"/>
      <c r="C1189" s="1"/>
      <c r="D1189" s="1"/>
      <c r="E1189" s="1"/>
      <c r="F1189" s="1"/>
      <c r="H1189" s="1"/>
    </row>
    <row r="1190" spans="2:8" x14ac:dyDescent="0.25">
      <c r="B1190" s="1"/>
      <c r="C1190" s="1"/>
      <c r="D1190" s="1"/>
      <c r="E1190" s="1"/>
      <c r="F1190" s="1"/>
      <c r="H1190" s="1"/>
    </row>
    <row r="1191" spans="2:8" x14ac:dyDescent="0.25">
      <c r="B1191" s="1"/>
      <c r="C1191" s="1"/>
      <c r="D1191" s="1"/>
      <c r="E1191" s="1"/>
      <c r="F1191" s="1"/>
      <c r="H1191" s="1"/>
    </row>
    <row r="1192" spans="2:8" x14ac:dyDescent="0.25">
      <c r="B1192" s="1"/>
      <c r="C1192" s="1"/>
      <c r="D1192" s="1"/>
      <c r="E1192" s="1"/>
      <c r="F1192" s="1"/>
      <c r="H1192" s="1"/>
    </row>
    <row r="1193" spans="2:8" x14ac:dyDescent="0.25">
      <c r="B1193" s="1"/>
      <c r="C1193" s="1"/>
      <c r="D1193" s="1"/>
      <c r="E1193" s="1"/>
      <c r="F1193" s="1"/>
      <c r="H1193" s="1"/>
    </row>
    <row r="1194" spans="2:8" x14ac:dyDescent="0.25">
      <c r="B1194" s="1"/>
      <c r="C1194" s="1"/>
      <c r="D1194" s="1"/>
      <c r="E1194" s="1"/>
      <c r="F1194" s="1"/>
      <c r="H1194" s="1"/>
    </row>
    <row r="1195" spans="2:8" x14ac:dyDescent="0.25">
      <c r="B1195" s="1"/>
      <c r="C1195" s="1"/>
      <c r="D1195" s="1"/>
      <c r="E1195" s="1"/>
      <c r="F1195" s="1"/>
      <c r="H1195" s="1"/>
    </row>
    <row r="1196" spans="2:8" x14ac:dyDescent="0.25">
      <c r="B1196" s="1"/>
      <c r="C1196" s="1"/>
      <c r="D1196" s="1"/>
      <c r="E1196" s="1"/>
      <c r="F1196" s="1"/>
      <c r="H1196" s="1"/>
    </row>
    <row r="1197" spans="2:8" x14ac:dyDescent="0.25">
      <c r="B1197" s="1"/>
      <c r="C1197" s="1"/>
      <c r="D1197" s="1"/>
      <c r="E1197" s="1"/>
      <c r="F1197" s="1"/>
      <c r="H1197" s="1"/>
    </row>
    <row r="1198" spans="2:8" x14ac:dyDescent="0.25">
      <c r="B1198" s="1"/>
      <c r="C1198" s="1"/>
      <c r="D1198" s="1"/>
      <c r="E1198" s="1"/>
      <c r="F1198" s="1"/>
      <c r="H1198" s="1"/>
    </row>
    <row r="1199" spans="2:8" x14ac:dyDescent="0.25">
      <c r="B1199" s="1"/>
      <c r="C1199" s="1"/>
      <c r="D1199" s="1"/>
      <c r="E1199" s="1"/>
      <c r="F1199" s="1"/>
      <c r="H1199" s="1"/>
    </row>
    <row r="1200" spans="2:8" x14ac:dyDescent="0.25">
      <c r="B1200" s="1"/>
      <c r="C1200" s="1"/>
      <c r="D1200" s="1"/>
      <c r="E1200" s="1"/>
      <c r="F1200" s="1"/>
      <c r="H1200" s="1"/>
    </row>
    <row r="1201" spans="2:8" x14ac:dyDescent="0.25">
      <c r="B1201" s="1"/>
      <c r="C1201" s="1"/>
      <c r="D1201" s="1"/>
      <c r="E1201" s="1"/>
      <c r="F1201" s="1"/>
      <c r="H1201" s="1"/>
    </row>
    <row r="1202" spans="2:8" x14ac:dyDescent="0.25">
      <c r="B1202" s="1"/>
      <c r="C1202" s="1"/>
      <c r="D1202" s="1"/>
      <c r="E1202" s="1"/>
      <c r="F1202" s="1"/>
      <c r="H1202" s="1"/>
    </row>
    <row r="1203" spans="2:8" x14ac:dyDescent="0.25">
      <c r="B1203" s="1"/>
      <c r="C1203" s="1"/>
      <c r="D1203" s="1"/>
      <c r="E1203" s="1"/>
      <c r="F1203" s="1"/>
      <c r="H1203" s="1"/>
    </row>
    <row r="1204" spans="2:8" x14ac:dyDescent="0.25">
      <c r="B1204" s="1"/>
      <c r="C1204" s="1"/>
      <c r="D1204" s="1"/>
      <c r="E1204" s="1"/>
      <c r="F1204" s="1"/>
      <c r="H1204" s="1"/>
    </row>
    <row r="1205" spans="2:8" x14ac:dyDescent="0.25">
      <c r="B1205" s="1"/>
      <c r="C1205" s="1"/>
      <c r="D1205" s="1"/>
      <c r="E1205" s="1"/>
      <c r="F1205" s="1"/>
      <c r="H1205" s="1"/>
    </row>
    <row r="1206" spans="2:8" x14ac:dyDescent="0.25">
      <c r="B1206" s="1"/>
      <c r="C1206" s="1"/>
      <c r="D1206" s="1"/>
      <c r="E1206" s="1"/>
      <c r="F1206" s="1"/>
      <c r="H1206" s="1"/>
    </row>
    <row r="1207" spans="2:8" x14ac:dyDescent="0.25">
      <c r="B1207" s="1"/>
      <c r="C1207" s="1"/>
      <c r="D1207" s="1"/>
      <c r="E1207" s="1"/>
      <c r="F1207" s="1"/>
      <c r="H1207" s="1"/>
    </row>
    <row r="1208" spans="2:8" x14ac:dyDescent="0.25">
      <c r="B1208" s="1"/>
      <c r="C1208" s="1"/>
      <c r="D1208" s="1"/>
      <c r="E1208" s="1"/>
      <c r="F1208" s="1"/>
      <c r="H1208" s="1"/>
    </row>
    <row r="1209" spans="2:8" x14ac:dyDescent="0.25">
      <c r="B1209" s="1"/>
      <c r="C1209" s="1"/>
      <c r="D1209" s="1"/>
      <c r="E1209" s="1"/>
      <c r="F1209" s="1"/>
      <c r="H1209" s="1"/>
    </row>
    <row r="1210" spans="2:8" x14ac:dyDescent="0.25">
      <c r="B1210" s="1"/>
      <c r="C1210" s="1"/>
      <c r="D1210" s="1"/>
      <c r="E1210" s="1"/>
      <c r="F1210" s="1"/>
      <c r="H1210" s="1"/>
    </row>
    <row r="1211" spans="2:8" x14ac:dyDescent="0.25">
      <c r="B1211" s="1"/>
      <c r="C1211" s="1"/>
      <c r="D1211" s="1"/>
      <c r="E1211" s="1"/>
      <c r="F1211" s="1"/>
      <c r="H1211" s="1"/>
    </row>
    <row r="1212" spans="2:8" x14ac:dyDescent="0.25">
      <c r="B1212" s="1"/>
      <c r="C1212" s="1"/>
      <c r="D1212" s="1"/>
      <c r="E1212" s="1"/>
      <c r="F1212" s="1"/>
      <c r="H1212" s="1"/>
    </row>
    <row r="1213" spans="2:8" x14ac:dyDescent="0.25">
      <c r="B1213" s="1"/>
      <c r="C1213" s="1"/>
      <c r="D1213" s="1"/>
      <c r="E1213" s="1"/>
      <c r="F1213" s="1"/>
      <c r="H1213" s="1"/>
    </row>
    <row r="1214" spans="2:8" x14ac:dyDescent="0.25">
      <c r="B1214" s="1"/>
      <c r="C1214" s="1"/>
      <c r="D1214" s="1"/>
      <c r="E1214" s="1"/>
      <c r="F1214" s="1"/>
      <c r="H1214" s="1"/>
    </row>
    <row r="1215" spans="2:8" x14ac:dyDescent="0.25">
      <c r="B1215" s="1"/>
      <c r="C1215" s="1"/>
      <c r="D1215" s="1"/>
      <c r="E1215" s="1"/>
      <c r="F1215" s="1"/>
      <c r="H1215" s="1"/>
    </row>
    <row r="1216" spans="2:8" x14ac:dyDescent="0.25">
      <c r="B1216" s="1"/>
      <c r="C1216" s="1"/>
      <c r="D1216" s="1"/>
      <c r="E1216" s="1"/>
      <c r="F1216" s="1"/>
      <c r="H1216" s="1"/>
    </row>
    <row r="1217" spans="2:8" x14ac:dyDescent="0.25">
      <c r="B1217" s="1"/>
      <c r="C1217" s="1"/>
      <c r="D1217" s="1"/>
      <c r="E1217" s="1"/>
      <c r="F1217" s="1"/>
      <c r="H1217" s="1"/>
    </row>
    <row r="1218" spans="2:8" x14ac:dyDescent="0.25">
      <c r="B1218" s="1"/>
      <c r="C1218" s="1"/>
      <c r="D1218" s="1"/>
      <c r="E1218" s="1"/>
      <c r="F1218" s="1"/>
      <c r="H1218" s="1"/>
    </row>
    <row r="1219" spans="2:8" x14ac:dyDescent="0.25">
      <c r="B1219" s="1"/>
      <c r="C1219" s="1"/>
      <c r="D1219" s="1"/>
      <c r="E1219" s="1"/>
      <c r="F1219" s="1"/>
      <c r="H1219" s="1"/>
    </row>
    <row r="1220" spans="2:8" x14ac:dyDescent="0.25">
      <c r="B1220" s="1"/>
      <c r="C1220" s="1"/>
      <c r="D1220" s="1"/>
      <c r="E1220" s="1"/>
      <c r="F1220" s="1"/>
      <c r="H1220" s="1"/>
    </row>
    <row r="1221" spans="2:8" x14ac:dyDescent="0.25">
      <c r="B1221" s="1"/>
      <c r="C1221" s="1"/>
      <c r="D1221" s="1"/>
      <c r="E1221" s="1"/>
      <c r="F1221" s="1"/>
      <c r="H1221" s="1"/>
    </row>
    <row r="1222" spans="2:8" x14ac:dyDescent="0.25">
      <c r="B1222" s="1"/>
      <c r="C1222" s="1"/>
      <c r="D1222" s="1"/>
      <c r="E1222" s="1"/>
      <c r="F1222" s="1"/>
      <c r="H1222" s="1"/>
    </row>
    <row r="1223" spans="2:8" x14ac:dyDescent="0.25">
      <c r="B1223" s="1"/>
      <c r="C1223" s="1"/>
      <c r="D1223" s="1"/>
      <c r="E1223" s="1"/>
      <c r="F1223" s="1"/>
      <c r="H1223" s="1"/>
    </row>
    <row r="1224" spans="2:8" x14ac:dyDescent="0.25">
      <c r="B1224" s="1"/>
      <c r="C1224" s="1"/>
      <c r="D1224" s="1"/>
      <c r="E1224" s="1"/>
      <c r="F1224" s="1"/>
      <c r="H1224" s="1"/>
    </row>
    <row r="1225" spans="2:8" x14ac:dyDescent="0.25">
      <c r="B1225" s="1"/>
      <c r="C1225" s="1"/>
      <c r="D1225" s="1"/>
      <c r="E1225" s="1"/>
      <c r="F1225" s="1"/>
      <c r="H1225" s="1"/>
    </row>
    <row r="1226" spans="2:8" x14ac:dyDescent="0.25">
      <c r="B1226" s="1"/>
      <c r="C1226" s="1"/>
      <c r="D1226" s="1"/>
      <c r="E1226" s="1"/>
      <c r="F1226" s="1"/>
      <c r="H1226" s="1"/>
    </row>
    <row r="1227" spans="2:8" x14ac:dyDescent="0.25">
      <c r="B1227" s="1"/>
      <c r="C1227" s="1"/>
      <c r="D1227" s="1"/>
      <c r="E1227" s="1"/>
      <c r="F1227" s="1"/>
      <c r="H1227" s="1"/>
    </row>
    <row r="1228" spans="2:8" x14ac:dyDescent="0.25">
      <c r="B1228" s="1"/>
      <c r="C1228" s="1"/>
      <c r="D1228" s="1"/>
      <c r="E1228" s="1"/>
      <c r="F1228" s="1"/>
      <c r="H1228" s="1"/>
    </row>
    <row r="1229" spans="2:8" x14ac:dyDescent="0.25">
      <c r="B1229" s="1"/>
      <c r="C1229" s="1"/>
      <c r="D1229" s="1"/>
      <c r="E1229" s="1"/>
      <c r="F1229" s="1"/>
      <c r="H1229" s="1"/>
    </row>
    <row r="1230" spans="2:8" x14ac:dyDescent="0.25">
      <c r="B1230" s="1"/>
      <c r="C1230" s="1"/>
      <c r="D1230" s="1"/>
      <c r="E1230" s="1"/>
      <c r="F1230" s="1"/>
      <c r="H1230" s="1"/>
    </row>
    <row r="1231" spans="2:8" x14ac:dyDescent="0.25">
      <c r="B1231" s="1"/>
      <c r="C1231" s="1"/>
      <c r="D1231" s="1"/>
      <c r="E1231" s="1"/>
      <c r="F1231" s="1"/>
      <c r="H1231" s="1"/>
    </row>
    <row r="1232" spans="2:8" x14ac:dyDescent="0.25">
      <c r="B1232" s="1"/>
      <c r="C1232" s="1"/>
      <c r="D1232" s="1"/>
      <c r="E1232" s="1"/>
      <c r="F1232" s="1"/>
      <c r="H1232" s="1"/>
    </row>
    <row r="1233" spans="2:8" x14ac:dyDescent="0.25">
      <c r="B1233" s="1"/>
      <c r="C1233" s="1"/>
      <c r="D1233" s="1"/>
      <c r="E1233" s="1"/>
      <c r="F1233" s="1"/>
      <c r="H1233" s="1"/>
    </row>
    <row r="1234" spans="2:8" x14ac:dyDescent="0.25">
      <c r="B1234" s="1"/>
      <c r="C1234" s="1"/>
      <c r="D1234" s="1"/>
      <c r="E1234" s="1"/>
      <c r="F1234" s="1"/>
      <c r="H1234" s="1"/>
    </row>
    <row r="1235" spans="2:8" x14ac:dyDescent="0.25">
      <c r="B1235" s="1"/>
      <c r="C1235" s="1"/>
      <c r="D1235" s="1"/>
      <c r="E1235" s="1"/>
      <c r="F1235" s="1"/>
      <c r="H1235" s="1"/>
    </row>
    <row r="1236" spans="2:8" x14ac:dyDescent="0.25">
      <c r="B1236" s="1"/>
      <c r="C1236" s="1"/>
      <c r="D1236" s="1"/>
      <c r="E1236" s="1"/>
      <c r="F1236" s="1"/>
      <c r="H1236" s="1"/>
    </row>
    <row r="1237" spans="2:8" x14ac:dyDescent="0.25">
      <c r="B1237" s="1"/>
      <c r="C1237" s="1"/>
      <c r="D1237" s="1"/>
      <c r="E1237" s="1"/>
      <c r="F1237" s="1"/>
      <c r="H1237" s="1"/>
    </row>
    <row r="1238" spans="2:8" x14ac:dyDescent="0.25">
      <c r="B1238" s="1"/>
      <c r="C1238" s="1"/>
      <c r="D1238" s="1"/>
      <c r="E1238" s="1"/>
      <c r="F1238" s="1"/>
      <c r="H1238" s="1"/>
    </row>
    <row r="1239" spans="2:8" x14ac:dyDescent="0.25">
      <c r="B1239" s="1"/>
      <c r="C1239" s="1"/>
      <c r="D1239" s="1"/>
      <c r="E1239" s="1"/>
      <c r="F1239" s="1"/>
      <c r="H1239" s="1"/>
    </row>
    <row r="1240" spans="2:8" x14ac:dyDescent="0.25">
      <c r="B1240" s="1"/>
      <c r="C1240" s="1"/>
      <c r="D1240" s="1"/>
      <c r="E1240" s="1"/>
      <c r="F1240" s="1"/>
      <c r="H1240" s="1"/>
    </row>
    <row r="1241" spans="2:8" x14ac:dyDescent="0.25">
      <c r="B1241" s="1"/>
      <c r="C1241" s="1"/>
      <c r="D1241" s="1"/>
      <c r="E1241" s="1"/>
      <c r="F1241" s="1"/>
      <c r="H1241" s="1"/>
    </row>
    <row r="1242" spans="2:8" x14ac:dyDescent="0.25">
      <c r="B1242" s="1"/>
      <c r="C1242" s="1"/>
      <c r="D1242" s="1"/>
      <c r="E1242" s="1"/>
      <c r="F1242" s="1"/>
      <c r="H1242" s="1"/>
    </row>
    <row r="1243" spans="2:8" x14ac:dyDescent="0.25">
      <c r="B1243" s="1"/>
      <c r="C1243" s="1"/>
      <c r="D1243" s="1"/>
      <c r="E1243" s="1"/>
      <c r="F1243" s="1"/>
      <c r="H1243" s="1"/>
    </row>
    <row r="1244" spans="2:8" x14ac:dyDescent="0.25">
      <c r="B1244" s="1"/>
      <c r="C1244" s="1"/>
      <c r="D1244" s="1"/>
      <c r="E1244" s="1"/>
      <c r="F1244" s="1"/>
      <c r="H1244" s="1"/>
    </row>
    <row r="1245" spans="2:8" x14ac:dyDescent="0.25">
      <c r="B1245" s="1"/>
      <c r="C1245" s="1"/>
      <c r="D1245" s="1"/>
      <c r="E1245" s="1"/>
      <c r="F1245" s="1"/>
      <c r="H1245" s="1"/>
    </row>
    <row r="1246" spans="2:8" x14ac:dyDescent="0.25">
      <c r="B1246" s="1"/>
      <c r="C1246" s="1"/>
      <c r="D1246" s="1"/>
      <c r="E1246" s="1"/>
      <c r="F1246" s="1"/>
      <c r="H1246" s="1"/>
    </row>
    <row r="1247" spans="2:8" x14ac:dyDescent="0.25">
      <c r="B1247" s="1"/>
      <c r="C1247" s="1"/>
      <c r="D1247" s="1"/>
      <c r="E1247" s="1"/>
      <c r="F1247" s="1"/>
      <c r="H1247" s="1"/>
    </row>
    <row r="1248" spans="2:8" x14ac:dyDescent="0.25">
      <c r="B1248" s="1"/>
      <c r="C1248" s="1"/>
      <c r="D1248" s="1"/>
      <c r="E1248" s="1"/>
      <c r="F1248" s="1"/>
      <c r="H1248" s="1"/>
    </row>
    <row r="1249" spans="2:8" x14ac:dyDescent="0.25">
      <c r="B1249" s="1"/>
      <c r="C1249" s="1"/>
      <c r="D1249" s="1"/>
      <c r="E1249" s="1"/>
      <c r="F1249" s="1"/>
      <c r="H1249" s="1"/>
    </row>
    <row r="1250" spans="2:8" x14ac:dyDescent="0.25">
      <c r="B1250" s="1"/>
      <c r="C1250" s="1"/>
      <c r="D1250" s="1"/>
      <c r="E1250" s="1"/>
      <c r="F1250" s="1"/>
      <c r="H1250" s="1"/>
    </row>
    <row r="1251" spans="2:8" x14ac:dyDescent="0.25">
      <c r="B1251" s="1"/>
      <c r="C1251" s="1"/>
      <c r="D1251" s="1"/>
      <c r="E1251" s="1"/>
      <c r="F1251" s="1"/>
      <c r="H1251" s="1"/>
    </row>
    <row r="1252" spans="2:8" x14ac:dyDescent="0.25">
      <c r="B1252" s="1"/>
      <c r="C1252" s="1"/>
      <c r="D1252" s="1"/>
      <c r="E1252" s="1"/>
      <c r="F1252" s="1"/>
      <c r="H1252" s="1"/>
    </row>
    <row r="1253" spans="2:8" x14ac:dyDescent="0.25">
      <c r="B1253" s="1"/>
      <c r="C1253" s="1"/>
      <c r="D1253" s="1"/>
      <c r="E1253" s="1"/>
      <c r="F1253" s="1"/>
      <c r="H1253" s="1"/>
    </row>
    <row r="1254" spans="2:8" x14ac:dyDescent="0.25">
      <c r="B1254" s="1"/>
      <c r="C1254" s="1"/>
      <c r="D1254" s="1"/>
      <c r="E1254" s="1"/>
      <c r="F1254" s="1"/>
      <c r="H1254" s="1"/>
    </row>
    <row r="1255" spans="2:8" x14ac:dyDescent="0.25">
      <c r="B1255" s="1"/>
      <c r="C1255" s="1"/>
      <c r="D1255" s="1"/>
      <c r="E1255" s="1"/>
      <c r="F1255" s="1"/>
      <c r="H1255" s="1"/>
    </row>
    <row r="1256" spans="2:8" x14ac:dyDescent="0.25">
      <c r="B1256" s="1"/>
      <c r="C1256" s="1"/>
      <c r="D1256" s="1"/>
      <c r="E1256" s="1"/>
      <c r="F1256" s="1"/>
      <c r="H1256" s="1"/>
    </row>
    <row r="1257" spans="2:8" x14ac:dyDescent="0.25">
      <c r="B1257" s="1"/>
      <c r="C1257" s="1"/>
      <c r="D1257" s="1"/>
      <c r="E1257" s="1"/>
      <c r="F1257" s="1"/>
      <c r="H1257" s="1"/>
    </row>
    <row r="1258" spans="2:8" x14ac:dyDescent="0.25">
      <c r="B1258" s="1"/>
      <c r="C1258" s="1"/>
      <c r="D1258" s="1"/>
      <c r="E1258" s="1"/>
      <c r="F1258" s="1"/>
      <c r="H1258" s="1"/>
    </row>
    <row r="1259" spans="2:8" x14ac:dyDescent="0.25">
      <c r="B1259" s="1"/>
      <c r="C1259" s="1"/>
      <c r="D1259" s="1"/>
      <c r="E1259" s="1"/>
      <c r="F1259" s="1"/>
      <c r="H1259" s="1"/>
    </row>
    <row r="1260" spans="2:8" x14ac:dyDescent="0.25">
      <c r="B1260" s="1"/>
      <c r="C1260" s="1"/>
      <c r="D1260" s="1"/>
      <c r="E1260" s="1"/>
      <c r="F1260" s="1"/>
      <c r="H1260" s="1"/>
    </row>
    <row r="1261" spans="2:8" x14ac:dyDescent="0.25">
      <c r="B1261" s="1"/>
      <c r="C1261" s="1"/>
      <c r="D1261" s="1"/>
      <c r="E1261" s="1"/>
      <c r="F1261" s="1"/>
      <c r="H1261" s="1"/>
    </row>
    <row r="1262" spans="2:8" x14ac:dyDescent="0.25">
      <c r="B1262" s="1"/>
      <c r="C1262" s="1"/>
      <c r="D1262" s="1"/>
      <c r="E1262" s="1"/>
      <c r="F1262" s="1"/>
      <c r="H1262" s="1"/>
    </row>
    <row r="1263" spans="2:8" x14ac:dyDescent="0.25">
      <c r="B1263" s="1"/>
      <c r="C1263" s="1"/>
      <c r="D1263" s="1"/>
      <c r="E1263" s="1"/>
      <c r="F1263" s="1"/>
      <c r="H1263" s="1"/>
    </row>
    <row r="1264" spans="2:8" x14ac:dyDescent="0.25">
      <c r="B1264" s="1"/>
      <c r="C1264" s="1"/>
      <c r="D1264" s="1"/>
      <c r="E1264" s="1"/>
      <c r="F1264" s="1"/>
      <c r="H1264" s="1"/>
    </row>
    <row r="1265" spans="2:8" x14ac:dyDescent="0.25">
      <c r="B1265" s="1"/>
      <c r="C1265" s="1"/>
      <c r="D1265" s="1"/>
      <c r="E1265" s="1"/>
      <c r="F1265" s="1"/>
      <c r="H1265" s="1"/>
    </row>
    <row r="1266" spans="2:8" x14ac:dyDescent="0.25">
      <c r="B1266" s="1"/>
      <c r="C1266" s="1"/>
      <c r="D1266" s="1"/>
      <c r="E1266" s="1"/>
      <c r="F1266" s="1"/>
      <c r="H1266" s="1"/>
    </row>
    <row r="1267" spans="2:8" x14ac:dyDescent="0.25">
      <c r="B1267" s="1"/>
      <c r="C1267" s="1"/>
      <c r="D1267" s="1"/>
      <c r="E1267" s="1"/>
      <c r="F1267" s="1"/>
      <c r="H1267" s="1"/>
    </row>
    <row r="1268" spans="2:8" x14ac:dyDescent="0.25">
      <c r="B1268" s="1"/>
      <c r="C1268" s="1"/>
      <c r="D1268" s="1"/>
      <c r="E1268" s="1"/>
      <c r="F1268" s="1"/>
      <c r="H1268" s="1"/>
    </row>
    <row r="1269" spans="2:8" x14ac:dyDescent="0.25">
      <c r="B1269" s="1"/>
      <c r="C1269" s="1"/>
      <c r="D1269" s="1"/>
      <c r="E1269" s="1"/>
      <c r="F1269" s="1"/>
      <c r="H1269" s="1"/>
    </row>
    <row r="1270" spans="2:8" x14ac:dyDescent="0.25">
      <c r="B1270" s="1"/>
      <c r="C1270" s="1"/>
      <c r="D1270" s="1"/>
      <c r="E1270" s="1"/>
      <c r="F1270" s="1"/>
      <c r="H1270" s="1"/>
    </row>
    <row r="1271" spans="2:8" x14ac:dyDescent="0.25">
      <c r="B1271" s="1"/>
      <c r="C1271" s="1"/>
      <c r="D1271" s="1"/>
      <c r="E1271" s="1"/>
      <c r="F1271" s="1"/>
      <c r="H1271" s="1"/>
    </row>
    <row r="1272" spans="2:8" x14ac:dyDescent="0.25">
      <c r="B1272" s="1"/>
      <c r="C1272" s="1"/>
      <c r="D1272" s="1"/>
      <c r="E1272" s="1"/>
      <c r="F1272" s="1"/>
      <c r="H1272" s="1"/>
    </row>
    <row r="1273" spans="2:8" x14ac:dyDescent="0.25">
      <c r="B1273" s="1"/>
      <c r="C1273" s="1"/>
      <c r="D1273" s="1"/>
      <c r="E1273" s="1"/>
      <c r="F1273" s="1"/>
      <c r="H1273" s="1"/>
    </row>
    <row r="1274" spans="2:8" x14ac:dyDescent="0.25">
      <c r="B1274" s="1"/>
      <c r="C1274" s="1"/>
      <c r="D1274" s="1"/>
      <c r="E1274" s="1"/>
      <c r="F1274" s="1"/>
      <c r="H1274" s="1"/>
    </row>
    <row r="1275" spans="2:8" x14ac:dyDescent="0.25">
      <c r="B1275" s="1"/>
      <c r="C1275" s="1"/>
      <c r="D1275" s="1"/>
      <c r="E1275" s="1"/>
      <c r="F1275" s="1"/>
      <c r="H1275" s="1"/>
    </row>
    <row r="1276" spans="2:8" x14ac:dyDescent="0.25">
      <c r="B1276" s="1"/>
      <c r="C1276" s="1"/>
      <c r="D1276" s="1"/>
      <c r="E1276" s="1"/>
      <c r="F1276" s="1"/>
      <c r="H1276" s="1"/>
    </row>
    <row r="1277" spans="2:8" x14ac:dyDescent="0.25">
      <c r="B1277" s="1"/>
      <c r="C1277" s="1"/>
      <c r="D1277" s="1"/>
      <c r="E1277" s="1"/>
      <c r="F1277" s="1"/>
      <c r="H1277" s="1"/>
    </row>
    <row r="1278" spans="2:8" x14ac:dyDescent="0.25">
      <c r="B1278" s="1"/>
      <c r="C1278" s="1"/>
      <c r="D1278" s="1"/>
      <c r="E1278" s="1"/>
      <c r="F1278" s="1"/>
      <c r="H1278" s="1"/>
    </row>
    <row r="1279" spans="2:8" x14ac:dyDescent="0.25">
      <c r="B1279" s="1"/>
      <c r="C1279" s="1"/>
      <c r="D1279" s="1"/>
      <c r="E1279" s="1"/>
      <c r="F1279" s="1"/>
      <c r="H1279" s="1"/>
    </row>
    <row r="1280" spans="2:8" x14ac:dyDescent="0.25">
      <c r="B1280" s="1"/>
      <c r="C1280" s="1"/>
      <c r="D1280" s="1"/>
      <c r="E1280" s="1"/>
      <c r="F1280" s="1"/>
      <c r="H1280" s="1"/>
    </row>
    <row r="1281" spans="2:8" x14ac:dyDescent="0.25">
      <c r="B1281" s="1"/>
      <c r="C1281" s="1"/>
      <c r="D1281" s="1"/>
      <c r="E1281" s="1"/>
      <c r="F1281" s="1"/>
      <c r="H1281" s="1"/>
    </row>
    <row r="1282" spans="2:8" x14ac:dyDescent="0.25">
      <c r="B1282" s="1"/>
      <c r="C1282" s="1"/>
      <c r="D1282" s="1"/>
      <c r="E1282" s="1"/>
      <c r="F1282" s="1"/>
      <c r="H1282" s="1"/>
    </row>
    <row r="1283" spans="2:8" x14ac:dyDescent="0.25">
      <c r="B1283" s="1"/>
      <c r="C1283" s="1"/>
      <c r="D1283" s="1"/>
      <c r="E1283" s="1"/>
      <c r="F1283" s="1"/>
      <c r="H1283" s="1"/>
    </row>
    <row r="1284" spans="2:8" x14ac:dyDescent="0.25">
      <c r="B1284" s="1"/>
      <c r="C1284" s="1"/>
      <c r="D1284" s="1"/>
      <c r="E1284" s="1"/>
      <c r="F1284" s="1"/>
      <c r="H1284" s="1"/>
    </row>
    <row r="1285" spans="2:8" x14ac:dyDescent="0.25">
      <c r="B1285" s="1"/>
      <c r="C1285" s="1"/>
      <c r="D1285" s="1"/>
      <c r="E1285" s="1"/>
      <c r="F1285" s="1"/>
      <c r="H1285" s="1"/>
    </row>
    <row r="1286" spans="2:8" x14ac:dyDescent="0.25">
      <c r="B1286" s="1"/>
      <c r="C1286" s="1"/>
      <c r="D1286" s="1"/>
      <c r="E1286" s="1"/>
      <c r="F1286" s="1"/>
      <c r="H1286" s="1"/>
    </row>
    <row r="1287" spans="2:8" x14ac:dyDescent="0.25">
      <c r="B1287" s="1"/>
      <c r="C1287" s="1"/>
      <c r="D1287" s="1"/>
      <c r="E1287" s="1"/>
      <c r="F1287" s="1"/>
      <c r="H1287" s="1"/>
    </row>
    <row r="1288" spans="2:8" x14ac:dyDescent="0.25">
      <c r="B1288" s="1"/>
      <c r="C1288" s="1"/>
      <c r="D1288" s="1"/>
      <c r="E1288" s="1"/>
      <c r="F1288" s="1"/>
      <c r="H1288" s="1"/>
    </row>
    <row r="1289" spans="2:8" x14ac:dyDescent="0.25">
      <c r="B1289" s="1"/>
      <c r="C1289" s="1"/>
      <c r="D1289" s="1"/>
      <c r="E1289" s="1"/>
      <c r="F1289" s="1"/>
      <c r="H1289" s="1"/>
    </row>
    <row r="1290" spans="2:8" x14ac:dyDescent="0.25">
      <c r="B1290" s="1"/>
      <c r="C1290" s="1"/>
      <c r="D1290" s="1"/>
      <c r="E1290" s="1"/>
      <c r="F1290" s="1"/>
      <c r="H1290" s="1"/>
    </row>
    <row r="1291" spans="2:8" x14ac:dyDescent="0.25">
      <c r="B1291" s="1"/>
      <c r="C1291" s="1"/>
      <c r="D1291" s="1"/>
      <c r="E1291" s="1"/>
      <c r="F1291" s="1"/>
      <c r="H1291" s="1"/>
    </row>
    <row r="1292" spans="2:8" x14ac:dyDescent="0.25">
      <c r="B1292" s="1"/>
      <c r="C1292" s="1"/>
      <c r="D1292" s="1"/>
      <c r="E1292" s="1"/>
      <c r="F1292" s="1"/>
      <c r="H1292" s="1"/>
    </row>
    <row r="1293" spans="2:8" x14ac:dyDescent="0.25">
      <c r="B1293" s="1"/>
      <c r="C1293" s="1"/>
      <c r="D1293" s="1"/>
      <c r="E1293" s="1"/>
      <c r="F1293" s="1"/>
      <c r="H1293" s="1"/>
    </row>
    <row r="1294" spans="2:8" x14ac:dyDescent="0.25">
      <c r="B1294" s="1"/>
      <c r="C1294" s="1"/>
      <c r="D1294" s="1"/>
      <c r="E1294" s="1"/>
      <c r="F1294" s="1"/>
      <c r="H1294" s="1"/>
    </row>
    <row r="1295" spans="2:8" x14ac:dyDescent="0.25">
      <c r="B1295" s="1"/>
      <c r="C1295" s="1"/>
      <c r="D1295" s="1"/>
      <c r="E1295" s="1"/>
      <c r="F1295" s="1"/>
      <c r="H1295" s="1"/>
    </row>
    <row r="1296" spans="2:8" x14ac:dyDescent="0.25">
      <c r="B1296" s="1"/>
      <c r="C1296" s="1"/>
      <c r="D1296" s="1"/>
      <c r="E1296" s="1"/>
      <c r="F1296" s="1"/>
      <c r="H1296" s="1"/>
    </row>
    <row r="1297" spans="2:8" x14ac:dyDescent="0.25">
      <c r="B1297" s="1"/>
      <c r="C1297" s="1"/>
      <c r="D1297" s="1"/>
      <c r="E1297" s="1"/>
      <c r="F1297" s="1"/>
      <c r="H1297" s="1"/>
    </row>
    <row r="1298" spans="2:8" x14ac:dyDescent="0.25">
      <c r="B1298" s="1"/>
      <c r="C1298" s="1"/>
      <c r="D1298" s="1"/>
      <c r="E1298" s="1"/>
      <c r="F1298" s="1"/>
      <c r="H1298" s="1"/>
    </row>
    <row r="1299" spans="2:8" x14ac:dyDescent="0.25">
      <c r="B1299" s="1"/>
      <c r="C1299" s="1"/>
      <c r="D1299" s="1"/>
      <c r="E1299" s="1"/>
      <c r="F1299" s="1"/>
      <c r="H1299" s="1"/>
    </row>
    <row r="1300" spans="2:8" x14ac:dyDescent="0.25">
      <c r="B1300" s="1"/>
      <c r="C1300" s="1"/>
      <c r="D1300" s="1"/>
      <c r="E1300" s="1"/>
      <c r="F1300" s="1"/>
      <c r="H1300" s="1"/>
    </row>
    <row r="1301" spans="2:8" x14ac:dyDescent="0.25">
      <c r="B1301" s="1"/>
      <c r="C1301" s="1"/>
      <c r="D1301" s="1"/>
      <c r="E1301" s="1"/>
      <c r="F1301" s="1"/>
      <c r="H1301" s="1"/>
    </row>
    <row r="1302" spans="2:8" x14ac:dyDescent="0.25">
      <c r="B1302" s="1"/>
      <c r="C1302" s="1"/>
      <c r="D1302" s="1"/>
      <c r="E1302" s="1"/>
      <c r="F1302" s="1"/>
      <c r="H1302" s="1"/>
    </row>
    <row r="1303" spans="2:8" x14ac:dyDescent="0.25">
      <c r="B1303" s="1"/>
      <c r="C1303" s="1"/>
      <c r="D1303" s="1"/>
      <c r="E1303" s="1"/>
      <c r="F1303" s="1"/>
      <c r="H1303" s="1"/>
    </row>
    <row r="1304" spans="2:8" x14ac:dyDescent="0.25">
      <c r="B1304" s="1"/>
      <c r="C1304" s="1"/>
      <c r="D1304" s="1"/>
      <c r="E1304" s="1"/>
      <c r="F1304" s="1"/>
      <c r="H1304" s="1"/>
    </row>
    <row r="1305" spans="2:8" x14ac:dyDescent="0.25">
      <c r="B1305" s="1"/>
      <c r="C1305" s="1"/>
      <c r="D1305" s="1"/>
      <c r="E1305" s="1"/>
      <c r="F1305" s="1"/>
      <c r="H1305" s="1"/>
    </row>
    <row r="1306" spans="2:8" x14ac:dyDescent="0.25">
      <c r="B1306" s="1"/>
      <c r="C1306" s="1"/>
      <c r="D1306" s="1"/>
      <c r="E1306" s="1"/>
      <c r="F1306" s="1"/>
      <c r="H1306" s="1"/>
    </row>
    <row r="1307" spans="2:8" x14ac:dyDescent="0.25">
      <c r="B1307" s="1"/>
      <c r="C1307" s="1"/>
      <c r="D1307" s="1"/>
      <c r="E1307" s="1"/>
      <c r="F1307" s="1"/>
      <c r="H1307" s="1"/>
    </row>
    <row r="1308" spans="2:8" x14ac:dyDescent="0.25">
      <c r="B1308" s="1"/>
      <c r="C1308" s="1"/>
      <c r="D1308" s="1"/>
      <c r="E1308" s="1"/>
      <c r="F1308" s="1"/>
      <c r="H1308" s="1"/>
    </row>
    <row r="1309" spans="2:8" x14ac:dyDescent="0.25">
      <c r="B1309" s="1"/>
      <c r="C1309" s="1"/>
      <c r="D1309" s="1"/>
      <c r="E1309" s="1"/>
      <c r="F1309" s="1"/>
      <c r="H1309" s="1"/>
    </row>
    <row r="1310" spans="2:8" x14ac:dyDescent="0.25">
      <c r="B1310" s="1"/>
      <c r="C1310" s="1"/>
      <c r="D1310" s="1"/>
      <c r="E1310" s="1"/>
      <c r="F1310" s="1"/>
      <c r="H1310" s="1"/>
    </row>
    <row r="1311" spans="2:8" x14ac:dyDescent="0.25">
      <c r="B1311" s="1"/>
      <c r="C1311" s="1"/>
      <c r="D1311" s="1"/>
      <c r="E1311" s="1"/>
      <c r="F1311" s="1"/>
      <c r="H1311" s="1"/>
    </row>
    <row r="1312" spans="2:8" x14ac:dyDescent="0.25">
      <c r="B1312" s="1"/>
      <c r="C1312" s="1"/>
      <c r="D1312" s="1"/>
      <c r="E1312" s="1"/>
      <c r="F1312" s="1"/>
      <c r="H1312" s="1"/>
    </row>
    <row r="1313" spans="2:8" x14ac:dyDescent="0.25">
      <c r="B1313" s="1"/>
      <c r="C1313" s="1"/>
      <c r="D1313" s="1"/>
      <c r="E1313" s="1"/>
      <c r="F1313" s="1"/>
      <c r="H1313" s="1"/>
    </row>
    <row r="1314" spans="2:8" x14ac:dyDescent="0.25">
      <c r="B1314" s="1"/>
      <c r="C1314" s="1"/>
      <c r="D1314" s="1"/>
      <c r="E1314" s="1"/>
      <c r="F1314" s="1"/>
      <c r="H1314" s="1"/>
    </row>
    <row r="1315" spans="2:8" x14ac:dyDescent="0.25">
      <c r="B1315" s="1"/>
      <c r="C1315" s="1"/>
      <c r="D1315" s="1"/>
      <c r="E1315" s="1"/>
      <c r="F1315" s="1"/>
      <c r="H1315" s="1"/>
    </row>
    <row r="1316" spans="2:8" x14ac:dyDescent="0.25">
      <c r="B1316" s="1"/>
      <c r="C1316" s="1"/>
      <c r="D1316" s="1"/>
      <c r="E1316" s="1"/>
      <c r="F1316" s="1"/>
      <c r="H1316" s="1"/>
    </row>
    <row r="1317" spans="2:8" x14ac:dyDescent="0.25">
      <c r="B1317" s="1"/>
      <c r="C1317" s="1"/>
      <c r="D1317" s="1"/>
      <c r="E1317" s="1"/>
      <c r="F1317" s="1"/>
      <c r="H1317" s="1"/>
    </row>
    <row r="1318" spans="2:8" x14ac:dyDescent="0.25">
      <c r="B1318" s="1"/>
      <c r="C1318" s="1"/>
      <c r="D1318" s="1"/>
      <c r="E1318" s="1"/>
      <c r="F1318" s="1"/>
      <c r="H1318" s="1"/>
    </row>
    <row r="1319" spans="2:8" x14ac:dyDescent="0.25">
      <c r="B1319" s="1"/>
      <c r="C1319" s="1"/>
      <c r="D1319" s="1"/>
      <c r="E1319" s="1"/>
      <c r="F1319" s="1"/>
      <c r="H1319" s="1"/>
    </row>
    <row r="1320" spans="2:8" x14ac:dyDescent="0.25">
      <c r="B1320" s="1"/>
      <c r="C1320" s="1"/>
      <c r="D1320" s="1"/>
      <c r="E1320" s="1"/>
      <c r="F1320" s="1"/>
      <c r="H1320" s="1"/>
    </row>
    <row r="1321" spans="2:8" x14ac:dyDescent="0.25">
      <c r="B1321" s="1"/>
      <c r="C1321" s="1"/>
      <c r="D1321" s="1"/>
      <c r="E1321" s="1"/>
      <c r="F1321" s="1"/>
      <c r="H1321" s="1"/>
    </row>
    <row r="1322" spans="2:8" x14ac:dyDescent="0.25">
      <c r="B1322" s="1"/>
      <c r="C1322" s="1"/>
      <c r="D1322" s="1"/>
      <c r="E1322" s="1"/>
      <c r="F1322" s="1"/>
      <c r="H1322" s="1"/>
    </row>
    <row r="1323" spans="2:8" x14ac:dyDescent="0.25">
      <c r="B1323" s="1"/>
      <c r="C1323" s="1"/>
      <c r="D1323" s="1"/>
      <c r="E1323" s="1"/>
      <c r="F1323" s="1"/>
      <c r="H1323" s="1"/>
    </row>
    <row r="1324" spans="2:8" x14ac:dyDescent="0.25">
      <c r="B1324" s="1"/>
      <c r="C1324" s="1"/>
      <c r="D1324" s="1"/>
      <c r="E1324" s="1"/>
      <c r="F1324" s="1"/>
      <c r="H1324" s="1"/>
    </row>
    <row r="1325" spans="2:8" x14ac:dyDescent="0.25">
      <c r="B1325" s="1"/>
      <c r="C1325" s="1"/>
      <c r="D1325" s="1"/>
      <c r="E1325" s="1"/>
      <c r="F1325" s="1"/>
      <c r="H1325" s="1"/>
    </row>
    <row r="1326" spans="2:8" x14ac:dyDescent="0.25">
      <c r="B1326" s="1"/>
      <c r="C1326" s="1"/>
      <c r="D1326" s="1"/>
      <c r="E1326" s="1"/>
      <c r="F1326" s="1"/>
      <c r="H1326" s="1"/>
    </row>
    <row r="1327" spans="2:8" x14ac:dyDescent="0.25">
      <c r="B1327" s="1"/>
      <c r="C1327" s="1"/>
      <c r="D1327" s="1"/>
      <c r="E1327" s="1"/>
      <c r="F1327" s="1"/>
      <c r="H1327" s="1"/>
    </row>
    <row r="1328" spans="2:8" x14ac:dyDescent="0.25">
      <c r="B1328" s="1"/>
      <c r="C1328" s="1"/>
      <c r="D1328" s="1"/>
      <c r="E1328" s="1"/>
      <c r="F1328" s="1"/>
      <c r="H1328" s="1"/>
    </row>
    <row r="1329" spans="2:8" x14ac:dyDescent="0.25">
      <c r="B1329" s="1"/>
      <c r="C1329" s="1"/>
      <c r="D1329" s="1"/>
      <c r="E1329" s="1"/>
      <c r="F1329" s="1"/>
      <c r="H1329" s="1"/>
    </row>
    <row r="1330" spans="2:8" x14ac:dyDescent="0.25">
      <c r="B1330" s="1"/>
      <c r="C1330" s="1"/>
      <c r="D1330" s="1"/>
      <c r="E1330" s="1"/>
      <c r="F1330" s="1"/>
      <c r="H1330" s="1"/>
    </row>
    <row r="1331" spans="2:8" x14ac:dyDescent="0.25">
      <c r="B1331" s="1"/>
      <c r="C1331" s="1"/>
      <c r="D1331" s="1"/>
      <c r="E1331" s="1"/>
      <c r="F1331" s="1"/>
      <c r="H1331" s="1"/>
    </row>
    <row r="1332" spans="2:8" x14ac:dyDescent="0.25">
      <c r="B1332" s="1"/>
      <c r="C1332" s="1"/>
      <c r="D1332" s="1"/>
      <c r="E1332" s="1"/>
      <c r="F1332" s="1"/>
      <c r="H1332" s="1"/>
    </row>
    <row r="1333" spans="2:8" x14ac:dyDescent="0.25">
      <c r="B1333" s="1"/>
      <c r="C1333" s="1"/>
      <c r="D1333" s="1"/>
      <c r="E1333" s="1"/>
      <c r="F1333" s="1"/>
      <c r="H1333" s="1"/>
    </row>
    <row r="1334" spans="2:8" x14ac:dyDescent="0.25">
      <c r="B1334" s="1"/>
      <c r="C1334" s="1"/>
      <c r="D1334" s="1"/>
      <c r="E1334" s="1"/>
      <c r="F1334" s="1"/>
      <c r="H1334" s="1"/>
    </row>
    <row r="1335" spans="2:8" x14ac:dyDescent="0.25">
      <c r="B1335" s="1"/>
      <c r="C1335" s="1"/>
      <c r="D1335" s="1"/>
      <c r="E1335" s="1"/>
      <c r="F1335" s="1"/>
      <c r="H1335" s="1"/>
    </row>
    <row r="1336" spans="2:8" x14ac:dyDescent="0.25">
      <c r="B1336" s="1"/>
      <c r="C1336" s="1"/>
      <c r="D1336" s="1"/>
      <c r="E1336" s="1"/>
      <c r="F1336" s="1"/>
      <c r="H1336" s="1"/>
    </row>
    <row r="1337" spans="2:8" x14ac:dyDescent="0.25">
      <c r="B1337" s="1"/>
      <c r="C1337" s="1"/>
      <c r="D1337" s="1"/>
      <c r="E1337" s="1"/>
      <c r="F1337" s="1"/>
      <c r="H1337" s="1"/>
    </row>
    <row r="1338" spans="2:8" x14ac:dyDescent="0.25">
      <c r="B1338" s="1"/>
      <c r="C1338" s="1"/>
      <c r="D1338" s="1"/>
      <c r="E1338" s="1"/>
      <c r="F1338" s="1"/>
      <c r="H1338" s="1"/>
    </row>
    <row r="1339" spans="2:8" x14ac:dyDescent="0.25">
      <c r="B1339" s="1"/>
      <c r="C1339" s="1"/>
      <c r="D1339" s="1"/>
      <c r="E1339" s="1"/>
      <c r="F1339" s="1"/>
      <c r="H1339" s="1"/>
    </row>
    <row r="1340" spans="2:8" x14ac:dyDescent="0.25">
      <c r="B1340" s="1"/>
      <c r="C1340" s="1"/>
      <c r="D1340" s="1"/>
      <c r="E1340" s="1"/>
      <c r="F1340" s="1"/>
      <c r="H1340" s="1"/>
    </row>
    <row r="1341" spans="2:8" x14ac:dyDescent="0.25">
      <c r="B1341" s="1"/>
      <c r="C1341" s="1"/>
      <c r="D1341" s="1"/>
      <c r="E1341" s="1"/>
      <c r="F1341" s="1"/>
      <c r="H1341" s="1"/>
    </row>
    <row r="1342" spans="2:8" x14ac:dyDescent="0.25">
      <c r="B1342" s="1"/>
      <c r="C1342" s="1"/>
      <c r="D1342" s="1"/>
      <c r="E1342" s="1"/>
      <c r="F1342" s="1"/>
      <c r="H1342" s="1"/>
    </row>
    <row r="1343" spans="2:8" x14ac:dyDescent="0.25">
      <c r="B1343" s="1"/>
      <c r="C1343" s="1"/>
      <c r="D1343" s="1"/>
      <c r="E1343" s="1"/>
      <c r="F1343" s="1"/>
      <c r="H1343" s="1"/>
    </row>
    <row r="1344" spans="2:8" x14ac:dyDescent="0.25">
      <c r="B1344" s="1"/>
      <c r="C1344" s="1"/>
      <c r="D1344" s="1"/>
      <c r="E1344" s="1"/>
      <c r="F1344" s="1"/>
      <c r="H1344" s="1"/>
    </row>
    <row r="1345" spans="2:8" x14ac:dyDescent="0.25">
      <c r="B1345" s="1"/>
      <c r="C1345" s="1"/>
      <c r="D1345" s="1"/>
      <c r="E1345" s="1"/>
      <c r="F1345" s="1"/>
      <c r="H1345" s="1"/>
    </row>
    <row r="1346" spans="2:8" x14ac:dyDescent="0.25">
      <c r="B1346" s="1"/>
      <c r="C1346" s="1"/>
      <c r="D1346" s="1"/>
      <c r="E1346" s="1"/>
      <c r="F1346" s="1"/>
      <c r="H1346" s="1"/>
    </row>
    <row r="1347" spans="2:8" x14ac:dyDescent="0.25">
      <c r="B1347" s="1"/>
      <c r="C1347" s="1"/>
      <c r="D1347" s="1"/>
      <c r="E1347" s="1"/>
      <c r="F1347" s="1"/>
      <c r="H1347" s="1"/>
    </row>
    <row r="1348" spans="2:8" x14ac:dyDescent="0.25">
      <c r="B1348" s="1"/>
      <c r="C1348" s="1"/>
      <c r="D1348" s="1"/>
      <c r="E1348" s="1"/>
      <c r="F1348" s="1"/>
      <c r="H1348" s="1"/>
    </row>
    <row r="1349" spans="2:8" x14ac:dyDescent="0.25">
      <c r="B1349" s="1"/>
      <c r="C1349" s="1"/>
      <c r="D1349" s="1"/>
      <c r="E1349" s="1"/>
      <c r="F1349" s="1"/>
      <c r="H1349" s="1"/>
    </row>
    <row r="1350" spans="2:8" x14ac:dyDescent="0.25">
      <c r="B1350" s="1"/>
      <c r="C1350" s="1"/>
      <c r="D1350" s="1"/>
      <c r="E1350" s="1"/>
      <c r="F1350" s="1"/>
      <c r="H1350" s="1"/>
    </row>
    <row r="1351" spans="2:8" x14ac:dyDescent="0.25">
      <c r="B1351" s="1"/>
      <c r="C1351" s="1"/>
      <c r="D1351" s="1"/>
      <c r="E1351" s="1"/>
      <c r="F1351" s="1"/>
      <c r="H1351" s="1"/>
    </row>
    <row r="1352" spans="2:8" x14ac:dyDescent="0.25">
      <c r="B1352" s="1"/>
      <c r="C1352" s="1"/>
      <c r="D1352" s="1"/>
      <c r="E1352" s="1"/>
      <c r="F1352" s="1"/>
      <c r="H1352" s="1"/>
    </row>
    <row r="1353" spans="2:8" x14ac:dyDescent="0.25">
      <c r="B1353" s="1"/>
      <c r="C1353" s="1"/>
      <c r="D1353" s="1"/>
      <c r="E1353" s="1"/>
      <c r="F1353" s="1"/>
      <c r="H1353" s="1"/>
    </row>
    <row r="1354" spans="2:8" x14ac:dyDescent="0.25">
      <c r="B1354" s="1"/>
      <c r="C1354" s="1"/>
      <c r="D1354" s="1"/>
      <c r="E1354" s="1"/>
      <c r="F1354" s="1"/>
      <c r="H1354" s="1"/>
    </row>
    <row r="1355" spans="2:8" x14ac:dyDescent="0.25">
      <c r="B1355" s="1"/>
      <c r="C1355" s="1"/>
      <c r="D1355" s="1"/>
      <c r="E1355" s="1"/>
      <c r="F1355" s="1"/>
      <c r="H1355" s="1"/>
    </row>
    <row r="1356" spans="2:8" x14ac:dyDescent="0.25">
      <c r="B1356" s="1"/>
      <c r="C1356" s="1"/>
      <c r="D1356" s="1"/>
      <c r="E1356" s="1"/>
      <c r="F1356" s="1"/>
      <c r="H1356" s="1"/>
    </row>
    <row r="1357" spans="2:8" x14ac:dyDescent="0.25">
      <c r="B1357" s="1"/>
      <c r="C1357" s="1"/>
      <c r="D1357" s="1"/>
      <c r="E1357" s="1"/>
      <c r="F1357" s="1"/>
      <c r="H1357" s="1"/>
    </row>
    <row r="1358" spans="2:8" x14ac:dyDescent="0.25">
      <c r="B1358" s="1"/>
      <c r="C1358" s="1"/>
      <c r="D1358" s="1"/>
      <c r="E1358" s="1"/>
      <c r="F1358" s="1"/>
      <c r="H1358" s="1"/>
    </row>
    <row r="1359" spans="2:8" x14ac:dyDescent="0.25">
      <c r="B1359" s="1"/>
      <c r="C1359" s="1"/>
      <c r="D1359" s="1"/>
      <c r="E1359" s="1"/>
      <c r="F1359" s="1"/>
      <c r="H1359" s="1"/>
    </row>
    <row r="1360" spans="2:8" x14ac:dyDescent="0.25">
      <c r="B1360" s="1"/>
      <c r="C1360" s="1"/>
      <c r="D1360" s="1"/>
      <c r="E1360" s="1"/>
      <c r="F1360" s="1"/>
      <c r="H1360" s="1"/>
    </row>
    <row r="1361" spans="2:8" x14ac:dyDescent="0.25">
      <c r="B1361" s="1"/>
      <c r="C1361" s="1"/>
      <c r="D1361" s="1"/>
      <c r="E1361" s="1"/>
      <c r="F1361" s="1"/>
      <c r="H1361" s="1"/>
    </row>
    <row r="1362" spans="2:8" x14ac:dyDescent="0.25">
      <c r="B1362" s="1"/>
      <c r="C1362" s="1"/>
      <c r="D1362" s="1"/>
      <c r="E1362" s="1"/>
      <c r="F1362" s="1"/>
      <c r="H1362" s="1"/>
    </row>
    <row r="1363" spans="2:8" x14ac:dyDescent="0.25">
      <c r="B1363" s="1"/>
      <c r="C1363" s="1"/>
      <c r="D1363" s="1"/>
      <c r="E1363" s="1"/>
      <c r="F1363" s="1"/>
      <c r="H1363" s="1"/>
    </row>
    <row r="1364" spans="2:8" x14ac:dyDescent="0.25">
      <c r="B1364" s="1"/>
      <c r="C1364" s="1"/>
      <c r="D1364" s="1"/>
      <c r="E1364" s="1"/>
      <c r="F1364" s="1"/>
      <c r="H1364" s="1"/>
    </row>
    <row r="1365" spans="2:8" x14ac:dyDescent="0.25">
      <c r="B1365" s="1"/>
      <c r="C1365" s="1"/>
      <c r="D1365" s="1"/>
      <c r="E1365" s="1"/>
      <c r="F1365" s="1"/>
      <c r="H1365" s="1"/>
    </row>
    <row r="1366" spans="2:8" x14ac:dyDescent="0.25">
      <c r="B1366" s="1"/>
      <c r="C1366" s="1"/>
      <c r="D1366" s="1"/>
      <c r="E1366" s="1"/>
      <c r="F1366" s="1"/>
      <c r="H1366" s="1"/>
    </row>
    <row r="1367" spans="2:8" x14ac:dyDescent="0.25">
      <c r="B1367" s="1"/>
      <c r="C1367" s="1"/>
      <c r="D1367" s="1"/>
      <c r="E1367" s="1"/>
      <c r="F1367" s="1"/>
      <c r="H1367" s="1"/>
    </row>
    <row r="1368" spans="2:8" x14ac:dyDescent="0.25">
      <c r="B1368" s="1"/>
      <c r="C1368" s="1"/>
      <c r="D1368" s="1"/>
      <c r="E1368" s="1"/>
      <c r="F1368" s="1"/>
      <c r="H1368" s="1"/>
    </row>
    <row r="1369" spans="2:8" x14ac:dyDescent="0.25">
      <c r="B1369" s="1"/>
      <c r="C1369" s="1"/>
      <c r="D1369" s="1"/>
      <c r="E1369" s="1"/>
      <c r="F1369" s="1"/>
      <c r="H1369" s="1"/>
    </row>
    <row r="1370" spans="2:8" x14ac:dyDescent="0.25">
      <c r="B1370" s="1"/>
      <c r="C1370" s="1"/>
      <c r="D1370" s="1"/>
      <c r="E1370" s="1"/>
      <c r="F1370" s="1"/>
      <c r="H1370" s="1"/>
    </row>
    <row r="1371" spans="2:8" x14ac:dyDescent="0.25">
      <c r="B1371" s="1"/>
      <c r="C1371" s="1"/>
      <c r="D1371" s="1"/>
      <c r="E1371" s="1"/>
      <c r="F1371" s="1"/>
      <c r="H1371" s="1"/>
    </row>
    <row r="1372" spans="2:8" x14ac:dyDescent="0.25">
      <c r="B1372" s="1"/>
      <c r="C1372" s="1"/>
      <c r="D1372" s="1"/>
      <c r="E1372" s="1"/>
      <c r="F1372" s="1"/>
      <c r="H1372" s="1"/>
    </row>
    <row r="1373" spans="2:8" x14ac:dyDescent="0.25">
      <c r="B1373" s="1"/>
      <c r="C1373" s="1"/>
      <c r="D1373" s="1"/>
      <c r="E1373" s="1"/>
      <c r="F1373" s="1"/>
      <c r="H1373" s="1"/>
    </row>
    <row r="1374" spans="2:8" x14ac:dyDescent="0.25">
      <c r="B1374" s="1"/>
      <c r="C1374" s="1"/>
      <c r="D1374" s="1"/>
      <c r="E1374" s="1"/>
      <c r="F1374" s="1"/>
      <c r="H1374" s="1"/>
    </row>
    <row r="1375" spans="2:8" x14ac:dyDescent="0.25">
      <c r="B1375" s="1"/>
      <c r="C1375" s="1"/>
      <c r="D1375" s="1"/>
      <c r="E1375" s="1"/>
      <c r="F1375" s="1"/>
      <c r="H1375" s="1"/>
    </row>
    <row r="1376" spans="2:8" x14ac:dyDescent="0.25">
      <c r="B1376" s="1"/>
      <c r="C1376" s="1"/>
      <c r="D1376" s="1"/>
      <c r="E1376" s="1"/>
      <c r="F1376" s="1"/>
      <c r="H1376" s="1"/>
    </row>
    <row r="1377" spans="2:8" x14ac:dyDescent="0.25">
      <c r="B1377" s="1"/>
      <c r="C1377" s="1"/>
      <c r="D1377" s="1"/>
      <c r="E1377" s="1"/>
      <c r="F1377" s="1"/>
      <c r="H1377" s="1"/>
    </row>
    <row r="1378" spans="2:8" x14ac:dyDescent="0.25">
      <c r="B1378" s="1"/>
      <c r="C1378" s="1"/>
      <c r="D1378" s="1"/>
      <c r="E1378" s="1"/>
      <c r="F1378" s="1"/>
      <c r="H1378" s="1"/>
    </row>
    <row r="1379" spans="2:8" x14ac:dyDescent="0.25">
      <c r="B1379" s="1"/>
      <c r="C1379" s="1"/>
      <c r="D1379" s="1"/>
      <c r="E1379" s="1"/>
      <c r="F1379" s="1"/>
      <c r="H1379" s="1"/>
    </row>
    <row r="1380" spans="2:8" x14ac:dyDescent="0.25">
      <c r="B1380" s="1"/>
      <c r="C1380" s="1"/>
      <c r="D1380" s="1"/>
      <c r="E1380" s="1"/>
      <c r="F1380" s="1"/>
      <c r="H1380" s="1"/>
    </row>
    <row r="1381" spans="2:8" x14ac:dyDescent="0.25">
      <c r="B1381" s="1"/>
      <c r="C1381" s="1"/>
      <c r="D1381" s="1"/>
      <c r="E1381" s="1"/>
      <c r="F1381" s="1"/>
      <c r="H1381" s="1"/>
    </row>
    <row r="1382" spans="2:8" x14ac:dyDescent="0.25">
      <c r="B1382" s="1"/>
      <c r="C1382" s="1"/>
      <c r="D1382" s="1"/>
      <c r="E1382" s="1"/>
      <c r="F1382" s="1"/>
      <c r="H1382" s="1"/>
    </row>
    <row r="1383" spans="2:8" x14ac:dyDescent="0.25">
      <c r="B1383" s="1"/>
      <c r="C1383" s="1"/>
      <c r="D1383" s="1"/>
      <c r="E1383" s="1"/>
      <c r="F1383" s="1"/>
      <c r="H1383" s="1"/>
    </row>
    <row r="1384" spans="2:8" x14ac:dyDescent="0.25">
      <c r="B1384" s="1"/>
      <c r="C1384" s="1"/>
      <c r="D1384" s="1"/>
      <c r="E1384" s="1"/>
      <c r="F1384" s="1"/>
      <c r="H1384" s="1"/>
    </row>
    <row r="1385" spans="2:8" x14ac:dyDescent="0.25">
      <c r="B1385" s="1"/>
      <c r="C1385" s="1"/>
      <c r="D1385" s="1"/>
      <c r="E1385" s="1"/>
      <c r="F1385" s="1"/>
      <c r="H1385" s="1"/>
    </row>
    <row r="1386" spans="2:8" x14ac:dyDescent="0.25">
      <c r="B1386" s="1"/>
      <c r="C1386" s="1"/>
      <c r="D1386" s="1"/>
      <c r="E1386" s="1"/>
      <c r="F1386" s="1"/>
      <c r="H1386" s="1"/>
    </row>
    <row r="1387" spans="2:8" x14ac:dyDescent="0.25">
      <c r="B1387" s="1"/>
      <c r="C1387" s="1"/>
      <c r="D1387" s="1"/>
      <c r="E1387" s="1"/>
      <c r="F1387" s="1"/>
      <c r="H1387" s="1"/>
    </row>
    <row r="1388" spans="2:8" x14ac:dyDescent="0.25">
      <c r="B1388" s="1"/>
      <c r="C1388" s="1"/>
      <c r="D1388" s="1"/>
      <c r="E1388" s="1"/>
      <c r="F1388" s="1"/>
      <c r="H1388" s="1"/>
    </row>
    <row r="1389" spans="2:8" x14ac:dyDescent="0.25">
      <c r="B1389" s="1"/>
      <c r="C1389" s="1"/>
      <c r="D1389" s="1"/>
      <c r="E1389" s="1"/>
      <c r="F1389" s="1"/>
      <c r="H1389" s="1"/>
    </row>
    <row r="1390" spans="2:8" x14ac:dyDescent="0.25">
      <c r="B1390" s="1"/>
      <c r="C1390" s="1"/>
      <c r="D1390" s="1"/>
      <c r="E1390" s="1"/>
      <c r="F1390" s="1"/>
      <c r="H1390" s="1"/>
    </row>
    <row r="1391" spans="2:8" x14ac:dyDescent="0.25">
      <c r="B1391" s="1"/>
      <c r="C1391" s="1"/>
      <c r="D1391" s="1"/>
      <c r="E1391" s="1"/>
      <c r="F1391" s="1"/>
      <c r="H1391" s="1"/>
    </row>
    <row r="1392" spans="2:8" x14ac:dyDescent="0.25">
      <c r="B1392" s="1"/>
      <c r="C1392" s="1"/>
      <c r="D1392" s="1"/>
      <c r="E1392" s="1"/>
      <c r="F1392" s="1"/>
      <c r="H1392" s="1"/>
    </row>
    <row r="1393" spans="2:8" x14ac:dyDescent="0.25">
      <c r="B1393" s="1"/>
      <c r="C1393" s="1"/>
      <c r="D1393" s="1"/>
      <c r="E1393" s="1"/>
      <c r="F1393" s="1"/>
      <c r="H1393" s="1"/>
    </row>
    <row r="1394" spans="2:8" x14ac:dyDescent="0.25">
      <c r="B1394" s="1"/>
      <c r="C1394" s="1"/>
      <c r="D1394" s="1"/>
      <c r="E1394" s="1"/>
      <c r="F1394" s="1"/>
      <c r="H1394" s="1"/>
    </row>
    <row r="1395" spans="2:8" x14ac:dyDescent="0.25">
      <c r="B1395" s="1"/>
      <c r="C1395" s="1"/>
      <c r="D1395" s="1"/>
      <c r="E1395" s="1"/>
      <c r="F1395" s="1"/>
      <c r="H1395" s="1"/>
    </row>
    <row r="1396" spans="2:8" x14ac:dyDescent="0.25">
      <c r="B1396" s="1"/>
      <c r="C1396" s="1"/>
      <c r="D1396" s="1"/>
      <c r="E1396" s="1"/>
      <c r="F1396" s="1"/>
      <c r="H1396" s="1"/>
    </row>
    <row r="1397" spans="2:8" x14ac:dyDescent="0.25">
      <c r="B1397" s="1"/>
      <c r="C1397" s="1"/>
      <c r="D1397" s="1"/>
      <c r="E1397" s="1"/>
      <c r="F1397" s="1"/>
      <c r="H1397" s="1"/>
    </row>
    <row r="1398" spans="2:8" x14ac:dyDescent="0.25">
      <c r="B1398" s="1"/>
      <c r="C1398" s="1"/>
      <c r="D1398" s="1"/>
      <c r="E1398" s="1"/>
      <c r="F1398" s="1"/>
      <c r="H1398" s="1"/>
    </row>
    <row r="1399" spans="2:8" x14ac:dyDescent="0.25">
      <c r="B1399" s="1"/>
      <c r="C1399" s="1"/>
      <c r="D1399" s="1"/>
      <c r="E1399" s="1"/>
      <c r="F1399" s="1"/>
      <c r="H1399" s="1"/>
    </row>
    <row r="1400" spans="2:8" x14ac:dyDescent="0.25">
      <c r="B1400" s="1"/>
      <c r="C1400" s="1"/>
      <c r="D1400" s="1"/>
      <c r="E1400" s="1"/>
      <c r="F1400" s="1"/>
      <c r="H1400" s="1"/>
    </row>
    <row r="1401" spans="2:8" x14ac:dyDescent="0.25">
      <c r="B1401" s="1"/>
      <c r="C1401" s="1"/>
      <c r="D1401" s="1"/>
      <c r="E1401" s="1"/>
      <c r="F1401" s="1"/>
      <c r="H1401" s="1"/>
    </row>
    <row r="1402" spans="2:8" x14ac:dyDescent="0.25">
      <c r="B1402" s="1"/>
      <c r="C1402" s="1"/>
      <c r="D1402" s="1"/>
      <c r="E1402" s="1"/>
      <c r="F1402" s="1"/>
      <c r="H1402" s="1"/>
    </row>
    <row r="1403" spans="2:8" x14ac:dyDescent="0.25">
      <c r="B1403" s="1"/>
      <c r="C1403" s="1"/>
      <c r="D1403" s="1"/>
      <c r="E1403" s="1"/>
      <c r="F1403" s="1"/>
      <c r="H1403" s="1"/>
    </row>
    <row r="1404" spans="2:8" x14ac:dyDescent="0.25">
      <c r="B1404" s="1"/>
      <c r="C1404" s="1"/>
      <c r="D1404" s="1"/>
      <c r="E1404" s="1"/>
      <c r="F1404" s="1"/>
      <c r="H1404" s="1"/>
    </row>
    <row r="1405" spans="2:8" x14ac:dyDescent="0.25">
      <c r="B1405" s="1"/>
      <c r="C1405" s="1"/>
      <c r="D1405" s="1"/>
      <c r="E1405" s="1"/>
      <c r="F1405" s="1"/>
      <c r="H1405" s="1"/>
    </row>
    <row r="1406" spans="2:8" x14ac:dyDescent="0.25">
      <c r="B1406" s="1"/>
      <c r="C1406" s="1"/>
      <c r="D1406" s="1"/>
      <c r="E1406" s="1"/>
      <c r="F1406" s="1"/>
      <c r="H1406" s="1"/>
    </row>
    <row r="1407" spans="2:8" x14ac:dyDescent="0.25">
      <c r="B1407" s="1"/>
      <c r="C1407" s="1"/>
      <c r="D1407" s="1"/>
      <c r="E1407" s="1"/>
      <c r="F1407" s="1"/>
      <c r="H1407" s="1"/>
    </row>
    <row r="1408" spans="2:8" x14ac:dyDescent="0.25">
      <c r="B1408" s="1"/>
      <c r="C1408" s="1"/>
      <c r="D1408" s="1"/>
      <c r="E1408" s="1"/>
      <c r="F1408" s="1"/>
      <c r="H1408" s="1"/>
    </row>
    <row r="1409" spans="2:8" x14ac:dyDescent="0.25">
      <c r="B1409" s="1"/>
      <c r="C1409" s="1"/>
      <c r="D1409" s="1"/>
      <c r="E1409" s="1"/>
      <c r="F1409" s="1"/>
      <c r="H1409" s="1"/>
    </row>
    <row r="1410" spans="2:8" x14ac:dyDescent="0.25">
      <c r="B1410" s="1"/>
      <c r="C1410" s="1"/>
      <c r="D1410" s="1"/>
      <c r="E1410" s="1"/>
      <c r="F1410" s="1"/>
      <c r="H1410" s="1"/>
    </row>
    <row r="1411" spans="2:8" x14ac:dyDescent="0.25">
      <c r="B1411" s="1"/>
      <c r="C1411" s="1"/>
      <c r="D1411" s="1"/>
      <c r="E1411" s="1"/>
      <c r="F1411" s="1"/>
      <c r="H1411" s="1"/>
    </row>
    <row r="1412" spans="2:8" x14ac:dyDescent="0.25">
      <c r="B1412" s="1"/>
      <c r="C1412" s="1"/>
      <c r="D1412" s="1"/>
      <c r="E1412" s="1"/>
      <c r="F1412" s="1"/>
      <c r="H1412" s="1"/>
    </row>
    <row r="1413" spans="2:8" x14ac:dyDescent="0.25">
      <c r="B1413" s="1"/>
      <c r="C1413" s="1"/>
      <c r="D1413" s="1"/>
      <c r="E1413" s="1"/>
      <c r="F1413" s="1"/>
      <c r="H1413" s="1"/>
    </row>
    <row r="1414" spans="2:8" x14ac:dyDescent="0.25">
      <c r="B1414" s="1"/>
      <c r="C1414" s="1"/>
      <c r="D1414" s="1"/>
      <c r="E1414" s="1"/>
      <c r="F1414" s="1"/>
      <c r="H1414" s="1"/>
    </row>
    <row r="1415" spans="2:8" x14ac:dyDescent="0.25">
      <c r="B1415" s="1"/>
      <c r="C1415" s="1"/>
      <c r="D1415" s="1"/>
      <c r="E1415" s="1"/>
      <c r="F1415" s="1"/>
      <c r="H1415" s="1"/>
    </row>
    <row r="1416" spans="2:8" x14ac:dyDescent="0.25">
      <c r="B1416" s="1"/>
      <c r="C1416" s="1"/>
      <c r="D1416" s="1"/>
      <c r="E1416" s="1"/>
      <c r="F1416" s="1"/>
      <c r="H1416" s="1"/>
    </row>
    <row r="1417" spans="2:8" x14ac:dyDescent="0.25">
      <c r="B1417" s="1"/>
      <c r="C1417" s="1"/>
      <c r="D1417" s="1"/>
      <c r="E1417" s="1"/>
      <c r="F1417" s="1"/>
      <c r="H1417" s="1"/>
    </row>
    <row r="1418" spans="2:8" x14ac:dyDescent="0.25">
      <c r="B1418" s="1"/>
      <c r="C1418" s="1"/>
      <c r="D1418" s="1"/>
      <c r="E1418" s="1"/>
      <c r="F1418" s="1"/>
      <c r="H1418" s="1"/>
    </row>
    <row r="1419" spans="2:8" x14ac:dyDescent="0.25">
      <c r="B1419" s="1"/>
      <c r="C1419" s="1"/>
      <c r="D1419" s="1"/>
      <c r="E1419" s="1"/>
      <c r="F1419" s="1"/>
      <c r="H1419" s="1"/>
    </row>
    <row r="1420" spans="2:8" x14ac:dyDescent="0.25">
      <c r="B1420" s="1"/>
      <c r="C1420" s="1"/>
      <c r="D1420" s="1"/>
      <c r="E1420" s="1"/>
      <c r="F1420" s="1"/>
      <c r="H1420" s="1"/>
    </row>
    <row r="1421" spans="2:8" x14ac:dyDescent="0.25">
      <c r="B1421" s="1"/>
      <c r="C1421" s="1"/>
      <c r="D1421" s="1"/>
      <c r="E1421" s="1"/>
      <c r="F1421" s="1"/>
      <c r="H1421" s="1"/>
    </row>
    <row r="1422" spans="2:8" x14ac:dyDescent="0.25">
      <c r="B1422" s="1"/>
      <c r="C1422" s="1"/>
      <c r="D1422" s="1"/>
      <c r="E1422" s="1"/>
      <c r="F1422" s="1"/>
      <c r="H1422" s="1"/>
    </row>
    <row r="1423" spans="2:8" x14ac:dyDescent="0.25">
      <c r="B1423" s="1"/>
      <c r="C1423" s="1"/>
      <c r="D1423" s="1"/>
      <c r="E1423" s="1"/>
      <c r="F1423" s="1"/>
      <c r="H1423" s="1"/>
    </row>
    <row r="1424" spans="2:8" x14ac:dyDescent="0.25">
      <c r="B1424" s="1"/>
      <c r="C1424" s="1"/>
      <c r="D1424" s="1"/>
      <c r="E1424" s="1"/>
      <c r="F1424" s="1"/>
      <c r="H1424" s="1"/>
    </row>
    <row r="1425" spans="2:8" x14ac:dyDescent="0.25">
      <c r="B1425" s="1"/>
      <c r="C1425" s="1"/>
      <c r="D1425" s="1"/>
      <c r="E1425" s="1"/>
      <c r="F1425" s="1"/>
      <c r="H1425" s="1"/>
    </row>
    <row r="1426" spans="2:8" x14ac:dyDescent="0.25">
      <c r="B1426" s="1"/>
      <c r="C1426" s="1"/>
      <c r="D1426" s="1"/>
      <c r="E1426" s="1"/>
      <c r="F1426" s="1"/>
      <c r="H1426" s="1"/>
    </row>
    <row r="1427" spans="2:8" x14ac:dyDescent="0.25">
      <c r="B1427" s="1"/>
      <c r="C1427" s="1"/>
      <c r="D1427" s="1"/>
      <c r="E1427" s="1"/>
      <c r="F1427" s="1"/>
      <c r="H1427" s="1"/>
    </row>
    <row r="1428" spans="2:8" x14ac:dyDescent="0.25">
      <c r="B1428" s="1"/>
      <c r="C1428" s="1"/>
      <c r="D1428" s="1"/>
      <c r="E1428" s="1"/>
      <c r="F1428" s="1"/>
      <c r="H1428" s="1"/>
    </row>
    <row r="1429" spans="2:8" x14ac:dyDescent="0.25">
      <c r="B1429" s="1"/>
      <c r="C1429" s="1"/>
      <c r="D1429" s="1"/>
      <c r="E1429" s="1"/>
      <c r="F1429" s="1"/>
      <c r="H1429" s="1"/>
    </row>
    <row r="1430" spans="2:8" x14ac:dyDescent="0.25">
      <c r="B1430" s="1"/>
      <c r="C1430" s="1"/>
      <c r="D1430" s="1"/>
      <c r="E1430" s="1"/>
      <c r="F1430" s="1"/>
      <c r="H1430" s="1"/>
    </row>
    <row r="1431" spans="2:8" x14ac:dyDescent="0.25">
      <c r="B1431" s="1"/>
      <c r="C1431" s="1"/>
      <c r="D1431" s="1"/>
      <c r="E1431" s="1"/>
      <c r="F1431" s="1"/>
      <c r="H1431" s="1"/>
    </row>
    <row r="1432" spans="2:8" x14ac:dyDescent="0.25">
      <c r="B1432" s="1"/>
      <c r="C1432" s="1"/>
      <c r="D1432" s="1"/>
      <c r="E1432" s="1"/>
      <c r="F1432" s="1"/>
      <c r="H1432" s="1"/>
    </row>
    <row r="1433" spans="2:8" x14ac:dyDescent="0.25">
      <c r="B1433" s="1"/>
      <c r="C1433" s="1"/>
      <c r="D1433" s="1"/>
      <c r="E1433" s="1"/>
      <c r="F1433" s="1"/>
      <c r="H1433" s="1"/>
    </row>
    <row r="1434" spans="2:8" x14ac:dyDescent="0.25">
      <c r="B1434" s="1"/>
      <c r="C1434" s="1"/>
      <c r="D1434" s="1"/>
      <c r="E1434" s="1"/>
      <c r="F1434" s="1"/>
      <c r="H1434" s="1"/>
    </row>
    <row r="1435" spans="2:8" x14ac:dyDescent="0.25">
      <c r="B1435" s="1"/>
      <c r="C1435" s="1"/>
      <c r="D1435" s="1"/>
      <c r="E1435" s="1"/>
      <c r="F1435" s="1"/>
      <c r="H1435" s="1"/>
    </row>
    <row r="1436" spans="2:8" x14ac:dyDescent="0.25">
      <c r="B1436" s="1"/>
      <c r="C1436" s="1"/>
      <c r="D1436" s="1"/>
      <c r="E1436" s="1"/>
      <c r="F1436" s="1"/>
      <c r="H1436" s="1"/>
    </row>
    <row r="1437" spans="2:8" x14ac:dyDescent="0.25">
      <c r="B1437" s="1"/>
      <c r="C1437" s="1"/>
      <c r="D1437" s="1"/>
      <c r="E1437" s="1"/>
      <c r="F1437" s="1"/>
      <c r="H1437" s="1"/>
    </row>
    <row r="1438" spans="2:8" x14ac:dyDescent="0.25">
      <c r="B1438" s="1"/>
      <c r="C1438" s="1"/>
      <c r="D1438" s="1"/>
      <c r="E1438" s="1"/>
      <c r="F1438" s="1"/>
      <c r="H1438" s="1"/>
    </row>
    <row r="1439" spans="2:8" x14ac:dyDescent="0.25">
      <c r="B1439" s="1"/>
      <c r="C1439" s="1"/>
      <c r="D1439" s="1"/>
      <c r="E1439" s="1"/>
      <c r="F1439" s="1"/>
      <c r="H1439" s="1"/>
    </row>
    <row r="1440" spans="2:8" x14ac:dyDescent="0.25">
      <c r="B1440" s="1"/>
      <c r="C1440" s="1"/>
      <c r="D1440" s="1"/>
      <c r="E1440" s="1"/>
      <c r="F1440" s="1"/>
      <c r="H1440" s="1"/>
    </row>
    <row r="1441" spans="2:8" x14ac:dyDescent="0.25">
      <c r="B1441" s="1"/>
      <c r="C1441" s="1"/>
      <c r="D1441" s="1"/>
      <c r="E1441" s="1"/>
      <c r="F1441" s="1"/>
      <c r="H1441" s="1"/>
    </row>
    <row r="1442" spans="2:8" x14ac:dyDescent="0.25">
      <c r="B1442" s="1"/>
      <c r="C1442" s="1"/>
      <c r="D1442" s="1"/>
      <c r="E1442" s="1"/>
      <c r="F1442" s="1"/>
      <c r="H1442" s="1"/>
    </row>
    <row r="1443" spans="2:8" x14ac:dyDescent="0.25">
      <c r="B1443" s="1"/>
      <c r="C1443" s="1"/>
      <c r="D1443" s="1"/>
      <c r="E1443" s="1"/>
      <c r="F1443" s="1"/>
      <c r="H1443" s="1"/>
    </row>
    <row r="1444" spans="2:8" x14ac:dyDescent="0.25">
      <c r="B1444" s="1"/>
      <c r="C1444" s="1"/>
      <c r="D1444" s="1"/>
      <c r="E1444" s="1"/>
      <c r="F1444" s="1"/>
      <c r="H1444" s="1"/>
    </row>
    <row r="1445" spans="2:8" x14ac:dyDescent="0.25">
      <c r="B1445" s="1"/>
      <c r="C1445" s="1"/>
      <c r="D1445" s="1"/>
      <c r="E1445" s="1"/>
      <c r="F1445" s="1"/>
      <c r="H1445" s="1"/>
    </row>
    <row r="1446" spans="2:8" x14ac:dyDescent="0.25">
      <c r="B1446" s="1"/>
      <c r="C1446" s="1"/>
      <c r="D1446" s="1"/>
      <c r="E1446" s="1"/>
      <c r="F1446" s="1"/>
      <c r="H1446" s="1"/>
    </row>
    <row r="1447" spans="2:8" x14ac:dyDescent="0.25">
      <c r="B1447" s="1"/>
      <c r="C1447" s="1"/>
      <c r="D1447" s="1"/>
      <c r="E1447" s="1"/>
      <c r="F1447" s="1"/>
      <c r="H1447" s="1"/>
    </row>
    <row r="1448" spans="2:8" x14ac:dyDescent="0.25">
      <c r="B1448" s="1"/>
      <c r="C1448" s="1"/>
      <c r="D1448" s="1"/>
      <c r="E1448" s="1"/>
      <c r="F1448" s="1"/>
      <c r="H1448" s="1"/>
    </row>
    <row r="1449" spans="2:8" x14ac:dyDescent="0.25">
      <c r="B1449" s="1"/>
      <c r="C1449" s="1"/>
      <c r="D1449" s="1"/>
      <c r="E1449" s="1"/>
      <c r="F1449" s="1"/>
      <c r="H1449" s="1"/>
    </row>
    <row r="1450" spans="2:8" x14ac:dyDescent="0.25">
      <c r="B1450" s="1"/>
      <c r="C1450" s="1"/>
      <c r="D1450" s="1"/>
      <c r="E1450" s="1"/>
      <c r="F1450" s="1"/>
      <c r="H1450" s="1"/>
    </row>
    <row r="1451" spans="2:8" x14ac:dyDescent="0.25">
      <c r="B1451" s="1"/>
      <c r="C1451" s="1"/>
      <c r="D1451" s="1"/>
      <c r="E1451" s="1"/>
      <c r="F1451" s="1"/>
      <c r="H1451" s="1"/>
    </row>
    <row r="1452" spans="2:8" x14ac:dyDescent="0.25">
      <c r="B1452" s="1"/>
      <c r="C1452" s="1"/>
      <c r="D1452" s="1"/>
      <c r="E1452" s="1"/>
      <c r="F1452" s="1"/>
      <c r="H1452" s="1"/>
    </row>
    <row r="1453" spans="2:8" x14ac:dyDescent="0.25">
      <c r="B1453" s="1"/>
      <c r="C1453" s="1"/>
      <c r="D1453" s="1"/>
      <c r="E1453" s="1"/>
      <c r="F1453" s="1"/>
      <c r="H1453" s="1"/>
    </row>
    <row r="1454" spans="2:8" x14ac:dyDescent="0.25">
      <c r="B1454" s="1"/>
      <c r="C1454" s="1"/>
      <c r="D1454" s="1"/>
      <c r="E1454" s="1"/>
      <c r="F1454" s="1"/>
      <c r="H1454" s="1"/>
    </row>
    <row r="1455" spans="2:8" x14ac:dyDescent="0.25">
      <c r="B1455" s="1"/>
      <c r="C1455" s="1"/>
      <c r="D1455" s="1"/>
      <c r="E1455" s="1"/>
      <c r="F1455" s="1"/>
      <c r="H1455" s="1"/>
    </row>
    <row r="1456" spans="2:8" x14ac:dyDescent="0.25">
      <c r="B1456" s="1"/>
      <c r="C1456" s="1"/>
      <c r="D1456" s="1"/>
      <c r="E1456" s="1"/>
      <c r="F1456" s="1"/>
      <c r="H1456" s="1"/>
    </row>
    <row r="1457" spans="2:8" x14ac:dyDescent="0.25">
      <c r="B1457" s="1"/>
      <c r="C1457" s="1"/>
      <c r="D1457" s="1"/>
      <c r="E1457" s="1"/>
      <c r="F1457" s="1"/>
      <c r="H1457" s="1"/>
    </row>
    <row r="1458" spans="2:8" x14ac:dyDescent="0.25">
      <c r="B1458" s="1"/>
      <c r="C1458" s="1"/>
      <c r="D1458" s="1"/>
      <c r="E1458" s="1"/>
      <c r="F1458" s="1"/>
      <c r="H1458" s="1"/>
    </row>
    <row r="1459" spans="2:8" x14ac:dyDescent="0.25">
      <c r="B1459" s="1"/>
      <c r="C1459" s="1"/>
      <c r="D1459" s="1"/>
      <c r="E1459" s="1"/>
      <c r="F1459" s="1"/>
      <c r="H1459" s="1"/>
    </row>
    <row r="1460" spans="2:8" x14ac:dyDescent="0.25">
      <c r="B1460" s="1"/>
      <c r="C1460" s="1"/>
      <c r="D1460" s="1"/>
      <c r="E1460" s="1"/>
      <c r="F1460" s="1"/>
      <c r="H1460" s="1"/>
    </row>
    <row r="1461" spans="2:8" x14ac:dyDescent="0.25">
      <c r="B1461" s="1"/>
      <c r="C1461" s="1"/>
      <c r="D1461" s="1"/>
      <c r="E1461" s="1"/>
      <c r="F1461" s="1"/>
      <c r="H1461" s="1"/>
    </row>
    <row r="1462" spans="2:8" x14ac:dyDescent="0.25">
      <c r="B1462" s="1"/>
      <c r="C1462" s="1"/>
      <c r="D1462" s="1"/>
      <c r="E1462" s="1"/>
      <c r="F1462" s="1"/>
      <c r="H1462" s="1"/>
    </row>
    <row r="1463" spans="2:8" x14ac:dyDescent="0.25">
      <c r="B1463" s="1"/>
      <c r="C1463" s="1"/>
      <c r="D1463" s="1"/>
      <c r="E1463" s="1"/>
      <c r="F1463" s="1"/>
      <c r="H1463" s="1"/>
    </row>
    <row r="1464" spans="2:8" x14ac:dyDescent="0.25">
      <c r="B1464" s="1"/>
      <c r="C1464" s="1"/>
      <c r="D1464" s="1"/>
      <c r="E1464" s="1"/>
      <c r="F1464" s="1"/>
      <c r="H1464" s="1"/>
    </row>
    <row r="1465" spans="2:8" x14ac:dyDescent="0.25">
      <c r="B1465" s="1"/>
      <c r="C1465" s="1"/>
      <c r="D1465" s="1"/>
      <c r="E1465" s="1"/>
      <c r="F1465" s="1"/>
      <c r="H1465" s="1"/>
    </row>
    <row r="1466" spans="2:8" x14ac:dyDescent="0.25">
      <c r="B1466" s="1"/>
      <c r="C1466" s="1"/>
      <c r="D1466" s="1"/>
      <c r="E1466" s="1"/>
      <c r="F1466" s="1"/>
      <c r="H1466" s="1"/>
    </row>
    <row r="1467" spans="2:8" x14ac:dyDescent="0.25">
      <c r="B1467" s="1"/>
      <c r="C1467" s="1"/>
      <c r="D1467" s="1"/>
      <c r="E1467" s="1"/>
      <c r="F1467" s="1"/>
      <c r="H1467" s="1"/>
    </row>
    <row r="1468" spans="2:8" x14ac:dyDescent="0.25">
      <c r="B1468" s="1"/>
      <c r="C1468" s="1"/>
      <c r="D1468" s="1"/>
      <c r="E1468" s="1"/>
      <c r="F1468" s="1"/>
      <c r="H1468" s="1"/>
    </row>
    <row r="1469" spans="2:8" x14ac:dyDescent="0.25">
      <c r="B1469" s="1"/>
      <c r="C1469" s="1"/>
      <c r="D1469" s="1"/>
      <c r="E1469" s="1"/>
      <c r="F1469" s="1"/>
      <c r="H1469" s="1"/>
    </row>
    <row r="1470" spans="2:8" x14ac:dyDescent="0.25">
      <c r="B1470" s="1"/>
      <c r="C1470" s="1"/>
      <c r="D1470" s="1"/>
      <c r="E1470" s="1"/>
      <c r="F1470" s="1"/>
      <c r="H1470" s="1"/>
    </row>
    <row r="1471" spans="2:8" x14ac:dyDescent="0.25">
      <c r="B1471" s="1"/>
      <c r="C1471" s="1"/>
      <c r="D1471" s="1"/>
      <c r="E1471" s="1"/>
      <c r="F1471" s="1"/>
      <c r="H1471" s="1"/>
    </row>
    <row r="1472" spans="2:8" x14ac:dyDescent="0.25">
      <c r="B1472" s="1"/>
      <c r="C1472" s="1"/>
      <c r="D1472" s="1"/>
      <c r="E1472" s="1"/>
      <c r="F1472" s="1"/>
      <c r="H1472" s="1"/>
    </row>
    <row r="1473" spans="2:8" x14ac:dyDescent="0.25">
      <c r="B1473" s="1"/>
      <c r="C1473" s="1"/>
      <c r="D1473" s="1"/>
      <c r="E1473" s="1"/>
      <c r="F1473" s="1"/>
      <c r="H1473" s="1"/>
    </row>
    <row r="1474" spans="2:8" x14ac:dyDescent="0.25">
      <c r="B1474" s="1"/>
      <c r="C1474" s="1"/>
      <c r="D1474" s="1"/>
      <c r="E1474" s="1"/>
      <c r="F1474" s="1"/>
      <c r="H1474" s="1"/>
    </row>
    <row r="1475" spans="2:8" x14ac:dyDescent="0.25">
      <c r="B1475" s="1"/>
      <c r="C1475" s="1"/>
      <c r="D1475" s="1"/>
      <c r="E1475" s="1"/>
      <c r="F1475" s="1"/>
      <c r="H1475" s="1"/>
    </row>
    <row r="1476" spans="2:8" x14ac:dyDescent="0.25">
      <c r="B1476" s="1"/>
      <c r="C1476" s="1"/>
      <c r="D1476" s="1"/>
      <c r="E1476" s="1"/>
      <c r="F1476" s="1"/>
      <c r="H1476" s="1"/>
    </row>
    <row r="1477" spans="2:8" x14ac:dyDescent="0.25">
      <c r="B1477" s="1"/>
      <c r="C1477" s="1"/>
      <c r="D1477" s="1"/>
      <c r="E1477" s="1"/>
      <c r="F1477" s="1"/>
      <c r="H1477" s="1"/>
    </row>
    <row r="1478" spans="2:8" x14ac:dyDescent="0.25">
      <c r="B1478" s="1"/>
      <c r="C1478" s="1"/>
      <c r="D1478" s="1"/>
      <c r="E1478" s="1"/>
      <c r="F1478" s="1"/>
      <c r="H1478" s="1"/>
    </row>
    <row r="1479" spans="2:8" x14ac:dyDescent="0.25">
      <c r="B1479" s="1"/>
      <c r="C1479" s="1"/>
      <c r="D1479" s="1"/>
      <c r="E1479" s="1"/>
      <c r="F1479" s="1"/>
      <c r="H1479" s="1"/>
    </row>
    <row r="1480" spans="2:8" x14ac:dyDescent="0.25">
      <c r="B1480" s="1"/>
      <c r="C1480" s="1"/>
      <c r="D1480" s="1"/>
      <c r="E1480" s="1"/>
      <c r="F1480" s="1"/>
      <c r="H1480" s="1"/>
    </row>
    <row r="1481" spans="2:8" x14ac:dyDescent="0.25">
      <c r="B1481" s="1"/>
      <c r="C1481" s="1"/>
      <c r="D1481" s="1"/>
      <c r="E1481" s="1"/>
      <c r="F1481" s="1"/>
      <c r="H1481" s="1"/>
    </row>
    <row r="1482" spans="2:8" x14ac:dyDescent="0.25">
      <c r="B1482" s="1"/>
      <c r="C1482" s="1"/>
      <c r="D1482" s="1"/>
      <c r="E1482" s="1"/>
      <c r="F1482" s="1"/>
      <c r="H1482" s="1"/>
    </row>
    <row r="1483" spans="2:8" x14ac:dyDescent="0.25">
      <c r="B1483" s="1"/>
      <c r="C1483" s="1"/>
      <c r="D1483" s="1"/>
      <c r="E1483" s="1"/>
      <c r="F1483" s="1"/>
      <c r="H1483" s="1"/>
    </row>
    <row r="1484" spans="2:8" x14ac:dyDescent="0.25">
      <c r="B1484" s="1"/>
      <c r="C1484" s="1"/>
      <c r="D1484" s="1"/>
      <c r="E1484" s="1"/>
      <c r="F1484" s="1"/>
      <c r="H1484" s="1"/>
    </row>
    <row r="1485" spans="2:8" x14ac:dyDescent="0.25">
      <c r="B1485" s="1"/>
      <c r="C1485" s="1"/>
      <c r="D1485" s="1"/>
      <c r="E1485" s="1"/>
      <c r="F1485" s="1"/>
      <c r="H1485" s="1"/>
    </row>
    <row r="1486" spans="2:8" x14ac:dyDescent="0.25">
      <c r="B1486" s="1"/>
      <c r="C1486" s="1"/>
      <c r="D1486" s="1"/>
      <c r="E1486" s="1"/>
      <c r="F1486" s="1"/>
      <c r="H1486" s="1"/>
    </row>
    <row r="1487" spans="2:8" x14ac:dyDescent="0.25">
      <c r="B1487" s="1"/>
      <c r="C1487" s="1"/>
      <c r="D1487" s="1"/>
      <c r="E1487" s="1"/>
      <c r="F1487" s="1"/>
      <c r="H1487" s="1"/>
    </row>
    <row r="1488" spans="2:8" x14ac:dyDescent="0.25">
      <c r="B1488" s="1"/>
      <c r="C1488" s="1"/>
      <c r="D1488" s="1"/>
      <c r="E1488" s="1"/>
      <c r="F1488" s="1"/>
      <c r="H1488" s="1"/>
    </row>
    <row r="1489" spans="2:8" x14ac:dyDescent="0.25">
      <c r="B1489" s="1"/>
      <c r="C1489" s="1"/>
      <c r="D1489" s="1"/>
      <c r="E1489" s="1"/>
      <c r="F1489" s="1"/>
      <c r="H1489" s="1"/>
    </row>
    <row r="1490" spans="2:8" x14ac:dyDescent="0.25">
      <c r="B1490" s="1"/>
      <c r="C1490" s="1"/>
      <c r="D1490" s="1"/>
      <c r="E1490" s="1"/>
      <c r="F1490" s="1"/>
      <c r="H1490" s="1"/>
    </row>
    <row r="1491" spans="2:8" x14ac:dyDescent="0.25">
      <c r="B1491" s="1"/>
      <c r="C1491" s="1"/>
      <c r="D1491" s="1"/>
      <c r="E1491" s="1"/>
      <c r="F1491" s="1"/>
      <c r="H1491" s="1"/>
    </row>
    <row r="1492" spans="2:8" x14ac:dyDescent="0.25">
      <c r="B1492" s="1"/>
      <c r="C1492" s="1"/>
      <c r="D1492" s="1"/>
      <c r="E1492" s="1"/>
      <c r="F1492" s="1"/>
      <c r="H1492" s="1"/>
    </row>
    <row r="1493" spans="2:8" x14ac:dyDescent="0.25">
      <c r="B1493" s="1"/>
      <c r="C1493" s="1"/>
      <c r="D1493" s="1"/>
      <c r="E1493" s="1"/>
      <c r="F1493" s="1"/>
      <c r="H1493" s="1"/>
    </row>
    <row r="1494" spans="2:8" x14ac:dyDescent="0.25">
      <c r="B1494" s="1"/>
      <c r="C1494" s="1"/>
      <c r="D1494" s="1"/>
      <c r="E1494" s="1"/>
      <c r="F1494" s="1"/>
      <c r="H1494" s="1"/>
    </row>
    <row r="1495" spans="2:8" x14ac:dyDescent="0.25">
      <c r="B1495" s="1"/>
      <c r="C1495" s="1"/>
      <c r="D1495" s="1"/>
      <c r="E1495" s="1"/>
      <c r="F1495" s="1"/>
      <c r="H1495" s="1"/>
    </row>
    <row r="1496" spans="2:8" x14ac:dyDescent="0.25">
      <c r="B1496" s="1"/>
      <c r="C1496" s="1"/>
      <c r="D1496" s="1"/>
      <c r="E1496" s="1"/>
      <c r="F1496" s="1"/>
      <c r="H1496" s="1"/>
    </row>
    <row r="1497" spans="2:8" x14ac:dyDescent="0.25">
      <c r="B1497" s="1"/>
      <c r="C1497" s="1"/>
      <c r="D1497" s="1"/>
      <c r="E1497" s="1"/>
      <c r="F1497" s="1"/>
      <c r="H1497" s="1"/>
    </row>
    <row r="1498" spans="2:8" x14ac:dyDescent="0.25">
      <c r="B1498" s="1"/>
      <c r="C1498" s="1"/>
      <c r="D1498" s="1"/>
      <c r="E1498" s="1"/>
      <c r="F1498" s="1"/>
      <c r="H1498" s="1"/>
    </row>
    <row r="1499" spans="2:8" x14ac:dyDescent="0.25">
      <c r="B1499" s="1"/>
      <c r="C1499" s="1"/>
      <c r="D1499" s="1"/>
      <c r="E1499" s="1"/>
      <c r="F1499" s="1"/>
      <c r="H1499" s="1"/>
    </row>
    <row r="1500" spans="2:8" x14ac:dyDescent="0.25">
      <c r="B1500" s="1"/>
      <c r="C1500" s="1"/>
      <c r="D1500" s="1"/>
      <c r="E1500" s="1"/>
      <c r="F1500" s="1"/>
      <c r="H1500" s="1"/>
    </row>
    <row r="1501" spans="2:8" x14ac:dyDescent="0.25">
      <c r="B1501" s="1"/>
      <c r="C1501" s="1"/>
      <c r="D1501" s="1"/>
      <c r="E1501" s="1"/>
      <c r="F1501" s="1"/>
      <c r="H1501" s="1"/>
    </row>
    <row r="1502" spans="2:8" x14ac:dyDescent="0.25">
      <c r="B1502" s="1"/>
      <c r="C1502" s="1"/>
      <c r="D1502" s="1"/>
      <c r="E1502" s="1"/>
      <c r="F1502" s="1"/>
      <c r="H1502" s="1"/>
    </row>
    <row r="1503" spans="2:8" x14ac:dyDescent="0.25">
      <c r="B1503" s="1"/>
      <c r="C1503" s="1"/>
      <c r="D1503" s="1"/>
      <c r="E1503" s="1"/>
      <c r="F1503" s="1"/>
      <c r="H1503" s="1"/>
    </row>
    <row r="1504" spans="2:8" x14ac:dyDescent="0.25">
      <c r="B1504" s="1"/>
      <c r="C1504" s="1"/>
      <c r="D1504" s="1"/>
      <c r="E1504" s="1"/>
      <c r="F1504" s="1"/>
      <c r="H1504" s="1"/>
    </row>
    <row r="1505" spans="2:8" x14ac:dyDescent="0.25">
      <c r="B1505" s="1"/>
      <c r="C1505" s="1"/>
      <c r="D1505" s="1"/>
      <c r="E1505" s="1"/>
      <c r="F1505" s="1"/>
      <c r="H1505" s="1"/>
    </row>
    <row r="1506" spans="2:8" x14ac:dyDescent="0.25">
      <c r="B1506" s="1"/>
      <c r="C1506" s="1"/>
      <c r="D1506" s="1"/>
      <c r="E1506" s="1"/>
      <c r="F1506" s="1"/>
      <c r="H1506" s="1"/>
    </row>
    <row r="1507" spans="2:8" x14ac:dyDescent="0.25">
      <c r="B1507" s="1"/>
      <c r="C1507" s="1"/>
      <c r="D1507" s="1"/>
      <c r="E1507" s="1"/>
      <c r="F1507" s="1"/>
      <c r="H1507" s="1"/>
    </row>
    <row r="1508" spans="2:8" x14ac:dyDescent="0.25">
      <c r="B1508" s="1"/>
      <c r="C1508" s="1"/>
      <c r="D1508" s="1"/>
      <c r="E1508" s="1"/>
      <c r="F1508" s="1"/>
      <c r="H1508" s="1"/>
    </row>
    <row r="1509" spans="2:8" x14ac:dyDescent="0.25">
      <c r="B1509" s="1"/>
      <c r="C1509" s="1"/>
      <c r="D1509" s="1"/>
      <c r="E1509" s="1"/>
      <c r="F1509" s="1"/>
      <c r="H1509" s="1"/>
    </row>
    <row r="1510" spans="2:8" x14ac:dyDescent="0.25">
      <c r="B1510" s="1"/>
      <c r="C1510" s="1"/>
      <c r="D1510" s="1"/>
      <c r="E1510" s="1"/>
      <c r="F1510" s="1"/>
      <c r="H1510" s="1"/>
    </row>
    <row r="1511" spans="2:8" x14ac:dyDescent="0.25">
      <c r="B1511" s="1"/>
      <c r="C1511" s="1"/>
      <c r="D1511" s="1"/>
      <c r="E1511" s="1"/>
      <c r="F1511" s="1"/>
      <c r="H1511" s="1"/>
    </row>
    <row r="1512" spans="2:8" x14ac:dyDescent="0.25">
      <c r="B1512" s="1"/>
      <c r="C1512" s="1"/>
      <c r="D1512" s="1"/>
      <c r="E1512" s="1"/>
      <c r="F1512" s="1"/>
      <c r="H1512" s="1"/>
    </row>
    <row r="1513" spans="2:8" x14ac:dyDescent="0.25">
      <c r="B1513" s="1"/>
      <c r="C1513" s="1"/>
      <c r="D1513" s="1"/>
      <c r="E1513" s="1"/>
      <c r="F1513" s="1"/>
      <c r="H1513" s="1"/>
    </row>
    <row r="1514" spans="2:8" x14ac:dyDescent="0.25">
      <c r="B1514" s="1"/>
      <c r="C1514" s="1"/>
      <c r="D1514" s="1"/>
      <c r="E1514" s="1"/>
      <c r="F1514" s="1"/>
      <c r="H1514" s="1"/>
    </row>
    <row r="1515" spans="2:8" x14ac:dyDescent="0.25">
      <c r="B1515" s="1"/>
      <c r="C1515" s="1"/>
      <c r="D1515" s="1"/>
      <c r="E1515" s="1"/>
      <c r="F1515" s="1"/>
      <c r="H1515" s="1"/>
    </row>
    <row r="1516" spans="2:8" x14ac:dyDescent="0.25">
      <c r="B1516" s="1"/>
      <c r="C1516" s="1"/>
      <c r="D1516" s="1"/>
      <c r="E1516" s="1"/>
      <c r="F1516" s="1"/>
      <c r="H1516" s="1"/>
    </row>
    <row r="1517" spans="2:8" x14ac:dyDescent="0.25">
      <c r="B1517" s="1"/>
      <c r="C1517" s="1"/>
      <c r="D1517" s="1"/>
      <c r="E1517" s="1"/>
      <c r="F1517" s="1"/>
      <c r="H1517" s="1"/>
    </row>
    <row r="1518" spans="2:8" x14ac:dyDescent="0.25">
      <c r="B1518" s="1"/>
      <c r="C1518" s="1"/>
      <c r="D1518" s="1"/>
      <c r="E1518" s="1"/>
      <c r="F1518" s="1"/>
      <c r="H1518" s="1"/>
    </row>
    <row r="1519" spans="2:8" x14ac:dyDescent="0.25">
      <c r="B1519" s="1"/>
      <c r="C1519" s="1"/>
      <c r="D1519" s="1"/>
      <c r="E1519" s="1"/>
      <c r="F1519" s="1"/>
      <c r="H1519" s="1"/>
    </row>
    <row r="1520" spans="2:8" x14ac:dyDescent="0.25">
      <c r="B1520" s="1"/>
      <c r="C1520" s="1"/>
      <c r="D1520" s="1"/>
      <c r="E1520" s="1"/>
      <c r="F1520" s="1"/>
      <c r="H1520" s="1"/>
    </row>
    <row r="1521" spans="2:8" x14ac:dyDescent="0.25">
      <c r="B1521" s="1"/>
      <c r="C1521" s="1"/>
      <c r="D1521" s="1"/>
      <c r="E1521" s="1"/>
      <c r="F1521" s="1"/>
      <c r="H1521" s="1"/>
    </row>
    <row r="1522" spans="2:8" x14ac:dyDescent="0.25">
      <c r="B1522" s="1"/>
      <c r="C1522" s="1"/>
      <c r="D1522" s="1"/>
      <c r="E1522" s="1"/>
      <c r="F1522" s="1"/>
      <c r="H1522" s="1"/>
    </row>
    <row r="1523" spans="2:8" x14ac:dyDescent="0.25">
      <c r="B1523" s="1"/>
      <c r="C1523" s="1"/>
      <c r="D1523" s="1"/>
      <c r="E1523" s="1"/>
      <c r="F1523" s="1"/>
      <c r="H1523" s="1"/>
    </row>
    <row r="1524" spans="2:8" x14ac:dyDescent="0.25">
      <c r="B1524" s="1"/>
      <c r="C1524" s="1"/>
      <c r="D1524" s="1"/>
      <c r="E1524" s="1"/>
      <c r="F1524" s="1"/>
      <c r="H1524" s="1"/>
    </row>
    <row r="1525" spans="2:8" x14ac:dyDescent="0.25">
      <c r="B1525" s="1"/>
      <c r="C1525" s="1"/>
      <c r="D1525" s="1"/>
      <c r="E1525" s="1"/>
      <c r="F1525" s="1"/>
      <c r="H1525" s="1"/>
    </row>
    <row r="1526" spans="2:8" x14ac:dyDescent="0.25">
      <c r="B1526" s="1"/>
      <c r="C1526" s="1"/>
      <c r="D1526" s="1"/>
      <c r="E1526" s="1"/>
      <c r="F1526" s="1"/>
      <c r="H1526" s="1"/>
    </row>
    <row r="1527" spans="2:8" x14ac:dyDescent="0.25">
      <c r="B1527" s="1"/>
      <c r="C1527" s="1"/>
      <c r="D1527" s="1"/>
      <c r="E1527" s="1"/>
      <c r="F1527" s="1"/>
      <c r="H1527" s="1"/>
    </row>
    <row r="1528" spans="2:8" x14ac:dyDescent="0.25">
      <c r="B1528" s="1"/>
      <c r="C1528" s="1"/>
      <c r="D1528" s="1"/>
      <c r="E1528" s="1"/>
      <c r="F1528" s="1"/>
      <c r="H1528" s="1"/>
    </row>
    <row r="1529" spans="2:8" x14ac:dyDescent="0.25">
      <c r="B1529" s="1"/>
      <c r="C1529" s="1"/>
      <c r="D1529" s="1"/>
      <c r="E1529" s="1"/>
      <c r="F1529" s="1"/>
      <c r="H1529" s="1"/>
    </row>
    <row r="1530" spans="2:8" x14ac:dyDescent="0.25">
      <c r="B1530" s="1"/>
      <c r="C1530" s="1"/>
      <c r="D1530" s="1"/>
      <c r="E1530" s="1"/>
      <c r="F1530" s="1"/>
      <c r="H1530" s="1"/>
    </row>
    <row r="1531" spans="2:8" x14ac:dyDescent="0.25">
      <c r="B1531" s="1"/>
      <c r="C1531" s="1"/>
      <c r="D1531" s="1"/>
      <c r="E1531" s="1"/>
      <c r="F1531" s="1"/>
      <c r="H1531" s="1"/>
    </row>
    <row r="1532" spans="2:8" x14ac:dyDescent="0.25">
      <c r="B1532" s="1"/>
      <c r="C1532" s="1"/>
      <c r="D1532" s="1"/>
      <c r="E1532" s="1"/>
      <c r="F1532" s="1"/>
      <c r="H1532" s="1"/>
    </row>
    <row r="1533" spans="2:8" x14ac:dyDescent="0.25">
      <c r="B1533" s="1"/>
      <c r="C1533" s="1"/>
      <c r="D1533" s="1"/>
      <c r="E1533" s="1"/>
      <c r="F1533" s="1"/>
      <c r="H1533" s="1"/>
    </row>
    <row r="1534" spans="2:8" x14ac:dyDescent="0.25">
      <c r="B1534" s="1"/>
      <c r="C1534" s="1"/>
      <c r="D1534" s="1"/>
      <c r="E1534" s="1"/>
      <c r="F1534" s="1"/>
      <c r="H1534" s="1"/>
    </row>
    <row r="1535" spans="2:8" x14ac:dyDescent="0.25">
      <c r="B1535" s="1"/>
      <c r="C1535" s="1"/>
      <c r="D1535" s="1"/>
      <c r="E1535" s="1"/>
      <c r="F1535" s="1"/>
      <c r="H1535" s="1"/>
    </row>
    <row r="1536" spans="2:8" x14ac:dyDescent="0.25">
      <c r="B1536" s="1"/>
      <c r="C1536" s="1"/>
      <c r="D1536" s="1"/>
      <c r="E1536" s="1"/>
      <c r="F1536" s="1"/>
      <c r="H1536" s="1"/>
    </row>
    <row r="1537" spans="2:8" x14ac:dyDescent="0.25">
      <c r="B1537" s="1"/>
      <c r="C1537" s="1"/>
      <c r="D1537" s="1"/>
      <c r="E1537" s="1"/>
      <c r="F1537" s="1"/>
      <c r="H1537" s="1"/>
    </row>
    <row r="1538" spans="2:8" x14ac:dyDescent="0.25">
      <c r="B1538" s="1"/>
      <c r="C1538" s="1"/>
      <c r="D1538" s="1"/>
      <c r="E1538" s="1"/>
      <c r="F1538" s="1"/>
      <c r="H1538" s="1"/>
    </row>
    <row r="1539" spans="2:8" x14ac:dyDescent="0.25">
      <c r="B1539" s="1"/>
      <c r="C1539" s="1"/>
      <c r="D1539" s="1"/>
      <c r="E1539" s="1"/>
      <c r="F1539" s="1"/>
      <c r="H1539" s="1"/>
    </row>
    <row r="1540" spans="2:8" x14ac:dyDescent="0.25">
      <c r="B1540" s="1"/>
      <c r="C1540" s="1"/>
      <c r="D1540" s="1"/>
      <c r="E1540" s="1"/>
      <c r="F1540" s="1"/>
      <c r="H1540" s="1"/>
    </row>
    <row r="1541" spans="2:8" x14ac:dyDescent="0.25">
      <c r="B1541" s="1"/>
      <c r="C1541" s="1"/>
      <c r="D1541" s="1"/>
      <c r="E1541" s="1"/>
      <c r="F1541" s="1"/>
      <c r="H1541" s="1"/>
    </row>
    <row r="1542" spans="2:8" x14ac:dyDescent="0.25">
      <c r="B1542" s="1"/>
      <c r="C1542" s="1"/>
      <c r="D1542" s="1"/>
      <c r="E1542" s="1"/>
      <c r="F1542" s="1"/>
      <c r="H1542" s="1"/>
    </row>
    <row r="1543" spans="2:8" x14ac:dyDescent="0.25">
      <c r="B1543" s="1"/>
      <c r="C1543" s="1"/>
      <c r="D1543" s="1"/>
      <c r="E1543" s="1"/>
      <c r="F1543" s="1"/>
      <c r="H1543" s="1"/>
    </row>
    <row r="1544" spans="2:8" x14ac:dyDescent="0.25">
      <c r="B1544" s="1"/>
      <c r="C1544" s="1"/>
      <c r="D1544" s="1"/>
      <c r="E1544" s="1"/>
      <c r="F1544" s="1"/>
      <c r="H1544" s="1"/>
    </row>
    <row r="1545" spans="2:8" x14ac:dyDescent="0.25">
      <c r="B1545" s="1"/>
      <c r="C1545" s="1"/>
      <c r="D1545" s="1"/>
      <c r="E1545" s="1"/>
      <c r="F1545" s="1"/>
      <c r="H1545" s="1"/>
    </row>
    <row r="1546" spans="2:8" x14ac:dyDescent="0.25">
      <c r="B1546" s="1"/>
      <c r="C1546" s="1"/>
      <c r="D1546" s="1"/>
      <c r="E1546" s="1"/>
      <c r="F1546" s="1"/>
      <c r="H1546" s="1"/>
    </row>
    <row r="1547" spans="2:8" x14ac:dyDescent="0.25">
      <c r="B1547" s="1"/>
      <c r="C1547" s="1"/>
      <c r="D1547" s="1"/>
      <c r="E1547" s="1"/>
      <c r="F1547" s="1"/>
      <c r="H1547" s="1"/>
    </row>
    <row r="1548" spans="2:8" x14ac:dyDescent="0.25">
      <c r="B1548" s="1"/>
      <c r="C1548" s="1"/>
      <c r="D1548" s="1"/>
      <c r="E1548" s="1"/>
      <c r="F1548" s="1"/>
      <c r="H1548" s="1"/>
    </row>
    <row r="1549" spans="2:8" x14ac:dyDescent="0.25">
      <c r="B1549" s="1"/>
      <c r="C1549" s="1"/>
      <c r="D1549" s="1"/>
      <c r="E1549" s="1"/>
      <c r="F1549" s="1"/>
      <c r="H1549" s="1"/>
    </row>
    <row r="1550" spans="2:8" x14ac:dyDescent="0.25">
      <c r="B1550" s="1"/>
      <c r="C1550" s="1"/>
      <c r="D1550" s="1"/>
      <c r="E1550" s="1"/>
      <c r="F1550" s="1"/>
      <c r="H1550" s="1"/>
    </row>
    <row r="1551" spans="2:8" x14ac:dyDescent="0.25">
      <c r="B1551" s="1"/>
      <c r="C1551" s="1"/>
      <c r="D1551" s="1"/>
      <c r="E1551" s="1"/>
      <c r="F1551" s="1"/>
      <c r="H1551" s="1"/>
    </row>
    <row r="1552" spans="2:8" x14ac:dyDescent="0.25">
      <c r="B1552" s="1"/>
      <c r="C1552" s="1"/>
      <c r="D1552" s="1"/>
      <c r="E1552" s="1"/>
      <c r="F1552" s="1"/>
      <c r="H1552" s="1"/>
    </row>
    <row r="1553" spans="2:8" x14ac:dyDescent="0.25">
      <c r="B1553" s="1"/>
      <c r="C1553" s="1"/>
      <c r="D1553" s="1"/>
      <c r="E1553" s="1"/>
      <c r="F1553" s="1"/>
      <c r="H1553" s="1"/>
    </row>
    <row r="1554" spans="2:8" x14ac:dyDescent="0.25">
      <c r="B1554" s="1"/>
      <c r="C1554" s="1"/>
      <c r="D1554" s="1"/>
      <c r="E1554" s="1"/>
      <c r="F1554" s="1"/>
      <c r="H1554" s="1"/>
    </row>
    <row r="1555" spans="2:8" x14ac:dyDescent="0.25">
      <c r="B1555" s="1"/>
      <c r="C1555" s="1"/>
      <c r="D1555" s="1"/>
      <c r="E1555" s="1"/>
      <c r="F1555" s="1"/>
      <c r="H1555" s="1"/>
    </row>
    <row r="1556" spans="2:8" x14ac:dyDescent="0.25">
      <c r="B1556" s="1"/>
      <c r="C1556" s="1"/>
      <c r="D1556" s="1"/>
      <c r="E1556" s="1"/>
      <c r="F1556" s="1"/>
      <c r="H1556" s="1"/>
    </row>
    <row r="1557" spans="2:8" x14ac:dyDescent="0.25">
      <c r="B1557" s="1"/>
      <c r="C1557" s="1"/>
      <c r="D1557" s="1"/>
      <c r="E1557" s="1"/>
      <c r="F1557" s="1"/>
      <c r="H1557" s="1"/>
    </row>
    <row r="1558" spans="2:8" x14ac:dyDescent="0.25">
      <c r="B1558" s="1"/>
      <c r="C1558" s="1"/>
      <c r="D1558" s="1"/>
      <c r="E1558" s="1"/>
      <c r="F1558" s="1"/>
      <c r="H1558" s="1"/>
    </row>
    <row r="1559" spans="2:8" x14ac:dyDescent="0.25">
      <c r="B1559" s="1"/>
      <c r="C1559" s="1"/>
      <c r="D1559" s="1"/>
      <c r="E1559" s="1"/>
      <c r="F1559" s="1"/>
      <c r="H1559" s="1"/>
    </row>
    <row r="1560" spans="2:8" x14ac:dyDescent="0.25">
      <c r="B1560" s="1"/>
      <c r="C1560" s="1"/>
      <c r="D1560" s="1"/>
      <c r="E1560" s="1"/>
      <c r="F1560" s="1"/>
      <c r="H1560" s="1"/>
    </row>
    <row r="1561" spans="2:8" x14ac:dyDescent="0.25">
      <c r="B1561" s="1"/>
      <c r="C1561" s="1"/>
      <c r="D1561" s="1"/>
      <c r="E1561" s="1"/>
      <c r="F1561" s="1"/>
      <c r="H1561" s="1"/>
    </row>
    <row r="1562" spans="2:8" x14ac:dyDescent="0.25">
      <c r="B1562" s="1"/>
      <c r="C1562" s="1"/>
      <c r="D1562" s="1"/>
      <c r="E1562" s="1"/>
      <c r="F1562" s="1"/>
      <c r="H1562" s="1"/>
    </row>
    <row r="1563" spans="2:8" x14ac:dyDescent="0.25">
      <c r="B1563" s="1"/>
      <c r="C1563" s="1"/>
      <c r="D1563" s="1"/>
      <c r="E1563" s="1"/>
      <c r="F1563" s="1"/>
      <c r="H1563" s="1"/>
    </row>
    <row r="1564" spans="2:8" x14ac:dyDescent="0.25">
      <c r="B1564" s="1"/>
      <c r="C1564" s="1"/>
      <c r="D1564" s="1"/>
      <c r="E1564" s="1"/>
      <c r="F1564" s="1"/>
      <c r="H1564" s="1"/>
    </row>
    <row r="1565" spans="2:8" x14ac:dyDescent="0.25">
      <c r="B1565" s="1"/>
      <c r="C1565" s="1"/>
      <c r="D1565" s="1"/>
      <c r="E1565" s="1"/>
      <c r="F1565" s="1"/>
      <c r="H1565" s="1"/>
    </row>
    <row r="1566" spans="2:8" x14ac:dyDescent="0.25">
      <c r="B1566" s="1"/>
      <c r="C1566" s="1"/>
      <c r="D1566" s="1"/>
      <c r="E1566" s="1"/>
      <c r="F1566" s="1"/>
      <c r="H1566" s="1"/>
    </row>
    <row r="1567" spans="2:8" x14ac:dyDescent="0.25">
      <c r="B1567" s="1"/>
      <c r="C1567" s="1"/>
      <c r="D1567" s="1"/>
      <c r="E1567" s="1"/>
      <c r="F1567" s="1"/>
      <c r="H1567" s="1"/>
    </row>
    <row r="1568" spans="2:8" x14ac:dyDescent="0.25">
      <c r="B1568" s="1"/>
      <c r="C1568" s="1"/>
      <c r="D1568" s="1"/>
      <c r="E1568" s="1"/>
      <c r="F1568" s="1"/>
      <c r="H1568" s="1"/>
    </row>
    <row r="1569" spans="2:8" x14ac:dyDescent="0.25">
      <c r="B1569" s="1"/>
      <c r="C1569" s="1"/>
      <c r="D1569" s="1"/>
      <c r="E1569" s="1"/>
      <c r="F1569" s="1"/>
      <c r="H1569" s="1"/>
    </row>
    <row r="1570" spans="2:8" x14ac:dyDescent="0.25">
      <c r="B1570" s="1"/>
      <c r="C1570" s="1"/>
      <c r="D1570" s="1"/>
      <c r="E1570" s="1"/>
      <c r="F1570" s="1"/>
      <c r="H1570" s="1"/>
    </row>
    <row r="1571" spans="2:8" x14ac:dyDescent="0.25">
      <c r="B1571" s="1"/>
      <c r="C1571" s="1"/>
      <c r="D1571" s="1"/>
      <c r="E1571" s="1"/>
      <c r="F1571" s="1"/>
      <c r="H1571" s="1"/>
    </row>
    <row r="1572" spans="2:8" x14ac:dyDescent="0.25">
      <c r="B1572" s="1"/>
      <c r="C1572" s="1"/>
      <c r="D1572" s="1"/>
      <c r="E1572" s="1"/>
      <c r="F1572" s="1"/>
      <c r="H1572" s="1"/>
    </row>
    <row r="1573" spans="2:8" x14ac:dyDescent="0.25">
      <c r="B1573" s="1"/>
      <c r="C1573" s="1"/>
      <c r="D1573" s="1"/>
      <c r="E1573" s="1"/>
      <c r="F1573" s="1"/>
      <c r="H1573" s="1"/>
    </row>
    <row r="1574" spans="2:8" x14ac:dyDescent="0.25">
      <c r="B1574" s="1"/>
      <c r="C1574" s="1"/>
      <c r="D1574" s="1"/>
      <c r="E1574" s="1"/>
      <c r="F1574" s="1"/>
      <c r="H1574" s="1"/>
    </row>
    <row r="1575" spans="2:8" x14ac:dyDescent="0.25">
      <c r="B1575" s="1"/>
      <c r="C1575" s="1"/>
      <c r="D1575" s="1"/>
      <c r="E1575" s="1"/>
      <c r="F1575" s="1"/>
      <c r="H1575" s="1"/>
    </row>
    <row r="1576" spans="2:8" x14ac:dyDescent="0.25">
      <c r="B1576" s="1"/>
      <c r="C1576" s="1"/>
      <c r="D1576" s="1"/>
      <c r="E1576" s="1"/>
      <c r="F1576" s="1"/>
      <c r="H1576" s="1"/>
    </row>
    <row r="1577" spans="2:8" x14ac:dyDescent="0.25">
      <c r="B1577" s="1"/>
      <c r="C1577" s="1"/>
      <c r="D1577" s="1"/>
      <c r="E1577" s="1"/>
      <c r="F1577" s="1"/>
      <c r="H1577" s="1"/>
    </row>
    <row r="1578" spans="2:8" x14ac:dyDescent="0.25">
      <c r="B1578" s="1"/>
      <c r="C1578" s="1"/>
      <c r="D1578" s="1"/>
      <c r="E1578" s="1"/>
      <c r="F1578" s="1"/>
      <c r="H1578" s="1"/>
    </row>
    <row r="1579" spans="2:8" x14ac:dyDescent="0.25">
      <c r="B1579" s="1"/>
      <c r="C1579" s="1"/>
      <c r="D1579" s="1"/>
      <c r="E1579" s="1"/>
      <c r="F1579" s="1"/>
      <c r="H1579" s="1"/>
    </row>
    <row r="1580" spans="2:8" x14ac:dyDescent="0.25">
      <c r="B1580" s="1"/>
      <c r="C1580" s="1"/>
      <c r="D1580" s="1"/>
      <c r="E1580" s="1"/>
      <c r="F1580" s="1"/>
      <c r="H1580" s="1"/>
    </row>
    <row r="1581" spans="2:8" x14ac:dyDescent="0.25">
      <c r="B1581" s="1"/>
      <c r="C1581" s="1"/>
      <c r="D1581" s="1"/>
      <c r="E1581" s="1"/>
      <c r="F1581" s="1"/>
      <c r="H1581" s="1"/>
    </row>
    <row r="1582" spans="2:8" x14ac:dyDescent="0.25">
      <c r="B1582" s="1"/>
      <c r="C1582" s="1"/>
      <c r="D1582" s="1"/>
      <c r="E1582" s="1"/>
      <c r="F1582" s="1"/>
      <c r="H1582" s="1"/>
    </row>
    <row r="1583" spans="2:8" x14ac:dyDescent="0.25">
      <c r="B1583" s="1"/>
      <c r="C1583" s="1"/>
      <c r="D1583" s="1"/>
      <c r="E1583" s="1"/>
      <c r="F1583" s="1"/>
      <c r="H1583" s="1"/>
    </row>
    <row r="1584" spans="2:8" x14ac:dyDescent="0.25">
      <c r="B1584" s="1"/>
      <c r="C1584" s="1"/>
      <c r="D1584" s="1"/>
      <c r="E1584" s="1"/>
      <c r="F1584" s="1"/>
      <c r="H1584" s="1"/>
    </row>
    <row r="1585" spans="2:8" x14ac:dyDescent="0.25">
      <c r="B1585" s="1"/>
      <c r="C1585" s="1"/>
      <c r="D1585" s="1"/>
      <c r="E1585" s="1"/>
      <c r="F1585" s="1"/>
      <c r="H1585" s="1"/>
    </row>
    <row r="1586" spans="2:8" x14ac:dyDescent="0.25">
      <c r="B1586" s="1"/>
      <c r="C1586" s="1"/>
      <c r="D1586" s="1"/>
      <c r="E1586" s="1"/>
      <c r="F1586" s="1"/>
      <c r="H1586" s="1"/>
    </row>
    <row r="1587" spans="2:8" x14ac:dyDescent="0.25">
      <c r="B1587" s="1"/>
      <c r="C1587" s="1"/>
      <c r="D1587" s="1"/>
      <c r="E1587" s="1"/>
      <c r="F1587" s="1"/>
      <c r="H1587" s="1"/>
    </row>
    <row r="1588" spans="2:8" x14ac:dyDescent="0.25">
      <c r="B1588" s="1"/>
      <c r="C1588" s="1"/>
      <c r="D1588" s="1"/>
      <c r="E1588" s="1"/>
      <c r="F1588" s="1"/>
      <c r="H1588" s="1"/>
    </row>
    <row r="1589" spans="2:8" x14ac:dyDescent="0.25">
      <c r="B1589" s="1"/>
      <c r="C1589" s="1"/>
      <c r="D1589" s="1"/>
      <c r="E1589" s="1"/>
      <c r="F1589" s="1"/>
      <c r="H1589" s="1"/>
    </row>
    <row r="1590" spans="2:8" x14ac:dyDescent="0.25">
      <c r="B1590" s="1"/>
      <c r="C1590" s="1"/>
      <c r="D1590" s="1"/>
      <c r="E1590" s="1"/>
      <c r="F1590" s="1"/>
      <c r="H1590" s="1"/>
    </row>
    <row r="1591" spans="2:8" x14ac:dyDescent="0.25">
      <c r="B1591" s="1"/>
      <c r="C1591" s="1"/>
      <c r="D1591" s="1"/>
      <c r="E1591" s="1"/>
      <c r="F1591" s="1"/>
      <c r="H1591" s="1"/>
    </row>
    <row r="1592" spans="2:8" x14ac:dyDescent="0.25">
      <c r="B1592" s="1"/>
      <c r="C1592" s="1"/>
      <c r="D1592" s="1"/>
      <c r="E1592" s="1"/>
      <c r="F1592" s="1"/>
      <c r="H1592" s="1"/>
    </row>
    <row r="1593" spans="2:8" x14ac:dyDescent="0.25">
      <c r="B1593" s="1"/>
      <c r="C1593" s="1"/>
      <c r="D1593" s="1"/>
      <c r="E1593" s="1"/>
      <c r="F1593" s="1"/>
      <c r="H1593" s="1"/>
    </row>
    <row r="1594" spans="2:8" x14ac:dyDescent="0.25">
      <c r="B1594" s="1"/>
      <c r="C1594" s="1"/>
      <c r="D1594" s="1"/>
      <c r="E1594" s="1"/>
      <c r="F1594" s="1"/>
      <c r="H1594" s="1"/>
    </row>
    <row r="1595" spans="2:8" x14ac:dyDescent="0.25">
      <c r="B1595" s="1"/>
      <c r="C1595" s="1"/>
      <c r="D1595" s="1"/>
      <c r="E1595" s="1"/>
      <c r="F1595" s="1"/>
      <c r="H1595" s="1"/>
    </row>
    <row r="1596" spans="2:8" x14ac:dyDescent="0.25">
      <c r="B1596" s="1"/>
      <c r="C1596" s="1"/>
      <c r="D1596" s="1"/>
      <c r="E1596" s="1"/>
      <c r="F1596" s="1"/>
      <c r="H1596" s="1"/>
    </row>
    <row r="1597" spans="2:8" x14ac:dyDescent="0.25">
      <c r="B1597" s="1"/>
      <c r="C1597" s="1"/>
      <c r="D1597" s="1"/>
      <c r="E1597" s="1"/>
      <c r="F1597" s="1"/>
      <c r="H1597" s="1"/>
    </row>
    <row r="1598" spans="2:8" x14ac:dyDescent="0.25">
      <c r="B1598" s="1"/>
      <c r="C1598" s="1"/>
      <c r="D1598" s="1"/>
      <c r="E1598" s="1"/>
      <c r="F1598" s="1"/>
      <c r="H1598" s="1"/>
    </row>
    <row r="1599" spans="2:8" x14ac:dyDescent="0.25">
      <c r="B1599" s="1"/>
      <c r="C1599" s="1"/>
      <c r="D1599" s="1"/>
      <c r="E1599" s="1"/>
      <c r="F1599" s="1"/>
      <c r="H1599" s="1"/>
    </row>
    <row r="1600" spans="2:8" x14ac:dyDescent="0.25">
      <c r="B1600" s="1"/>
      <c r="C1600" s="1"/>
      <c r="D1600" s="1"/>
      <c r="E1600" s="1"/>
      <c r="F1600" s="1"/>
      <c r="H1600" s="1"/>
    </row>
    <row r="1601" spans="2:8" x14ac:dyDescent="0.25">
      <c r="B1601" s="1"/>
      <c r="C1601" s="1"/>
      <c r="D1601" s="1"/>
      <c r="E1601" s="1"/>
      <c r="F1601" s="1"/>
      <c r="H1601" s="1"/>
    </row>
    <row r="1602" spans="2:8" x14ac:dyDescent="0.25">
      <c r="B1602" s="1"/>
      <c r="C1602" s="1"/>
      <c r="D1602" s="1"/>
      <c r="E1602" s="1"/>
      <c r="F1602" s="1"/>
      <c r="H1602" s="1"/>
    </row>
    <row r="1603" spans="2:8" x14ac:dyDescent="0.25">
      <c r="B1603" s="1"/>
      <c r="C1603" s="1"/>
      <c r="D1603" s="1"/>
      <c r="E1603" s="1"/>
      <c r="F1603" s="1"/>
      <c r="H1603" s="1"/>
    </row>
    <row r="1604" spans="2:8" x14ac:dyDescent="0.25">
      <c r="B1604" s="1"/>
      <c r="C1604" s="1"/>
      <c r="D1604" s="1"/>
      <c r="E1604" s="1"/>
      <c r="F1604" s="1"/>
      <c r="H1604" s="1"/>
    </row>
    <row r="1605" spans="2:8" x14ac:dyDescent="0.25">
      <c r="B1605" s="1"/>
      <c r="C1605" s="1"/>
      <c r="D1605" s="1"/>
      <c r="E1605" s="1"/>
      <c r="F1605" s="1"/>
      <c r="H1605" s="1"/>
    </row>
    <row r="1606" spans="2:8" x14ac:dyDescent="0.25">
      <c r="B1606" s="1"/>
      <c r="C1606" s="1"/>
      <c r="D1606" s="1"/>
      <c r="E1606" s="1"/>
      <c r="F1606" s="1"/>
      <c r="H1606" s="1"/>
    </row>
    <row r="1607" spans="2:8" x14ac:dyDescent="0.25">
      <c r="B1607" s="1"/>
      <c r="C1607" s="1"/>
      <c r="D1607" s="1"/>
      <c r="E1607" s="1"/>
      <c r="F1607" s="1"/>
      <c r="H1607" s="1"/>
    </row>
    <row r="1608" spans="2:8" x14ac:dyDescent="0.25">
      <c r="B1608" s="1"/>
      <c r="C1608" s="1"/>
      <c r="D1608" s="1"/>
      <c r="E1608" s="1"/>
      <c r="F1608" s="1"/>
      <c r="H1608" s="1"/>
    </row>
    <row r="1609" spans="2:8" x14ac:dyDescent="0.25">
      <c r="B1609" s="1"/>
      <c r="C1609" s="1"/>
      <c r="D1609" s="1"/>
      <c r="E1609" s="1"/>
      <c r="F1609" s="1"/>
      <c r="H1609" s="1"/>
    </row>
    <row r="1610" spans="2:8" x14ac:dyDescent="0.25">
      <c r="B1610" s="1"/>
      <c r="C1610" s="1"/>
      <c r="D1610" s="1"/>
      <c r="E1610" s="1"/>
      <c r="F1610" s="1"/>
      <c r="H1610" s="1"/>
    </row>
    <row r="1611" spans="2:8" x14ac:dyDescent="0.25">
      <c r="B1611" s="1"/>
      <c r="C1611" s="1"/>
      <c r="D1611" s="1"/>
      <c r="E1611" s="1"/>
      <c r="F1611" s="1"/>
      <c r="H1611" s="1"/>
    </row>
    <row r="1612" spans="2:8" x14ac:dyDescent="0.25">
      <c r="B1612" s="1"/>
      <c r="C1612" s="1"/>
      <c r="D1612" s="1"/>
      <c r="E1612" s="1"/>
      <c r="F1612" s="1"/>
      <c r="H1612" s="1"/>
    </row>
    <row r="1613" spans="2:8" x14ac:dyDescent="0.25">
      <c r="B1613" s="1"/>
      <c r="C1613" s="1"/>
      <c r="D1613" s="1"/>
      <c r="E1613" s="1"/>
      <c r="F1613" s="1"/>
      <c r="H1613" s="1"/>
    </row>
    <row r="1614" spans="2:8" x14ac:dyDescent="0.25">
      <c r="B1614" s="1"/>
      <c r="C1614" s="1"/>
      <c r="D1614" s="1"/>
      <c r="E1614" s="1"/>
      <c r="F1614" s="1"/>
      <c r="H1614" s="1"/>
    </row>
    <row r="1615" spans="2:8" x14ac:dyDescent="0.25">
      <c r="B1615" s="1"/>
      <c r="C1615" s="1"/>
      <c r="D1615" s="1"/>
      <c r="E1615" s="1"/>
      <c r="F1615" s="1"/>
      <c r="H1615" s="1"/>
    </row>
    <row r="1616" spans="2:8" x14ac:dyDescent="0.25">
      <c r="B1616" s="1"/>
      <c r="C1616" s="1"/>
      <c r="D1616" s="1"/>
      <c r="E1616" s="1"/>
      <c r="F1616" s="1"/>
      <c r="H1616" s="1"/>
    </row>
    <row r="1617" spans="2:8" x14ac:dyDescent="0.25">
      <c r="B1617" s="1"/>
      <c r="C1617" s="1"/>
      <c r="D1617" s="1"/>
      <c r="E1617" s="1"/>
      <c r="F1617" s="1"/>
      <c r="H1617" s="1"/>
    </row>
    <row r="1618" spans="2:8" x14ac:dyDescent="0.25">
      <c r="B1618" s="1"/>
      <c r="C1618" s="1"/>
      <c r="D1618" s="1"/>
      <c r="E1618" s="1"/>
      <c r="F1618" s="1"/>
      <c r="H1618" s="1"/>
    </row>
    <row r="1619" spans="2:8" x14ac:dyDescent="0.25">
      <c r="B1619" s="1"/>
      <c r="C1619" s="1"/>
      <c r="D1619" s="1"/>
      <c r="E1619" s="1"/>
      <c r="F1619" s="1"/>
      <c r="H1619" s="1"/>
    </row>
    <row r="1620" spans="2:8" x14ac:dyDescent="0.25">
      <c r="B1620" s="1"/>
      <c r="C1620" s="1"/>
      <c r="D1620" s="1"/>
      <c r="E1620" s="1"/>
      <c r="F1620" s="1"/>
      <c r="H1620" s="1"/>
    </row>
    <row r="1621" spans="2:8" x14ac:dyDescent="0.25">
      <c r="B1621" s="1"/>
      <c r="C1621" s="1"/>
      <c r="D1621" s="1"/>
      <c r="E1621" s="1"/>
      <c r="F1621" s="1"/>
      <c r="H1621" s="1"/>
    </row>
    <row r="1622" spans="2:8" x14ac:dyDescent="0.25">
      <c r="B1622" s="1"/>
      <c r="C1622" s="1"/>
      <c r="D1622" s="1"/>
      <c r="E1622" s="1"/>
      <c r="F1622" s="1"/>
      <c r="H1622" s="1"/>
    </row>
    <row r="1623" spans="2:8" x14ac:dyDescent="0.25">
      <c r="B1623" s="1"/>
      <c r="C1623" s="1"/>
      <c r="D1623" s="1"/>
      <c r="E1623" s="1"/>
      <c r="F1623" s="1"/>
      <c r="H1623" s="1"/>
    </row>
    <row r="1624" spans="2:8" x14ac:dyDescent="0.25">
      <c r="B1624" s="1"/>
      <c r="C1624" s="1"/>
      <c r="D1624" s="1"/>
      <c r="E1624" s="1"/>
      <c r="F1624" s="1"/>
      <c r="H1624" s="1"/>
    </row>
    <row r="1625" spans="2:8" x14ac:dyDescent="0.25">
      <c r="B1625" s="1"/>
      <c r="C1625" s="1"/>
      <c r="D1625" s="1"/>
      <c r="E1625" s="1"/>
      <c r="F1625" s="1"/>
      <c r="H1625" s="1"/>
    </row>
    <row r="1626" spans="2:8" x14ac:dyDescent="0.25">
      <c r="B1626" s="1"/>
      <c r="C1626" s="1"/>
      <c r="D1626" s="1"/>
      <c r="E1626" s="1"/>
      <c r="F1626" s="1"/>
      <c r="H1626" s="1"/>
    </row>
    <row r="1627" spans="2:8" x14ac:dyDescent="0.25">
      <c r="B1627" s="1"/>
      <c r="C1627" s="1"/>
      <c r="D1627" s="1"/>
      <c r="E1627" s="1"/>
      <c r="F1627" s="1"/>
      <c r="H1627" s="1"/>
    </row>
    <row r="1628" spans="2:8" x14ac:dyDescent="0.25">
      <c r="B1628" s="1"/>
      <c r="C1628" s="1"/>
      <c r="D1628" s="1"/>
      <c r="E1628" s="1"/>
      <c r="F1628" s="1"/>
      <c r="H1628" s="1"/>
    </row>
    <row r="1629" spans="2:8" x14ac:dyDescent="0.25">
      <c r="B1629" s="1"/>
      <c r="C1629" s="1"/>
      <c r="D1629" s="1"/>
      <c r="E1629" s="1"/>
      <c r="F1629" s="1"/>
      <c r="H1629" s="1"/>
    </row>
    <row r="1630" spans="2:8" x14ac:dyDescent="0.25">
      <c r="B1630" s="1"/>
      <c r="C1630" s="1"/>
      <c r="D1630" s="1"/>
      <c r="E1630" s="1"/>
      <c r="F1630" s="1"/>
      <c r="H1630" s="1"/>
    </row>
    <row r="1631" spans="2:8" x14ac:dyDescent="0.25">
      <c r="B1631" s="1"/>
      <c r="C1631" s="1"/>
      <c r="D1631" s="1"/>
      <c r="E1631" s="1"/>
      <c r="F1631" s="1"/>
      <c r="H1631" s="1"/>
    </row>
    <row r="1632" spans="2:8" x14ac:dyDescent="0.25">
      <c r="B1632" s="1"/>
      <c r="C1632" s="1"/>
      <c r="D1632" s="1"/>
      <c r="E1632" s="1"/>
      <c r="F1632" s="1"/>
      <c r="H1632" s="1"/>
    </row>
    <row r="1633" spans="2:8" x14ac:dyDescent="0.25">
      <c r="B1633" s="1"/>
      <c r="C1633" s="1"/>
      <c r="D1633" s="1"/>
      <c r="E1633" s="1"/>
      <c r="F1633" s="1"/>
      <c r="H1633" s="1"/>
    </row>
    <row r="1634" spans="2:8" x14ac:dyDescent="0.25">
      <c r="B1634" s="1"/>
      <c r="C1634" s="1"/>
      <c r="D1634" s="1"/>
      <c r="E1634" s="1"/>
      <c r="F1634" s="1"/>
      <c r="H1634" s="1"/>
    </row>
    <row r="1635" spans="2:8" x14ac:dyDescent="0.25">
      <c r="B1635" s="1"/>
      <c r="C1635" s="1"/>
      <c r="D1635" s="1"/>
      <c r="E1635" s="1"/>
      <c r="F1635" s="1"/>
      <c r="H1635" s="1"/>
    </row>
    <row r="1636" spans="2:8" x14ac:dyDescent="0.25">
      <c r="B1636" s="1"/>
      <c r="C1636" s="1"/>
      <c r="D1636" s="1"/>
      <c r="E1636" s="1"/>
      <c r="F1636" s="1"/>
      <c r="H1636" s="1"/>
    </row>
    <row r="1637" spans="2:8" x14ac:dyDescent="0.25">
      <c r="B1637" s="1"/>
      <c r="C1637" s="1"/>
      <c r="D1637" s="1"/>
      <c r="E1637" s="1"/>
      <c r="F1637" s="1"/>
      <c r="H1637" s="1"/>
    </row>
    <row r="1638" spans="2:8" x14ac:dyDescent="0.25">
      <c r="B1638" s="1"/>
      <c r="C1638" s="1"/>
      <c r="D1638" s="1"/>
      <c r="E1638" s="1"/>
      <c r="F1638" s="1"/>
      <c r="H1638" s="1"/>
    </row>
    <row r="1639" spans="2:8" x14ac:dyDescent="0.25">
      <c r="B1639" s="1"/>
      <c r="C1639" s="1"/>
      <c r="D1639" s="1"/>
      <c r="E1639" s="1"/>
      <c r="F1639" s="1"/>
      <c r="H1639" s="1"/>
    </row>
    <row r="1640" spans="2:8" x14ac:dyDescent="0.25">
      <c r="B1640" s="1"/>
      <c r="C1640" s="1"/>
      <c r="D1640" s="1"/>
      <c r="E1640" s="1"/>
      <c r="F1640" s="1"/>
      <c r="H1640" s="1"/>
    </row>
    <row r="1641" spans="2:8" x14ac:dyDescent="0.25">
      <c r="B1641" s="1"/>
      <c r="C1641" s="1"/>
      <c r="D1641" s="1"/>
      <c r="E1641" s="1"/>
      <c r="F1641" s="1"/>
      <c r="H1641" s="1"/>
    </row>
    <row r="1642" spans="2:8" x14ac:dyDescent="0.25">
      <c r="B1642" s="1"/>
      <c r="C1642" s="1"/>
      <c r="D1642" s="1"/>
      <c r="E1642" s="1"/>
      <c r="F1642" s="1"/>
      <c r="H1642" s="1"/>
    </row>
    <row r="1643" spans="2:8" x14ac:dyDescent="0.25">
      <c r="B1643" s="1"/>
      <c r="C1643" s="1"/>
      <c r="D1643" s="1"/>
      <c r="E1643" s="1"/>
      <c r="F1643" s="1"/>
      <c r="H1643" s="1"/>
    </row>
    <row r="1644" spans="2:8" x14ac:dyDescent="0.25">
      <c r="B1644" s="1"/>
      <c r="C1644" s="1"/>
      <c r="D1644" s="1"/>
      <c r="E1644" s="1"/>
      <c r="F1644" s="1"/>
      <c r="H1644" s="1"/>
    </row>
    <row r="1645" spans="2:8" x14ac:dyDescent="0.25">
      <c r="B1645" s="1"/>
      <c r="C1645" s="1"/>
      <c r="D1645" s="1"/>
      <c r="E1645" s="1"/>
      <c r="F1645" s="1"/>
      <c r="H1645" s="1"/>
    </row>
    <row r="1646" spans="2:8" x14ac:dyDescent="0.25">
      <c r="B1646" s="1"/>
      <c r="C1646" s="1"/>
      <c r="D1646" s="1"/>
      <c r="E1646" s="1"/>
      <c r="F1646" s="1"/>
      <c r="H1646" s="1"/>
    </row>
    <row r="1647" spans="2:8" x14ac:dyDescent="0.25">
      <c r="B1647" s="1"/>
      <c r="C1647" s="1"/>
      <c r="D1647" s="1"/>
      <c r="E1647" s="1"/>
      <c r="F1647" s="1"/>
      <c r="H1647" s="1"/>
    </row>
    <row r="1648" spans="2:8" x14ac:dyDescent="0.25">
      <c r="B1648" s="1"/>
      <c r="C1648" s="1"/>
      <c r="D1648" s="1"/>
      <c r="E1648" s="1"/>
      <c r="F1648" s="1"/>
      <c r="H1648" s="1"/>
    </row>
    <row r="1649" spans="2:8" x14ac:dyDescent="0.25">
      <c r="B1649" s="1"/>
      <c r="C1649" s="1"/>
      <c r="D1649" s="1"/>
      <c r="E1649" s="1"/>
      <c r="F1649" s="1"/>
      <c r="H1649" s="1"/>
    </row>
    <row r="1650" spans="2:8" x14ac:dyDescent="0.25">
      <c r="B1650" s="1"/>
      <c r="C1650" s="1"/>
      <c r="D1650" s="1"/>
      <c r="E1650" s="1"/>
      <c r="F1650" s="1"/>
      <c r="H1650" s="1"/>
    </row>
    <row r="1651" spans="2:8" x14ac:dyDescent="0.25">
      <c r="B1651" s="1"/>
      <c r="C1651" s="1"/>
      <c r="D1651" s="1"/>
      <c r="E1651" s="1"/>
      <c r="F1651" s="1"/>
      <c r="H1651" s="1"/>
    </row>
    <row r="1652" spans="2:8" x14ac:dyDescent="0.25">
      <c r="B1652" s="1"/>
      <c r="C1652" s="1"/>
      <c r="D1652" s="1"/>
      <c r="E1652" s="1"/>
      <c r="F1652" s="1"/>
      <c r="H1652" s="1"/>
    </row>
    <row r="1653" spans="2:8" x14ac:dyDescent="0.25">
      <c r="B1653" s="1"/>
      <c r="C1653" s="1"/>
      <c r="D1653" s="1"/>
      <c r="E1653" s="1"/>
      <c r="F1653" s="1"/>
      <c r="H1653" s="1"/>
    </row>
    <row r="1654" spans="2:8" x14ac:dyDescent="0.25">
      <c r="B1654" s="1"/>
      <c r="C1654" s="1"/>
      <c r="D1654" s="1"/>
      <c r="E1654" s="1"/>
      <c r="F1654" s="1"/>
      <c r="H1654" s="1"/>
    </row>
    <row r="1655" spans="2:8" x14ac:dyDescent="0.25">
      <c r="B1655" s="1"/>
      <c r="C1655" s="1"/>
      <c r="D1655" s="1"/>
      <c r="E1655" s="1"/>
      <c r="F1655" s="1"/>
      <c r="H1655" s="1"/>
    </row>
    <row r="1656" spans="2:8" x14ac:dyDescent="0.25">
      <c r="B1656" s="1"/>
      <c r="C1656" s="1"/>
      <c r="D1656" s="1"/>
      <c r="E1656" s="1"/>
      <c r="F1656" s="1"/>
      <c r="H1656" s="1"/>
    </row>
    <row r="1657" spans="2:8" x14ac:dyDescent="0.25">
      <c r="B1657" s="1"/>
      <c r="C1657" s="1"/>
      <c r="D1657" s="1"/>
      <c r="E1657" s="1"/>
      <c r="F1657" s="1"/>
      <c r="H1657" s="1"/>
    </row>
    <row r="1658" spans="2:8" x14ac:dyDescent="0.25">
      <c r="B1658" s="1"/>
      <c r="C1658" s="1"/>
      <c r="D1658" s="1"/>
      <c r="E1658" s="1"/>
      <c r="F1658" s="1"/>
      <c r="H1658" s="1"/>
    </row>
    <row r="1659" spans="2:8" x14ac:dyDescent="0.25">
      <c r="B1659" s="1"/>
      <c r="C1659" s="1"/>
      <c r="D1659" s="1"/>
      <c r="E1659" s="1"/>
      <c r="F1659" s="1"/>
      <c r="H1659" s="1"/>
    </row>
    <row r="1660" spans="2:8" x14ac:dyDescent="0.25">
      <c r="B1660" s="1"/>
      <c r="C1660" s="1"/>
      <c r="D1660" s="1"/>
      <c r="E1660" s="1"/>
      <c r="F1660" s="1"/>
      <c r="H1660" s="1"/>
    </row>
    <row r="1661" spans="2:8" x14ac:dyDescent="0.25">
      <c r="B1661" s="1"/>
      <c r="C1661" s="1"/>
      <c r="D1661" s="1"/>
      <c r="E1661" s="1"/>
      <c r="F1661" s="1"/>
      <c r="H1661" s="1"/>
    </row>
    <row r="1662" spans="2:8" x14ac:dyDescent="0.25">
      <c r="B1662" s="1"/>
      <c r="C1662" s="1"/>
      <c r="D1662" s="1"/>
      <c r="E1662" s="1"/>
      <c r="F1662" s="1"/>
      <c r="H1662" s="1"/>
    </row>
    <row r="1663" spans="2:8" x14ac:dyDescent="0.25">
      <c r="B1663" s="1"/>
      <c r="C1663" s="1"/>
      <c r="D1663" s="1"/>
      <c r="E1663" s="1"/>
      <c r="F1663" s="1"/>
      <c r="H1663" s="1"/>
    </row>
    <row r="1664" spans="2:8" x14ac:dyDescent="0.25">
      <c r="B1664" s="1"/>
      <c r="C1664" s="1"/>
      <c r="D1664" s="1"/>
      <c r="E1664" s="1"/>
      <c r="F1664" s="1"/>
      <c r="H1664" s="1"/>
    </row>
    <row r="1665" spans="2:8" x14ac:dyDescent="0.25">
      <c r="B1665" s="1"/>
      <c r="C1665" s="1"/>
      <c r="D1665" s="1"/>
      <c r="E1665" s="1"/>
      <c r="F1665" s="1"/>
      <c r="H1665" s="1"/>
    </row>
    <row r="1666" spans="2:8" x14ac:dyDescent="0.25">
      <c r="B1666" s="1"/>
      <c r="C1666" s="1"/>
      <c r="D1666" s="1"/>
      <c r="E1666" s="1"/>
      <c r="F1666" s="1"/>
      <c r="H1666" s="1"/>
    </row>
    <row r="1667" spans="2:8" x14ac:dyDescent="0.25">
      <c r="B1667" s="1"/>
      <c r="C1667" s="1"/>
      <c r="D1667" s="1"/>
      <c r="E1667" s="1"/>
      <c r="F1667" s="1"/>
      <c r="H1667" s="1"/>
    </row>
    <row r="1668" spans="2:8" x14ac:dyDescent="0.25">
      <c r="B1668" s="1"/>
      <c r="C1668" s="1"/>
      <c r="D1668" s="1"/>
      <c r="E1668" s="1"/>
      <c r="F1668" s="1"/>
      <c r="H1668" s="1"/>
    </row>
    <row r="1669" spans="2:8" x14ac:dyDescent="0.25">
      <c r="B1669" s="1"/>
      <c r="C1669" s="1"/>
      <c r="D1669" s="1"/>
      <c r="E1669" s="1"/>
      <c r="F1669" s="1"/>
      <c r="H1669" s="1"/>
    </row>
    <row r="1670" spans="2:8" x14ac:dyDescent="0.25">
      <c r="B1670" s="1"/>
      <c r="C1670" s="1"/>
      <c r="D1670" s="1"/>
      <c r="E1670" s="1"/>
      <c r="F1670" s="1"/>
      <c r="H1670" s="1"/>
    </row>
    <row r="1671" spans="2:8" x14ac:dyDescent="0.25">
      <c r="B1671" s="1"/>
      <c r="C1671" s="1"/>
      <c r="D1671" s="1"/>
      <c r="E1671" s="1"/>
      <c r="F1671" s="1"/>
      <c r="H1671" s="1"/>
    </row>
    <row r="1672" spans="2:8" x14ac:dyDescent="0.25">
      <c r="B1672" s="1"/>
      <c r="C1672" s="1"/>
      <c r="D1672" s="1"/>
      <c r="E1672" s="1"/>
      <c r="F1672" s="1"/>
      <c r="H1672" s="1"/>
    </row>
    <row r="1673" spans="2:8" x14ac:dyDescent="0.25">
      <c r="B1673" s="1"/>
      <c r="C1673" s="1"/>
      <c r="D1673" s="1"/>
      <c r="E1673" s="1"/>
      <c r="F1673" s="1"/>
      <c r="H1673" s="1"/>
    </row>
    <row r="1674" spans="2:8" x14ac:dyDescent="0.25">
      <c r="B1674" s="1"/>
      <c r="C1674" s="1"/>
      <c r="D1674" s="1"/>
      <c r="E1674" s="1"/>
      <c r="F1674" s="1"/>
      <c r="H1674" s="1"/>
    </row>
    <row r="1675" spans="2:8" x14ac:dyDescent="0.25">
      <c r="B1675" s="1"/>
      <c r="C1675" s="1"/>
      <c r="D1675" s="1"/>
      <c r="E1675" s="1"/>
      <c r="F1675" s="1"/>
      <c r="H1675" s="1"/>
    </row>
    <row r="1676" spans="2:8" x14ac:dyDescent="0.25">
      <c r="B1676" s="1"/>
      <c r="C1676" s="1"/>
      <c r="D1676" s="1"/>
      <c r="E1676" s="1"/>
      <c r="F1676" s="1"/>
      <c r="H1676" s="1"/>
    </row>
    <row r="1677" spans="2:8" x14ac:dyDescent="0.25">
      <c r="B1677" s="1"/>
      <c r="C1677" s="1"/>
      <c r="D1677" s="1"/>
      <c r="E1677" s="1"/>
      <c r="F1677" s="1"/>
      <c r="H1677" s="1"/>
    </row>
    <row r="1678" spans="2:8" x14ac:dyDescent="0.25">
      <c r="B1678" s="1"/>
      <c r="C1678" s="1"/>
      <c r="D1678" s="1"/>
      <c r="E1678" s="1"/>
      <c r="F1678" s="1"/>
      <c r="H1678" s="1"/>
    </row>
    <row r="1679" spans="2:8" x14ac:dyDescent="0.25">
      <c r="B1679" s="1"/>
      <c r="C1679" s="1"/>
      <c r="D1679" s="1"/>
      <c r="E1679" s="1"/>
      <c r="F1679" s="1"/>
      <c r="H1679" s="1"/>
    </row>
    <row r="1680" spans="2:8" x14ac:dyDescent="0.25">
      <c r="B1680" s="1"/>
      <c r="C1680" s="1"/>
      <c r="D1680" s="1"/>
      <c r="E1680" s="1"/>
      <c r="F1680" s="1"/>
      <c r="H1680" s="1"/>
    </row>
    <row r="1681" spans="2:8" x14ac:dyDescent="0.25">
      <c r="B1681" s="1"/>
      <c r="C1681" s="1"/>
      <c r="D1681" s="1"/>
      <c r="E1681" s="1"/>
      <c r="F1681" s="1"/>
      <c r="H1681" s="1"/>
    </row>
    <row r="1682" spans="2:8" x14ac:dyDescent="0.25">
      <c r="B1682" s="1"/>
      <c r="C1682" s="1"/>
      <c r="D1682" s="1"/>
      <c r="E1682" s="1"/>
      <c r="F1682" s="1"/>
      <c r="H1682" s="1"/>
    </row>
    <row r="1683" spans="2:8" x14ac:dyDescent="0.25">
      <c r="B1683" s="1"/>
      <c r="C1683" s="1"/>
      <c r="D1683" s="1"/>
      <c r="E1683" s="1"/>
      <c r="F1683" s="1"/>
      <c r="H1683" s="1"/>
    </row>
    <row r="1684" spans="2:8" x14ac:dyDescent="0.25">
      <c r="B1684" s="1"/>
      <c r="C1684" s="1"/>
      <c r="D1684" s="1"/>
      <c r="E1684" s="1"/>
      <c r="F1684" s="1"/>
      <c r="H1684" s="1"/>
    </row>
    <row r="1685" spans="2:8" x14ac:dyDescent="0.25">
      <c r="B1685" s="1"/>
      <c r="C1685" s="1"/>
      <c r="D1685" s="1"/>
      <c r="E1685" s="1"/>
      <c r="F1685" s="1"/>
      <c r="H1685" s="1"/>
    </row>
    <row r="1686" spans="2:8" x14ac:dyDescent="0.25">
      <c r="B1686" s="1"/>
      <c r="C1686" s="1"/>
      <c r="D1686" s="1"/>
      <c r="E1686" s="1"/>
      <c r="F1686" s="1"/>
      <c r="H1686" s="1"/>
    </row>
    <row r="1687" spans="2:8" x14ac:dyDescent="0.25">
      <c r="B1687" s="1"/>
      <c r="C1687" s="1"/>
      <c r="D1687" s="1"/>
      <c r="E1687" s="1"/>
      <c r="F1687" s="1"/>
      <c r="H1687" s="1"/>
    </row>
    <row r="1688" spans="2:8" x14ac:dyDescent="0.25">
      <c r="B1688" s="1"/>
      <c r="C1688" s="1"/>
      <c r="D1688" s="1"/>
      <c r="E1688" s="1"/>
      <c r="F1688" s="1"/>
      <c r="H1688" s="1"/>
    </row>
    <row r="1689" spans="2:8" x14ac:dyDescent="0.25">
      <c r="B1689" s="1"/>
      <c r="C1689" s="1"/>
      <c r="D1689" s="1"/>
      <c r="E1689" s="1"/>
      <c r="F1689" s="1"/>
      <c r="H1689" s="1"/>
    </row>
    <row r="1690" spans="2:8" x14ac:dyDescent="0.25">
      <c r="B1690" s="1"/>
      <c r="C1690" s="1"/>
      <c r="D1690" s="1"/>
      <c r="E1690" s="1"/>
      <c r="F1690" s="1"/>
      <c r="H1690" s="1"/>
    </row>
    <row r="1691" spans="2:8" x14ac:dyDescent="0.25">
      <c r="B1691" s="1"/>
      <c r="C1691" s="1"/>
      <c r="D1691" s="1"/>
      <c r="E1691" s="1"/>
      <c r="F1691" s="1"/>
      <c r="H1691" s="1"/>
    </row>
    <row r="1692" spans="2:8" x14ac:dyDescent="0.25">
      <c r="B1692" s="1"/>
      <c r="C1692" s="1"/>
      <c r="D1692" s="1"/>
      <c r="E1692" s="1"/>
      <c r="F1692" s="1"/>
      <c r="H1692" s="1"/>
    </row>
    <row r="1693" spans="2:8" x14ac:dyDescent="0.25">
      <c r="B1693" s="1"/>
      <c r="C1693" s="1"/>
      <c r="D1693" s="1"/>
      <c r="E1693" s="1"/>
      <c r="F1693" s="1"/>
      <c r="H1693" s="1"/>
    </row>
    <row r="1694" spans="2:8" x14ac:dyDescent="0.25">
      <c r="B1694" s="1"/>
      <c r="C1694" s="1"/>
      <c r="D1694" s="1"/>
      <c r="E1694" s="1"/>
      <c r="F1694" s="1"/>
      <c r="H1694" s="1"/>
    </row>
    <row r="1695" spans="2:8" x14ac:dyDescent="0.25">
      <c r="B1695" s="1"/>
      <c r="C1695" s="1"/>
      <c r="D1695" s="1"/>
      <c r="E1695" s="1"/>
      <c r="F1695" s="1"/>
      <c r="H1695" s="1"/>
    </row>
    <row r="1696" spans="2:8" x14ac:dyDescent="0.25">
      <c r="B1696" s="1"/>
      <c r="C1696" s="1"/>
      <c r="D1696" s="1"/>
      <c r="E1696" s="1"/>
      <c r="F1696" s="1"/>
      <c r="H1696" s="1"/>
    </row>
    <row r="1697" spans="2:8" x14ac:dyDescent="0.25">
      <c r="B1697" s="1"/>
      <c r="C1697" s="1"/>
      <c r="D1697" s="1"/>
      <c r="E1697" s="1"/>
      <c r="F1697" s="1"/>
      <c r="H1697" s="1"/>
    </row>
    <row r="1698" spans="2:8" x14ac:dyDescent="0.25">
      <c r="B1698" s="1"/>
      <c r="C1698" s="1"/>
      <c r="D1698" s="1"/>
      <c r="E1698" s="1"/>
      <c r="F1698" s="1"/>
      <c r="H1698" s="1"/>
    </row>
    <row r="1699" spans="2:8" x14ac:dyDescent="0.25">
      <c r="B1699" s="1"/>
      <c r="C1699" s="1"/>
      <c r="D1699" s="1"/>
      <c r="E1699" s="1"/>
      <c r="F1699" s="1"/>
      <c r="H1699" s="1"/>
    </row>
    <row r="1700" spans="2:8" x14ac:dyDescent="0.25">
      <c r="B1700" s="1"/>
      <c r="C1700" s="1"/>
      <c r="D1700" s="1"/>
      <c r="E1700" s="1"/>
      <c r="F1700" s="1"/>
      <c r="H1700" s="1"/>
    </row>
    <row r="1701" spans="2:8" x14ac:dyDescent="0.25">
      <c r="B1701" s="1"/>
      <c r="C1701" s="1"/>
      <c r="D1701" s="1"/>
      <c r="E1701" s="1"/>
      <c r="F1701" s="1"/>
      <c r="H1701" s="1"/>
    </row>
    <row r="1702" spans="2:8" x14ac:dyDescent="0.25">
      <c r="B1702" s="1"/>
      <c r="C1702" s="1"/>
      <c r="D1702" s="1"/>
      <c r="E1702" s="1"/>
      <c r="F1702" s="1"/>
      <c r="H1702" s="1"/>
    </row>
    <row r="1703" spans="2:8" x14ac:dyDescent="0.25">
      <c r="B1703" s="1"/>
      <c r="C1703" s="1"/>
      <c r="D1703" s="1"/>
      <c r="E1703" s="1"/>
      <c r="F1703" s="1"/>
      <c r="H1703" s="1"/>
    </row>
    <row r="1704" spans="2:8" x14ac:dyDescent="0.25">
      <c r="B1704" s="1"/>
      <c r="C1704" s="1"/>
      <c r="D1704" s="1"/>
      <c r="E1704" s="1"/>
      <c r="F1704" s="1"/>
      <c r="H1704" s="1"/>
    </row>
    <row r="1705" spans="2:8" x14ac:dyDescent="0.25">
      <c r="B1705" s="1"/>
      <c r="C1705" s="1"/>
      <c r="D1705" s="1"/>
      <c r="E1705" s="1"/>
      <c r="F1705" s="1"/>
      <c r="H1705" s="1"/>
    </row>
    <row r="1706" spans="2:8" x14ac:dyDescent="0.25">
      <c r="B1706" s="1"/>
      <c r="C1706" s="1"/>
      <c r="D1706" s="1"/>
      <c r="E1706" s="1"/>
      <c r="F1706" s="1"/>
      <c r="H1706" s="1"/>
    </row>
    <row r="1707" spans="2:8" x14ac:dyDescent="0.25">
      <c r="B1707" s="1"/>
      <c r="C1707" s="1"/>
      <c r="D1707" s="1"/>
      <c r="E1707" s="1"/>
      <c r="F1707" s="1"/>
      <c r="H1707" s="1"/>
    </row>
    <row r="1708" spans="2:8" x14ac:dyDescent="0.25">
      <c r="B1708" s="1"/>
      <c r="C1708" s="1"/>
      <c r="D1708" s="1"/>
      <c r="E1708" s="1"/>
      <c r="F1708" s="1"/>
      <c r="H1708" s="1"/>
    </row>
    <row r="1709" spans="2:8" x14ac:dyDescent="0.25">
      <c r="B1709" s="1"/>
      <c r="C1709" s="1"/>
      <c r="D1709" s="1"/>
      <c r="E1709" s="1"/>
      <c r="F1709" s="1"/>
      <c r="H1709" s="1"/>
    </row>
    <row r="1710" spans="2:8" x14ac:dyDescent="0.25">
      <c r="B1710" s="1"/>
      <c r="C1710" s="1"/>
      <c r="D1710" s="1"/>
      <c r="E1710" s="1"/>
      <c r="F1710" s="1"/>
      <c r="H1710" s="1"/>
    </row>
    <row r="1711" spans="2:8" x14ac:dyDescent="0.25">
      <c r="B1711" s="1"/>
      <c r="C1711" s="1"/>
      <c r="D1711" s="1"/>
      <c r="E1711" s="1"/>
      <c r="F1711" s="1"/>
      <c r="H1711" s="1"/>
    </row>
    <row r="1712" spans="2:8" x14ac:dyDescent="0.25">
      <c r="B1712" s="1"/>
      <c r="C1712" s="1"/>
      <c r="D1712" s="1"/>
      <c r="E1712" s="1"/>
      <c r="F1712" s="1"/>
      <c r="H1712" s="1"/>
    </row>
    <row r="1713" spans="2:8" x14ac:dyDescent="0.25">
      <c r="B1713" s="1"/>
      <c r="C1713" s="1"/>
      <c r="D1713" s="1"/>
      <c r="E1713" s="1"/>
      <c r="F1713" s="1"/>
      <c r="H1713" s="1"/>
    </row>
    <row r="1714" spans="2:8" x14ac:dyDescent="0.25">
      <c r="B1714" s="1"/>
      <c r="C1714" s="1"/>
      <c r="D1714" s="1"/>
      <c r="E1714" s="1"/>
      <c r="F1714" s="1"/>
      <c r="H1714" s="1"/>
    </row>
    <row r="1715" spans="2:8" x14ac:dyDescent="0.25">
      <c r="B1715" s="1"/>
      <c r="C1715" s="1"/>
      <c r="D1715" s="1"/>
      <c r="E1715" s="1"/>
      <c r="F1715" s="1"/>
      <c r="H1715" s="1"/>
    </row>
    <row r="1716" spans="2:8" x14ac:dyDescent="0.25">
      <c r="B1716" s="1"/>
      <c r="C1716" s="1"/>
      <c r="D1716" s="1"/>
      <c r="E1716" s="1"/>
      <c r="F1716" s="1"/>
      <c r="H1716" s="1"/>
    </row>
    <row r="1717" spans="2:8" x14ac:dyDescent="0.25">
      <c r="B1717" s="1"/>
      <c r="C1717" s="1"/>
      <c r="D1717" s="1"/>
      <c r="E1717" s="1"/>
      <c r="F1717" s="1"/>
      <c r="H1717" s="1"/>
    </row>
    <row r="1718" spans="2:8" x14ac:dyDescent="0.25">
      <c r="B1718" s="1"/>
      <c r="C1718" s="1"/>
      <c r="D1718" s="1"/>
      <c r="E1718" s="1"/>
      <c r="F1718" s="1"/>
      <c r="H1718" s="1"/>
    </row>
    <row r="1719" spans="2:8" x14ac:dyDescent="0.25">
      <c r="B1719" s="1"/>
      <c r="C1719" s="1"/>
      <c r="D1719" s="1"/>
      <c r="E1719" s="1"/>
      <c r="F1719" s="1"/>
      <c r="H1719" s="1"/>
    </row>
    <row r="1720" spans="2:8" x14ac:dyDescent="0.25">
      <c r="B1720" s="1"/>
      <c r="C1720" s="1"/>
      <c r="D1720" s="1"/>
      <c r="E1720" s="1"/>
      <c r="F1720" s="1"/>
      <c r="H1720" s="1"/>
    </row>
    <row r="1721" spans="2:8" x14ac:dyDescent="0.25">
      <c r="B1721" s="1"/>
      <c r="C1721" s="1"/>
      <c r="D1721" s="1"/>
      <c r="E1721" s="1"/>
      <c r="F1721" s="1"/>
      <c r="H1721" s="1"/>
    </row>
    <row r="1722" spans="2:8" x14ac:dyDescent="0.25">
      <c r="B1722" s="1"/>
      <c r="C1722" s="1"/>
      <c r="D1722" s="1"/>
      <c r="E1722" s="1"/>
      <c r="F1722" s="1"/>
      <c r="H1722" s="1"/>
    </row>
    <row r="1723" spans="2:8" x14ac:dyDescent="0.25">
      <c r="B1723" s="1"/>
      <c r="C1723" s="1"/>
      <c r="D1723" s="1"/>
      <c r="E1723" s="1"/>
      <c r="F1723" s="1"/>
      <c r="H1723" s="1"/>
    </row>
    <row r="1724" spans="2:8" x14ac:dyDescent="0.25">
      <c r="B1724" s="1"/>
      <c r="C1724" s="1"/>
      <c r="D1724" s="1"/>
      <c r="E1724" s="1"/>
      <c r="F1724" s="1"/>
      <c r="H1724" s="1"/>
    </row>
    <row r="1725" spans="2:8" x14ac:dyDescent="0.25">
      <c r="B1725" s="1"/>
      <c r="C1725" s="1"/>
      <c r="D1725" s="1"/>
      <c r="E1725" s="1"/>
      <c r="F1725" s="1"/>
      <c r="H1725" s="1"/>
    </row>
    <row r="1726" spans="2:8" x14ac:dyDescent="0.25">
      <c r="B1726" s="1"/>
      <c r="C1726" s="1"/>
      <c r="D1726" s="1"/>
      <c r="E1726" s="1"/>
      <c r="F1726" s="1"/>
      <c r="H1726" s="1"/>
    </row>
    <row r="1727" spans="2:8" x14ac:dyDescent="0.25">
      <c r="B1727" s="1"/>
      <c r="C1727" s="1"/>
      <c r="D1727" s="1"/>
      <c r="E1727" s="1"/>
      <c r="F1727" s="1"/>
      <c r="H1727" s="1"/>
    </row>
    <row r="1728" spans="2:8" x14ac:dyDescent="0.25">
      <c r="B1728" s="1"/>
      <c r="C1728" s="1"/>
      <c r="D1728" s="1"/>
      <c r="E1728" s="1"/>
      <c r="F1728" s="1"/>
      <c r="H1728" s="1"/>
    </row>
    <row r="1729" spans="2:8" x14ac:dyDescent="0.25">
      <c r="B1729" s="1"/>
      <c r="C1729" s="1"/>
      <c r="D1729" s="1"/>
      <c r="E1729" s="1"/>
      <c r="F1729" s="1"/>
      <c r="H1729" s="1"/>
    </row>
    <row r="1730" spans="2:8" x14ac:dyDescent="0.25">
      <c r="B1730" s="1"/>
      <c r="C1730" s="1"/>
      <c r="D1730" s="1"/>
      <c r="E1730" s="1"/>
      <c r="F1730" s="1"/>
      <c r="H1730" s="1"/>
    </row>
    <row r="1731" spans="2:8" x14ac:dyDescent="0.25">
      <c r="B1731" s="1"/>
      <c r="C1731" s="1"/>
      <c r="D1731" s="1"/>
      <c r="E1731" s="1"/>
      <c r="F1731" s="1"/>
      <c r="H1731" s="1"/>
    </row>
    <row r="1732" spans="2:8" x14ac:dyDescent="0.25">
      <c r="B1732" s="1"/>
      <c r="C1732" s="1"/>
      <c r="D1732" s="1"/>
      <c r="E1732" s="1"/>
      <c r="F1732" s="1"/>
      <c r="H1732" s="1"/>
    </row>
    <row r="1733" spans="2:8" x14ac:dyDescent="0.25">
      <c r="B1733" s="1"/>
      <c r="C1733" s="1"/>
      <c r="D1733" s="1"/>
      <c r="E1733" s="1"/>
      <c r="F1733" s="1"/>
      <c r="H1733" s="1"/>
    </row>
    <row r="1734" spans="2:8" x14ac:dyDescent="0.25">
      <c r="B1734" s="1"/>
      <c r="C1734" s="1"/>
      <c r="D1734" s="1"/>
      <c r="E1734" s="1"/>
      <c r="F1734" s="1"/>
      <c r="H1734" s="1"/>
    </row>
    <row r="1735" spans="2:8" x14ac:dyDescent="0.25">
      <c r="B1735" s="1"/>
      <c r="C1735" s="1"/>
      <c r="D1735" s="1"/>
      <c r="E1735" s="1"/>
      <c r="F1735" s="1"/>
      <c r="H1735" s="1"/>
    </row>
    <row r="1736" spans="2:8" x14ac:dyDescent="0.25">
      <c r="B1736" s="1"/>
      <c r="C1736" s="1"/>
      <c r="D1736" s="1"/>
      <c r="E1736" s="1"/>
      <c r="F1736" s="1"/>
      <c r="H1736" s="1"/>
    </row>
    <row r="1737" spans="2:8" x14ac:dyDescent="0.25">
      <c r="B1737" s="1"/>
      <c r="C1737" s="1"/>
      <c r="D1737" s="1"/>
      <c r="E1737" s="1"/>
      <c r="F1737" s="1"/>
      <c r="H1737" s="1"/>
    </row>
    <row r="1738" spans="2:8" x14ac:dyDescent="0.25">
      <c r="B1738" s="1"/>
      <c r="C1738" s="1"/>
      <c r="D1738" s="1"/>
      <c r="E1738" s="1"/>
      <c r="F1738" s="1"/>
      <c r="H1738" s="1"/>
    </row>
    <row r="1739" spans="2:8" x14ac:dyDescent="0.25">
      <c r="B1739" s="1"/>
      <c r="C1739" s="1"/>
      <c r="D1739" s="1"/>
      <c r="E1739" s="1"/>
      <c r="F1739" s="1"/>
      <c r="H1739" s="1"/>
    </row>
    <row r="1740" spans="2:8" x14ac:dyDescent="0.25">
      <c r="B1740" s="1"/>
      <c r="C1740" s="1"/>
      <c r="D1740" s="1"/>
      <c r="E1740" s="1"/>
      <c r="F1740" s="1"/>
      <c r="H1740" s="1"/>
    </row>
    <row r="1741" spans="2:8" x14ac:dyDescent="0.25">
      <c r="B1741" s="1"/>
      <c r="C1741" s="1"/>
      <c r="D1741" s="1"/>
      <c r="E1741" s="1"/>
      <c r="F1741" s="1"/>
      <c r="H1741" s="1"/>
    </row>
    <row r="1742" spans="2:8" x14ac:dyDescent="0.25">
      <c r="B1742" s="1"/>
      <c r="C1742" s="1"/>
      <c r="D1742" s="1"/>
      <c r="E1742" s="1"/>
      <c r="F1742" s="1"/>
      <c r="H1742" s="1"/>
    </row>
    <row r="1743" spans="2:8" x14ac:dyDescent="0.25">
      <c r="B1743" s="1"/>
      <c r="C1743" s="1"/>
      <c r="D1743" s="1"/>
      <c r="E1743" s="1"/>
      <c r="F1743" s="1"/>
      <c r="H1743" s="1"/>
    </row>
    <row r="1744" spans="2:8" x14ac:dyDescent="0.25">
      <c r="B1744" s="1"/>
      <c r="C1744" s="1"/>
      <c r="D1744" s="1"/>
      <c r="E1744" s="1"/>
      <c r="F1744" s="1"/>
      <c r="H1744" s="1"/>
    </row>
    <row r="1745" spans="2:8" x14ac:dyDescent="0.25">
      <c r="B1745" s="1"/>
      <c r="C1745" s="1"/>
      <c r="D1745" s="1"/>
      <c r="E1745" s="1"/>
      <c r="F1745" s="1"/>
      <c r="H1745" s="1"/>
    </row>
    <row r="1746" spans="2:8" x14ac:dyDescent="0.25">
      <c r="B1746" s="1"/>
      <c r="C1746" s="1"/>
      <c r="D1746" s="1"/>
      <c r="E1746" s="1"/>
      <c r="F1746" s="1"/>
      <c r="H1746" s="1"/>
    </row>
    <row r="1747" spans="2:8" x14ac:dyDescent="0.25">
      <c r="B1747" s="1"/>
      <c r="C1747" s="1"/>
      <c r="D1747" s="1"/>
      <c r="E1747" s="1"/>
      <c r="F1747" s="1"/>
      <c r="H1747" s="1"/>
    </row>
    <row r="1748" spans="2:8" x14ac:dyDescent="0.25">
      <c r="B1748" s="1"/>
      <c r="C1748" s="1"/>
      <c r="D1748" s="1"/>
      <c r="E1748" s="1"/>
      <c r="F1748" s="1"/>
      <c r="H1748" s="1"/>
    </row>
    <row r="1749" spans="2:8" x14ac:dyDescent="0.25">
      <c r="B1749" s="1"/>
      <c r="C1749" s="1"/>
      <c r="D1749" s="1"/>
      <c r="E1749" s="1"/>
      <c r="F1749" s="1"/>
      <c r="H1749" s="1"/>
    </row>
    <row r="1750" spans="2:8" x14ac:dyDescent="0.25">
      <c r="B1750" s="1"/>
      <c r="C1750" s="1"/>
      <c r="D1750" s="1"/>
      <c r="E1750" s="1"/>
      <c r="F1750" s="1"/>
      <c r="H1750" s="1"/>
    </row>
    <row r="1751" spans="2:8" x14ac:dyDescent="0.25">
      <c r="B1751" s="1"/>
      <c r="C1751" s="1"/>
      <c r="D1751" s="1"/>
      <c r="E1751" s="1"/>
      <c r="F1751" s="1"/>
      <c r="H1751" s="1"/>
    </row>
    <row r="1752" spans="2:8" x14ac:dyDescent="0.25">
      <c r="B1752" s="1"/>
      <c r="C1752" s="1"/>
      <c r="D1752" s="1"/>
      <c r="E1752" s="1"/>
      <c r="F1752" s="1"/>
      <c r="H1752" s="1"/>
    </row>
    <row r="1753" spans="2:8" x14ac:dyDescent="0.25">
      <c r="B1753" s="1"/>
      <c r="C1753" s="1"/>
      <c r="D1753" s="1"/>
      <c r="E1753" s="1"/>
      <c r="F1753" s="1"/>
      <c r="H1753" s="1"/>
    </row>
    <row r="1754" spans="2:8" x14ac:dyDescent="0.25">
      <c r="B1754" s="1"/>
      <c r="C1754" s="1"/>
      <c r="D1754" s="1"/>
      <c r="E1754" s="1"/>
      <c r="F1754" s="1"/>
      <c r="H1754" s="1"/>
    </row>
    <row r="1755" spans="2:8" x14ac:dyDescent="0.25">
      <c r="B1755" s="1"/>
      <c r="C1755" s="1"/>
      <c r="D1755" s="1"/>
      <c r="E1755" s="1"/>
      <c r="F1755" s="1"/>
      <c r="H1755" s="1"/>
    </row>
    <row r="1756" spans="2:8" x14ac:dyDescent="0.25">
      <c r="B1756" s="1"/>
      <c r="C1756" s="1"/>
      <c r="D1756" s="1"/>
      <c r="E1756" s="1"/>
      <c r="F1756" s="1"/>
      <c r="H1756" s="1"/>
    </row>
    <row r="1757" spans="2:8" x14ac:dyDescent="0.25">
      <c r="B1757" s="1"/>
      <c r="C1757" s="1"/>
      <c r="D1757" s="1"/>
      <c r="E1757" s="1"/>
      <c r="F1757" s="1"/>
      <c r="H1757" s="1"/>
    </row>
    <row r="1758" spans="2:8" x14ac:dyDescent="0.25">
      <c r="B1758" s="1"/>
      <c r="C1758" s="1"/>
      <c r="D1758" s="1"/>
      <c r="E1758" s="1"/>
      <c r="F1758" s="1"/>
      <c r="H1758" s="1"/>
    </row>
    <row r="1759" spans="2:8" x14ac:dyDescent="0.25">
      <c r="B1759" s="1"/>
      <c r="C1759" s="1"/>
      <c r="D1759" s="1"/>
      <c r="E1759" s="1"/>
      <c r="F1759" s="1"/>
      <c r="H1759" s="1"/>
    </row>
    <row r="1760" spans="2:8" x14ac:dyDescent="0.25">
      <c r="B1760" s="1"/>
      <c r="C1760" s="1"/>
      <c r="D1760" s="1"/>
      <c r="E1760" s="1"/>
      <c r="F1760" s="1"/>
      <c r="H1760" s="1"/>
    </row>
    <row r="1761" spans="2:8" x14ac:dyDescent="0.25">
      <c r="B1761" s="1"/>
      <c r="C1761" s="1"/>
      <c r="D1761" s="1"/>
      <c r="E1761" s="1"/>
      <c r="F1761" s="1"/>
      <c r="H1761" s="1"/>
    </row>
    <row r="1762" spans="2:8" x14ac:dyDescent="0.25">
      <c r="B1762" s="1"/>
      <c r="C1762" s="1"/>
      <c r="D1762" s="1"/>
      <c r="E1762" s="1"/>
      <c r="F1762" s="1"/>
      <c r="H1762" s="1"/>
    </row>
    <row r="1763" spans="2:8" x14ac:dyDescent="0.25">
      <c r="B1763" s="1"/>
      <c r="C1763" s="1"/>
      <c r="D1763" s="1"/>
      <c r="E1763" s="1"/>
      <c r="F1763" s="1"/>
      <c r="H1763" s="1"/>
    </row>
    <row r="1764" spans="2:8" x14ac:dyDescent="0.25">
      <c r="B1764" s="1"/>
      <c r="C1764" s="1"/>
      <c r="D1764" s="1"/>
      <c r="E1764" s="1"/>
      <c r="F1764" s="1"/>
      <c r="H1764" s="1"/>
    </row>
    <row r="1765" spans="2:8" x14ac:dyDescent="0.25">
      <c r="B1765" s="1"/>
      <c r="C1765" s="1"/>
      <c r="D1765" s="1"/>
      <c r="E1765" s="1"/>
      <c r="F1765" s="1"/>
      <c r="H1765" s="1"/>
    </row>
    <row r="1766" spans="2:8" x14ac:dyDescent="0.25">
      <c r="B1766" s="1"/>
      <c r="C1766" s="1"/>
      <c r="D1766" s="1"/>
      <c r="E1766" s="1"/>
      <c r="F1766" s="1"/>
      <c r="H1766" s="1"/>
    </row>
    <row r="1767" spans="2:8" x14ac:dyDescent="0.25">
      <c r="B1767" s="1"/>
      <c r="C1767" s="1"/>
      <c r="D1767" s="1"/>
      <c r="E1767" s="1"/>
      <c r="F1767" s="1"/>
      <c r="H1767" s="1"/>
    </row>
    <row r="1768" spans="2:8" x14ac:dyDescent="0.25">
      <c r="B1768" s="1"/>
      <c r="C1768" s="1"/>
      <c r="D1768" s="1"/>
      <c r="E1768" s="1"/>
      <c r="F1768" s="1"/>
      <c r="H1768" s="1"/>
    </row>
    <row r="1769" spans="2:8" x14ac:dyDescent="0.25">
      <c r="B1769" s="1"/>
      <c r="C1769" s="1"/>
      <c r="D1769" s="1"/>
      <c r="E1769" s="1"/>
      <c r="F1769" s="1"/>
      <c r="H1769" s="1"/>
    </row>
    <row r="1770" spans="2:8" x14ac:dyDescent="0.25">
      <c r="B1770" s="1"/>
      <c r="C1770" s="1"/>
      <c r="D1770" s="1"/>
      <c r="E1770" s="1"/>
      <c r="F1770" s="1"/>
      <c r="H1770" s="1"/>
    </row>
    <row r="1771" spans="2:8" x14ac:dyDescent="0.25">
      <c r="B1771" s="1"/>
      <c r="C1771" s="1"/>
      <c r="D1771" s="1"/>
      <c r="E1771" s="1"/>
      <c r="F1771" s="1"/>
      <c r="H1771" s="1"/>
    </row>
    <row r="1772" spans="2:8" x14ac:dyDescent="0.25">
      <c r="B1772" s="1"/>
      <c r="C1772" s="1"/>
      <c r="D1772" s="1"/>
      <c r="E1772" s="1"/>
      <c r="F1772" s="1"/>
      <c r="H1772" s="1"/>
    </row>
    <row r="1773" spans="2:8" x14ac:dyDescent="0.25">
      <c r="B1773" s="1"/>
      <c r="C1773" s="1"/>
      <c r="D1773" s="1"/>
      <c r="E1773" s="1"/>
      <c r="F1773" s="1"/>
      <c r="H1773" s="1"/>
    </row>
    <row r="1774" spans="2:8" x14ac:dyDescent="0.25">
      <c r="B1774" s="1"/>
      <c r="C1774" s="1"/>
      <c r="D1774" s="1"/>
      <c r="E1774" s="1"/>
      <c r="F1774" s="1"/>
      <c r="H1774" s="1"/>
    </row>
    <row r="1775" spans="2:8" x14ac:dyDescent="0.25">
      <c r="B1775" s="1"/>
      <c r="C1775" s="1"/>
      <c r="D1775" s="1"/>
      <c r="E1775" s="1"/>
      <c r="F1775" s="1"/>
      <c r="H1775" s="1"/>
    </row>
    <row r="1776" spans="2:8" x14ac:dyDescent="0.25">
      <c r="B1776" s="1"/>
      <c r="C1776" s="1"/>
      <c r="D1776" s="1"/>
      <c r="E1776" s="1"/>
      <c r="F1776" s="1"/>
      <c r="H1776" s="1"/>
    </row>
    <row r="1777" spans="2:8" x14ac:dyDescent="0.25">
      <c r="B1777" s="1"/>
      <c r="C1777" s="1"/>
      <c r="D1777" s="1"/>
      <c r="E1777" s="1"/>
      <c r="F1777" s="1"/>
      <c r="H1777" s="1"/>
    </row>
    <row r="1778" spans="2:8" x14ac:dyDescent="0.25">
      <c r="B1778" s="1"/>
      <c r="C1778" s="1"/>
      <c r="D1778" s="1"/>
      <c r="E1778" s="1"/>
      <c r="F1778" s="1"/>
      <c r="H1778" s="1"/>
    </row>
    <row r="1779" spans="2:8" x14ac:dyDescent="0.25">
      <c r="B1779" s="1"/>
      <c r="C1779" s="1"/>
      <c r="D1779" s="1"/>
      <c r="E1779" s="1"/>
      <c r="F1779" s="1"/>
      <c r="H1779" s="1"/>
    </row>
    <row r="1780" spans="2:8" x14ac:dyDescent="0.25">
      <c r="B1780" s="1"/>
      <c r="C1780" s="1"/>
      <c r="D1780" s="1"/>
      <c r="E1780" s="1"/>
      <c r="F1780" s="1"/>
      <c r="H1780" s="1"/>
    </row>
    <row r="1781" spans="2:8" x14ac:dyDescent="0.25">
      <c r="B1781" s="1"/>
      <c r="C1781" s="1"/>
      <c r="D1781" s="1"/>
      <c r="E1781" s="1"/>
      <c r="F1781" s="1"/>
      <c r="H1781" s="1"/>
    </row>
    <row r="1782" spans="2:8" x14ac:dyDescent="0.25">
      <c r="B1782" s="1"/>
      <c r="C1782" s="1"/>
      <c r="D1782" s="1"/>
      <c r="E1782" s="1"/>
      <c r="F1782" s="1"/>
      <c r="H1782" s="1"/>
    </row>
    <row r="1783" spans="2:8" x14ac:dyDescent="0.25">
      <c r="B1783" s="1"/>
      <c r="C1783" s="1"/>
      <c r="D1783" s="1"/>
      <c r="E1783" s="1"/>
      <c r="F1783" s="1"/>
      <c r="H1783" s="1"/>
    </row>
    <row r="1784" spans="2:8" x14ac:dyDescent="0.25">
      <c r="B1784" s="1"/>
      <c r="C1784" s="1"/>
      <c r="D1784" s="1"/>
      <c r="E1784" s="1"/>
      <c r="F1784" s="1"/>
      <c r="H1784" s="1"/>
    </row>
    <row r="1785" spans="2:8" x14ac:dyDescent="0.25">
      <c r="B1785" s="1"/>
      <c r="C1785" s="1"/>
      <c r="D1785" s="1"/>
      <c r="E1785" s="1"/>
      <c r="F1785" s="1"/>
      <c r="H1785" s="1"/>
    </row>
    <row r="1786" spans="2:8" x14ac:dyDescent="0.25">
      <c r="B1786" s="1"/>
      <c r="C1786" s="1"/>
      <c r="D1786" s="1"/>
      <c r="E1786" s="1"/>
      <c r="F1786" s="1"/>
      <c r="H1786" s="1"/>
    </row>
    <row r="1787" spans="2:8" x14ac:dyDescent="0.25">
      <c r="B1787" s="1"/>
      <c r="C1787" s="1"/>
      <c r="D1787" s="1"/>
      <c r="E1787" s="1"/>
      <c r="F1787" s="1"/>
      <c r="H1787" s="1"/>
    </row>
    <row r="1788" spans="2:8" x14ac:dyDescent="0.25">
      <c r="B1788" s="1"/>
      <c r="C1788" s="1"/>
      <c r="D1788" s="1"/>
      <c r="E1788" s="1"/>
      <c r="F1788" s="1"/>
      <c r="H1788" s="1"/>
    </row>
    <row r="1789" spans="2:8" x14ac:dyDescent="0.25">
      <c r="B1789" s="1"/>
      <c r="C1789" s="1"/>
      <c r="D1789" s="1"/>
      <c r="E1789" s="1"/>
      <c r="F1789" s="1"/>
      <c r="H1789" s="1"/>
    </row>
    <row r="1790" spans="2:8" x14ac:dyDescent="0.25">
      <c r="B1790" s="1"/>
      <c r="C1790" s="1"/>
      <c r="D1790" s="1"/>
      <c r="E1790" s="1"/>
      <c r="F1790" s="1"/>
      <c r="H1790" s="1"/>
    </row>
    <row r="1791" spans="2:8" x14ac:dyDescent="0.25">
      <c r="B1791" s="1"/>
      <c r="C1791" s="1"/>
      <c r="D1791" s="1"/>
      <c r="E1791" s="1"/>
      <c r="F1791" s="1"/>
      <c r="H1791" s="1"/>
    </row>
    <row r="1792" spans="2:8" x14ac:dyDescent="0.25">
      <c r="B1792" s="1"/>
      <c r="C1792" s="1"/>
      <c r="D1792" s="1"/>
      <c r="E1792" s="1"/>
      <c r="F1792" s="1"/>
      <c r="H1792" s="1"/>
    </row>
    <row r="1793" spans="2:8" x14ac:dyDescent="0.25">
      <c r="B1793" s="1"/>
      <c r="C1793" s="1"/>
      <c r="D1793" s="1"/>
      <c r="E1793" s="1"/>
      <c r="F1793" s="1"/>
      <c r="H1793" s="1"/>
    </row>
    <row r="1794" spans="2:8" x14ac:dyDescent="0.25">
      <c r="B1794" s="1"/>
      <c r="C1794" s="1"/>
      <c r="D1794" s="1"/>
      <c r="E1794" s="1"/>
      <c r="F1794" s="1"/>
      <c r="H1794" s="1"/>
    </row>
    <row r="1795" spans="2:8" x14ac:dyDescent="0.25">
      <c r="B1795" s="1"/>
      <c r="C1795" s="1"/>
      <c r="D1795" s="1"/>
      <c r="E1795" s="1"/>
      <c r="F1795" s="1"/>
      <c r="H1795" s="1"/>
    </row>
    <row r="1796" spans="2:8" x14ac:dyDescent="0.25">
      <c r="B1796" s="1"/>
      <c r="C1796" s="1"/>
      <c r="D1796" s="1"/>
      <c r="E1796" s="1"/>
      <c r="F1796" s="1"/>
      <c r="H1796" s="1"/>
    </row>
    <row r="1797" spans="2:8" x14ac:dyDescent="0.25">
      <c r="B1797" s="1"/>
      <c r="C1797" s="1"/>
      <c r="D1797" s="1"/>
      <c r="E1797" s="1"/>
      <c r="F1797" s="1"/>
      <c r="H1797" s="1"/>
    </row>
    <row r="1798" spans="2:8" x14ac:dyDescent="0.25">
      <c r="B1798" s="1"/>
      <c r="C1798" s="1"/>
      <c r="D1798" s="1"/>
      <c r="E1798" s="1"/>
      <c r="F1798" s="1"/>
      <c r="H1798" s="1"/>
    </row>
    <row r="1799" spans="2:8" x14ac:dyDescent="0.25">
      <c r="B1799" s="1"/>
      <c r="C1799" s="1"/>
      <c r="D1799" s="1"/>
      <c r="E1799" s="1"/>
      <c r="F1799" s="1"/>
      <c r="H1799" s="1"/>
    </row>
    <row r="1800" spans="2:8" x14ac:dyDescent="0.25">
      <c r="B1800" s="1"/>
      <c r="C1800" s="1"/>
      <c r="D1800" s="1"/>
      <c r="E1800" s="1"/>
      <c r="F1800" s="1"/>
      <c r="H1800" s="1"/>
    </row>
    <row r="1801" spans="2:8" x14ac:dyDescent="0.25">
      <c r="B1801" s="1"/>
      <c r="C1801" s="1"/>
      <c r="D1801" s="1"/>
      <c r="E1801" s="1"/>
      <c r="F1801" s="1"/>
      <c r="H1801" s="1"/>
    </row>
    <row r="1802" spans="2:8" x14ac:dyDescent="0.25">
      <c r="B1802" s="1"/>
      <c r="C1802" s="1"/>
      <c r="D1802" s="1"/>
      <c r="E1802" s="1"/>
      <c r="F1802" s="1"/>
      <c r="H1802" s="1"/>
    </row>
    <row r="1803" spans="2:8" x14ac:dyDescent="0.25">
      <c r="B1803" s="1"/>
      <c r="C1803" s="1"/>
      <c r="D1803" s="1"/>
      <c r="E1803" s="1"/>
      <c r="F1803" s="1"/>
      <c r="H1803" s="1"/>
    </row>
    <row r="1804" spans="2:8" x14ac:dyDescent="0.25">
      <c r="B1804" s="1"/>
      <c r="C1804" s="1"/>
      <c r="D1804" s="1"/>
      <c r="E1804" s="1"/>
      <c r="F1804" s="1"/>
      <c r="H1804" s="1"/>
    </row>
    <row r="1805" spans="2:8" x14ac:dyDescent="0.25">
      <c r="B1805" s="1"/>
      <c r="C1805" s="1"/>
      <c r="D1805" s="1"/>
      <c r="E1805" s="1"/>
      <c r="F1805" s="1"/>
      <c r="H1805" s="1"/>
    </row>
    <row r="1806" spans="2:8" x14ac:dyDescent="0.25">
      <c r="B1806" s="1"/>
      <c r="C1806" s="1"/>
      <c r="D1806" s="1"/>
      <c r="E1806" s="1"/>
      <c r="F1806" s="1"/>
      <c r="H1806" s="1"/>
    </row>
    <row r="1807" spans="2:8" x14ac:dyDescent="0.25">
      <c r="B1807" s="1"/>
      <c r="C1807" s="1"/>
      <c r="D1807" s="1"/>
      <c r="E1807" s="1"/>
      <c r="F1807" s="1"/>
      <c r="H1807" s="1"/>
    </row>
    <row r="1808" spans="2:8" x14ac:dyDescent="0.25">
      <c r="B1808" s="1"/>
      <c r="C1808" s="1"/>
      <c r="D1808" s="1"/>
      <c r="E1808" s="1"/>
      <c r="F1808" s="1"/>
      <c r="H1808" s="1"/>
    </row>
    <row r="1809" spans="2:8" x14ac:dyDescent="0.25">
      <c r="B1809" s="1"/>
      <c r="C1809" s="1"/>
      <c r="D1809" s="1"/>
      <c r="E1809" s="1"/>
      <c r="F1809" s="1"/>
      <c r="H1809" s="1"/>
    </row>
    <row r="1810" spans="2:8" x14ac:dyDescent="0.25">
      <c r="B1810" s="1"/>
      <c r="C1810" s="1"/>
      <c r="D1810" s="1"/>
      <c r="E1810" s="1"/>
      <c r="F1810" s="1"/>
      <c r="H1810" s="1"/>
    </row>
    <row r="1811" spans="2:8" x14ac:dyDescent="0.25">
      <c r="B1811" s="1"/>
      <c r="C1811" s="1"/>
      <c r="D1811" s="1"/>
      <c r="E1811" s="1"/>
      <c r="F1811" s="1"/>
      <c r="H1811" s="1"/>
    </row>
    <row r="1812" spans="2:8" x14ac:dyDescent="0.25">
      <c r="B1812" s="1"/>
      <c r="C1812" s="1"/>
      <c r="D1812" s="1"/>
      <c r="E1812" s="1"/>
      <c r="F1812" s="1"/>
      <c r="H1812" s="1"/>
    </row>
    <row r="1813" spans="2:8" x14ac:dyDescent="0.25">
      <c r="B1813" s="1"/>
      <c r="C1813" s="1"/>
      <c r="D1813" s="1"/>
      <c r="E1813" s="1"/>
      <c r="F1813" s="1"/>
      <c r="H1813" s="1"/>
    </row>
    <row r="1814" spans="2:8" x14ac:dyDescent="0.25">
      <c r="B1814" s="1"/>
      <c r="C1814" s="1"/>
      <c r="D1814" s="1"/>
      <c r="E1814" s="1"/>
      <c r="F1814" s="1"/>
      <c r="H1814" s="1"/>
    </row>
    <row r="1815" spans="2:8" x14ac:dyDescent="0.25">
      <c r="B1815" s="1"/>
      <c r="C1815" s="1"/>
      <c r="D1815" s="1"/>
      <c r="E1815" s="1"/>
      <c r="F1815" s="1"/>
      <c r="H1815" s="1"/>
    </row>
    <row r="1816" spans="2:8" x14ac:dyDescent="0.25">
      <c r="B1816" s="1"/>
      <c r="C1816" s="1"/>
      <c r="D1816" s="1"/>
      <c r="E1816" s="1"/>
      <c r="F1816" s="1"/>
      <c r="H1816" s="1"/>
    </row>
    <row r="1817" spans="2:8" x14ac:dyDescent="0.25">
      <c r="B1817" s="1"/>
      <c r="C1817" s="1"/>
      <c r="D1817" s="1"/>
      <c r="E1817" s="1"/>
      <c r="F1817" s="1"/>
      <c r="H1817" s="1"/>
    </row>
    <row r="1818" spans="2:8" x14ac:dyDescent="0.25">
      <c r="B1818" s="1"/>
      <c r="C1818" s="1"/>
      <c r="D1818" s="1"/>
      <c r="E1818" s="1"/>
      <c r="F1818" s="1"/>
      <c r="H1818" s="1"/>
    </row>
    <row r="1819" spans="2:8" x14ac:dyDescent="0.25">
      <c r="B1819" s="1"/>
      <c r="C1819" s="1"/>
      <c r="D1819" s="1"/>
      <c r="E1819" s="1"/>
      <c r="F1819" s="1"/>
      <c r="H1819" s="1"/>
    </row>
    <row r="1820" spans="2:8" x14ac:dyDescent="0.25">
      <c r="B1820" s="1"/>
      <c r="C1820" s="1"/>
      <c r="D1820" s="1"/>
      <c r="E1820" s="1"/>
      <c r="F1820" s="1"/>
      <c r="H1820" s="1"/>
    </row>
    <row r="1821" spans="2:8" x14ac:dyDescent="0.25">
      <c r="B1821" s="1"/>
      <c r="C1821" s="1"/>
      <c r="D1821" s="1"/>
      <c r="E1821" s="1"/>
      <c r="F1821" s="1"/>
      <c r="H1821" s="1"/>
    </row>
    <row r="1822" spans="2:8" x14ac:dyDescent="0.25">
      <c r="B1822" s="1"/>
      <c r="C1822" s="1"/>
      <c r="D1822" s="1"/>
      <c r="E1822" s="1"/>
      <c r="F1822" s="1"/>
      <c r="H1822" s="1"/>
    </row>
    <row r="1823" spans="2:8" x14ac:dyDescent="0.25">
      <c r="B1823" s="1"/>
      <c r="C1823" s="1"/>
      <c r="D1823" s="1"/>
      <c r="E1823" s="1"/>
      <c r="F1823" s="1"/>
      <c r="H1823" s="1"/>
    </row>
    <row r="1824" spans="2:8" x14ac:dyDescent="0.25">
      <c r="B1824" s="1"/>
      <c r="C1824" s="1"/>
      <c r="D1824" s="1"/>
      <c r="E1824" s="1"/>
      <c r="F1824" s="1"/>
      <c r="H1824" s="1"/>
    </row>
    <row r="1825" spans="2:8" x14ac:dyDescent="0.25">
      <c r="B1825" s="1"/>
      <c r="C1825" s="1"/>
      <c r="D1825" s="1"/>
      <c r="E1825" s="1"/>
      <c r="F1825" s="1"/>
      <c r="H1825" s="1"/>
    </row>
    <row r="1826" spans="2:8" x14ac:dyDescent="0.25">
      <c r="B1826" s="1"/>
      <c r="C1826" s="1"/>
      <c r="D1826" s="1"/>
      <c r="E1826" s="1"/>
      <c r="F1826" s="1"/>
      <c r="H1826" s="1"/>
    </row>
    <row r="1827" spans="2:8" x14ac:dyDescent="0.25">
      <c r="B1827" s="1"/>
      <c r="C1827" s="1"/>
      <c r="D1827" s="1"/>
      <c r="E1827" s="1"/>
      <c r="F1827" s="1"/>
      <c r="H1827" s="1"/>
    </row>
    <row r="1828" spans="2:8" x14ac:dyDescent="0.25">
      <c r="B1828" s="1"/>
      <c r="C1828" s="1"/>
      <c r="D1828" s="1"/>
      <c r="E1828" s="1"/>
      <c r="F1828" s="1"/>
      <c r="H1828" s="1"/>
    </row>
    <row r="1829" spans="2:8" x14ac:dyDescent="0.25">
      <c r="B1829" s="1"/>
      <c r="C1829" s="1"/>
      <c r="D1829" s="1"/>
      <c r="E1829" s="1"/>
      <c r="F1829" s="1"/>
      <c r="H1829" s="1"/>
    </row>
    <row r="1830" spans="2:8" x14ac:dyDescent="0.25">
      <c r="B1830" s="1"/>
      <c r="C1830" s="1"/>
      <c r="D1830" s="1"/>
      <c r="E1830" s="1"/>
      <c r="F1830" s="1"/>
      <c r="H1830" s="1"/>
    </row>
    <row r="1831" spans="2:8" x14ac:dyDescent="0.25">
      <c r="B1831" s="1"/>
      <c r="C1831" s="1"/>
      <c r="D1831" s="1"/>
      <c r="E1831" s="1"/>
      <c r="F1831" s="1"/>
      <c r="H1831" s="1"/>
    </row>
    <row r="1832" spans="2:8" x14ac:dyDescent="0.25">
      <c r="B1832" s="1"/>
      <c r="C1832" s="1"/>
      <c r="D1832" s="1"/>
      <c r="E1832" s="1"/>
      <c r="F1832" s="1"/>
      <c r="H1832" s="1"/>
    </row>
    <row r="1833" spans="2:8" x14ac:dyDescent="0.25">
      <c r="B1833" s="1"/>
      <c r="C1833" s="1"/>
      <c r="D1833" s="1"/>
      <c r="E1833" s="1"/>
      <c r="F1833" s="1"/>
      <c r="H1833" s="1"/>
    </row>
    <row r="1834" spans="2:8" x14ac:dyDescent="0.25">
      <c r="B1834" s="1"/>
      <c r="C1834" s="1"/>
      <c r="D1834" s="1"/>
      <c r="E1834" s="1"/>
      <c r="F1834" s="1"/>
      <c r="H1834" s="1"/>
    </row>
    <row r="1835" spans="2:8" x14ac:dyDescent="0.25">
      <c r="B1835" s="1"/>
      <c r="C1835" s="1"/>
      <c r="D1835" s="1"/>
      <c r="E1835" s="1"/>
      <c r="F1835" s="1"/>
      <c r="H1835" s="1"/>
    </row>
    <row r="1836" spans="2:8" x14ac:dyDescent="0.25">
      <c r="B1836" s="1"/>
      <c r="C1836" s="1"/>
      <c r="D1836" s="1"/>
      <c r="E1836" s="1"/>
      <c r="F1836" s="1"/>
      <c r="H1836" s="1"/>
    </row>
    <row r="1837" spans="2:8" x14ac:dyDescent="0.25">
      <c r="B1837" s="1"/>
      <c r="C1837" s="1"/>
      <c r="D1837" s="1"/>
      <c r="E1837" s="1"/>
      <c r="F1837" s="1"/>
      <c r="H1837" s="1"/>
    </row>
    <row r="1838" spans="2:8" x14ac:dyDescent="0.25">
      <c r="B1838" s="1"/>
      <c r="C1838" s="1"/>
      <c r="D1838" s="1"/>
      <c r="E1838" s="1"/>
      <c r="F1838" s="1"/>
      <c r="H1838" s="1"/>
    </row>
    <row r="1839" spans="2:8" x14ac:dyDescent="0.25">
      <c r="B1839" s="1"/>
      <c r="C1839" s="1"/>
      <c r="D1839" s="1"/>
      <c r="E1839" s="1"/>
      <c r="F1839" s="1"/>
      <c r="H1839" s="1"/>
    </row>
    <row r="1840" spans="2:8" x14ac:dyDescent="0.25">
      <c r="B1840" s="1"/>
      <c r="C1840" s="1"/>
      <c r="D1840" s="1"/>
      <c r="E1840" s="1"/>
      <c r="F1840" s="1"/>
      <c r="H1840" s="1"/>
    </row>
    <row r="1841" spans="2:8" x14ac:dyDescent="0.25">
      <c r="B1841" s="1"/>
      <c r="C1841" s="1"/>
      <c r="D1841" s="1"/>
      <c r="E1841" s="1"/>
      <c r="F1841" s="1"/>
      <c r="H1841" s="1"/>
    </row>
    <row r="1842" spans="2:8" x14ac:dyDescent="0.25">
      <c r="B1842" s="1"/>
      <c r="C1842" s="1"/>
      <c r="D1842" s="1"/>
      <c r="E1842" s="1"/>
      <c r="F1842" s="1"/>
      <c r="H1842" s="1"/>
    </row>
    <row r="1843" spans="2:8" x14ac:dyDescent="0.25">
      <c r="B1843" s="1"/>
      <c r="C1843" s="1"/>
      <c r="D1843" s="1"/>
      <c r="E1843" s="1"/>
      <c r="F1843" s="1"/>
      <c r="H1843" s="1"/>
    </row>
    <row r="1844" spans="2:8" x14ac:dyDescent="0.25">
      <c r="B1844" s="1"/>
      <c r="C1844" s="1"/>
      <c r="D1844" s="1"/>
      <c r="E1844" s="1"/>
      <c r="F1844" s="1"/>
      <c r="H1844" s="1"/>
    </row>
    <row r="1845" spans="2:8" x14ac:dyDescent="0.25">
      <c r="B1845" s="1"/>
      <c r="C1845" s="1"/>
      <c r="D1845" s="1"/>
      <c r="E1845" s="1"/>
      <c r="F1845" s="1"/>
      <c r="H1845" s="1"/>
    </row>
    <row r="1846" spans="2:8" x14ac:dyDescent="0.25">
      <c r="B1846" s="1"/>
      <c r="C1846" s="1"/>
      <c r="D1846" s="1"/>
      <c r="E1846" s="1"/>
      <c r="F1846" s="1"/>
      <c r="H1846" s="1"/>
    </row>
    <row r="1847" spans="2:8" x14ac:dyDescent="0.25">
      <c r="B1847" s="1"/>
      <c r="C1847" s="1"/>
      <c r="D1847" s="1"/>
      <c r="E1847" s="1"/>
      <c r="F1847" s="1"/>
      <c r="H1847" s="1"/>
    </row>
    <row r="1848" spans="2:8" x14ac:dyDescent="0.25">
      <c r="B1848" s="1"/>
      <c r="C1848" s="1"/>
      <c r="D1848" s="1"/>
      <c r="E1848" s="1"/>
      <c r="F1848" s="1"/>
      <c r="H1848" s="1"/>
    </row>
    <row r="1849" spans="2:8" x14ac:dyDescent="0.25">
      <c r="B1849" s="1"/>
      <c r="C1849" s="1"/>
      <c r="D1849" s="1"/>
      <c r="E1849" s="1"/>
      <c r="F1849" s="1"/>
      <c r="H1849" s="1"/>
    </row>
    <row r="1850" spans="2:8" x14ac:dyDescent="0.25">
      <c r="B1850" s="1"/>
      <c r="C1850" s="1"/>
      <c r="D1850" s="1"/>
      <c r="E1850" s="1"/>
      <c r="F1850" s="1"/>
      <c r="H1850" s="1"/>
    </row>
    <row r="1851" spans="2:8" x14ac:dyDescent="0.25">
      <c r="B1851" s="1"/>
      <c r="C1851" s="1"/>
      <c r="D1851" s="1"/>
      <c r="E1851" s="1"/>
      <c r="F1851" s="1"/>
      <c r="H1851" s="1"/>
    </row>
    <row r="1852" spans="2:8" x14ac:dyDescent="0.25">
      <c r="B1852" s="1"/>
      <c r="C1852" s="1"/>
      <c r="D1852" s="1"/>
      <c r="E1852" s="1"/>
      <c r="F1852" s="1"/>
      <c r="H1852" s="1"/>
    </row>
    <row r="1853" spans="2:8" x14ac:dyDescent="0.25">
      <c r="B1853" s="1"/>
      <c r="C1853" s="1"/>
      <c r="D1853" s="1"/>
      <c r="E1853" s="1"/>
      <c r="F1853" s="1"/>
      <c r="H1853" s="1"/>
    </row>
    <row r="1854" spans="2:8" x14ac:dyDescent="0.25">
      <c r="B1854" s="1"/>
      <c r="C1854" s="1"/>
      <c r="D1854" s="1"/>
      <c r="E1854" s="1"/>
      <c r="F1854" s="1"/>
      <c r="H1854" s="1"/>
    </row>
    <row r="1855" spans="2:8" x14ac:dyDescent="0.25">
      <c r="B1855" s="1"/>
      <c r="C1855" s="1"/>
      <c r="D1855" s="1"/>
      <c r="E1855" s="1"/>
      <c r="F1855" s="1"/>
      <c r="H1855" s="1"/>
    </row>
    <row r="1856" spans="2:8" x14ac:dyDescent="0.25">
      <c r="B1856" s="1"/>
      <c r="C1856" s="1"/>
      <c r="D1856" s="1"/>
      <c r="E1856" s="1"/>
      <c r="F1856" s="1"/>
      <c r="H1856" s="1"/>
    </row>
    <row r="1857" spans="2:8" x14ac:dyDescent="0.25">
      <c r="B1857" s="1"/>
      <c r="C1857" s="1"/>
      <c r="D1857" s="1"/>
      <c r="E1857" s="1"/>
      <c r="F1857" s="1"/>
      <c r="H1857" s="1"/>
    </row>
    <row r="1858" spans="2:8" x14ac:dyDescent="0.25">
      <c r="B1858" s="1"/>
      <c r="C1858" s="1"/>
      <c r="D1858" s="1"/>
      <c r="E1858" s="1"/>
      <c r="F1858" s="1"/>
      <c r="H1858" s="1"/>
    </row>
    <row r="1859" spans="2:8" x14ac:dyDescent="0.25">
      <c r="B1859" s="1"/>
      <c r="C1859" s="1"/>
      <c r="D1859" s="1"/>
      <c r="E1859" s="1"/>
      <c r="F1859" s="1"/>
      <c r="H1859" s="1"/>
    </row>
    <row r="1860" spans="2:8" x14ac:dyDescent="0.25">
      <c r="B1860" s="1"/>
      <c r="C1860" s="1"/>
      <c r="D1860" s="1"/>
      <c r="E1860" s="1"/>
      <c r="F1860" s="1"/>
      <c r="H1860" s="1"/>
    </row>
    <row r="1861" spans="2:8" x14ac:dyDescent="0.25">
      <c r="B1861" s="1"/>
      <c r="C1861" s="1"/>
      <c r="D1861" s="1"/>
      <c r="E1861" s="1"/>
      <c r="F1861" s="1"/>
      <c r="H1861" s="1"/>
    </row>
    <row r="1862" spans="2:8" x14ac:dyDescent="0.25">
      <c r="B1862" s="1"/>
      <c r="C1862" s="1"/>
      <c r="D1862" s="1"/>
      <c r="E1862" s="1"/>
      <c r="F1862" s="1"/>
      <c r="H1862" s="1"/>
    </row>
    <row r="1863" spans="2:8" x14ac:dyDescent="0.25">
      <c r="B1863" s="1"/>
      <c r="C1863" s="1"/>
      <c r="D1863" s="1"/>
      <c r="E1863" s="1"/>
      <c r="F1863" s="1"/>
      <c r="H1863" s="1"/>
    </row>
    <row r="1864" spans="2:8" x14ac:dyDescent="0.25">
      <c r="B1864" s="1"/>
      <c r="C1864" s="1"/>
      <c r="D1864" s="1"/>
      <c r="E1864" s="1"/>
      <c r="F1864" s="1"/>
      <c r="H1864" s="1"/>
    </row>
    <row r="1865" spans="2:8" x14ac:dyDescent="0.25">
      <c r="B1865" s="1"/>
      <c r="C1865" s="1"/>
      <c r="D1865" s="1"/>
      <c r="E1865" s="1"/>
      <c r="F1865" s="1"/>
      <c r="H1865" s="1"/>
    </row>
    <row r="1866" spans="2:8" x14ac:dyDescent="0.25">
      <c r="B1866" s="1"/>
      <c r="C1866" s="1"/>
      <c r="D1866" s="1"/>
      <c r="E1866" s="1"/>
      <c r="F1866" s="1"/>
      <c r="H1866" s="1"/>
    </row>
    <row r="1867" spans="2:8" x14ac:dyDescent="0.25">
      <c r="B1867" s="1"/>
      <c r="C1867" s="1"/>
      <c r="D1867" s="1"/>
      <c r="E1867" s="1"/>
      <c r="F1867" s="1"/>
      <c r="H1867" s="1"/>
    </row>
    <row r="1868" spans="2:8" x14ac:dyDescent="0.25">
      <c r="B1868" s="1"/>
      <c r="C1868" s="1"/>
      <c r="D1868" s="1"/>
      <c r="E1868" s="1"/>
      <c r="F1868" s="1"/>
      <c r="H1868" s="1"/>
    </row>
    <row r="1869" spans="2:8" x14ac:dyDescent="0.25">
      <c r="B1869" s="1"/>
      <c r="C1869" s="1"/>
      <c r="D1869" s="1"/>
      <c r="E1869" s="1"/>
      <c r="F1869" s="1"/>
      <c r="H1869" s="1"/>
    </row>
    <row r="1870" spans="2:8" x14ac:dyDescent="0.25">
      <c r="B1870" s="1"/>
      <c r="C1870" s="1"/>
      <c r="D1870" s="1"/>
      <c r="E1870" s="1"/>
      <c r="F1870" s="1"/>
      <c r="H1870" s="1"/>
    </row>
    <row r="1871" spans="2:8" x14ac:dyDescent="0.25">
      <c r="B1871" s="1"/>
      <c r="C1871" s="1"/>
      <c r="D1871" s="1"/>
      <c r="E1871" s="1"/>
      <c r="F1871" s="1"/>
      <c r="H1871" s="1"/>
    </row>
    <row r="1872" spans="2:8" x14ac:dyDescent="0.25">
      <c r="B1872" s="1"/>
      <c r="C1872" s="1"/>
      <c r="D1872" s="1"/>
      <c r="E1872" s="1"/>
      <c r="F1872" s="1"/>
      <c r="H1872" s="1"/>
    </row>
    <row r="1873" spans="2:8" x14ac:dyDescent="0.25">
      <c r="B1873" s="1"/>
      <c r="C1873" s="1"/>
      <c r="D1873" s="1"/>
      <c r="E1873" s="1"/>
      <c r="F1873" s="1"/>
      <c r="H1873" s="1"/>
    </row>
    <row r="1874" spans="2:8" x14ac:dyDescent="0.25">
      <c r="B1874" s="1"/>
      <c r="C1874" s="1"/>
      <c r="D1874" s="1"/>
      <c r="E1874" s="1"/>
      <c r="F1874" s="1"/>
      <c r="H1874" s="1"/>
    </row>
    <row r="1875" spans="2:8" x14ac:dyDescent="0.25">
      <c r="B1875" s="1"/>
      <c r="C1875" s="1"/>
      <c r="D1875" s="1"/>
      <c r="E1875" s="1"/>
      <c r="F1875" s="1"/>
      <c r="H1875" s="1"/>
    </row>
    <row r="1876" spans="2:8" x14ac:dyDescent="0.25">
      <c r="B1876" s="1"/>
      <c r="C1876" s="1"/>
      <c r="D1876" s="1"/>
      <c r="E1876" s="1"/>
      <c r="F1876" s="1"/>
      <c r="H1876" s="1"/>
    </row>
    <row r="1877" spans="2:8" x14ac:dyDescent="0.25">
      <c r="B1877" s="1"/>
      <c r="C1877" s="1"/>
      <c r="D1877" s="1"/>
      <c r="E1877" s="1"/>
      <c r="F1877" s="1"/>
      <c r="H1877" s="1"/>
    </row>
    <row r="1878" spans="2:8" x14ac:dyDescent="0.25">
      <c r="B1878" s="1"/>
      <c r="C1878" s="1"/>
      <c r="D1878" s="1"/>
      <c r="E1878" s="1"/>
      <c r="F1878" s="1"/>
      <c r="H1878" s="1"/>
    </row>
    <row r="1879" spans="2:8" x14ac:dyDescent="0.25">
      <c r="B1879" s="1"/>
      <c r="C1879" s="1"/>
      <c r="D1879" s="1"/>
      <c r="E1879" s="1"/>
      <c r="F1879" s="1"/>
      <c r="H1879" s="1"/>
    </row>
    <row r="1880" spans="2:8" x14ac:dyDescent="0.25">
      <c r="B1880" s="1"/>
      <c r="C1880" s="1"/>
      <c r="D1880" s="1"/>
      <c r="E1880" s="1"/>
      <c r="F1880" s="1"/>
      <c r="H1880" s="1"/>
    </row>
    <row r="1881" spans="2:8" x14ac:dyDescent="0.25">
      <c r="B1881" s="1"/>
      <c r="C1881" s="1"/>
      <c r="D1881" s="1"/>
      <c r="E1881" s="1"/>
      <c r="F1881" s="1"/>
      <c r="H1881" s="1"/>
    </row>
    <row r="1882" spans="2:8" x14ac:dyDescent="0.25">
      <c r="B1882" s="1"/>
      <c r="C1882" s="1"/>
      <c r="D1882" s="1"/>
      <c r="E1882" s="1"/>
      <c r="F1882" s="1"/>
      <c r="H1882" s="1"/>
    </row>
    <row r="1883" spans="2:8" x14ac:dyDescent="0.25">
      <c r="B1883" s="1"/>
      <c r="C1883" s="1"/>
      <c r="D1883" s="1"/>
      <c r="E1883" s="1"/>
      <c r="F1883" s="1"/>
      <c r="H1883" s="1"/>
    </row>
    <row r="1884" spans="2:8" x14ac:dyDescent="0.25">
      <c r="B1884" s="1"/>
      <c r="C1884" s="1"/>
      <c r="D1884" s="1"/>
      <c r="E1884" s="1"/>
      <c r="F1884" s="1"/>
      <c r="H1884" s="1"/>
    </row>
    <row r="1885" spans="2:8" x14ac:dyDescent="0.25">
      <c r="B1885" s="1"/>
      <c r="C1885" s="1"/>
      <c r="D1885" s="1"/>
      <c r="E1885" s="1"/>
      <c r="F1885" s="1"/>
      <c r="H1885" s="1"/>
    </row>
    <row r="1886" spans="2:8" x14ac:dyDescent="0.25">
      <c r="B1886" s="1"/>
      <c r="C1886" s="1"/>
      <c r="D1886" s="1"/>
      <c r="E1886" s="1"/>
      <c r="F1886" s="1"/>
      <c r="H1886" s="1"/>
    </row>
    <row r="1887" spans="2:8" x14ac:dyDescent="0.25">
      <c r="B1887" s="1"/>
      <c r="C1887" s="1"/>
      <c r="D1887" s="1"/>
      <c r="E1887" s="1"/>
      <c r="F1887" s="1"/>
      <c r="H1887" s="1"/>
    </row>
    <row r="1888" spans="2:8" x14ac:dyDescent="0.25">
      <c r="B1888" s="1"/>
      <c r="C1888" s="1"/>
      <c r="D1888" s="1"/>
      <c r="E1888" s="1"/>
      <c r="F1888" s="1"/>
      <c r="H1888" s="1"/>
    </row>
    <row r="1889" spans="2:8" x14ac:dyDescent="0.25">
      <c r="B1889" s="1"/>
      <c r="C1889" s="1"/>
      <c r="D1889" s="1"/>
      <c r="E1889" s="1"/>
      <c r="F1889" s="1"/>
      <c r="H1889" s="1"/>
    </row>
    <row r="1890" spans="2:8" x14ac:dyDescent="0.25">
      <c r="B1890" s="1"/>
      <c r="C1890" s="1"/>
      <c r="D1890" s="1"/>
      <c r="E1890" s="1"/>
      <c r="F1890" s="1"/>
      <c r="H1890" s="1"/>
    </row>
    <row r="1891" spans="2:8" x14ac:dyDescent="0.25">
      <c r="B1891" s="1"/>
      <c r="C1891" s="1"/>
      <c r="D1891" s="1"/>
      <c r="E1891" s="1"/>
      <c r="F1891" s="1"/>
      <c r="H1891" s="1"/>
    </row>
    <row r="1892" spans="2:8" x14ac:dyDescent="0.25">
      <c r="B1892" s="1"/>
      <c r="C1892" s="1"/>
      <c r="D1892" s="1"/>
      <c r="E1892" s="1"/>
      <c r="F1892" s="1"/>
      <c r="H1892" s="1"/>
    </row>
    <row r="1893" spans="2:8" x14ac:dyDescent="0.25">
      <c r="B1893" s="1"/>
      <c r="C1893" s="1"/>
      <c r="D1893" s="1"/>
      <c r="E1893" s="1"/>
      <c r="F1893" s="1"/>
      <c r="H1893" s="1"/>
    </row>
    <row r="1894" spans="2:8" x14ac:dyDescent="0.25">
      <c r="B1894" s="1"/>
      <c r="C1894" s="1"/>
      <c r="D1894" s="1"/>
      <c r="E1894" s="1"/>
      <c r="F1894" s="1"/>
      <c r="H1894" s="1"/>
    </row>
    <row r="1895" spans="2:8" x14ac:dyDescent="0.25">
      <c r="B1895" s="1"/>
      <c r="C1895" s="1"/>
      <c r="D1895" s="1"/>
      <c r="E1895" s="1"/>
      <c r="F1895" s="1"/>
      <c r="H1895" s="1"/>
    </row>
    <row r="1896" spans="2:8" x14ac:dyDescent="0.25">
      <c r="B1896" s="1"/>
      <c r="C1896" s="1"/>
      <c r="D1896" s="1"/>
      <c r="E1896" s="1"/>
      <c r="F1896" s="1"/>
      <c r="H1896" s="1"/>
    </row>
    <row r="1897" spans="2:8" x14ac:dyDescent="0.25">
      <c r="B1897" s="1"/>
      <c r="C1897" s="1"/>
      <c r="D1897" s="1"/>
      <c r="E1897" s="1"/>
      <c r="F1897" s="1"/>
      <c r="H1897" s="1"/>
    </row>
    <row r="1898" spans="2:8" x14ac:dyDescent="0.25">
      <c r="B1898" s="1"/>
      <c r="C1898" s="1"/>
      <c r="D1898" s="1"/>
      <c r="E1898" s="1"/>
      <c r="F1898" s="1"/>
      <c r="H1898" s="1"/>
    </row>
    <row r="1899" spans="2:8" x14ac:dyDescent="0.25">
      <c r="B1899" s="1"/>
      <c r="C1899" s="1"/>
      <c r="D1899" s="1"/>
      <c r="E1899" s="1"/>
      <c r="F1899" s="1"/>
      <c r="H1899" s="1"/>
    </row>
    <row r="1900" spans="2:8" x14ac:dyDescent="0.25">
      <c r="B1900" s="1"/>
      <c r="C1900" s="1"/>
      <c r="D1900" s="1"/>
      <c r="E1900" s="1"/>
      <c r="F1900" s="1"/>
      <c r="H1900" s="1"/>
    </row>
    <row r="1901" spans="2:8" x14ac:dyDescent="0.25">
      <c r="B1901" s="1"/>
      <c r="C1901" s="1"/>
      <c r="D1901" s="1"/>
      <c r="E1901" s="1"/>
      <c r="F1901" s="1"/>
      <c r="H1901" s="1"/>
    </row>
    <row r="1902" spans="2:8" x14ac:dyDescent="0.25">
      <c r="B1902" s="1"/>
      <c r="C1902" s="1"/>
      <c r="D1902" s="1"/>
      <c r="E1902" s="1"/>
      <c r="F1902" s="1"/>
      <c r="H1902" s="1"/>
    </row>
    <row r="1903" spans="2:8" x14ac:dyDescent="0.25">
      <c r="B1903" s="1"/>
      <c r="C1903" s="1"/>
      <c r="D1903" s="1"/>
      <c r="E1903" s="1"/>
      <c r="F1903" s="1"/>
      <c r="H1903" s="1"/>
    </row>
    <row r="1904" spans="2:8" x14ac:dyDescent="0.25">
      <c r="B1904" s="1"/>
      <c r="C1904" s="1"/>
      <c r="D1904" s="1"/>
      <c r="E1904" s="1"/>
      <c r="F1904" s="1"/>
      <c r="H1904" s="1"/>
    </row>
    <row r="1905" spans="2:8" x14ac:dyDescent="0.25">
      <c r="B1905" s="1"/>
      <c r="C1905" s="1"/>
      <c r="D1905" s="1"/>
      <c r="E1905" s="1"/>
      <c r="F1905" s="1"/>
      <c r="H1905" s="1"/>
    </row>
    <row r="1906" spans="2:8" x14ac:dyDescent="0.25">
      <c r="B1906" s="1"/>
      <c r="C1906" s="1"/>
      <c r="D1906" s="1"/>
      <c r="E1906" s="1"/>
      <c r="F1906" s="1"/>
      <c r="H1906" s="1"/>
    </row>
    <row r="1907" spans="2:8" x14ac:dyDescent="0.25">
      <c r="B1907" s="1"/>
      <c r="C1907" s="1"/>
      <c r="D1907" s="1"/>
      <c r="E1907" s="1"/>
      <c r="F1907" s="1"/>
      <c r="H1907" s="1"/>
    </row>
    <row r="1908" spans="2:8" x14ac:dyDescent="0.25">
      <c r="B1908" s="1"/>
      <c r="C1908" s="1"/>
      <c r="D1908" s="1"/>
      <c r="E1908" s="1"/>
      <c r="F1908" s="1"/>
      <c r="H1908" s="1"/>
    </row>
    <row r="1909" spans="2:8" x14ac:dyDescent="0.25">
      <c r="B1909" s="1"/>
      <c r="C1909" s="1"/>
      <c r="D1909" s="1"/>
      <c r="E1909" s="1"/>
      <c r="F1909" s="1"/>
      <c r="H1909" s="1"/>
    </row>
    <row r="1910" spans="2:8" x14ac:dyDescent="0.25">
      <c r="B1910" s="1"/>
      <c r="C1910" s="1"/>
      <c r="D1910" s="1"/>
      <c r="E1910" s="1"/>
      <c r="F1910" s="1"/>
      <c r="H1910" s="1"/>
    </row>
    <row r="1911" spans="2:8" x14ac:dyDescent="0.25">
      <c r="B1911" s="1"/>
      <c r="C1911" s="1"/>
      <c r="D1911" s="1"/>
      <c r="E1911" s="1"/>
      <c r="F1911" s="1"/>
      <c r="H1911" s="1"/>
    </row>
    <row r="1912" spans="2:8" x14ac:dyDescent="0.25">
      <c r="B1912" s="1"/>
      <c r="C1912" s="1"/>
      <c r="D1912" s="1"/>
      <c r="E1912" s="1"/>
      <c r="F1912" s="1"/>
      <c r="H1912" s="1"/>
    </row>
    <row r="1913" spans="2:8" x14ac:dyDescent="0.25">
      <c r="B1913" s="1"/>
      <c r="C1913" s="1"/>
      <c r="D1913" s="1"/>
      <c r="E1913" s="1"/>
      <c r="F1913" s="1"/>
      <c r="H1913" s="1"/>
    </row>
    <row r="1914" spans="2:8" x14ac:dyDescent="0.25">
      <c r="B1914" s="1"/>
      <c r="C1914" s="1"/>
      <c r="D1914" s="1"/>
      <c r="E1914" s="1"/>
      <c r="F1914" s="1"/>
      <c r="H1914" s="1"/>
    </row>
    <row r="1915" spans="2:8" x14ac:dyDescent="0.25">
      <c r="B1915" s="1"/>
      <c r="C1915" s="1"/>
      <c r="D1915" s="1"/>
      <c r="E1915" s="1"/>
      <c r="F1915" s="1"/>
      <c r="H1915" s="1"/>
    </row>
    <row r="1916" spans="2:8" x14ac:dyDescent="0.25">
      <c r="B1916" s="1"/>
      <c r="C1916" s="1"/>
      <c r="D1916" s="1"/>
      <c r="E1916" s="1"/>
      <c r="F1916" s="1"/>
      <c r="H1916" s="1"/>
    </row>
    <row r="1917" spans="2:8" x14ac:dyDescent="0.25">
      <c r="B1917" s="1"/>
      <c r="C1917" s="1"/>
      <c r="D1917" s="1"/>
      <c r="E1917" s="1"/>
      <c r="F1917" s="1"/>
      <c r="H1917" s="1"/>
    </row>
    <row r="1918" spans="2:8" x14ac:dyDescent="0.25">
      <c r="B1918" s="1"/>
      <c r="C1918" s="1"/>
      <c r="D1918" s="1"/>
      <c r="E1918" s="1"/>
      <c r="F1918" s="1"/>
      <c r="H1918" s="1"/>
    </row>
    <row r="1919" spans="2:8" x14ac:dyDescent="0.25">
      <c r="B1919" s="1"/>
      <c r="C1919" s="1"/>
      <c r="D1919" s="1"/>
      <c r="E1919" s="1"/>
      <c r="F1919" s="1"/>
      <c r="H1919" s="1"/>
    </row>
    <row r="1920" spans="2:8" x14ac:dyDescent="0.25">
      <c r="B1920" s="1"/>
      <c r="C1920" s="1"/>
      <c r="D1920" s="1"/>
      <c r="E1920" s="1"/>
      <c r="F1920" s="1"/>
      <c r="H1920" s="1"/>
    </row>
    <row r="1921" spans="2:8" x14ac:dyDescent="0.25">
      <c r="B1921" s="1"/>
      <c r="C1921" s="1"/>
      <c r="D1921" s="1"/>
      <c r="E1921" s="1"/>
      <c r="F1921" s="1"/>
      <c r="H1921" s="1"/>
    </row>
    <row r="1922" spans="2:8" x14ac:dyDescent="0.25">
      <c r="B1922" s="1"/>
      <c r="C1922" s="1"/>
      <c r="D1922" s="1"/>
      <c r="E1922" s="1"/>
      <c r="F1922" s="1"/>
      <c r="H1922" s="1"/>
    </row>
    <row r="1923" spans="2:8" x14ac:dyDescent="0.25">
      <c r="B1923" s="1"/>
      <c r="C1923" s="1"/>
      <c r="D1923" s="1"/>
      <c r="E1923" s="1"/>
      <c r="F1923" s="1"/>
      <c r="H1923" s="1"/>
    </row>
    <row r="1924" spans="2:8" x14ac:dyDescent="0.25">
      <c r="B1924" s="1"/>
      <c r="C1924" s="1"/>
      <c r="D1924" s="1"/>
      <c r="E1924" s="1"/>
      <c r="F1924" s="1"/>
      <c r="H1924" s="1"/>
    </row>
    <row r="1925" spans="2:8" x14ac:dyDescent="0.25">
      <c r="B1925" s="1"/>
      <c r="C1925" s="1"/>
      <c r="D1925" s="1"/>
      <c r="E1925" s="1"/>
      <c r="F1925" s="1"/>
      <c r="H1925" s="1"/>
    </row>
    <row r="1926" spans="2:8" x14ac:dyDescent="0.25">
      <c r="B1926" s="1"/>
      <c r="C1926" s="1"/>
      <c r="D1926" s="1"/>
      <c r="E1926" s="1"/>
      <c r="F1926" s="1"/>
      <c r="H1926" s="1"/>
    </row>
    <row r="1927" spans="2:8" x14ac:dyDescent="0.25">
      <c r="B1927" s="1"/>
      <c r="C1927" s="1"/>
      <c r="D1927" s="1"/>
      <c r="E1927" s="1"/>
      <c r="F1927" s="1"/>
      <c r="H1927" s="1"/>
    </row>
    <row r="1928" spans="2:8" x14ac:dyDescent="0.25">
      <c r="B1928" s="1"/>
      <c r="C1928" s="1"/>
      <c r="D1928" s="1"/>
      <c r="E1928" s="1"/>
      <c r="F1928" s="1"/>
      <c r="H1928" s="1"/>
    </row>
    <row r="1929" spans="2:8" x14ac:dyDescent="0.25">
      <c r="B1929" s="1"/>
      <c r="C1929" s="1"/>
      <c r="D1929" s="1"/>
      <c r="E1929" s="1"/>
      <c r="F1929" s="1"/>
      <c r="H1929" s="1"/>
    </row>
    <row r="1930" spans="2:8" x14ac:dyDescent="0.25">
      <c r="B1930" s="1"/>
      <c r="C1930" s="1"/>
      <c r="D1930" s="1"/>
      <c r="E1930" s="1"/>
      <c r="F1930" s="1"/>
      <c r="H1930" s="1"/>
    </row>
    <row r="1931" spans="2:8" x14ac:dyDescent="0.25">
      <c r="B1931" s="1"/>
      <c r="C1931" s="1"/>
      <c r="D1931" s="1"/>
      <c r="E1931" s="1"/>
      <c r="F1931" s="1"/>
      <c r="H1931" s="1"/>
    </row>
    <row r="1932" spans="2:8" x14ac:dyDescent="0.25">
      <c r="B1932" s="1"/>
      <c r="C1932" s="1"/>
      <c r="D1932" s="1"/>
      <c r="E1932" s="1"/>
      <c r="F1932" s="1"/>
      <c r="H1932" s="1"/>
    </row>
    <row r="1933" spans="2:8" x14ac:dyDescent="0.25">
      <c r="B1933" s="1"/>
      <c r="C1933" s="1"/>
      <c r="D1933" s="1"/>
      <c r="E1933" s="1"/>
      <c r="F1933" s="1"/>
      <c r="H1933" s="1"/>
    </row>
    <row r="1934" spans="2:8" x14ac:dyDescent="0.25">
      <c r="B1934" s="1"/>
      <c r="C1934" s="1"/>
      <c r="D1934" s="1"/>
      <c r="E1934" s="1"/>
      <c r="F1934" s="1"/>
      <c r="H1934" s="1"/>
    </row>
    <row r="1935" spans="2:8" x14ac:dyDescent="0.25">
      <c r="B1935" s="1"/>
      <c r="C1935" s="1"/>
      <c r="D1935" s="1"/>
      <c r="E1935" s="1"/>
      <c r="F1935" s="1"/>
      <c r="H1935" s="1"/>
    </row>
    <row r="1936" spans="2:8" x14ac:dyDescent="0.25">
      <c r="B1936" s="1"/>
      <c r="C1936" s="1"/>
      <c r="D1936" s="1"/>
      <c r="E1936" s="1"/>
      <c r="F1936" s="1"/>
      <c r="H1936" s="1"/>
    </row>
    <row r="1937" spans="2:8" x14ac:dyDescent="0.25">
      <c r="B1937" s="1"/>
      <c r="C1937" s="1"/>
      <c r="D1937" s="1"/>
      <c r="E1937" s="1"/>
      <c r="F1937" s="1"/>
      <c r="H1937" s="1"/>
    </row>
    <row r="1938" spans="2:8" x14ac:dyDescent="0.25">
      <c r="B1938" s="1"/>
      <c r="C1938" s="1"/>
      <c r="D1938" s="1"/>
      <c r="E1938" s="1"/>
      <c r="F1938" s="1"/>
      <c r="H1938" s="1"/>
    </row>
    <row r="1939" spans="2:8" x14ac:dyDescent="0.25">
      <c r="B1939" s="1"/>
      <c r="C1939" s="1"/>
      <c r="D1939" s="1"/>
      <c r="E1939" s="1"/>
      <c r="F1939" s="1"/>
      <c r="H1939" s="1"/>
    </row>
    <row r="1940" spans="2:8" x14ac:dyDescent="0.25">
      <c r="B1940" s="1"/>
      <c r="C1940" s="1"/>
      <c r="D1940" s="1"/>
      <c r="E1940" s="1"/>
      <c r="F1940" s="1"/>
      <c r="H1940" s="1"/>
    </row>
    <row r="1941" spans="2:8" x14ac:dyDescent="0.25">
      <c r="B1941" s="1"/>
      <c r="C1941" s="1"/>
      <c r="D1941" s="1"/>
      <c r="E1941" s="1"/>
      <c r="F1941" s="1"/>
      <c r="H1941" s="1"/>
    </row>
    <row r="1942" spans="2:8" x14ac:dyDescent="0.25">
      <c r="B1942" s="1"/>
      <c r="C1942" s="1"/>
      <c r="D1942" s="1"/>
      <c r="E1942" s="1"/>
      <c r="F1942" s="1"/>
      <c r="H1942" s="1"/>
    </row>
    <row r="1943" spans="2:8" x14ac:dyDescent="0.25">
      <c r="B1943" s="1"/>
      <c r="C1943" s="1"/>
      <c r="D1943" s="1"/>
      <c r="E1943" s="1"/>
      <c r="F1943" s="1"/>
      <c r="H1943" s="1"/>
    </row>
    <row r="1944" spans="2:8" x14ac:dyDescent="0.25">
      <c r="B1944" s="1"/>
      <c r="C1944" s="1"/>
      <c r="D1944" s="1"/>
      <c r="E1944" s="1"/>
      <c r="F1944" s="1"/>
      <c r="H1944" s="1"/>
    </row>
    <row r="1945" spans="2:8" x14ac:dyDescent="0.25">
      <c r="B1945" s="1"/>
      <c r="C1945" s="1"/>
      <c r="D1945" s="1"/>
      <c r="E1945" s="1"/>
      <c r="F1945" s="1"/>
      <c r="H1945" s="1"/>
    </row>
    <row r="1946" spans="2:8" x14ac:dyDescent="0.25">
      <c r="B1946" s="1"/>
      <c r="C1946" s="1"/>
      <c r="D1946" s="1"/>
      <c r="E1946" s="1"/>
      <c r="F1946" s="1"/>
      <c r="H1946" s="1"/>
    </row>
    <row r="1947" spans="2:8" x14ac:dyDescent="0.25">
      <c r="B1947" s="1"/>
      <c r="C1947" s="1"/>
      <c r="D1947" s="1"/>
      <c r="E1947" s="1"/>
      <c r="F1947" s="1"/>
      <c r="H1947" s="1"/>
    </row>
    <row r="1948" spans="2:8" x14ac:dyDescent="0.25">
      <c r="B1948" s="1"/>
      <c r="C1948" s="1"/>
      <c r="D1948" s="1"/>
      <c r="E1948" s="1"/>
      <c r="F1948" s="1"/>
      <c r="H1948" s="1"/>
    </row>
    <row r="1949" spans="2:8" x14ac:dyDescent="0.25">
      <c r="B1949" s="1"/>
      <c r="C1949" s="1"/>
      <c r="D1949" s="1"/>
      <c r="E1949" s="1"/>
      <c r="F1949" s="1"/>
      <c r="H1949" s="1"/>
    </row>
    <row r="1950" spans="2:8" x14ac:dyDescent="0.25">
      <c r="B1950" s="1"/>
      <c r="C1950" s="1"/>
      <c r="D1950" s="1"/>
      <c r="E1950" s="1"/>
      <c r="F1950" s="1"/>
      <c r="H1950" s="1"/>
    </row>
    <row r="1951" spans="2:8" x14ac:dyDescent="0.25">
      <c r="B1951" s="1"/>
      <c r="C1951" s="1"/>
      <c r="D1951" s="1"/>
      <c r="E1951" s="1"/>
      <c r="F1951" s="1"/>
      <c r="H1951" s="1"/>
    </row>
    <row r="1952" spans="2:8" x14ac:dyDescent="0.25">
      <c r="B1952" s="1"/>
      <c r="C1952" s="1"/>
      <c r="D1952" s="1"/>
      <c r="E1952" s="1"/>
      <c r="F1952" s="1"/>
      <c r="H1952" s="1"/>
    </row>
    <row r="1953" spans="2:8" x14ac:dyDescent="0.25">
      <c r="B1953" s="1"/>
      <c r="C1953" s="1"/>
      <c r="D1953" s="1"/>
      <c r="E1953" s="1"/>
      <c r="F1953" s="1"/>
      <c r="H1953" s="1"/>
    </row>
    <row r="1954" spans="2:8" x14ac:dyDescent="0.25">
      <c r="B1954" s="1"/>
      <c r="C1954" s="1"/>
      <c r="D1954" s="1"/>
      <c r="E1954" s="1"/>
      <c r="F1954" s="1"/>
      <c r="H1954" s="1"/>
    </row>
    <row r="1955" spans="2:8" x14ac:dyDescent="0.25">
      <c r="B1955" s="1"/>
      <c r="C1955" s="1"/>
      <c r="D1955" s="1"/>
      <c r="E1955" s="1"/>
      <c r="F1955" s="1"/>
      <c r="H1955" s="1"/>
    </row>
    <row r="1956" spans="2:8" x14ac:dyDescent="0.25">
      <c r="B1956" s="1"/>
      <c r="C1956" s="1"/>
      <c r="D1956" s="1"/>
      <c r="E1956" s="1"/>
      <c r="F1956" s="1"/>
      <c r="H1956" s="1"/>
    </row>
    <row r="1957" spans="2:8" x14ac:dyDescent="0.25">
      <c r="B1957" s="1"/>
      <c r="C1957" s="1"/>
      <c r="D1957" s="1"/>
      <c r="E1957" s="1"/>
      <c r="F1957" s="1"/>
      <c r="H1957" s="1"/>
    </row>
    <row r="1958" spans="2:8" x14ac:dyDescent="0.25">
      <c r="B1958" s="1"/>
      <c r="C1958" s="1"/>
      <c r="D1958" s="1"/>
      <c r="E1958" s="1"/>
      <c r="F1958" s="1"/>
      <c r="H1958" s="1"/>
    </row>
    <row r="1959" spans="2:8" x14ac:dyDescent="0.25">
      <c r="B1959" s="1"/>
      <c r="C1959" s="1"/>
      <c r="D1959" s="1"/>
      <c r="E1959" s="1"/>
      <c r="F1959" s="1"/>
      <c r="H1959" s="1"/>
    </row>
    <row r="1960" spans="2:8" x14ac:dyDescent="0.25">
      <c r="B1960" s="1"/>
      <c r="C1960" s="1"/>
      <c r="D1960" s="1"/>
      <c r="E1960" s="1"/>
      <c r="F1960" s="1"/>
      <c r="H1960" s="1"/>
    </row>
    <row r="1961" spans="2:8" x14ac:dyDescent="0.25">
      <c r="B1961" s="1"/>
      <c r="C1961" s="1"/>
      <c r="D1961" s="1"/>
      <c r="E1961" s="1"/>
      <c r="F1961" s="1"/>
      <c r="H1961" s="1"/>
    </row>
    <row r="1962" spans="2:8" x14ac:dyDescent="0.25">
      <c r="B1962" s="1"/>
      <c r="C1962" s="1"/>
      <c r="D1962" s="1"/>
      <c r="E1962" s="1"/>
      <c r="F1962" s="1"/>
      <c r="H1962" s="1"/>
    </row>
    <row r="1963" spans="2:8" x14ac:dyDescent="0.25">
      <c r="B1963" s="1"/>
      <c r="C1963" s="1"/>
      <c r="D1963" s="1"/>
      <c r="E1963" s="1"/>
      <c r="F1963" s="1"/>
      <c r="H1963" s="1"/>
    </row>
    <row r="1964" spans="2:8" x14ac:dyDescent="0.25">
      <c r="B1964" s="1"/>
      <c r="C1964" s="1"/>
      <c r="D1964" s="1"/>
      <c r="E1964" s="1"/>
      <c r="F1964" s="1"/>
      <c r="H1964" s="1"/>
    </row>
    <row r="1965" spans="2:8" x14ac:dyDescent="0.25">
      <c r="B1965" s="1"/>
      <c r="C1965" s="1"/>
      <c r="D1965" s="1"/>
      <c r="E1965" s="1"/>
      <c r="F1965" s="1"/>
      <c r="H1965" s="1"/>
    </row>
    <row r="1966" spans="2:8" x14ac:dyDescent="0.25">
      <c r="B1966" s="1"/>
      <c r="C1966" s="1"/>
      <c r="D1966" s="1"/>
      <c r="E1966" s="1"/>
      <c r="F1966" s="1"/>
      <c r="H1966" s="1"/>
    </row>
    <row r="1967" spans="2:8" x14ac:dyDescent="0.25">
      <c r="B1967" s="1"/>
      <c r="C1967" s="1"/>
      <c r="D1967" s="1"/>
      <c r="E1967" s="1"/>
      <c r="F1967" s="1"/>
      <c r="H1967" s="1"/>
    </row>
    <row r="1968" spans="2:8" x14ac:dyDescent="0.25">
      <c r="B1968" s="1"/>
      <c r="C1968" s="1"/>
      <c r="D1968" s="1"/>
      <c r="E1968" s="1"/>
      <c r="F1968" s="1"/>
      <c r="H1968" s="1"/>
    </row>
    <row r="1969" spans="2:8" x14ac:dyDescent="0.25">
      <c r="B1969" s="1"/>
      <c r="C1969" s="1"/>
      <c r="D1969" s="1"/>
      <c r="E1969" s="1"/>
      <c r="F1969" s="1"/>
      <c r="H1969" s="1"/>
    </row>
    <row r="1970" spans="2:8" x14ac:dyDescent="0.25">
      <c r="B1970" s="1"/>
      <c r="C1970" s="1"/>
      <c r="D1970" s="1"/>
      <c r="E1970" s="1"/>
      <c r="F1970" s="1"/>
      <c r="H1970" s="1"/>
    </row>
    <row r="1971" spans="2:8" x14ac:dyDescent="0.25">
      <c r="B1971" s="1"/>
      <c r="C1971" s="1"/>
      <c r="D1971" s="1"/>
      <c r="E1971" s="1"/>
      <c r="F1971" s="1"/>
      <c r="H1971" s="1"/>
    </row>
    <row r="1972" spans="2:8" x14ac:dyDescent="0.25">
      <c r="B1972" s="1"/>
      <c r="C1972" s="1"/>
      <c r="D1972" s="1"/>
      <c r="E1972" s="1"/>
      <c r="F1972" s="1"/>
      <c r="H1972" s="1"/>
    </row>
    <row r="1973" spans="2:8" x14ac:dyDescent="0.25">
      <c r="B1973" s="1"/>
      <c r="C1973" s="1"/>
      <c r="D1973" s="1"/>
      <c r="E1973" s="1"/>
      <c r="F1973" s="1"/>
      <c r="H1973" s="1"/>
    </row>
    <row r="1974" spans="2:8" x14ac:dyDescent="0.25">
      <c r="B1974" s="1"/>
      <c r="C1974" s="1"/>
      <c r="D1974" s="1"/>
      <c r="E1974" s="1"/>
      <c r="F1974" s="1"/>
      <c r="H1974" s="1"/>
    </row>
    <row r="1975" spans="2:8" x14ac:dyDescent="0.25">
      <c r="B1975" s="1"/>
      <c r="C1975" s="1"/>
      <c r="D1975" s="1"/>
      <c r="E1975" s="1"/>
      <c r="F1975" s="1"/>
      <c r="H1975" s="1"/>
    </row>
    <row r="1976" spans="2:8" x14ac:dyDescent="0.25">
      <c r="B1976" s="1"/>
      <c r="C1976" s="1"/>
      <c r="D1976" s="1"/>
      <c r="E1976" s="1"/>
      <c r="F1976" s="1"/>
      <c r="H1976" s="1"/>
    </row>
    <row r="1977" spans="2:8" x14ac:dyDescent="0.25">
      <c r="B1977" s="1"/>
      <c r="C1977" s="1"/>
      <c r="D1977" s="1"/>
      <c r="E1977" s="1"/>
      <c r="F1977" s="1"/>
      <c r="H1977" s="1"/>
    </row>
    <row r="1978" spans="2:8" x14ac:dyDescent="0.25">
      <c r="B1978" s="1"/>
      <c r="C1978" s="1"/>
      <c r="D1978" s="1"/>
      <c r="E1978" s="1"/>
      <c r="F1978" s="1"/>
      <c r="H1978" s="1"/>
    </row>
    <row r="1979" spans="2:8" x14ac:dyDescent="0.25">
      <c r="B1979" s="1"/>
      <c r="C1979" s="1"/>
      <c r="D1979" s="1"/>
      <c r="E1979" s="1"/>
      <c r="F1979" s="1"/>
      <c r="H1979" s="1"/>
    </row>
    <row r="1980" spans="2:8" x14ac:dyDescent="0.25">
      <c r="B1980" s="1"/>
      <c r="C1980" s="1"/>
      <c r="D1980" s="1"/>
      <c r="E1980" s="1"/>
      <c r="F1980" s="1"/>
      <c r="H1980" s="1"/>
    </row>
    <row r="1981" spans="2:8" x14ac:dyDescent="0.25">
      <c r="B1981" s="1"/>
      <c r="C1981" s="1"/>
      <c r="D1981" s="1"/>
      <c r="E1981" s="1"/>
      <c r="F1981" s="1"/>
      <c r="H1981" s="1"/>
    </row>
    <row r="1982" spans="2:8" x14ac:dyDescent="0.25">
      <c r="B1982" s="1"/>
      <c r="C1982" s="1"/>
      <c r="D1982" s="1"/>
      <c r="E1982" s="1"/>
      <c r="F1982" s="1"/>
      <c r="H1982" s="1"/>
    </row>
    <row r="1983" spans="2:8" x14ac:dyDescent="0.25">
      <c r="B1983" s="1"/>
      <c r="C1983" s="1"/>
      <c r="D1983" s="1"/>
      <c r="E1983" s="1"/>
      <c r="F1983" s="1"/>
      <c r="H1983" s="1"/>
    </row>
    <row r="1984" spans="2:8" x14ac:dyDescent="0.25">
      <c r="B1984" s="1"/>
      <c r="C1984" s="1"/>
      <c r="D1984" s="1"/>
      <c r="E1984" s="1"/>
      <c r="F1984" s="1"/>
      <c r="H1984" s="1"/>
    </row>
    <row r="1985" spans="2:8" x14ac:dyDescent="0.25">
      <c r="B1985" s="1"/>
      <c r="C1985" s="1"/>
      <c r="D1985" s="1"/>
      <c r="E1985" s="1"/>
      <c r="F1985" s="1"/>
      <c r="H1985" s="1"/>
    </row>
    <row r="1986" spans="2:8" x14ac:dyDescent="0.25">
      <c r="B1986" s="1"/>
      <c r="C1986" s="1"/>
      <c r="D1986" s="1"/>
      <c r="E1986" s="1"/>
      <c r="F1986" s="1"/>
      <c r="H1986" s="1"/>
    </row>
    <row r="1987" spans="2:8" x14ac:dyDescent="0.25">
      <c r="B1987" s="1"/>
      <c r="C1987" s="1"/>
      <c r="D1987" s="1"/>
      <c r="E1987" s="1"/>
      <c r="F1987" s="1"/>
      <c r="H1987" s="1"/>
    </row>
    <row r="1988" spans="2:8" x14ac:dyDescent="0.25">
      <c r="B1988" s="1"/>
      <c r="C1988" s="1"/>
      <c r="D1988" s="1"/>
      <c r="E1988" s="1"/>
      <c r="F1988" s="1"/>
      <c r="H1988" s="1"/>
    </row>
    <row r="1989" spans="2:8" x14ac:dyDescent="0.25">
      <c r="B1989" s="1"/>
      <c r="C1989" s="1"/>
      <c r="D1989" s="1"/>
      <c r="E1989" s="1"/>
      <c r="F1989" s="1"/>
      <c r="H1989" s="1"/>
    </row>
    <row r="1990" spans="2:8" x14ac:dyDescent="0.25">
      <c r="B1990" s="1"/>
      <c r="C1990" s="1"/>
      <c r="D1990" s="1"/>
      <c r="E1990" s="1"/>
      <c r="F1990" s="1"/>
      <c r="H1990" s="1"/>
    </row>
    <row r="1991" spans="2:8" x14ac:dyDescent="0.25">
      <c r="B1991" s="1"/>
      <c r="C1991" s="1"/>
      <c r="D1991" s="1"/>
      <c r="E1991" s="1"/>
      <c r="F1991" s="1"/>
      <c r="H1991" s="1"/>
    </row>
    <row r="1992" spans="2:8" x14ac:dyDescent="0.25">
      <c r="B1992" s="1"/>
      <c r="C1992" s="1"/>
      <c r="D1992" s="1"/>
      <c r="E1992" s="1"/>
      <c r="F1992" s="1"/>
      <c r="H1992" s="1"/>
    </row>
    <row r="1993" spans="2:8" x14ac:dyDescent="0.25">
      <c r="B1993" s="1"/>
      <c r="C1993" s="1"/>
      <c r="D1993" s="1"/>
      <c r="E1993" s="1"/>
      <c r="F1993" s="1"/>
      <c r="H1993" s="1"/>
    </row>
    <row r="1994" spans="2:8" x14ac:dyDescent="0.25">
      <c r="B1994" s="1"/>
      <c r="C1994" s="1"/>
      <c r="D1994" s="1"/>
      <c r="E1994" s="1"/>
      <c r="F1994" s="1"/>
      <c r="H1994" s="1"/>
    </row>
    <row r="1995" spans="2:8" x14ac:dyDescent="0.25">
      <c r="B1995" s="1"/>
      <c r="C1995" s="1"/>
      <c r="D1995" s="1"/>
      <c r="E1995" s="1"/>
      <c r="F1995" s="1"/>
      <c r="H1995" s="1"/>
    </row>
    <row r="1996" spans="2:8" x14ac:dyDescent="0.25">
      <c r="B1996" s="1"/>
      <c r="C1996" s="1"/>
      <c r="D1996" s="1"/>
      <c r="E1996" s="1"/>
      <c r="F1996" s="1"/>
      <c r="H1996" s="1"/>
    </row>
    <row r="1997" spans="2:8" x14ac:dyDescent="0.25">
      <c r="B1997" s="1"/>
      <c r="C1997" s="1"/>
      <c r="D1997" s="1"/>
      <c r="E1997" s="1"/>
      <c r="F1997" s="1"/>
      <c r="H1997" s="1"/>
    </row>
    <row r="1998" spans="2:8" x14ac:dyDescent="0.25">
      <c r="B1998" s="1"/>
      <c r="C1998" s="1"/>
      <c r="D1998" s="1"/>
      <c r="E1998" s="1"/>
      <c r="F1998" s="1"/>
      <c r="H1998" s="1"/>
    </row>
    <row r="1999" spans="2:8" x14ac:dyDescent="0.25">
      <c r="B1999" s="1"/>
      <c r="C1999" s="1"/>
      <c r="D1999" s="1"/>
      <c r="E1999" s="1"/>
      <c r="F1999" s="1"/>
      <c r="H1999" s="1"/>
    </row>
    <row r="2000" spans="2:8" x14ac:dyDescent="0.25">
      <c r="B2000" s="1"/>
      <c r="C2000" s="1"/>
      <c r="D2000" s="1"/>
      <c r="E2000" s="1"/>
      <c r="F2000" s="1"/>
      <c r="H2000" s="1"/>
    </row>
    <row r="2001" spans="2:8" x14ac:dyDescent="0.25">
      <c r="B2001" s="1"/>
      <c r="C2001" s="1"/>
      <c r="D2001" s="1"/>
      <c r="E2001" s="1"/>
      <c r="F2001" s="1"/>
      <c r="H2001" s="1"/>
    </row>
    <row r="2002" spans="2:8" x14ac:dyDescent="0.25">
      <c r="B2002" s="1"/>
      <c r="C2002" s="1"/>
      <c r="D2002" s="1"/>
      <c r="E2002" s="1"/>
      <c r="F2002" s="1"/>
      <c r="H2002" s="1"/>
    </row>
    <row r="2003" spans="2:8" x14ac:dyDescent="0.25">
      <c r="B2003" s="1"/>
      <c r="C2003" s="1"/>
      <c r="D2003" s="1"/>
      <c r="E2003" s="1"/>
      <c r="F2003" s="1"/>
      <c r="H2003" s="1"/>
    </row>
    <row r="2004" spans="2:8" x14ac:dyDescent="0.25">
      <c r="B2004" s="1"/>
      <c r="C2004" s="1"/>
      <c r="D2004" s="1"/>
      <c r="E2004" s="1"/>
      <c r="F2004" s="1"/>
      <c r="H2004" s="1"/>
    </row>
    <row r="2005" spans="2:8" x14ac:dyDescent="0.25">
      <c r="B2005" s="1"/>
      <c r="C2005" s="1"/>
      <c r="D2005" s="1"/>
      <c r="E2005" s="1"/>
      <c r="F2005" s="1"/>
      <c r="H2005" s="1"/>
    </row>
    <row r="2006" spans="2:8" x14ac:dyDescent="0.25">
      <c r="B2006" s="1"/>
      <c r="C2006" s="1"/>
      <c r="D2006" s="1"/>
      <c r="E2006" s="1"/>
      <c r="F2006" s="1"/>
      <c r="H2006" s="1"/>
    </row>
    <row r="2007" spans="2:8" x14ac:dyDescent="0.25">
      <c r="B2007" s="1"/>
      <c r="C2007" s="1"/>
      <c r="D2007" s="1"/>
      <c r="E2007" s="1"/>
      <c r="F2007" s="1"/>
      <c r="H2007" s="1"/>
    </row>
    <row r="2008" spans="2:8" x14ac:dyDescent="0.25">
      <c r="B2008" s="1"/>
      <c r="C2008" s="1"/>
      <c r="D2008" s="1"/>
      <c r="E2008" s="1"/>
      <c r="F2008" s="1"/>
      <c r="H2008" s="1"/>
    </row>
    <row r="2009" spans="2:8" x14ac:dyDescent="0.25">
      <c r="B2009" s="1"/>
      <c r="C2009" s="1"/>
      <c r="D2009" s="1"/>
      <c r="E2009" s="1"/>
      <c r="F2009" s="1"/>
      <c r="H2009" s="1"/>
    </row>
    <row r="2010" spans="2:8" x14ac:dyDescent="0.25">
      <c r="B2010" s="1"/>
      <c r="C2010" s="1"/>
      <c r="D2010" s="1"/>
      <c r="E2010" s="1"/>
      <c r="F2010" s="1"/>
      <c r="H2010" s="1"/>
    </row>
    <row r="2011" spans="2:8" x14ac:dyDescent="0.25">
      <c r="B2011" s="1"/>
      <c r="C2011" s="1"/>
      <c r="D2011" s="1"/>
      <c r="E2011" s="1"/>
      <c r="F2011" s="1"/>
      <c r="H2011" s="1"/>
    </row>
    <row r="2012" spans="2:8" x14ac:dyDescent="0.25">
      <c r="B2012" s="1"/>
      <c r="C2012" s="1"/>
      <c r="D2012" s="1"/>
      <c r="E2012" s="1"/>
      <c r="F2012" s="1"/>
      <c r="H2012" s="1"/>
    </row>
    <row r="2013" spans="2:8" x14ac:dyDescent="0.25">
      <c r="B2013" s="1"/>
      <c r="C2013" s="1"/>
      <c r="D2013" s="1"/>
      <c r="E2013" s="1"/>
      <c r="F2013" s="1"/>
      <c r="H2013" s="1"/>
    </row>
    <row r="2014" spans="2:8" x14ac:dyDescent="0.25">
      <c r="B2014" s="1"/>
      <c r="C2014" s="1"/>
      <c r="D2014" s="1"/>
      <c r="E2014" s="1"/>
      <c r="F2014" s="1"/>
      <c r="H2014" s="1"/>
    </row>
    <row r="2015" spans="2:8" x14ac:dyDescent="0.25">
      <c r="B2015" s="1"/>
      <c r="C2015" s="1"/>
      <c r="D2015" s="1"/>
      <c r="E2015" s="1"/>
      <c r="F2015" s="1"/>
      <c r="H2015" s="1"/>
    </row>
    <row r="2016" spans="2:8" x14ac:dyDescent="0.25">
      <c r="B2016" s="1"/>
      <c r="C2016" s="1"/>
      <c r="D2016" s="1"/>
      <c r="E2016" s="1"/>
      <c r="F2016" s="1"/>
      <c r="H2016" s="1"/>
    </row>
    <row r="2017" spans="2:8" x14ac:dyDescent="0.25">
      <c r="B2017" s="1"/>
      <c r="C2017" s="1"/>
      <c r="D2017" s="1"/>
      <c r="E2017" s="1"/>
      <c r="F2017" s="1"/>
      <c r="H2017" s="1"/>
    </row>
    <row r="2018" spans="2:8" x14ac:dyDescent="0.25">
      <c r="B2018" s="1"/>
      <c r="C2018" s="1"/>
      <c r="D2018" s="1"/>
      <c r="E2018" s="1"/>
      <c r="F2018" s="1"/>
      <c r="H2018" s="1"/>
    </row>
    <row r="2019" spans="2:8" x14ac:dyDescent="0.25">
      <c r="B2019" s="1"/>
      <c r="C2019" s="1"/>
      <c r="D2019" s="1"/>
      <c r="E2019" s="1"/>
      <c r="F2019" s="1"/>
      <c r="H2019" s="1"/>
    </row>
    <row r="2020" spans="2:8" x14ac:dyDescent="0.25">
      <c r="B2020" s="1"/>
      <c r="C2020" s="1"/>
      <c r="D2020" s="1"/>
      <c r="E2020" s="1"/>
      <c r="F2020" s="1"/>
      <c r="H2020" s="1"/>
    </row>
    <row r="2021" spans="2:8" x14ac:dyDescent="0.25">
      <c r="B2021" s="1"/>
      <c r="C2021" s="1"/>
      <c r="D2021" s="1"/>
      <c r="E2021" s="1"/>
      <c r="F2021" s="1"/>
      <c r="H2021" s="1"/>
    </row>
    <row r="2022" spans="2:8" x14ac:dyDescent="0.25">
      <c r="B2022" s="1"/>
      <c r="C2022" s="1"/>
      <c r="D2022" s="1"/>
      <c r="E2022" s="1"/>
      <c r="F2022" s="1"/>
      <c r="H2022" s="1"/>
    </row>
    <row r="2023" spans="2:8" x14ac:dyDescent="0.25">
      <c r="B2023" s="1"/>
      <c r="C2023" s="1"/>
      <c r="D2023" s="1"/>
      <c r="E2023" s="1"/>
      <c r="F2023" s="1"/>
      <c r="H2023" s="1"/>
    </row>
    <row r="2024" spans="2:8" x14ac:dyDescent="0.25">
      <c r="B2024" s="1"/>
      <c r="C2024" s="1"/>
      <c r="D2024" s="1"/>
      <c r="E2024" s="1"/>
      <c r="F2024" s="1"/>
      <c r="H2024" s="1"/>
    </row>
    <row r="2025" spans="2:8" x14ac:dyDescent="0.25">
      <c r="B2025" s="1"/>
      <c r="C2025" s="1"/>
      <c r="D2025" s="1"/>
      <c r="E2025" s="1"/>
      <c r="F2025" s="1"/>
      <c r="H2025" s="1"/>
    </row>
    <row r="2026" spans="2:8" x14ac:dyDescent="0.25">
      <c r="B2026" s="1"/>
      <c r="C2026" s="1"/>
      <c r="D2026" s="1"/>
      <c r="E2026" s="1"/>
      <c r="F2026" s="1"/>
      <c r="H2026" s="1"/>
    </row>
    <row r="2027" spans="2:8" x14ac:dyDescent="0.25">
      <c r="B2027" s="1"/>
      <c r="C2027" s="1"/>
      <c r="D2027" s="1"/>
      <c r="E2027" s="1"/>
      <c r="F2027" s="1"/>
      <c r="H2027" s="1"/>
    </row>
    <row r="2028" spans="2:8" x14ac:dyDescent="0.25">
      <c r="B2028" s="1"/>
      <c r="C2028" s="1"/>
      <c r="D2028" s="1"/>
      <c r="E2028" s="1"/>
      <c r="F2028" s="1"/>
      <c r="H2028" s="1"/>
    </row>
    <row r="2029" spans="2:8" x14ac:dyDescent="0.25">
      <c r="B2029" s="1"/>
      <c r="C2029" s="1"/>
      <c r="D2029" s="1"/>
      <c r="E2029" s="1"/>
      <c r="F2029" s="1"/>
      <c r="H2029" s="1"/>
    </row>
    <row r="2030" spans="2:8" x14ac:dyDescent="0.25">
      <c r="B2030" s="1"/>
      <c r="C2030" s="1"/>
      <c r="D2030" s="1"/>
      <c r="E2030" s="1"/>
      <c r="F2030" s="1"/>
      <c r="H2030" s="1"/>
    </row>
    <row r="2031" spans="2:8" x14ac:dyDescent="0.25">
      <c r="B2031" s="1"/>
      <c r="C2031" s="1"/>
      <c r="D2031" s="1"/>
      <c r="E2031" s="1"/>
      <c r="F2031" s="1"/>
      <c r="H2031" s="1"/>
    </row>
    <row r="2032" spans="2:8" x14ac:dyDescent="0.25">
      <c r="B2032" s="1"/>
      <c r="C2032" s="1"/>
      <c r="D2032" s="1"/>
      <c r="E2032" s="1"/>
      <c r="F2032" s="1"/>
      <c r="H2032" s="1"/>
    </row>
    <row r="2033" spans="2:8" x14ac:dyDescent="0.25">
      <c r="B2033" s="1"/>
      <c r="C2033" s="1"/>
      <c r="D2033" s="1"/>
      <c r="E2033" s="1"/>
      <c r="F2033" s="1"/>
      <c r="H2033" s="1"/>
    </row>
    <row r="2034" spans="2:8" x14ac:dyDescent="0.25">
      <c r="B2034" s="1"/>
      <c r="C2034" s="1"/>
      <c r="D2034" s="1"/>
      <c r="E2034" s="1"/>
      <c r="F2034" s="1"/>
      <c r="H2034" s="1"/>
    </row>
    <row r="2035" spans="2:8" x14ac:dyDescent="0.25">
      <c r="B2035" s="1"/>
      <c r="C2035" s="1"/>
      <c r="D2035" s="1"/>
      <c r="E2035" s="1"/>
      <c r="F2035" s="1"/>
      <c r="H2035" s="1"/>
    </row>
    <row r="2036" spans="2:8" x14ac:dyDescent="0.25">
      <c r="B2036" s="1"/>
      <c r="C2036" s="1"/>
      <c r="D2036" s="1"/>
      <c r="E2036" s="1"/>
      <c r="F2036" s="1"/>
      <c r="H2036" s="1"/>
    </row>
    <row r="2037" spans="2:8" x14ac:dyDescent="0.25">
      <c r="B2037" s="1"/>
      <c r="C2037" s="1"/>
      <c r="D2037" s="1"/>
      <c r="E2037" s="1"/>
      <c r="F2037" s="1"/>
      <c r="H2037" s="1"/>
    </row>
    <row r="2038" spans="2:8" x14ac:dyDescent="0.25">
      <c r="B2038" s="1"/>
      <c r="C2038" s="1"/>
      <c r="D2038" s="1"/>
      <c r="E2038" s="1"/>
      <c r="F2038" s="1"/>
      <c r="H2038" s="1"/>
    </row>
    <row r="2039" spans="2:8" x14ac:dyDescent="0.25">
      <c r="B2039" s="1"/>
      <c r="C2039" s="1"/>
      <c r="D2039" s="1"/>
      <c r="E2039" s="1"/>
      <c r="F2039" s="1"/>
      <c r="H2039" s="1"/>
    </row>
    <row r="2040" spans="2:8" x14ac:dyDescent="0.25">
      <c r="B2040" s="1"/>
      <c r="C2040" s="1"/>
      <c r="D2040" s="1"/>
      <c r="E2040" s="1"/>
      <c r="F2040" s="1"/>
      <c r="H2040" s="1"/>
    </row>
    <row r="2041" spans="2:8" x14ac:dyDescent="0.25">
      <c r="B2041" s="1"/>
      <c r="C2041" s="1"/>
      <c r="D2041" s="1"/>
      <c r="E2041" s="1"/>
      <c r="F2041" s="1"/>
      <c r="H2041" s="1"/>
    </row>
    <row r="2042" spans="2:8" x14ac:dyDescent="0.25">
      <c r="B2042" s="1"/>
      <c r="C2042" s="1"/>
      <c r="D2042" s="1"/>
      <c r="E2042" s="1"/>
      <c r="F2042" s="1"/>
      <c r="H2042" s="1"/>
    </row>
    <row r="2043" spans="2:8" x14ac:dyDescent="0.25">
      <c r="B2043" s="1"/>
      <c r="C2043" s="1"/>
      <c r="D2043" s="1"/>
      <c r="E2043" s="1"/>
      <c r="F2043" s="1"/>
      <c r="H2043" s="1"/>
    </row>
    <row r="2044" spans="2:8" x14ac:dyDescent="0.25">
      <c r="B2044" s="1"/>
      <c r="C2044" s="1"/>
      <c r="D2044" s="1"/>
      <c r="E2044" s="1"/>
      <c r="F2044" s="1"/>
      <c r="H2044" s="1"/>
    </row>
    <row r="2045" spans="2:8" x14ac:dyDescent="0.25">
      <c r="B2045" s="1"/>
      <c r="C2045" s="1"/>
      <c r="D2045" s="1"/>
      <c r="E2045" s="1"/>
      <c r="F2045" s="1"/>
      <c r="H2045" s="1"/>
    </row>
    <row r="2046" spans="2:8" x14ac:dyDescent="0.25">
      <c r="B2046" s="1"/>
      <c r="C2046" s="1"/>
      <c r="D2046" s="1"/>
      <c r="E2046" s="1"/>
      <c r="F2046" s="1"/>
      <c r="H2046" s="1"/>
    </row>
    <row r="2047" spans="2:8" x14ac:dyDescent="0.25">
      <c r="B2047" s="1"/>
      <c r="C2047" s="1"/>
      <c r="D2047" s="1"/>
      <c r="E2047" s="1"/>
      <c r="F2047" s="1"/>
      <c r="H2047" s="1"/>
    </row>
    <row r="2048" spans="2:8" x14ac:dyDescent="0.25">
      <c r="B2048" s="1"/>
      <c r="C2048" s="1"/>
      <c r="D2048" s="1"/>
      <c r="E2048" s="1"/>
      <c r="F2048" s="1"/>
      <c r="H2048" s="1"/>
    </row>
    <row r="2049" spans="2:8" x14ac:dyDescent="0.25">
      <c r="B2049" s="1"/>
      <c r="C2049" s="1"/>
      <c r="D2049" s="1"/>
      <c r="E2049" s="1"/>
      <c r="F2049" s="1"/>
      <c r="H2049" s="1"/>
    </row>
    <row r="2050" spans="2:8" x14ac:dyDescent="0.25">
      <c r="B2050" s="1"/>
      <c r="C2050" s="1"/>
      <c r="D2050" s="1"/>
      <c r="E2050" s="1"/>
      <c r="F2050" s="1"/>
      <c r="H2050" s="1"/>
    </row>
    <row r="2051" spans="2:8" x14ac:dyDescent="0.25">
      <c r="B2051" s="1"/>
      <c r="C2051" s="1"/>
      <c r="D2051" s="1"/>
      <c r="E2051" s="1"/>
      <c r="F2051" s="1"/>
      <c r="H2051" s="1"/>
    </row>
    <row r="2052" spans="2:8" x14ac:dyDescent="0.25">
      <c r="B2052" s="1"/>
      <c r="C2052" s="1"/>
      <c r="D2052" s="1"/>
      <c r="E2052" s="1"/>
      <c r="F2052" s="1"/>
      <c r="H2052" s="1"/>
    </row>
    <row r="2053" spans="2:8" x14ac:dyDescent="0.25">
      <c r="B2053" s="1"/>
      <c r="C2053" s="1"/>
      <c r="D2053" s="1"/>
      <c r="E2053" s="1"/>
      <c r="F2053" s="1"/>
      <c r="H2053" s="1"/>
    </row>
    <row r="2054" spans="2:8" x14ac:dyDescent="0.25">
      <c r="B2054" s="1"/>
      <c r="C2054" s="1"/>
      <c r="D2054" s="1"/>
      <c r="E2054" s="1"/>
      <c r="F2054" s="1"/>
      <c r="H2054" s="1"/>
    </row>
    <row r="2055" spans="2:8" x14ac:dyDescent="0.25">
      <c r="B2055" s="1"/>
      <c r="C2055" s="1"/>
      <c r="D2055" s="1"/>
      <c r="E2055" s="1"/>
      <c r="F2055" s="1"/>
      <c r="H2055" s="1"/>
    </row>
    <row r="2056" spans="2:8" x14ac:dyDescent="0.25">
      <c r="B2056" s="1"/>
      <c r="C2056" s="1"/>
      <c r="D2056" s="1"/>
      <c r="E2056" s="1"/>
      <c r="F2056" s="1"/>
      <c r="H2056" s="1"/>
    </row>
    <row r="2057" spans="2:8" x14ac:dyDescent="0.25">
      <c r="B2057" s="1"/>
      <c r="C2057" s="1"/>
      <c r="D2057" s="1"/>
      <c r="E2057" s="1"/>
      <c r="F2057" s="1"/>
      <c r="H2057" s="1"/>
    </row>
    <row r="2058" spans="2:8" x14ac:dyDescent="0.25">
      <c r="B2058" s="1"/>
      <c r="C2058" s="1"/>
      <c r="D2058" s="1"/>
      <c r="E2058" s="1"/>
      <c r="F2058" s="1"/>
      <c r="H2058" s="1"/>
    </row>
    <row r="2059" spans="2:8" x14ac:dyDescent="0.25">
      <c r="B2059" s="1"/>
      <c r="C2059" s="1"/>
      <c r="D2059" s="1"/>
      <c r="E2059" s="1"/>
      <c r="F2059" s="1"/>
      <c r="H2059" s="1"/>
    </row>
    <row r="2060" spans="2:8" x14ac:dyDescent="0.25">
      <c r="B2060" s="1"/>
      <c r="C2060" s="1"/>
      <c r="D2060" s="1"/>
      <c r="E2060" s="1"/>
      <c r="F2060" s="1"/>
      <c r="H2060" s="1"/>
    </row>
    <row r="2061" spans="2:8" x14ac:dyDescent="0.25">
      <c r="B2061" s="1"/>
      <c r="C2061" s="1"/>
      <c r="D2061" s="1"/>
      <c r="E2061" s="1"/>
      <c r="F2061" s="1"/>
      <c r="H2061" s="1"/>
    </row>
    <row r="2062" spans="2:8" x14ac:dyDescent="0.25">
      <c r="B2062" s="1"/>
      <c r="C2062" s="1"/>
      <c r="D2062" s="1"/>
      <c r="E2062" s="1"/>
      <c r="F2062" s="1"/>
      <c r="H2062" s="1"/>
    </row>
    <row r="2063" spans="2:8" x14ac:dyDescent="0.25">
      <c r="B2063" s="1"/>
      <c r="C2063" s="1"/>
      <c r="D2063" s="1"/>
      <c r="E2063" s="1"/>
      <c r="F2063" s="1"/>
      <c r="H2063" s="1"/>
    </row>
    <row r="2064" spans="2:8" x14ac:dyDescent="0.25">
      <c r="B2064" s="1"/>
      <c r="C2064" s="1"/>
      <c r="D2064" s="1"/>
      <c r="E2064" s="1"/>
      <c r="F2064" s="1"/>
      <c r="H2064" s="1"/>
    </row>
    <row r="2065" spans="2:8" x14ac:dyDescent="0.25">
      <c r="B2065" s="1"/>
      <c r="C2065" s="1"/>
      <c r="D2065" s="1"/>
      <c r="E2065" s="1"/>
      <c r="F2065" s="1"/>
      <c r="H2065" s="1"/>
    </row>
    <row r="2066" spans="2:8" x14ac:dyDescent="0.25">
      <c r="B2066" s="1"/>
      <c r="C2066" s="1"/>
      <c r="D2066" s="1"/>
      <c r="E2066" s="1"/>
      <c r="F2066" s="1"/>
      <c r="H2066" s="1"/>
    </row>
    <row r="2067" spans="2:8" x14ac:dyDescent="0.25">
      <c r="B2067" s="1"/>
      <c r="C2067" s="1"/>
      <c r="D2067" s="1"/>
      <c r="E2067" s="1"/>
      <c r="F2067" s="1"/>
      <c r="H2067" s="1"/>
    </row>
    <row r="2068" spans="2:8" x14ac:dyDescent="0.25">
      <c r="B2068" s="1"/>
      <c r="C2068" s="1"/>
      <c r="D2068" s="1"/>
      <c r="E2068" s="1"/>
      <c r="F2068" s="1"/>
      <c r="H2068" s="1"/>
    </row>
    <row r="2069" spans="2:8" x14ac:dyDescent="0.25">
      <c r="B2069" s="1"/>
      <c r="C2069" s="1"/>
      <c r="D2069" s="1"/>
      <c r="E2069" s="1"/>
      <c r="F2069" s="1"/>
      <c r="H2069" s="1"/>
    </row>
    <row r="2070" spans="2:8" x14ac:dyDescent="0.25">
      <c r="B2070" s="1"/>
      <c r="C2070" s="1"/>
      <c r="D2070" s="1"/>
      <c r="E2070" s="1"/>
      <c r="F2070" s="1"/>
      <c r="H2070" s="1"/>
    </row>
    <row r="2071" spans="2:8" x14ac:dyDescent="0.25">
      <c r="B2071" s="1"/>
      <c r="C2071" s="1"/>
      <c r="D2071" s="1"/>
      <c r="E2071" s="1"/>
      <c r="F2071" s="1"/>
      <c r="H2071" s="1"/>
    </row>
    <row r="2072" spans="2:8" x14ac:dyDescent="0.25">
      <c r="B2072" s="1"/>
      <c r="C2072" s="1"/>
      <c r="D2072" s="1"/>
      <c r="E2072" s="1"/>
      <c r="F2072" s="1"/>
      <c r="H2072" s="1"/>
    </row>
    <row r="2073" spans="2:8" x14ac:dyDescent="0.25">
      <c r="B2073" s="1"/>
      <c r="C2073" s="1"/>
      <c r="D2073" s="1"/>
      <c r="E2073" s="1"/>
      <c r="F2073" s="1"/>
      <c r="H2073" s="1"/>
    </row>
    <row r="2074" spans="2:8" x14ac:dyDescent="0.25">
      <c r="B2074" s="1"/>
      <c r="C2074" s="1"/>
      <c r="D2074" s="1"/>
      <c r="E2074" s="1"/>
      <c r="F2074" s="1"/>
      <c r="H2074" s="1"/>
    </row>
    <row r="2075" spans="2:8" x14ac:dyDescent="0.25">
      <c r="B2075" s="1"/>
      <c r="C2075" s="1"/>
      <c r="D2075" s="1"/>
      <c r="E2075" s="1"/>
      <c r="F2075" s="1"/>
      <c r="H2075" s="1"/>
    </row>
    <row r="2076" spans="2:8" x14ac:dyDescent="0.25">
      <c r="B2076" s="1"/>
      <c r="C2076" s="1"/>
      <c r="D2076" s="1"/>
      <c r="E2076" s="1"/>
      <c r="F2076" s="1"/>
      <c r="H2076" s="1"/>
    </row>
    <row r="2077" spans="2:8" x14ac:dyDescent="0.25">
      <c r="B2077" s="1"/>
      <c r="C2077" s="1"/>
      <c r="D2077" s="1"/>
      <c r="E2077" s="1"/>
      <c r="F2077" s="1"/>
      <c r="H2077" s="1"/>
    </row>
    <row r="2078" spans="2:8" x14ac:dyDescent="0.25">
      <c r="B2078" s="1"/>
      <c r="C2078" s="1"/>
      <c r="D2078" s="1"/>
      <c r="E2078" s="1"/>
      <c r="F2078" s="1"/>
      <c r="H2078" s="1"/>
    </row>
    <row r="2079" spans="2:8" x14ac:dyDescent="0.25">
      <c r="B2079" s="1"/>
      <c r="C2079" s="1"/>
      <c r="D2079" s="1"/>
      <c r="E2079" s="1"/>
      <c r="F2079" s="1"/>
      <c r="H2079" s="1"/>
    </row>
    <row r="2080" spans="2:8" x14ac:dyDescent="0.25">
      <c r="B2080" s="1"/>
      <c r="C2080" s="1"/>
      <c r="D2080" s="1"/>
      <c r="E2080" s="1"/>
      <c r="F2080" s="1"/>
      <c r="H2080" s="1"/>
    </row>
    <row r="2081" spans="2:8" x14ac:dyDescent="0.25">
      <c r="B2081" s="1"/>
      <c r="C2081" s="1"/>
      <c r="D2081" s="1"/>
      <c r="E2081" s="1"/>
      <c r="F2081" s="1"/>
      <c r="H2081" s="1"/>
    </row>
    <row r="2082" spans="2:8" x14ac:dyDescent="0.25">
      <c r="B2082" s="1"/>
      <c r="C2082" s="1"/>
      <c r="D2082" s="1"/>
      <c r="E2082" s="1"/>
      <c r="F2082" s="1"/>
      <c r="H2082" s="1"/>
    </row>
    <row r="2083" spans="2:8" x14ac:dyDescent="0.25">
      <c r="B2083" s="1"/>
      <c r="C2083" s="1"/>
      <c r="D2083" s="1"/>
      <c r="E2083" s="1"/>
      <c r="F2083" s="1"/>
      <c r="H2083" s="1"/>
    </row>
    <row r="2084" spans="2:8" x14ac:dyDescent="0.25">
      <c r="B2084" s="1"/>
      <c r="C2084" s="1"/>
      <c r="D2084" s="1"/>
      <c r="E2084" s="1"/>
      <c r="F2084" s="1"/>
      <c r="H2084" s="1"/>
    </row>
    <row r="2085" spans="2:8" x14ac:dyDescent="0.25">
      <c r="B2085" s="1"/>
      <c r="C2085" s="1"/>
      <c r="D2085" s="1"/>
      <c r="E2085" s="1"/>
      <c r="F2085" s="1"/>
      <c r="H2085" s="1"/>
    </row>
    <row r="2086" spans="2:8" x14ac:dyDescent="0.25">
      <c r="B2086" s="1"/>
      <c r="C2086" s="1"/>
      <c r="D2086" s="1"/>
      <c r="E2086" s="1"/>
      <c r="F2086" s="1"/>
      <c r="H2086" s="1"/>
    </row>
    <row r="2087" spans="2:8" x14ac:dyDescent="0.25">
      <c r="B2087" s="1"/>
      <c r="C2087" s="1"/>
      <c r="D2087" s="1"/>
      <c r="E2087" s="1"/>
      <c r="F2087" s="1"/>
      <c r="H2087" s="1"/>
    </row>
    <row r="2088" spans="2:8" x14ac:dyDescent="0.25">
      <c r="B2088" s="1"/>
      <c r="C2088" s="1"/>
      <c r="D2088" s="1"/>
      <c r="E2088" s="1"/>
      <c r="F2088" s="1"/>
      <c r="H2088" s="1"/>
    </row>
    <row r="2089" spans="2:8" x14ac:dyDescent="0.25">
      <c r="B2089" s="1"/>
      <c r="C2089" s="1"/>
      <c r="D2089" s="1"/>
      <c r="E2089" s="1"/>
      <c r="F2089" s="1"/>
      <c r="H2089" s="1"/>
    </row>
    <row r="2090" spans="2:8" x14ac:dyDescent="0.25">
      <c r="B2090" s="1"/>
      <c r="C2090" s="1"/>
      <c r="D2090" s="1"/>
      <c r="E2090" s="1"/>
      <c r="F2090" s="1"/>
      <c r="H2090" s="1"/>
    </row>
    <row r="2091" spans="2:8" x14ac:dyDescent="0.25">
      <c r="B2091" s="1"/>
      <c r="C2091" s="1"/>
      <c r="D2091" s="1"/>
      <c r="E2091" s="1"/>
      <c r="F2091" s="1"/>
      <c r="H2091" s="1"/>
    </row>
    <row r="2092" spans="2:8" x14ac:dyDescent="0.25">
      <c r="B2092" s="1"/>
      <c r="C2092" s="1"/>
      <c r="D2092" s="1"/>
      <c r="E2092" s="1"/>
      <c r="F2092" s="1"/>
      <c r="H2092" s="1"/>
    </row>
    <row r="2093" spans="2:8" x14ac:dyDescent="0.25">
      <c r="B2093" s="1"/>
      <c r="C2093" s="1"/>
      <c r="D2093" s="1"/>
      <c r="E2093" s="1"/>
      <c r="F2093" s="1"/>
      <c r="H2093" s="1"/>
    </row>
    <row r="2094" spans="2:8" x14ac:dyDescent="0.25">
      <c r="B2094" s="1"/>
      <c r="C2094" s="1"/>
      <c r="D2094" s="1"/>
      <c r="E2094" s="1"/>
      <c r="F2094" s="1"/>
      <c r="H2094" s="1"/>
    </row>
    <row r="2095" spans="2:8" x14ac:dyDescent="0.25">
      <c r="B2095" s="1"/>
      <c r="C2095" s="1"/>
      <c r="D2095" s="1"/>
      <c r="E2095" s="1"/>
      <c r="F2095" s="1"/>
      <c r="H2095" s="1"/>
    </row>
    <row r="2096" spans="2:8" x14ac:dyDescent="0.25">
      <c r="B2096" s="1"/>
      <c r="C2096" s="1"/>
      <c r="D2096" s="1"/>
      <c r="E2096" s="1"/>
      <c r="F2096" s="1"/>
      <c r="H2096" s="1"/>
    </row>
    <row r="2097" spans="2:8" x14ac:dyDescent="0.25">
      <c r="B2097" s="1"/>
      <c r="C2097" s="1"/>
      <c r="D2097" s="1"/>
      <c r="E2097" s="1"/>
      <c r="F2097" s="1"/>
      <c r="H2097" s="1"/>
    </row>
    <row r="2098" spans="2:8" x14ac:dyDescent="0.25">
      <c r="B2098" s="1"/>
      <c r="C2098" s="1"/>
      <c r="D2098" s="1"/>
      <c r="E2098" s="1"/>
      <c r="F2098" s="1"/>
      <c r="H2098" s="1"/>
    </row>
    <row r="2099" spans="2:8" x14ac:dyDescent="0.25">
      <c r="B2099" s="1"/>
      <c r="C2099" s="1"/>
      <c r="D2099" s="1"/>
      <c r="E2099" s="1"/>
      <c r="F2099" s="1"/>
      <c r="H2099" s="1"/>
    </row>
    <row r="2100" spans="2:8" x14ac:dyDescent="0.25">
      <c r="B2100" s="1"/>
      <c r="C2100" s="1"/>
      <c r="D2100" s="1"/>
      <c r="E2100" s="1"/>
      <c r="F2100" s="1"/>
      <c r="H2100" s="1"/>
    </row>
    <row r="2101" spans="2:8" x14ac:dyDescent="0.25">
      <c r="B2101" s="1"/>
      <c r="C2101" s="1"/>
      <c r="D2101" s="1"/>
      <c r="E2101" s="1"/>
      <c r="F2101" s="1"/>
      <c r="H2101" s="1"/>
    </row>
    <row r="2102" spans="2:8" x14ac:dyDescent="0.25">
      <c r="B2102" s="1"/>
      <c r="C2102" s="1"/>
      <c r="D2102" s="1"/>
      <c r="E2102" s="1"/>
      <c r="F2102" s="1"/>
      <c r="H2102" s="1"/>
    </row>
    <row r="2103" spans="2:8" x14ac:dyDescent="0.25">
      <c r="B2103" s="1"/>
      <c r="C2103" s="1"/>
      <c r="D2103" s="1"/>
      <c r="E2103" s="1"/>
      <c r="F2103" s="1"/>
      <c r="H2103" s="1"/>
    </row>
    <row r="2104" spans="2:8" x14ac:dyDescent="0.25">
      <c r="B2104" s="1"/>
      <c r="C2104" s="1"/>
      <c r="D2104" s="1"/>
      <c r="E2104" s="1"/>
      <c r="F2104" s="1"/>
      <c r="H2104" s="1"/>
    </row>
    <row r="2105" spans="2:8" x14ac:dyDescent="0.25">
      <c r="B2105" s="1"/>
      <c r="C2105" s="1"/>
      <c r="D2105" s="1"/>
      <c r="E2105" s="1"/>
      <c r="F2105" s="1"/>
      <c r="H2105" s="1"/>
    </row>
    <row r="2106" spans="2:8" x14ac:dyDescent="0.25">
      <c r="B2106" s="1"/>
      <c r="C2106" s="1"/>
      <c r="D2106" s="1"/>
      <c r="E2106" s="1"/>
      <c r="F2106" s="1"/>
      <c r="H2106" s="1"/>
    </row>
    <row r="2107" spans="2:8" x14ac:dyDescent="0.25">
      <c r="B2107" s="1"/>
      <c r="C2107" s="1"/>
      <c r="D2107" s="1"/>
      <c r="E2107" s="1"/>
      <c r="F2107" s="1"/>
      <c r="H2107" s="1"/>
    </row>
    <row r="2108" spans="2:8" x14ac:dyDescent="0.25">
      <c r="B2108" s="1"/>
      <c r="C2108" s="1"/>
      <c r="D2108" s="1"/>
      <c r="E2108" s="1"/>
      <c r="F2108" s="1"/>
      <c r="H2108" s="1"/>
    </row>
    <row r="2109" spans="2:8" x14ac:dyDescent="0.25">
      <c r="B2109" s="1"/>
      <c r="C2109" s="1"/>
      <c r="D2109" s="1"/>
      <c r="E2109" s="1"/>
      <c r="F2109" s="1"/>
      <c r="H2109" s="1"/>
    </row>
    <row r="2110" spans="2:8" x14ac:dyDescent="0.25">
      <c r="B2110" s="1"/>
      <c r="C2110" s="1"/>
      <c r="D2110" s="1"/>
      <c r="E2110" s="1"/>
      <c r="F2110" s="1"/>
      <c r="H2110" s="1"/>
    </row>
    <row r="2111" spans="2:8" x14ac:dyDescent="0.25">
      <c r="B2111" s="1"/>
      <c r="C2111" s="1"/>
      <c r="D2111" s="1"/>
      <c r="E2111" s="1"/>
      <c r="F2111" s="1"/>
      <c r="H2111" s="1"/>
    </row>
    <row r="2112" spans="2:8" x14ac:dyDescent="0.25">
      <c r="B2112" s="1"/>
      <c r="C2112" s="1"/>
      <c r="D2112" s="1"/>
      <c r="E2112" s="1"/>
      <c r="F2112" s="1"/>
      <c r="H2112" s="1"/>
    </row>
    <row r="2113" spans="2:8" x14ac:dyDescent="0.25">
      <c r="B2113" s="1"/>
      <c r="C2113" s="1"/>
      <c r="D2113" s="1"/>
      <c r="E2113" s="1"/>
      <c r="F2113" s="1"/>
      <c r="H2113" s="1"/>
    </row>
    <row r="2114" spans="2:8" x14ac:dyDescent="0.25">
      <c r="B2114" s="1"/>
      <c r="C2114" s="1"/>
      <c r="D2114" s="1"/>
      <c r="E2114" s="1"/>
      <c r="F2114" s="1"/>
      <c r="H2114" s="1"/>
    </row>
    <row r="2115" spans="2:8" x14ac:dyDescent="0.25">
      <c r="B2115" s="1"/>
      <c r="C2115" s="1"/>
      <c r="D2115" s="1"/>
      <c r="E2115" s="1"/>
      <c r="F2115" s="1"/>
      <c r="H2115" s="1"/>
    </row>
    <row r="2116" spans="2:8" x14ac:dyDescent="0.25">
      <c r="B2116" s="1"/>
      <c r="C2116" s="1"/>
      <c r="D2116" s="1"/>
      <c r="E2116" s="1"/>
      <c r="F2116" s="1"/>
      <c r="H2116" s="1"/>
    </row>
    <row r="2117" spans="2:8" x14ac:dyDescent="0.25">
      <c r="B2117" s="1"/>
      <c r="C2117" s="1"/>
      <c r="D2117" s="1"/>
      <c r="E2117" s="1"/>
      <c r="F2117" s="1"/>
      <c r="H2117" s="1"/>
    </row>
    <row r="2118" spans="2:8" x14ac:dyDescent="0.25">
      <c r="B2118" s="1"/>
      <c r="C2118" s="1"/>
      <c r="D2118" s="1"/>
      <c r="E2118" s="1"/>
      <c r="F2118" s="1"/>
      <c r="H2118" s="1"/>
    </row>
    <row r="2119" spans="2:8" x14ac:dyDescent="0.25">
      <c r="B2119" s="1"/>
      <c r="C2119" s="1"/>
      <c r="D2119" s="1"/>
      <c r="E2119" s="1"/>
      <c r="F2119" s="1"/>
      <c r="H2119" s="1"/>
    </row>
    <row r="2120" spans="2:8" x14ac:dyDescent="0.25">
      <c r="B2120" s="1"/>
      <c r="C2120" s="1"/>
      <c r="D2120" s="1"/>
      <c r="E2120" s="1"/>
      <c r="F2120" s="1"/>
      <c r="H2120" s="1"/>
    </row>
    <row r="2121" spans="2:8" x14ac:dyDescent="0.25">
      <c r="B2121" s="1"/>
      <c r="C2121" s="1"/>
      <c r="D2121" s="1"/>
      <c r="E2121" s="1"/>
      <c r="F2121" s="1"/>
      <c r="H2121" s="1"/>
    </row>
    <row r="2122" spans="2:8" x14ac:dyDescent="0.25">
      <c r="B2122" s="1"/>
      <c r="C2122" s="1"/>
      <c r="D2122" s="1"/>
      <c r="E2122" s="1"/>
      <c r="F2122" s="1"/>
      <c r="H2122" s="1"/>
    </row>
    <row r="2123" spans="2:8" x14ac:dyDescent="0.25">
      <c r="B2123" s="1"/>
      <c r="C2123" s="1"/>
      <c r="D2123" s="1"/>
      <c r="E2123" s="1"/>
      <c r="F2123" s="1"/>
      <c r="H2123" s="1"/>
    </row>
    <row r="2124" spans="2:8" x14ac:dyDescent="0.25">
      <c r="B2124" s="1"/>
      <c r="C2124" s="1"/>
      <c r="D2124" s="1"/>
      <c r="E2124" s="1"/>
      <c r="F2124" s="1"/>
      <c r="H2124" s="1"/>
    </row>
    <row r="2125" spans="2:8" x14ac:dyDescent="0.25">
      <c r="B2125" s="1"/>
      <c r="C2125" s="1"/>
      <c r="D2125" s="1"/>
      <c r="E2125" s="1"/>
      <c r="F2125" s="1"/>
      <c r="H2125" s="1"/>
    </row>
    <row r="2126" spans="2:8" x14ac:dyDescent="0.25">
      <c r="B2126" s="1"/>
      <c r="C2126" s="1"/>
      <c r="D2126" s="1"/>
      <c r="E2126" s="1"/>
      <c r="F2126" s="1"/>
      <c r="H2126" s="1"/>
    </row>
    <row r="2127" spans="2:8" x14ac:dyDescent="0.25">
      <c r="B2127" s="1"/>
      <c r="C2127" s="1"/>
      <c r="D2127" s="1"/>
      <c r="E2127" s="1"/>
      <c r="F2127" s="1"/>
      <c r="H2127" s="1"/>
    </row>
    <row r="2128" spans="2:8" x14ac:dyDescent="0.25">
      <c r="B2128" s="1"/>
      <c r="C2128" s="1"/>
      <c r="D2128" s="1"/>
      <c r="E2128" s="1"/>
      <c r="F2128" s="1"/>
      <c r="H2128" s="1"/>
    </row>
    <row r="2129" spans="2:8" x14ac:dyDescent="0.25">
      <c r="B2129" s="1"/>
      <c r="C2129" s="1"/>
      <c r="D2129" s="1"/>
      <c r="E2129" s="1"/>
      <c r="F2129" s="1"/>
      <c r="H2129" s="1"/>
    </row>
    <row r="2130" spans="2:8" x14ac:dyDescent="0.25">
      <c r="B2130" s="1"/>
      <c r="C2130" s="1"/>
      <c r="D2130" s="1"/>
      <c r="E2130" s="1"/>
      <c r="F2130" s="1"/>
      <c r="H2130" s="1"/>
    </row>
    <row r="2131" spans="2:8" x14ac:dyDescent="0.25">
      <c r="B2131" s="1"/>
      <c r="C2131" s="1"/>
      <c r="D2131" s="1"/>
      <c r="E2131" s="1"/>
      <c r="F2131" s="1"/>
      <c r="H2131" s="1"/>
    </row>
    <row r="2132" spans="2:8" x14ac:dyDescent="0.25">
      <c r="B2132" s="1"/>
      <c r="C2132" s="1"/>
      <c r="D2132" s="1"/>
      <c r="E2132" s="1"/>
      <c r="F2132" s="1"/>
      <c r="H2132" s="1"/>
    </row>
    <row r="2133" spans="2:8" x14ac:dyDescent="0.25">
      <c r="B2133" s="1"/>
      <c r="C2133" s="1"/>
      <c r="D2133" s="1"/>
      <c r="E2133" s="1"/>
      <c r="F2133" s="1"/>
      <c r="H2133" s="1"/>
    </row>
    <row r="2134" spans="2:8" x14ac:dyDescent="0.25">
      <c r="B2134" s="1"/>
      <c r="C2134" s="1"/>
      <c r="D2134" s="1"/>
      <c r="E2134" s="1"/>
      <c r="F2134" s="1"/>
      <c r="H2134" s="1"/>
    </row>
    <row r="2135" spans="2:8" x14ac:dyDescent="0.25">
      <c r="B2135" s="1"/>
      <c r="C2135" s="1"/>
      <c r="D2135" s="1"/>
      <c r="E2135" s="1"/>
      <c r="F2135" s="1"/>
      <c r="H2135" s="1"/>
    </row>
    <row r="2136" spans="2:8" x14ac:dyDescent="0.25">
      <c r="B2136" s="1"/>
      <c r="C2136" s="1"/>
      <c r="D2136" s="1"/>
      <c r="E2136" s="1"/>
      <c r="F2136" s="1"/>
      <c r="H2136" s="1"/>
    </row>
    <row r="2137" spans="2:8" x14ac:dyDescent="0.25">
      <c r="B2137" s="1"/>
      <c r="C2137" s="1"/>
      <c r="D2137" s="1"/>
      <c r="E2137" s="1"/>
      <c r="F2137" s="1"/>
      <c r="H2137" s="1"/>
    </row>
    <row r="2138" spans="2:8" x14ac:dyDescent="0.25">
      <c r="B2138" s="1"/>
      <c r="C2138" s="1"/>
      <c r="D2138" s="1"/>
      <c r="E2138" s="1"/>
      <c r="F2138" s="1"/>
      <c r="H2138" s="1"/>
    </row>
    <row r="2139" spans="2:8" x14ac:dyDescent="0.25">
      <c r="B2139" s="1"/>
      <c r="C2139" s="1"/>
      <c r="D2139" s="1"/>
      <c r="E2139" s="1"/>
      <c r="F2139" s="1"/>
      <c r="H2139" s="1"/>
    </row>
    <row r="2140" spans="2:8" x14ac:dyDescent="0.25">
      <c r="B2140" s="1"/>
      <c r="C2140" s="1"/>
      <c r="D2140" s="1"/>
      <c r="E2140" s="1"/>
      <c r="F2140" s="1"/>
      <c r="H2140" s="1"/>
    </row>
    <row r="2141" spans="2:8" x14ac:dyDescent="0.25">
      <c r="B2141" s="1"/>
      <c r="C2141" s="1"/>
      <c r="D2141" s="1"/>
      <c r="E2141" s="1"/>
      <c r="F2141" s="1"/>
      <c r="H2141" s="1"/>
    </row>
    <row r="2142" spans="2:8" x14ac:dyDescent="0.25">
      <c r="B2142" s="1"/>
      <c r="C2142" s="1"/>
      <c r="D2142" s="1"/>
      <c r="E2142" s="1"/>
      <c r="F2142" s="1"/>
      <c r="H2142" s="1"/>
    </row>
    <row r="2143" spans="2:8" x14ac:dyDescent="0.25">
      <c r="B2143" s="1"/>
      <c r="C2143" s="1"/>
      <c r="D2143" s="1"/>
      <c r="E2143" s="1"/>
      <c r="F2143" s="1"/>
      <c r="H2143" s="1"/>
    </row>
    <row r="2144" spans="2:8" x14ac:dyDescent="0.25">
      <c r="B2144" s="1"/>
      <c r="C2144" s="1"/>
      <c r="D2144" s="1"/>
      <c r="E2144" s="1"/>
      <c r="F2144" s="1"/>
      <c r="H2144" s="1"/>
    </row>
    <row r="2145" spans="2:8" x14ac:dyDescent="0.25">
      <c r="B2145" s="1"/>
      <c r="C2145" s="1"/>
      <c r="D2145" s="1"/>
      <c r="E2145" s="1"/>
      <c r="F2145" s="1"/>
      <c r="H2145" s="1"/>
    </row>
    <row r="2146" spans="2:8" x14ac:dyDescent="0.25">
      <c r="B2146" s="1"/>
      <c r="C2146" s="1"/>
      <c r="D2146" s="1"/>
      <c r="E2146" s="1"/>
      <c r="F2146" s="1"/>
      <c r="H2146" s="1"/>
    </row>
    <row r="2147" spans="2:8" x14ac:dyDescent="0.25">
      <c r="B2147" s="1"/>
      <c r="C2147" s="1"/>
      <c r="D2147" s="1"/>
      <c r="E2147" s="1"/>
      <c r="F2147" s="1"/>
      <c r="H2147" s="1"/>
    </row>
    <row r="2148" spans="2:8" x14ac:dyDescent="0.25">
      <c r="B2148" s="1"/>
      <c r="C2148" s="1"/>
      <c r="D2148" s="1"/>
      <c r="E2148" s="1"/>
      <c r="F2148" s="1"/>
      <c r="H2148" s="1"/>
    </row>
    <row r="2149" spans="2:8" x14ac:dyDescent="0.25">
      <c r="B2149" s="1"/>
      <c r="C2149" s="1"/>
      <c r="D2149" s="1"/>
      <c r="E2149" s="1"/>
      <c r="F2149" s="1"/>
      <c r="H2149" s="1"/>
    </row>
    <row r="2150" spans="2:8" x14ac:dyDescent="0.25">
      <c r="B2150" s="1"/>
      <c r="C2150" s="1"/>
      <c r="D2150" s="1"/>
      <c r="E2150" s="1"/>
      <c r="F2150" s="1"/>
      <c r="H2150" s="1"/>
    </row>
    <row r="2151" spans="2:8" x14ac:dyDescent="0.25">
      <c r="B2151" s="1"/>
      <c r="C2151" s="1"/>
      <c r="D2151" s="1"/>
      <c r="E2151" s="1"/>
      <c r="F2151" s="1"/>
      <c r="H2151" s="1"/>
    </row>
    <row r="2152" spans="2:8" x14ac:dyDescent="0.25">
      <c r="B2152" s="1"/>
      <c r="C2152" s="1"/>
      <c r="D2152" s="1"/>
      <c r="E2152" s="1"/>
      <c r="F2152" s="1"/>
      <c r="H2152" s="1"/>
    </row>
    <row r="2153" spans="2:8" x14ac:dyDescent="0.25">
      <c r="B2153" s="1"/>
      <c r="C2153" s="1"/>
      <c r="D2153" s="1"/>
      <c r="E2153" s="1"/>
      <c r="F2153" s="1"/>
      <c r="H2153" s="1"/>
    </row>
    <row r="2154" spans="2:8" x14ac:dyDescent="0.25">
      <c r="B2154" s="1"/>
      <c r="C2154" s="1"/>
      <c r="D2154" s="1"/>
      <c r="E2154" s="1"/>
      <c r="F2154" s="1"/>
      <c r="H2154" s="1"/>
    </row>
    <row r="2155" spans="2:8" x14ac:dyDescent="0.25">
      <c r="B2155" s="1"/>
      <c r="C2155" s="1"/>
      <c r="D2155" s="1"/>
      <c r="E2155" s="1"/>
      <c r="F2155" s="1"/>
      <c r="H2155" s="1"/>
    </row>
    <row r="2156" spans="2:8" x14ac:dyDescent="0.25">
      <c r="B2156" s="1"/>
      <c r="C2156" s="1"/>
      <c r="D2156" s="1"/>
      <c r="E2156" s="1"/>
      <c r="F2156" s="1"/>
      <c r="H2156" s="1"/>
    </row>
    <row r="2157" spans="2:8" x14ac:dyDescent="0.25">
      <c r="B2157" s="1"/>
      <c r="C2157" s="1"/>
      <c r="D2157" s="1"/>
      <c r="E2157" s="1"/>
      <c r="F2157" s="1"/>
      <c r="H2157" s="1"/>
    </row>
    <row r="2158" spans="2:8" x14ac:dyDescent="0.25">
      <c r="B2158" s="1"/>
      <c r="C2158" s="1"/>
      <c r="D2158" s="1"/>
      <c r="E2158" s="1"/>
      <c r="F2158" s="1"/>
      <c r="H2158" s="1"/>
    </row>
    <row r="2159" spans="2:8" x14ac:dyDescent="0.25">
      <c r="B2159" s="1"/>
      <c r="C2159" s="1"/>
      <c r="D2159" s="1"/>
      <c r="E2159" s="1"/>
      <c r="F2159" s="1"/>
      <c r="H2159" s="1"/>
    </row>
    <row r="2160" spans="2:8" x14ac:dyDescent="0.25">
      <c r="B2160" s="1"/>
      <c r="C2160" s="1"/>
      <c r="D2160" s="1"/>
      <c r="E2160" s="1"/>
      <c r="F2160" s="1"/>
      <c r="H2160" s="1"/>
    </row>
    <row r="2161" spans="2:8" x14ac:dyDescent="0.25">
      <c r="B2161" s="1"/>
      <c r="C2161" s="1"/>
      <c r="D2161" s="1"/>
      <c r="E2161" s="1"/>
      <c r="F2161" s="1"/>
      <c r="H2161" s="1"/>
    </row>
    <row r="2162" spans="2:8" x14ac:dyDescent="0.25">
      <c r="B2162" s="1"/>
      <c r="C2162" s="1"/>
      <c r="D2162" s="1"/>
      <c r="E2162" s="1"/>
      <c r="F2162" s="1"/>
      <c r="H2162" s="1"/>
    </row>
    <row r="2163" spans="2:8" x14ac:dyDescent="0.25">
      <c r="B2163" s="1"/>
      <c r="C2163" s="1"/>
      <c r="D2163" s="1"/>
      <c r="E2163" s="1"/>
      <c r="F2163" s="1"/>
      <c r="H2163" s="1"/>
    </row>
    <row r="2164" spans="2:8" x14ac:dyDescent="0.25">
      <c r="B2164" s="1"/>
      <c r="C2164" s="1"/>
      <c r="D2164" s="1"/>
      <c r="E2164" s="1"/>
      <c r="F2164" s="1"/>
      <c r="H2164" s="1"/>
    </row>
    <row r="2165" spans="2:8" x14ac:dyDescent="0.25">
      <c r="B2165" s="1"/>
      <c r="C2165" s="1"/>
      <c r="D2165" s="1"/>
      <c r="E2165" s="1"/>
      <c r="F2165" s="1"/>
      <c r="H2165" s="1"/>
    </row>
    <row r="2166" spans="2:8" x14ac:dyDescent="0.25">
      <c r="B2166" s="1"/>
      <c r="C2166" s="1"/>
      <c r="D2166" s="1"/>
      <c r="E2166" s="1"/>
      <c r="F2166" s="1"/>
      <c r="H2166" s="1"/>
    </row>
    <row r="2167" spans="2:8" x14ac:dyDescent="0.25">
      <c r="B2167" s="1"/>
      <c r="C2167" s="1"/>
      <c r="D2167" s="1"/>
      <c r="E2167" s="1"/>
      <c r="F2167" s="1"/>
      <c r="H2167" s="1"/>
    </row>
    <row r="2168" spans="2:8" x14ac:dyDescent="0.25">
      <c r="B2168" s="1"/>
      <c r="C2168" s="1"/>
      <c r="D2168" s="1"/>
      <c r="E2168" s="1"/>
      <c r="F2168" s="1"/>
      <c r="H2168" s="1"/>
    </row>
    <row r="2169" spans="2:8" x14ac:dyDescent="0.25">
      <c r="B2169" s="1"/>
      <c r="C2169" s="1"/>
      <c r="D2169" s="1"/>
      <c r="E2169" s="1"/>
      <c r="F2169" s="1"/>
      <c r="H2169" s="1"/>
    </row>
    <row r="2170" spans="2:8" x14ac:dyDescent="0.25">
      <c r="B2170" s="1"/>
      <c r="C2170" s="1"/>
      <c r="D2170" s="1"/>
      <c r="E2170" s="1"/>
      <c r="F2170" s="1"/>
      <c r="H2170" s="1"/>
    </row>
    <row r="2171" spans="2:8" x14ac:dyDescent="0.25">
      <c r="B2171" s="1"/>
      <c r="C2171" s="1"/>
      <c r="D2171" s="1"/>
      <c r="E2171" s="1"/>
      <c r="F2171" s="1"/>
      <c r="H2171" s="1"/>
    </row>
    <row r="2172" spans="2:8" x14ac:dyDescent="0.25">
      <c r="B2172" s="1"/>
      <c r="C2172" s="1"/>
      <c r="D2172" s="1"/>
      <c r="E2172" s="1"/>
      <c r="F2172" s="1"/>
      <c r="H2172" s="1"/>
    </row>
    <row r="2173" spans="2:8" x14ac:dyDescent="0.25">
      <c r="B2173" s="1"/>
      <c r="C2173" s="1"/>
      <c r="D2173" s="1"/>
      <c r="E2173" s="1"/>
      <c r="F2173" s="1"/>
      <c r="H2173" s="1"/>
    </row>
    <row r="2174" spans="2:8" x14ac:dyDescent="0.25">
      <c r="B2174" s="1"/>
      <c r="C2174" s="1"/>
      <c r="D2174" s="1"/>
      <c r="E2174" s="1"/>
      <c r="F2174" s="1"/>
      <c r="H2174" s="1"/>
    </row>
    <row r="2175" spans="2:8" x14ac:dyDescent="0.25">
      <c r="B2175" s="1"/>
      <c r="C2175" s="1"/>
      <c r="D2175" s="1"/>
      <c r="E2175" s="1"/>
      <c r="F2175" s="1"/>
      <c r="H2175" s="1"/>
    </row>
    <row r="2176" spans="2:8" x14ac:dyDescent="0.25">
      <c r="B2176" s="1"/>
      <c r="C2176" s="1"/>
      <c r="D2176" s="1"/>
      <c r="E2176" s="1"/>
      <c r="F2176" s="1"/>
      <c r="H2176" s="1"/>
    </row>
    <row r="2177" spans="2:8" x14ac:dyDescent="0.25">
      <c r="B2177" s="1"/>
      <c r="C2177" s="1"/>
      <c r="D2177" s="1"/>
      <c r="E2177" s="1"/>
      <c r="F2177" s="1"/>
      <c r="H2177" s="1"/>
    </row>
    <row r="2178" spans="2:8" x14ac:dyDescent="0.25">
      <c r="B2178" s="1"/>
      <c r="C2178" s="1"/>
      <c r="D2178" s="1"/>
      <c r="E2178" s="1"/>
      <c r="F2178" s="1"/>
      <c r="H2178" s="1"/>
    </row>
    <row r="2179" spans="2:8" x14ac:dyDescent="0.25">
      <c r="B2179" s="1"/>
      <c r="C2179" s="1"/>
      <c r="D2179" s="1"/>
      <c r="E2179" s="1"/>
      <c r="F2179" s="1"/>
      <c r="H2179" s="1"/>
    </row>
    <row r="2180" spans="2:8" x14ac:dyDescent="0.25">
      <c r="B2180" s="1"/>
      <c r="C2180" s="1"/>
      <c r="D2180" s="1"/>
      <c r="E2180" s="1"/>
      <c r="F2180" s="1"/>
      <c r="H2180" s="1"/>
    </row>
    <row r="2181" spans="2:8" x14ac:dyDescent="0.25">
      <c r="B2181" s="1"/>
      <c r="C2181" s="1"/>
      <c r="D2181" s="1"/>
      <c r="E2181" s="1"/>
      <c r="F2181" s="1"/>
      <c r="H2181" s="1"/>
    </row>
    <row r="2182" spans="2:8" x14ac:dyDescent="0.25">
      <c r="B2182" s="1"/>
      <c r="C2182" s="1"/>
      <c r="D2182" s="1"/>
      <c r="E2182" s="1"/>
      <c r="F2182" s="1"/>
      <c r="H2182" s="1"/>
    </row>
    <row r="2183" spans="2:8" x14ac:dyDescent="0.25">
      <c r="B2183" s="1"/>
      <c r="C2183" s="1"/>
      <c r="D2183" s="1"/>
      <c r="E2183" s="1"/>
      <c r="F2183" s="1"/>
      <c r="H2183" s="1"/>
    </row>
    <row r="2184" spans="2:8" x14ac:dyDescent="0.25">
      <c r="B2184" s="1"/>
      <c r="C2184" s="1"/>
      <c r="D2184" s="1"/>
      <c r="E2184" s="1"/>
      <c r="F2184" s="1"/>
      <c r="H2184" s="1"/>
    </row>
    <row r="2185" spans="2:8" x14ac:dyDescent="0.25">
      <c r="B2185" s="1"/>
      <c r="C2185" s="1"/>
      <c r="D2185" s="1"/>
      <c r="E2185" s="1"/>
      <c r="F2185" s="1"/>
      <c r="H2185" s="1"/>
    </row>
    <row r="2186" spans="2:8" x14ac:dyDescent="0.25">
      <c r="B2186" s="1"/>
      <c r="C2186" s="1"/>
      <c r="D2186" s="1"/>
      <c r="E2186" s="1"/>
      <c r="F2186" s="1"/>
      <c r="H2186" s="1"/>
    </row>
    <row r="2187" spans="2:8" x14ac:dyDescent="0.25">
      <c r="B2187" s="1"/>
      <c r="C2187" s="1"/>
      <c r="D2187" s="1"/>
      <c r="E2187" s="1"/>
      <c r="F2187" s="1"/>
      <c r="H2187" s="1"/>
    </row>
    <row r="2188" spans="2:8" x14ac:dyDescent="0.25">
      <c r="B2188" s="1"/>
      <c r="C2188" s="1"/>
      <c r="D2188" s="1"/>
      <c r="E2188" s="1"/>
      <c r="F2188" s="1"/>
      <c r="H2188" s="1"/>
    </row>
    <row r="2189" spans="2:8" x14ac:dyDescent="0.25">
      <c r="B2189" s="1"/>
      <c r="C2189" s="1"/>
      <c r="D2189" s="1"/>
      <c r="E2189" s="1"/>
      <c r="F2189" s="1"/>
      <c r="H2189" s="1"/>
    </row>
    <row r="2190" spans="2:8" x14ac:dyDescent="0.25">
      <c r="B2190" s="1"/>
      <c r="C2190" s="1"/>
      <c r="D2190" s="1"/>
      <c r="E2190" s="1"/>
      <c r="F2190" s="1"/>
      <c r="H2190" s="1"/>
    </row>
    <row r="2191" spans="2:8" x14ac:dyDescent="0.25">
      <c r="B2191" s="1"/>
      <c r="C2191" s="1"/>
      <c r="D2191" s="1"/>
      <c r="E2191" s="1"/>
      <c r="F2191" s="1"/>
      <c r="H2191" s="1"/>
    </row>
    <row r="2192" spans="2:8" x14ac:dyDescent="0.25">
      <c r="B2192" s="1"/>
      <c r="C2192" s="1"/>
      <c r="D2192" s="1"/>
      <c r="E2192" s="1"/>
      <c r="F2192" s="1"/>
      <c r="H2192" s="1"/>
    </row>
    <row r="2193" spans="2:8" x14ac:dyDescent="0.25">
      <c r="B2193" s="1"/>
      <c r="C2193" s="1"/>
      <c r="D2193" s="1"/>
      <c r="E2193" s="1"/>
      <c r="F2193" s="1"/>
      <c r="H2193" s="1"/>
    </row>
    <row r="2194" spans="2:8" x14ac:dyDescent="0.25">
      <c r="B2194" s="1"/>
      <c r="C2194" s="1"/>
      <c r="D2194" s="1"/>
      <c r="E2194" s="1"/>
      <c r="F2194" s="1"/>
      <c r="H2194" s="1"/>
    </row>
    <row r="2195" spans="2:8" x14ac:dyDescent="0.25">
      <c r="B2195" s="1"/>
      <c r="C2195" s="1"/>
      <c r="D2195" s="1"/>
      <c r="E2195" s="1"/>
      <c r="F2195" s="1"/>
      <c r="H2195" s="1"/>
    </row>
    <row r="2196" spans="2:8" x14ac:dyDescent="0.25">
      <c r="B2196" s="1"/>
      <c r="C2196" s="1"/>
      <c r="D2196" s="1"/>
      <c r="E2196" s="1"/>
      <c r="F2196" s="1"/>
      <c r="H2196" s="1"/>
    </row>
    <row r="2197" spans="2:8" x14ac:dyDescent="0.25">
      <c r="B2197" s="1"/>
      <c r="C2197" s="1"/>
      <c r="D2197" s="1"/>
      <c r="E2197" s="1"/>
      <c r="F2197" s="1"/>
      <c r="H2197" s="1"/>
    </row>
    <row r="2198" spans="2:8" x14ac:dyDescent="0.25">
      <c r="B2198" s="1"/>
      <c r="C2198" s="1"/>
      <c r="D2198" s="1"/>
      <c r="E2198" s="1"/>
      <c r="F2198" s="1"/>
      <c r="H2198" s="1"/>
    </row>
    <row r="2199" spans="2:8" x14ac:dyDescent="0.25">
      <c r="B2199" s="1"/>
      <c r="C2199" s="1"/>
      <c r="D2199" s="1"/>
      <c r="E2199" s="1"/>
      <c r="F2199" s="1"/>
      <c r="H2199" s="1"/>
    </row>
    <row r="2200" spans="2:8" x14ac:dyDescent="0.25">
      <c r="B2200" s="1"/>
      <c r="C2200" s="1"/>
      <c r="D2200" s="1"/>
      <c r="E2200" s="1"/>
      <c r="F2200" s="1"/>
      <c r="H2200" s="1"/>
    </row>
    <row r="2201" spans="2:8" x14ac:dyDescent="0.25">
      <c r="B2201" s="1"/>
      <c r="C2201" s="1"/>
      <c r="D2201" s="1"/>
      <c r="E2201" s="1"/>
      <c r="F2201" s="1"/>
      <c r="H2201" s="1"/>
    </row>
    <row r="2202" spans="2:8" x14ac:dyDescent="0.25">
      <c r="B2202" s="1"/>
      <c r="C2202" s="1"/>
      <c r="D2202" s="1"/>
      <c r="E2202" s="1"/>
      <c r="F2202" s="1"/>
      <c r="H2202" s="1"/>
    </row>
    <row r="2203" spans="2:8" x14ac:dyDescent="0.25">
      <c r="B2203" s="1"/>
      <c r="C2203" s="1"/>
      <c r="D2203" s="1"/>
      <c r="E2203" s="1"/>
      <c r="F2203" s="1"/>
      <c r="H2203" s="1"/>
    </row>
    <row r="2204" spans="2:8" x14ac:dyDescent="0.25">
      <c r="B2204" s="1"/>
      <c r="C2204" s="1"/>
      <c r="D2204" s="1"/>
      <c r="E2204" s="1"/>
      <c r="F2204" s="1"/>
      <c r="H2204" s="1"/>
    </row>
    <row r="2205" spans="2:8" x14ac:dyDescent="0.25">
      <c r="B2205" s="1"/>
      <c r="C2205" s="1"/>
      <c r="D2205" s="1"/>
      <c r="E2205" s="1"/>
      <c r="F2205" s="1"/>
      <c r="H2205" s="1"/>
    </row>
    <row r="2206" spans="2:8" x14ac:dyDescent="0.25">
      <c r="B2206" s="1"/>
      <c r="C2206" s="1"/>
      <c r="D2206" s="1"/>
      <c r="E2206" s="1"/>
      <c r="F2206" s="1"/>
      <c r="H2206" s="1"/>
    </row>
    <row r="2207" spans="2:8" x14ac:dyDescent="0.25">
      <c r="B2207" s="1"/>
      <c r="C2207" s="1"/>
      <c r="D2207" s="1"/>
      <c r="E2207" s="1"/>
      <c r="F2207" s="1"/>
      <c r="H2207" s="1"/>
    </row>
    <row r="2208" spans="2:8" x14ac:dyDescent="0.25">
      <c r="B2208" s="1"/>
      <c r="C2208" s="1"/>
      <c r="D2208" s="1"/>
      <c r="E2208" s="1"/>
      <c r="F2208" s="1"/>
      <c r="H2208" s="1"/>
    </row>
    <row r="2209" spans="2:8" x14ac:dyDescent="0.25">
      <c r="B2209" s="1"/>
      <c r="C2209" s="1"/>
      <c r="D2209" s="1"/>
      <c r="E2209" s="1"/>
      <c r="F2209" s="1"/>
      <c r="H2209" s="1"/>
    </row>
    <row r="2210" spans="2:8" x14ac:dyDescent="0.25">
      <c r="B2210" s="1"/>
      <c r="C2210" s="1"/>
      <c r="D2210" s="1"/>
      <c r="E2210" s="1"/>
      <c r="F2210" s="1"/>
      <c r="H2210" s="1"/>
    </row>
    <row r="2211" spans="2:8" x14ac:dyDescent="0.25">
      <c r="B2211" s="1"/>
      <c r="C2211" s="1"/>
      <c r="D2211" s="1"/>
      <c r="E2211" s="1"/>
      <c r="F2211" s="1"/>
      <c r="H2211" s="1"/>
    </row>
    <row r="2212" spans="2:8" x14ac:dyDescent="0.25">
      <c r="B2212" s="1"/>
      <c r="C2212" s="1"/>
      <c r="D2212" s="1"/>
      <c r="E2212" s="1"/>
      <c r="F2212" s="1"/>
      <c r="H2212" s="1"/>
    </row>
    <row r="2213" spans="2:8" x14ac:dyDescent="0.25">
      <c r="B2213" s="1"/>
      <c r="C2213" s="1"/>
      <c r="D2213" s="1"/>
      <c r="E2213" s="1"/>
      <c r="F2213" s="1"/>
      <c r="H2213" s="1"/>
    </row>
    <row r="2214" spans="2:8" x14ac:dyDescent="0.25">
      <c r="B2214" s="1"/>
      <c r="C2214" s="1"/>
      <c r="D2214" s="1"/>
      <c r="E2214" s="1"/>
      <c r="F2214" s="1"/>
      <c r="H2214" s="1"/>
    </row>
    <row r="2215" spans="2:8" x14ac:dyDescent="0.25">
      <c r="B2215" s="1"/>
      <c r="C2215" s="1"/>
      <c r="D2215" s="1"/>
      <c r="E2215" s="1"/>
      <c r="F2215" s="1"/>
      <c r="H2215" s="1"/>
    </row>
    <row r="2216" spans="2:8" x14ac:dyDescent="0.25">
      <c r="B2216" s="1"/>
      <c r="C2216" s="1"/>
      <c r="D2216" s="1"/>
      <c r="E2216" s="1"/>
      <c r="F2216" s="1"/>
      <c r="H2216" s="1"/>
    </row>
    <row r="2217" spans="2:8" x14ac:dyDescent="0.25">
      <c r="B2217" s="1"/>
      <c r="C2217" s="1"/>
      <c r="D2217" s="1"/>
      <c r="E2217" s="1"/>
      <c r="F2217" s="1"/>
      <c r="H2217" s="1"/>
    </row>
    <row r="2218" spans="2:8" x14ac:dyDescent="0.25">
      <c r="B2218" s="1"/>
      <c r="C2218" s="1"/>
      <c r="D2218" s="1"/>
      <c r="E2218" s="1"/>
      <c r="F2218" s="1"/>
      <c r="H2218" s="1"/>
    </row>
    <row r="2219" spans="2:8" x14ac:dyDescent="0.25">
      <c r="B2219" s="1"/>
      <c r="C2219" s="1"/>
      <c r="D2219" s="1"/>
      <c r="E2219" s="1"/>
      <c r="F2219" s="1"/>
      <c r="H2219" s="1"/>
    </row>
    <row r="2220" spans="2:8" x14ac:dyDescent="0.25">
      <c r="B2220" s="1"/>
      <c r="C2220" s="1"/>
      <c r="D2220" s="1"/>
      <c r="E2220" s="1"/>
      <c r="F2220" s="1"/>
      <c r="H2220" s="1"/>
    </row>
    <row r="2221" spans="2:8" x14ac:dyDescent="0.25">
      <c r="B2221" s="1"/>
      <c r="C2221" s="1"/>
      <c r="D2221" s="1"/>
      <c r="E2221" s="1"/>
      <c r="F2221" s="1"/>
      <c r="H2221" s="1"/>
    </row>
    <row r="2222" spans="2:8" x14ac:dyDescent="0.25">
      <c r="B2222" s="1"/>
      <c r="C2222" s="1"/>
      <c r="D2222" s="1"/>
      <c r="E2222" s="1"/>
      <c r="F2222" s="1"/>
      <c r="H2222" s="1"/>
    </row>
    <row r="2223" spans="2:8" x14ac:dyDescent="0.25">
      <c r="B2223" s="1"/>
      <c r="C2223" s="1"/>
      <c r="D2223" s="1"/>
      <c r="E2223" s="1"/>
      <c r="F2223" s="1"/>
      <c r="H2223" s="1"/>
    </row>
    <row r="2224" spans="2:8" x14ac:dyDescent="0.25">
      <c r="B2224" s="1"/>
      <c r="C2224" s="1"/>
      <c r="D2224" s="1"/>
      <c r="E2224" s="1"/>
      <c r="F2224" s="1"/>
      <c r="H2224" s="1"/>
    </row>
    <row r="2225" spans="2:8" x14ac:dyDescent="0.25">
      <c r="B2225" s="1"/>
      <c r="C2225" s="1"/>
      <c r="D2225" s="1"/>
      <c r="E2225" s="1"/>
      <c r="F2225" s="1"/>
      <c r="H2225" s="1"/>
    </row>
    <row r="2226" spans="2:8" x14ac:dyDescent="0.25">
      <c r="B2226" s="1"/>
      <c r="C2226" s="1"/>
      <c r="D2226" s="1"/>
      <c r="E2226" s="1"/>
      <c r="F2226" s="1"/>
      <c r="H2226" s="1"/>
    </row>
    <row r="2227" spans="2:8" x14ac:dyDescent="0.25">
      <c r="B2227" s="1"/>
      <c r="C2227" s="1"/>
      <c r="D2227" s="1"/>
      <c r="E2227" s="1"/>
      <c r="F2227" s="1"/>
      <c r="H2227" s="1"/>
    </row>
    <row r="2228" spans="2:8" x14ac:dyDescent="0.25">
      <c r="B2228" s="1"/>
      <c r="C2228" s="1"/>
      <c r="D2228" s="1"/>
      <c r="E2228" s="1"/>
      <c r="F2228" s="1"/>
      <c r="H2228" s="1"/>
    </row>
    <row r="2229" spans="2:8" x14ac:dyDescent="0.25">
      <c r="B2229" s="1"/>
      <c r="C2229" s="1"/>
      <c r="D2229" s="1"/>
      <c r="E2229" s="1"/>
      <c r="F2229" s="1"/>
      <c r="H2229" s="1"/>
    </row>
    <row r="2230" spans="2:8" x14ac:dyDescent="0.25">
      <c r="B2230" s="1"/>
      <c r="C2230" s="1"/>
      <c r="D2230" s="1"/>
      <c r="E2230" s="1"/>
      <c r="F2230" s="1"/>
      <c r="H2230" s="1"/>
    </row>
    <row r="2231" spans="2:8" x14ac:dyDescent="0.25">
      <c r="B2231" s="1"/>
      <c r="C2231" s="1"/>
      <c r="D2231" s="1"/>
      <c r="E2231" s="1"/>
      <c r="F2231" s="1"/>
      <c r="H2231" s="1"/>
    </row>
    <row r="2232" spans="2:8" x14ac:dyDescent="0.25">
      <c r="B2232" s="1"/>
      <c r="C2232" s="1"/>
      <c r="D2232" s="1"/>
      <c r="E2232" s="1"/>
      <c r="F2232" s="1"/>
      <c r="H2232" s="1"/>
    </row>
    <row r="2233" spans="2:8" x14ac:dyDescent="0.25">
      <c r="B2233" s="1"/>
      <c r="C2233" s="1"/>
      <c r="D2233" s="1"/>
      <c r="E2233" s="1"/>
      <c r="F2233" s="1"/>
      <c r="H2233" s="1"/>
    </row>
    <row r="2234" spans="2:8" x14ac:dyDescent="0.25">
      <c r="B2234" s="1"/>
      <c r="C2234" s="1"/>
      <c r="D2234" s="1"/>
      <c r="E2234" s="1"/>
      <c r="F2234" s="1"/>
      <c r="H2234" s="1"/>
    </row>
    <row r="2235" spans="2:8" x14ac:dyDescent="0.25">
      <c r="B2235" s="1"/>
      <c r="C2235" s="1"/>
      <c r="D2235" s="1"/>
      <c r="E2235" s="1"/>
      <c r="F2235" s="1"/>
      <c r="H2235" s="1"/>
    </row>
    <row r="2236" spans="2:8" x14ac:dyDescent="0.25">
      <c r="B2236" s="1"/>
      <c r="C2236" s="1"/>
      <c r="D2236" s="1"/>
      <c r="E2236" s="1"/>
      <c r="F2236" s="1"/>
      <c r="H2236" s="1"/>
    </row>
    <row r="2237" spans="2:8" x14ac:dyDescent="0.25">
      <c r="B2237" s="1"/>
      <c r="C2237" s="1"/>
      <c r="D2237" s="1"/>
      <c r="E2237" s="1"/>
      <c r="F2237" s="1"/>
      <c r="H2237" s="1"/>
    </row>
    <row r="2238" spans="2:8" x14ac:dyDescent="0.25">
      <c r="B2238" s="1"/>
      <c r="C2238" s="1"/>
      <c r="D2238" s="1"/>
      <c r="E2238" s="1"/>
      <c r="F2238" s="1"/>
      <c r="H2238" s="1"/>
    </row>
    <row r="2239" spans="2:8" x14ac:dyDescent="0.25">
      <c r="B2239" s="1"/>
      <c r="C2239" s="1"/>
      <c r="D2239" s="1"/>
      <c r="E2239" s="1"/>
      <c r="F2239" s="1"/>
      <c r="H2239" s="1"/>
    </row>
    <row r="2240" spans="2:8" x14ac:dyDescent="0.25">
      <c r="B2240" s="1"/>
      <c r="C2240" s="1"/>
      <c r="D2240" s="1"/>
      <c r="E2240" s="1"/>
      <c r="F2240" s="1"/>
      <c r="H2240" s="1"/>
    </row>
    <row r="2241" spans="2:8" x14ac:dyDescent="0.25">
      <c r="B2241" s="1"/>
      <c r="C2241" s="1"/>
      <c r="D2241" s="1"/>
      <c r="E2241" s="1"/>
      <c r="F2241" s="1"/>
      <c r="H2241" s="1"/>
    </row>
    <row r="2242" spans="2:8" x14ac:dyDescent="0.25">
      <c r="B2242" s="1"/>
      <c r="C2242" s="1"/>
      <c r="D2242" s="1"/>
      <c r="E2242" s="1"/>
      <c r="F2242" s="1"/>
      <c r="H2242" s="1"/>
    </row>
    <row r="2243" spans="2:8" x14ac:dyDescent="0.25">
      <c r="B2243" s="1"/>
      <c r="C2243" s="1"/>
      <c r="D2243" s="1"/>
      <c r="E2243" s="1"/>
      <c r="F2243" s="1"/>
      <c r="H2243" s="1"/>
    </row>
    <row r="2244" spans="2:8" x14ac:dyDescent="0.25">
      <c r="B2244" s="1"/>
      <c r="C2244" s="1"/>
      <c r="D2244" s="1"/>
      <c r="E2244" s="1"/>
      <c r="F2244" s="1"/>
      <c r="H2244" s="1"/>
    </row>
    <row r="2245" spans="2:8" x14ac:dyDescent="0.25">
      <c r="B2245" s="1"/>
      <c r="C2245" s="1"/>
      <c r="D2245" s="1"/>
      <c r="E2245" s="1"/>
      <c r="F2245" s="1"/>
      <c r="H2245" s="1"/>
    </row>
    <row r="2246" spans="2:8" x14ac:dyDescent="0.25">
      <c r="B2246" s="1"/>
      <c r="C2246" s="1"/>
      <c r="D2246" s="1"/>
      <c r="E2246" s="1"/>
      <c r="F2246" s="1"/>
      <c r="H2246" s="1"/>
    </row>
    <row r="2247" spans="2:8" x14ac:dyDescent="0.25">
      <c r="B2247" s="1"/>
      <c r="C2247" s="1"/>
      <c r="D2247" s="1"/>
      <c r="E2247" s="1"/>
      <c r="F2247" s="1"/>
      <c r="H2247" s="1"/>
    </row>
    <row r="2248" spans="2:8" x14ac:dyDescent="0.25">
      <c r="B2248" s="1"/>
      <c r="C2248" s="1"/>
      <c r="D2248" s="1"/>
      <c r="E2248" s="1"/>
      <c r="F2248" s="1"/>
      <c r="H2248" s="1"/>
    </row>
    <row r="2249" spans="2:8" x14ac:dyDescent="0.25">
      <c r="B2249" s="1"/>
      <c r="C2249" s="1"/>
      <c r="D2249" s="1"/>
      <c r="E2249" s="1"/>
      <c r="F2249" s="1"/>
      <c r="H2249" s="1"/>
    </row>
    <row r="2250" spans="2:8" x14ac:dyDescent="0.25">
      <c r="B2250" s="1"/>
      <c r="C2250" s="1"/>
      <c r="D2250" s="1"/>
      <c r="E2250" s="1"/>
      <c r="F2250" s="1"/>
      <c r="H2250" s="1"/>
    </row>
    <row r="2251" spans="2:8" x14ac:dyDescent="0.25">
      <c r="B2251" s="1"/>
      <c r="C2251" s="1"/>
      <c r="D2251" s="1"/>
      <c r="E2251" s="1"/>
      <c r="F2251" s="1"/>
      <c r="H2251" s="1"/>
    </row>
    <row r="2252" spans="2:8" x14ac:dyDescent="0.25">
      <c r="B2252" s="1"/>
      <c r="C2252" s="1"/>
      <c r="D2252" s="1"/>
      <c r="E2252" s="1"/>
      <c r="F2252" s="1"/>
      <c r="H2252" s="1"/>
    </row>
    <row r="2253" spans="2:8" x14ac:dyDescent="0.25">
      <c r="B2253" s="1"/>
      <c r="C2253" s="1"/>
      <c r="D2253" s="1"/>
      <c r="E2253" s="1"/>
      <c r="F2253" s="1"/>
      <c r="H2253" s="1"/>
    </row>
    <row r="2254" spans="2:8" x14ac:dyDescent="0.25">
      <c r="B2254" s="1"/>
      <c r="C2254" s="1"/>
      <c r="D2254" s="1"/>
      <c r="E2254" s="1"/>
      <c r="F2254" s="1"/>
      <c r="H2254" s="1"/>
    </row>
    <row r="2255" spans="2:8" x14ac:dyDescent="0.25">
      <c r="B2255" s="1"/>
      <c r="C2255" s="1"/>
      <c r="D2255" s="1"/>
      <c r="E2255" s="1"/>
      <c r="F2255" s="1"/>
      <c r="H2255" s="1"/>
    </row>
    <row r="2256" spans="2:8" x14ac:dyDescent="0.25">
      <c r="B2256" s="1"/>
      <c r="C2256" s="1"/>
      <c r="D2256" s="1"/>
      <c r="E2256" s="1"/>
      <c r="F2256" s="1"/>
      <c r="H2256" s="1"/>
    </row>
    <row r="2257" spans="2:8" x14ac:dyDescent="0.25">
      <c r="B2257" s="1"/>
      <c r="C2257" s="1"/>
      <c r="D2257" s="1"/>
      <c r="E2257" s="1"/>
      <c r="F2257" s="1"/>
      <c r="H2257" s="1"/>
    </row>
    <row r="2258" spans="2:8" x14ac:dyDescent="0.25">
      <c r="B2258" s="1"/>
      <c r="C2258" s="1"/>
      <c r="D2258" s="1"/>
      <c r="E2258" s="1"/>
      <c r="F2258" s="1"/>
      <c r="H2258" s="1"/>
    </row>
    <row r="2259" spans="2:8" x14ac:dyDescent="0.25">
      <c r="B2259" s="1"/>
      <c r="C2259" s="1"/>
      <c r="D2259" s="1"/>
      <c r="E2259" s="1"/>
      <c r="F2259" s="1"/>
      <c r="H2259" s="1"/>
    </row>
    <row r="2260" spans="2:8" x14ac:dyDescent="0.25">
      <c r="B2260" s="1"/>
      <c r="C2260" s="1"/>
      <c r="D2260" s="1"/>
      <c r="E2260" s="1"/>
      <c r="F2260" s="1"/>
      <c r="H2260" s="1"/>
    </row>
    <row r="2261" spans="2:8" x14ac:dyDescent="0.25">
      <c r="B2261" s="1"/>
      <c r="C2261" s="1"/>
      <c r="D2261" s="1"/>
      <c r="E2261" s="1"/>
      <c r="F2261" s="1"/>
      <c r="H2261" s="1"/>
    </row>
    <row r="2262" spans="2:8" x14ac:dyDescent="0.25">
      <c r="B2262" s="1"/>
      <c r="C2262" s="1"/>
      <c r="D2262" s="1"/>
      <c r="E2262" s="1"/>
      <c r="F2262" s="1"/>
      <c r="H2262" s="1"/>
    </row>
    <row r="2263" spans="2:8" x14ac:dyDescent="0.25">
      <c r="B2263" s="1"/>
      <c r="C2263" s="1"/>
      <c r="D2263" s="1"/>
      <c r="E2263" s="1"/>
      <c r="F2263" s="1"/>
      <c r="H2263" s="1"/>
    </row>
    <row r="2264" spans="2:8" x14ac:dyDescent="0.25">
      <c r="B2264" s="1"/>
      <c r="C2264" s="1"/>
      <c r="D2264" s="1"/>
      <c r="E2264" s="1"/>
      <c r="F2264" s="1"/>
      <c r="H2264" s="1"/>
    </row>
    <row r="2265" spans="2:8" x14ac:dyDescent="0.25">
      <c r="B2265" s="1"/>
      <c r="C2265" s="1"/>
      <c r="D2265" s="1"/>
      <c r="E2265" s="1"/>
      <c r="F2265" s="1"/>
      <c r="H2265" s="1"/>
    </row>
    <row r="2266" spans="2:8" x14ac:dyDescent="0.25">
      <c r="B2266" s="1"/>
      <c r="C2266" s="1"/>
      <c r="D2266" s="1"/>
      <c r="E2266" s="1"/>
      <c r="F2266" s="1"/>
      <c r="H2266" s="1"/>
    </row>
    <row r="2267" spans="2:8" x14ac:dyDescent="0.25">
      <c r="B2267" s="1"/>
      <c r="C2267" s="1"/>
      <c r="D2267" s="1"/>
      <c r="E2267" s="1"/>
      <c r="F2267" s="1"/>
      <c r="H2267" s="1"/>
    </row>
    <row r="2268" spans="2:8" x14ac:dyDescent="0.25">
      <c r="B2268" s="1"/>
      <c r="C2268" s="1"/>
      <c r="D2268" s="1"/>
      <c r="E2268" s="1"/>
      <c r="F2268" s="1"/>
      <c r="H2268" s="1"/>
    </row>
    <row r="2269" spans="2:8" x14ac:dyDescent="0.25">
      <c r="B2269" s="1"/>
      <c r="C2269" s="1"/>
      <c r="D2269" s="1"/>
      <c r="E2269" s="1"/>
      <c r="F2269" s="1"/>
      <c r="H2269" s="1"/>
    </row>
    <row r="2270" spans="2:8" x14ac:dyDescent="0.25">
      <c r="B2270" s="1"/>
      <c r="C2270" s="1"/>
      <c r="D2270" s="1"/>
      <c r="E2270" s="1"/>
      <c r="F2270" s="1"/>
      <c r="H2270" s="1"/>
    </row>
    <row r="2271" spans="2:8" x14ac:dyDescent="0.25">
      <c r="B2271" s="1"/>
      <c r="C2271" s="1"/>
      <c r="D2271" s="1"/>
      <c r="E2271" s="1"/>
      <c r="F2271" s="1"/>
      <c r="H2271" s="1"/>
    </row>
    <row r="2272" spans="2:8" x14ac:dyDescent="0.25">
      <c r="B2272" s="1"/>
      <c r="C2272" s="1"/>
      <c r="D2272" s="1"/>
      <c r="E2272" s="1"/>
      <c r="F2272" s="1"/>
      <c r="H2272" s="1"/>
    </row>
    <row r="2273" spans="2:8" x14ac:dyDescent="0.25">
      <c r="B2273" s="1"/>
      <c r="C2273" s="1"/>
      <c r="D2273" s="1"/>
      <c r="E2273" s="1"/>
      <c r="F2273" s="1"/>
      <c r="H2273" s="1"/>
    </row>
    <row r="2274" spans="2:8" x14ac:dyDescent="0.25">
      <c r="B2274" s="1"/>
      <c r="C2274" s="1"/>
      <c r="D2274" s="1"/>
      <c r="E2274" s="1"/>
      <c r="F2274" s="1"/>
      <c r="H2274" s="1"/>
    </row>
    <row r="2275" spans="2:8" x14ac:dyDescent="0.25">
      <c r="B2275" s="1"/>
      <c r="C2275" s="1"/>
      <c r="D2275" s="1"/>
      <c r="E2275" s="1"/>
      <c r="F2275" s="1"/>
      <c r="H2275" s="1"/>
    </row>
    <row r="2276" spans="2:8" x14ac:dyDescent="0.25">
      <c r="B2276" s="1"/>
      <c r="C2276" s="1"/>
      <c r="D2276" s="1"/>
      <c r="E2276" s="1"/>
      <c r="F2276" s="1"/>
      <c r="H2276" s="1"/>
    </row>
    <row r="2277" spans="2:8" x14ac:dyDescent="0.25">
      <c r="B2277" s="1"/>
      <c r="C2277" s="1"/>
      <c r="D2277" s="1"/>
      <c r="E2277" s="1"/>
      <c r="F2277" s="1"/>
      <c r="H2277" s="1"/>
    </row>
    <row r="2278" spans="2:8" x14ac:dyDescent="0.25">
      <c r="B2278" s="1"/>
      <c r="C2278" s="1"/>
      <c r="D2278" s="1"/>
      <c r="E2278" s="1"/>
      <c r="F2278" s="1"/>
      <c r="H2278" s="1"/>
    </row>
    <row r="2279" spans="2:8" x14ac:dyDescent="0.25">
      <c r="B2279" s="1"/>
      <c r="C2279" s="1"/>
      <c r="D2279" s="1"/>
      <c r="E2279" s="1"/>
      <c r="F2279" s="1"/>
      <c r="H2279" s="1"/>
    </row>
    <row r="2280" spans="2:8" x14ac:dyDescent="0.25">
      <c r="B2280" s="1"/>
      <c r="C2280" s="1"/>
      <c r="D2280" s="1"/>
      <c r="E2280" s="1"/>
      <c r="F2280" s="1"/>
      <c r="H2280" s="1"/>
    </row>
    <row r="2281" spans="2:8" x14ac:dyDescent="0.25">
      <c r="B2281" s="1"/>
      <c r="C2281" s="1"/>
      <c r="D2281" s="1"/>
      <c r="E2281" s="1"/>
      <c r="F2281" s="1"/>
      <c r="H2281" s="1"/>
    </row>
    <row r="2282" spans="2:8" x14ac:dyDescent="0.25">
      <c r="B2282" s="1"/>
      <c r="C2282" s="1"/>
      <c r="D2282" s="1"/>
      <c r="E2282" s="1"/>
      <c r="F2282" s="1"/>
      <c r="H2282" s="1"/>
    </row>
    <row r="2283" spans="2:8" x14ac:dyDescent="0.25">
      <c r="B2283" s="1"/>
      <c r="C2283" s="1"/>
      <c r="D2283" s="1"/>
      <c r="E2283" s="1"/>
      <c r="F2283" s="1"/>
      <c r="H2283" s="1"/>
    </row>
    <row r="2284" spans="2:8" x14ac:dyDescent="0.25">
      <c r="B2284" s="1"/>
      <c r="C2284" s="1"/>
      <c r="D2284" s="1"/>
      <c r="E2284" s="1"/>
      <c r="F2284" s="1"/>
      <c r="H2284" s="1"/>
    </row>
    <row r="2285" spans="2:8" x14ac:dyDescent="0.25">
      <c r="B2285" s="1"/>
      <c r="C2285" s="1"/>
      <c r="D2285" s="1"/>
      <c r="E2285" s="1"/>
      <c r="F2285" s="1"/>
      <c r="H2285" s="1"/>
    </row>
    <row r="2286" spans="2:8" x14ac:dyDescent="0.25">
      <c r="B2286" s="1"/>
      <c r="C2286" s="1"/>
      <c r="D2286" s="1"/>
      <c r="E2286" s="1"/>
      <c r="F2286" s="1"/>
      <c r="H2286" s="1"/>
    </row>
    <row r="2287" spans="2:8" x14ac:dyDescent="0.25">
      <c r="B2287" s="1"/>
      <c r="C2287" s="1"/>
      <c r="D2287" s="1"/>
      <c r="E2287" s="1"/>
      <c r="F2287" s="1"/>
      <c r="H2287" s="1"/>
    </row>
    <row r="2288" spans="2:8" x14ac:dyDescent="0.25">
      <c r="B2288" s="1"/>
      <c r="C2288" s="1"/>
      <c r="D2288" s="1"/>
      <c r="E2288" s="1"/>
      <c r="F2288" s="1"/>
      <c r="H2288" s="1"/>
    </row>
    <row r="2289" spans="2:8" x14ac:dyDescent="0.25">
      <c r="B2289" s="1"/>
      <c r="C2289" s="1"/>
      <c r="D2289" s="1"/>
      <c r="E2289" s="1"/>
      <c r="F2289" s="1"/>
      <c r="H2289" s="1"/>
    </row>
    <row r="2290" spans="2:8" x14ac:dyDescent="0.25">
      <c r="B2290" s="1"/>
      <c r="C2290" s="1"/>
      <c r="D2290" s="1"/>
      <c r="E2290" s="1"/>
      <c r="F2290" s="1"/>
      <c r="H2290" s="1"/>
    </row>
    <row r="2291" spans="2:8" x14ac:dyDescent="0.25">
      <c r="B2291" s="1"/>
      <c r="C2291" s="1"/>
      <c r="D2291" s="1"/>
      <c r="E2291" s="1"/>
      <c r="F2291" s="1"/>
      <c r="H2291" s="1"/>
    </row>
    <row r="2292" spans="2:8" x14ac:dyDescent="0.25">
      <c r="B2292" s="1"/>
      <c r="C2292" s="1"/>
      <c r="D2292" s="1"/>
      <c r="E2292" s="1"/>
      <c r="F2292" s="1"/>
      <c r="H2292" s="1"/>
    </row>
    <row r="2293" spans="2:8" x14ac:dyDescent="0.25">
      <c r="B2293" s="1"/>
      <c r="C2293" s="1"/>
      <c r="D2293" s="1"/>
      <c r="E2293" s="1"/>
      <c r="F2293" s="1"/>
      <c r="H2293" s="1"/>
    </row>
    <row r="2294" spans="2:8" x14ac:dyDescent="0.25">
      <c r="B2294" s="1"/>
      <c r="C2294" s="1"/>
      <c r="D2294" s="1"/>
      <c r="E2294" s="1"/>
      <c r="F2294" s="1"/>
      <c r="H2294" s="1"/>
    </row>
    <row r="2295" spans="2:8" x14ac:dyDescent="0.25">
      <c r="B2295" s="1"/>
      <c r="C2295" s="1"/>
      <c r="D2295" s="1"/>
      <c r="E2295" s="1"/>
      <c r="F2295" s="1"/>
      <c r="H2295" s="1"/>
    </row>
    <row r="2296" spans="2:8" x14ac:dyDescent="0.25">
      <c r="B2296" s="1"/>
      <c r="C2296" s="1"/>
      <c r="D2296" s="1"/>
      <c r="E2296" s="1"/>
      <c r="F2296" s="1"/>
      <c r="H2296" s="1"/>
    </row>
    <row r="2297" spans="2:8" x14ac:dyDescent="0.25">
      <c r="B2297" s="1"/>
      <c r="C2297" s="1"/>
      <c r="D2297" s="1"/>
      <c r="E2297" s="1"/>
      <c r="F2297" s="1"/>
      <c r="H2297" s="1"/>
    </row>
    <row r="2298" spans="2:8" x14ac:dyDescent="0.25">
      <c r="B2298" s="1"/>
      <c r="C2298" s="1"/>
      <c r="D2298" s="1"/>
      <c r="E2298" s="1"/>
      <c r="F2298" s="1"/>
      <c r="H2298" s="1"/>
    </row>
    <row r="2299" spans="2:8" x14ac:dyDescent="0.25">
      <c r="B2299" s="1"/>
      <c r="C2299" s="1"/>
      <c r="D2299" s="1"/>
      <c r="E2299" s="1"/>
      <c r="F2299" s="1"/>
      <c r="H2299" s="1"/>
    </row>
    <row r="2300" spans="2:8" x14ac:dyDescent="0.25">
      <c r="B2300" s="1"/>
      <c r="C2300" s="1"/>
      <c r="D2300" s="1"/>
      <c r="E2300" s="1"/>
      <c r="F2300" s="1"/>
      <c r="H2300" s="1"/>
    </row>
    <row r="2301" spans="2:8" x14ac:dyDescent="0.25">
      <c r="B2301" s="1"/>
      <c r="C2301" s="1"/>
      <c r="D2301" s="1"/>
      <c r="E2301" s="1"/>
      <c r="F2301" s="1"/>
      <c r="H2301" s="1"/>
    </row>
    <row r="2302" spans="2:8" x14ac:dyDescent="0.25">
      <c r="B2302" s="1"/>
      <c r="C2302" s="1"/>
      <c r="D2302" s="1"/>
      <c r="E2302" s="1"/>
      <c r="F2302" s="1"/>
      <c r="H2302" s="1"/>
    </row>
    <row r="2303" spans="2:8" x14ac:dyDescent="0.25">
      <c r="B2303" s="1"/>
      <c r="C2303" s="1"/>
      <c r="D2303" s="1"/>
      <c r="E2303" s="1"/>
      <c r="F2303" s="1"/>
      <c r="H2303" s="1"/>
    </row>
    <row r="2304" spans="2:8" x14ac:dyDescent="0.25">
      <c r="B2304" s="1"/>
      <c r="C2304" s="1"/>
      <c r="D2304" s="1"/>
      <c r="E2304" s="1"/>
      <c r="F2304" s="1"/>
      <c r="H2304" s="1"/>
    </row>
    <row r="2305" spans="2:8" x14ac:dyDescent="0.25">
      <c r="B2305" s="1"/>
      <c r="C2305" s="1"/>
      <c r="D2305" s="1"/>
      <c r="E2305" s="1"/>
      <c r="F2305" s="1"/>
      <c r="H2305" s="1"/>
    </row>
    <row r="2306" spans="2:8" x14ac:dyDescent="0.25">
      <c r="B2306" s="1"/>
      <c r="C2306" s="1"/>
      <c r="D2306" s="1"/>
      <c r="E2306" s="1"/>
      <c r="F2306" s="1"/>
      <c r="H2306" s="1"/>
    </row>
    <row r="2307" spans="2:8" x14ac:dyDescent="0.25">
      <c r="B2307" s="1"/>
      <c r="C2307" s="1"/>
      <c r="D2307" s="1"/>
      <c r="E2307" s="1"/>
      <c r="F2307" s="1"/>
      <c r="H2307" s="1"/>
    </row>
    <row r="2308" spans="2:8" x14ac:dyDescent="0.25">
      <c r="B2308" s="1"/>
      <c r="C2308" s="1"/>
      <c r="D2308" s="1"/>
      <c r="E2308" s="1"/>
      <c r="F2308" s="1"/>
      <c r="H2308" s="1"/>
    </row>
    <row r="2309" spans="2:8" x14ac:dyDescent="0.25">
      <c r="B2309" s="1"/>
      <c r="C2309" s="1"/>
      <c r="D2309" s="1"/>
      <c r="E2309" s="1"/>
      <c r="F2309" s="1"/>
      <c r="H2309" s="1"/>
    </row>
    <row r="2310" spans="2:8" x14ac:dyDescent="0.25">
      <c r="B2310" s="1"/>
      <c r="C2310" s="1"/>
      <c r="D2310" s="1"/>
      <c r="E2310" s="1"/>
      <c r="F2310" s="1"/>
      <c r="H2310" s="1"/>
    </row>
    <row r="2311" spans="2:8" x14ac:dyDescent="0.25">
      <c r="B2311" s="1"/>
      <c r="C2311" s="1"/>
      <c r="D2311" s="1"/>
      <c r="E2311" s="1"/>
      <c r="F2311" s="1"/>
      <c r="H2311" s="1"/>
    </row>
    <row r="2312" spans="2:8" x14ac:dyDescent="0.25">
      <c r="B2312" s="1"/>
      <c r="C2312" s="1"/>
      <c r="D2312" s="1"/>
      <c r="E2312" s="1"/>
      <c r="F2312" s="1"/>
      <c r="H2312" s="1"/>
    </row>
    <row r="2313" spans="2:8" x14ac:dyDescent="0.25">
      <c r="B2313" s="1"/>
      <c r="C2313" s="1"/>
      <c r="D2313" s="1"/>
      <c r="E2313" s="1"/>
      <c r="F2313" s="1"/>
      <c r="H2313" s="1"/>
    </row>
    <row r="2314" spans="2:8" x14ac:dyDescent="0.25">
      <c r="B2314" s="1"/>
      <c r="C2314" s="1"/>
      <c r="D2314" s="1"/>
      <c r="E2314" s="1"/>
      <c r="F2314" s="1"/>
      <c r="H2314" s="1"/>
    </row>
    <row r="2315" spans="2:8" x14ac:dyDescent="0.25">
      <c r="B2315" s="1"/>
      <c r="C2315" s="1"/>
      <c r="D2315" s="1"/>
      <c r="E2315" s="1"/>
      <c r="F2315" s="1"/>
      <c r="H2315" s="1"/>
    </row>
    <row r="2316" spans="2:8" x14ac:dyDescent="0.25">
      <c r="B2316" s="1"/>
      <c r="C2316" s="1"/>
      <c r="D2316" s="1"/>
      <c r="E2316" s="1"/>
      <c r="F2316" s="1"/>
      <c r="H2316" s="1"/>
    </row>
    <row r="2317" spans="2:8" x14ac:dyDescent="0.25">
      <c r="B2317" s="1"/>
      <c r="C2317" s="1"/>
      <c r="D2317" s="1"/>
      <c r="E2317" s="1"/>
      <c r="F2317" s="1"/>
      <c r="H2317" s="1"/>
    </row>
    <row r="2318" spans="2:8" x14ac:dyDescent="0.25">
      <c r="B2318" s="1"/>
      <c r="C2318" s="1"/>
      <c r="D2318" s="1"/>
      <c r="E2318" s="1"/>
      <c r="F2318" s="1"/>
      <c r="H2318" s="1"/>
    </row>
    <row r="2319" spans="2:8" x14ac:dyDescent="0.25">
      <c r="B2319" s="1"/>
      <c r="C2319" s="1"/>
      <c r="D2319" s="1"/>
      <c r="E2319" s="1"/>
      <c r="F2319" s="1"/>
      <c r="H2319" s="1"/>
    </row>
    <row r="2320" spans="2:8" x14ac:dyDescent="0.25">
      <c r="B2320" s="1"/>
      <c r="C2320" s="1"/>
      <c r="D2320" s="1"/>
      <c r="E2320" s="1"/>
      <c r="F2320" s="1"/>
      <c r="H2320" s="1"/>
    </row>
    <row r="2321" spans="2:8" x14ac:dyDescent="0.25">
      <c r="B2321" s="1"/>
      <c r="C2321" s="1"/>
      <c r="D2321" s="1"/>
      <c r="E2321" s="1"/>
      <c r="F2321" s="1"/>
      <c r="H2321" s="1"/>
    </row>
    <row r="2322" spans="2:8" x14ac:dyDescent="0.25">
      <c r="B2322" s="1"/>
      <c r="C2322" s="1"/>
      <c r="D2322" s="1"/>
      <c r="E2322" s="1"/>
      <c r="F2322" s="1"/>
      <c r="H2322" s="1"/>
    </row>
    <row r="2323" spans="2:8" x14ac:dyDescent="0.25">
      <c r="B2323" s="1"/>
      <c r="C2323" s="1"/>
      <c r="D2323" s="1"/>
      <c r="E2323" s="1"/>
      <c r="F2323" s="1"/>
      <c r="H2323" s="1"/>
    </row>
    <row r="2324" spans="2:8" x14ac:dyDescent="0.25">
      <c r="B2324" s="1"/>
      <c r="C2324" s="1"/>
      <c r="D2324" s="1"/>
      <c r="E2324" s="1"/>
      <c r="F2324" s="1"/>
      <c r="H2324" s="1"/>
    </row>
    <row r="2325" spans="2:8" x14ac:dyDescent="0.25">
      <c r="B2325" s="1"/>
      <c r="C2325" s="1"/>
      <c r="D2325" s="1"/>
      <c r="E2325" s="1"/>
      <c r="F2325" s="1"/>
      <c r="H2325" s="1"/>
    </row>
    <row r="2326" spans="2:8" x14ac:dyDescent="0.25">
      <c r="B2326" s="1"/>
      <c r="C2326" s="1"/>
      <c r="D2326" s="1"/>
      <c r="E2326" s="1"/>
      <c r="F2326" s="1"/>
      <c r="H2326" s="1"/>
    </row>
    <row r="2327" spans="2:8" x14ac:dyDescent="0.25">
      <c r="B2327" s="1"/>
      <c r="C2327" s="1"/>
      <c r="D2327" s="1"/>
      <c r="E2327" s="1"/>
      <c r="F2327" s="1"/>
      <c r="H2327" s="1"/>
    </row>
    <row r="2328" spans="2:8" x14ac:dyDescent="0.25">
      <c r="B2328" s="1"/>
      <c r="C2328" s="1"/>
      <c r="D2328" s="1"/>
      <c r="E2328" s="1"/>
      <c r="F2328" s="1"/>
      <c r="H2328" s="1"/>
    </row>
    <row r="2329" spans="2:8" x14ac:dyDescent="0.25">
      <c r="B2329" s="1"/>
      <c r="C2329" s="1"/>
      <c r="D2329" s="1"/>
      <c r="E2329" s="1"/>
      <c r="F2329" s="1"/>
      <c r="H2329" s="1"/>
    </row>
    <row r="2330" spans="2:8" x14ac:dyDescent="0.25">
      <c r="B2330" s="1"/>
      <c r="C2330" s="1"/>
      <c r="D2330" s="1"/>
      <c r="E2330" s="1"/>
      <c r="F2330" s="1"/>
      <c r="H2330" s="1"/>
    </row>
    <row r="2331" spans="2:8" x14ac:dyDescent="0.25">
      <c r="B2331" s="1"/>
      <c r="C2331" s="1"/>
      <c r="D2331" s="1"/>
      <c r="E2331" s="1"/>
      <c r="F2331" s="1"/>
      <c r="H2331" s="1"/>
    </row>
    <row r="2332" spans="2:8" x14ac:dyDescent="0.25">
      <c r="B2332" s="1"/>
      <c r="C2332" s="1"/>
      <c r="D2332" s="1"/>
      <c r="E2332" s="1"/>
      <c r="F2332" s="1"/>
      <c r="H2332" s="1"/>
    </row>
    <row r="2333" spans="2:8" x14ac:dyDescent="0.25">
      <c r="B2333" s="1"/>
      <c r="C2333" s="1"/>
      <c r="D2333" s="1"/>
      <c r="E2333" s="1"/>
      <c r="F2333" s="1"/>
      <c r="H2333" s="1"/>
    </row>
    <row r="2334" spans="2:8" x14ac:dyDescent="0.25">
      <c r="B2334" s="1"/>
      <c r="C2334" s="1"/>
      <c r="D2334" s="1"/>
      <c r="E2334" s="1"/>
      <c r="F2334" s="1"/>
      <c r="H2334" s="1"/>
    </row>
    <row r="2335" spans="2:8" x14ac:dyDescent="0.25">
      <c r="B2335" s="1"/>
      <c r="C2335" s="1"/>
      <c r="D2335" s="1"/>
      <c r="E2335" s="1"/>
      <c r="F2335" s="1"/>
      <c r="H2335" s="1"/>
    </row>
    <row r="2336" spans="2:8" x14ac:dyDescent="0.25">
      <c r="B2336" s="1"/>
      <c r="C2336" s="1"/>
      <c r="D2336" s="1"/>
      <c r="E2336" s="1"/>
      <c r="F2336" s="1"/>
      <c r="H2336" s="1"/>
    </row>
    <row r="2337" spans="2:8" x14ac:dyDescent="0.25">
      <c r="B2337" s="1"/>
      <c r="C2337" s="1"/>
      <c r="D2337" s="1"/>
      <c r="E2337" s="1"/>
      <c r="F2337" s="1"/>
      <c r="H2337" s="1"/>
    </row>
    <row r="2338" spans="2:8" x14ac:dyDescent="0.25">
      <c r="B2338" s="1"/>
      <c r="C2338" s="1"/>
      <c r="D2338" s="1"/>
      <c r="E2338" s="1"/>
      <c r="F2338" s="1"/>
      <c r="H2338" s="1"/>
    </row>
    <row r="2339" spans="2:8" x14ac:dyDescent="0.25">
      <c r="B2339" s="1"/>
      <c r="C2339" s="1"/>
      <c r="D2339" s="1"/>
      <c r="E2339" s="1"/>
      <c r="F2339" s="1"/>
      <c r="H2339" s="1"/>
    </row>
    <row r="2340" spans="2:8" x14ac:dyDescent="0.25">
      <c r="B2340" s="1"/>
      <c r="C2340" s="1"/>
      <c r="D2340" s="1"/>
      <c r="E2340" s="1"/>
      <c r="F2340" s="1"/>
      <c r="H2340" s="1"/>
    </row>
    <row r="2341" spans="2:8" x14ac:dyDescent="0.25">
      <c r="B2341" s="1"/>
      <c r="C2341" s="1"/>
      <c r="D2341" s="1"/>
      <c r="E2341" s="1"/>
      <c r="F2341" s="1"/>
      <c r="H2341" s="1"/>
    </row>
    <row r="2342" spans="2:8" x14ac:dyDescent="0.25">
      <c r="B2342" s="1"/>
      <c r="C2342" s="1"/>
      <c r="D2342" s="1"/>
      <c r="E2342" s="1"/>
      <c r="F2342" s="1"/>
      <c r="H2342" s="1"/>
    </row>
    <row r="2343" spans="2:8" x14ac:dyDescent="0.25">
      <c r="B2343" s="1"/>
      <c r="C2343" s="1"/>
      <c r="D2343" s="1"/>
      <c r="E2343" s="1"/>
      <c r="F2343" s="1"/>
      <c r="H2343" s="1"/>
    </row>
    <row r="2344" spans="2:8" x14ac:dyDescent="0.25">
      <c r="B2344" s="1"/>
      <c r="C2344" s="1"/>
      <c r="D2344" s="1"/>
      <c r="E2344" s="1"/>
      <c r="F2344" s="1"/>
      <c r="H2344" s="1"/>
    </row>
    <row r="2345" spans="2:8" x14ac:dyDescent="0.25">
      <c r="B2345" s="1"/>
      <c r="C2345" s="1"/>
      <c r="D2345" s="1"/>
      <c r="E2345" s="1"/>
      <c r="F2345" s="1"/>
      <c r="H2345" s="1"/>
    </row>
    <row r="2346" spans="2:8" x14ac:dyDescent="0.25">
      <c r="B2346" s="1"/>
      <c r="C2346" s="1"/>
      <c r="D2346" s="1"/>
      <c r="E2346" s="1"/>
      <c r="F2346" s="1"/>
      <c r="H2346" s="1"/>
    </row>
    <row r="2347" spans="2:8" x14ac:dyDescent="0.25">
      <c r="B2347" s="1"/>
      <c r="C2347" s="1"/>
      <c r="D2347" s="1"/>
      <c r="E2347" s="1"/>
      <c r="F2347" s="1"/>
      <c r="H2347" s="1"/>
    </row>
    <row r="2348" spans="2:8" x14ac:dyDescent="0.25">
      <c r="B2348" s="1"/>
      <c r="C2348" s="1"/>
      <c r="D2348" s="1"/>
      <c r="E2348" s="1"/>
      <c r="F2348" s="1"/>
      <c r="H2348" s="1"/>
    </row>
    <row r="2349" spans="2:8" x14ac:dyDescent="0.25">
      <c r="B2349" s="1"/>
      <c r="C2349" s="1"/>
      <c r="D2349" s="1"/>
      <c r="E2349" s="1"/>
      <c r="F2349" s="1"/>
      <c r="H2349" s="1"/>
    </row>
    <row r="2350" spans="2:8" x14ac:dyDescent="0.25">
      <c r="B2350" s="1"/>
      <c r="C2350" s="1"/>
      <c r="D2350" s="1"/>
      <c r="E2350" s="1"/>
      <c r="F2350" s="1"/>
      <c r="H2350" s="1"/>
    </row>
    <row r="2351" spans="2:8" x14ac:dyDescent="0.25">
      <c r="B2351" s="1"/>
      <c r="C2351" s="1"/>
      <c r="D2351" s="1"/>
      <c r="E2351" s="1"/>
      <c r="F2351" s="1"/>
      <c r="H2351" s="1"/>
    </row>
    <row r="2352" spans="2:8" x14ac:dyDescent="0.25">
      <c r="B2352" s="1"/>
      <c r="C2352" s="1"/>
      <c r="D2352" s="1"/>
      <c r="E2352" s="1"/>
      <c r="F2352" s="1"/>
      <c r="H2352" s="1"/>
    </row>
    <row r="2353" spans="2:8" x14ac:dyDescent="0.25">
      <c r="B2353" s="1"/>
      <c r="C2353" s="1"/>
      <c r="D2353" s="1"/>
      <c r="E2353" s="1"/>
      <c r="F2353" s="1"/>
      <c r="H2353" s="1"/>
    </row>
    <row r="2354" spans="2:8" x14ac:dyDescent="0.25">
      <c r="B2354" s="1"/>
      <c r="C2354" s="1"/>
      <c r="D2354" s="1"/>
      <c r="E2354" s="1"/>
      <c r="F2354" s="1"/>
      <c r="H2354" s="1"/>
    </row>
    <row r="2355" spans="2:8" x14ac:dyDescent="0.25">
      <c r="B2355" s="1"/>
      <c r="C2355" s="1"/>
      <c r="D2355" s="1"/>
      <c r="E2355" s="1"/>
      <c r="F2355" s="1"/>
      <c r="H2355" s="1"/>
    </row>
    <row r="2356" spans="2:8" x14ac:dyDescent="0.25">
      <c r="B2356" s="1"/>
      <c r="C2356" s="1"/>
      <c r="D2356" s="1"/>
      <c r="E2356" s="1"/>
      <c r="F2356" s="1"/>
      <c r="H2356" s="1"/>
    </row>
    <row r="2357" spans="2:8" x14ac:dyDescent="0.25">
      <c r="B2357" s="1"/>
      <c r="C2357" s="1"/>
      <c r="D2357" s="1"/>
      <c r="E2357" s="1"/>
      <c r="F2357" s="1"/>
      <c r="H2357" s="1"/>
    </row>
    <row r="2358" spans="2:8" x14ac:dyDescent="0.25">
      <c r="B2358" s="1"/>
      <c r="C2358" s="1"/>
      <c r="D2358" s="1"/>
      <c r="E2358" s="1"/>
      <c r="F2358" s="1"/>
      <c r="H2358" s="1"/>
    </row>
    <row r="2359" spans="2:8" x14ac:dyDescent="0.25">
      <c r="B2359" s="1"/>
      <c r="C2359" s="1"/>
      <c r="D2359" s="1"/>
      <c r="E2359" s="1"/>
      <c r="F2359" s="1"/>
      <c r="H2359" s="1"/>
    </row>
    <row r="2360" spans="2:8" x14ac:dyDescent="0.25">
      <c r="B2360" s="1"/>
      <c r="C2360" s="1"/>
      <c r="D2360" s="1"/>
      <c r="E2360" s="1"/>
      <c r="F2360" s="1"/>
      <c r="H2360" s="1"/>
    </row>
    <row r="2361" spans="2:8" x14ac:dyDescent="0.25">
      <c r="B2361" s="1"/>
      <c r="C2361" s="1"/>
      <c r="D2361" s="1"/>
      <c r="E2361" s="1"/>
      <c r="F2361" s="1"/>
      <c r="H2361" s="1"/>
    </row>
    <row r="2362" spans="2:8" x14ac:dyDescent="0.25">
      <c r="B2362" s="1"/>
      <c r="C2362" s="1"/>
      <c r="D2362" s="1"/>
      <c r="E2362" s="1"/>
      <c r="F2362" s="1"/>
      <c r="H2362" s="1"/>
    </row>
    <row r="2363" spans="2:8" x14ac:dyDescent="0.25">
      <c r="B2363" s="1"/>
      <c r="C2363" s="1"/>
      <c r="D2363" s="1"/>
      <c r="E2363" s="1"/>
      <c r="F2363" s="1"/>
      <c r="H2363" s="1"/>
    </row>
    <row r="2364" spans="2:8" x14ac:dyDescent="0.25">
      <c r="B2364" s="1"/>
      <c r="C2364" s="1"/>
      <c r="D2364" s="1"/>
      <c r="E2364" s="1"/>
      <c r="F2364" s="1"/>
      <c r="H2364" s="1"/>
    </row>
    <row r="2365" spans="2:8" x14ac:dyDescent="0.25">
      <c r="B2365" s="1"/>
      <c r="C2365" s="1"/>
      <c r="D2365" s="1"/>
      <c r="E2365" s="1"/>
      <c r="F2365" s="1"/>
      <c r="H2365" s="1"/>
    </row>
    <row r="2366" spans="2:8" x14ac:dyDescent="0.25">
      <c r="B2366" s="1"/>
      <c r="C2366" s="1"/>
      <c r="D2366" s="1"/>
      <c r="E2366" s="1"/>
      <c r="F2366" s="1"/>
      <c r="H2366" s="1"/>
    </row>
    <row r="2367" spans="2:8" x14ac:dyDescent="0.25">
      <c r="B2367" s="1"/>
      <c r="C2367" s="1"/>
      <c r="D2367" s="1"/>
      <c r="E2367" s="1"/>
      <c r="F2367" s="1"/>
      <c r="H2367" s="1"/>
    </row>
    <row r="2368" spans="2:8" x14ac:dyDescent="0.25">
      <c r="B2368" s="1"/>
      <c r="C2368" s="1"/>
      <c r="D2368" s="1"/>
      <c r="E2368" s="1"/>
      <c r="F2368" s="1"/>
      <c r="H2368" s="1"/>
    </row>
    <row r="2369" spans="2:8" x14ac:dyDescent="0.25">
      <c r="B2369" s="1"/>
      <c r="C2369" s="1"/>
      <c r="D2369" s="1"/>
      <c r="E2369" s="1"/>
      <c r="F2369" s="1"/>
      <c r="H2369" s="1"/>
    </row>
    <row r="2370" spans="2:8" x14ac:dyDescent="0.25">
      <c r="B2370" s="1"/>
      <c r="C2370" s="1"/>
      <c r="D2370" s="1"/>
      <c r="E2370" s="1"/>
      <c r="F2370" s="1"/>
      <c r="H2370" s="1"/>
    </row>
    <row r="2371" spans="2:8" x14ac:dyDescent="0.25">
      <c r="B2371" s="1"/>
      <c r="C2371" s="1"/>
      <c r="D2371" s="1"/>
      <c r="E2371" s="1"/>
      <c r="F2371" s="1"/>
      <c r="H2371" s="1"/>
    </row>
    <row r="2372" spans="2:8" x14ac:dyDescent="0.25">
      <c r="B2372" s="1"/>
      <c r="C2372" s="1"/>
      <c r="D2372" s="1"/>
      <c r="E2372" s="1"/>
      <c r="F2372" s="1"/>
      <c r="H2372" s="1"/>
    </row>
    <row r="2373" spans="2:8" x14ac:dyDescent="0.25">
      <c r="B2373" s="1"/>
      <c r="C2373" s="1"/>
      <c r="D2373" s="1"/>
      <c r="E2373" s="1"/>
      <c r="F2373" s="1"/>
      <c r="H2373" s="1"/>
    </row>
    <row r="2374" spans="2:8" x14ac:dyDescent="0.25">
      <c r="B2374" s="1"/>
      <c r="C2374" s="1"/>
      <c r="D2374" s="1"/>
      <c r="E2374" s="1"/>
      <c r="F2374" s="1"/>
      <c r="H2374" s="1"/>
    </row>
    <row r="2375" spans="2:8" x14ac:dyDescent="0.25">
      <c r="B2375" s="1"/>
      <c r="C2375" s="1"/>
      <c r="D2375" s="1"/>
      <c r="E2375" s="1"/>
      <c r="F2375" s="1"/>
      <c r="H2375" s="1"/>
    </row>
    <row r="2376" spans="2:8" x14ac:dyDescent="0.25">
      <c r="B2376" s="1"/>
      <c r="C2376" s="1"/>
      <c r="D2376" s="1"/>
      <c r="E2376" s="1"/>
      <c r="F2376" s="1"/>
      <c r="H2376" s="1"/>
    </row>
    <row r="2377" spans="2:8" x14ac:dyDescent="0.25">
      <c r="B2377" s="1"/>
      <c r="C2377" s="1"/>
      <c r="D2377" s="1"/>
      <c r="E2377" s="1"/>
      <c r="F2377" s="1"/>
      <c r="H2377" s="1"/>
    </row>
    <row r="2378" spans="2:8" x14ac:dyDescent="0.25">
      <c r="B2378" s="1"/>
      <c r="C2378" s="1"/>
      <c r="D2378" s="1"/>
      <c r="E2378" s="1"/>
      <c r="F2378" s="1"/>
      <c r="H2378" s="1"/>
    </row>
    <row r="2379" spans="2:8" x14ac:dyDescent="0.25">
      <c r="B2379" s="1"/>
      <c r="C2379" s="1"/>
      <c r="D2379" s="1"/>
      <c r="E2379" s="1"/>
      <c r="F2379" s="1"/>
      <c r="H2379" s="1"/>
    </row>
    <row r="2380" spans="2:8" x14ac:dyDescent="0.25">
      <c r="B2380" s="1"/>
      <c r="C2380" s="1"/>
      <c r="D2380" s="1"/>
      <c r="E2380" s="1"/>
      <c r="F2380" s="1"/>
      <c r="H2380" s="1"/>
    </row>
    <row r="2381" spans="2:8" x14ac:dyDescent="0.25">
      <c r="B2381" s="1"/>
      <c r="C2381" s="1"/>
      <c r="D2381" s="1"/>
      <c r="E2381" s="1"/>
      <c r="F2381" s="1"/>
      <c r="H2381" s="1"/>
    </row>
    <row r="2382" spans="2:8" x14ac:dyDescent="0.25">
      <c r="B2382" s="1"/>
      <c r="C2382" s="1"/>
      <c r="D2382" s="1"/>
      <c r="E2382" s="1"/>
      <c r="F2382" s="1"/>
      <c r="H2382" s="1"/>
    </row>
    <row r="2383" spans="2:8" x14ac:dyDescent="0.25">
      <c r="B2383" s="1"/>
      <c r="C2383" s="1"/>
      <c r="D2383" s="1"/>
      <c r="E2383" s="1"/>
      <c r="F2383" s="1"/>
      <c r="H2383" s="1"/>
    </row>
    <row r="2384" spans="2:8" x14ac:dyDescent="0.25">
      <c r="B2384" s="1"/>
      <c r="C2384" s="1"/>
      <c r="D2384" s="1"/>
      <c r="E2384" s="1"/>
      <c r="F2384" s="1"/>
      <c r="H2384" s="1"/>
    </row>
    <row r="2385" spans="2:8" x14ac:dyDescent="0.25">
      <c r="B2385" s="1"/>
      <c r="C2385" s="1"/>
      <c r="D2385" s="1"/>
      <c r="E2385" s="1"/>
      <c r="F2385" s="1"/>
      <c r="H2385" s="1"/>
    </row>
    <row r="2386" spans="2:8" x14ac:dyDescent="0.25">
      <c r="B2386" s="1"/>
      <c r="C2386" s="1"/>
      <c r="D2386" s="1"/>
      <c r="E2386" s="1"/>
      <c r="F2386" s="1"/>
      <c r="H2386" s="1"/>
    </row>
    <row r="2387" spans="2:8" x14ac:dyDescent="0.25">
      <c r="B2387" s="1"/>
      <c r="C2387" s="1"/>
      <c r="D2387" s="1"/>
      <c r="E2387" s="1"/>
      <c r="F2387" s="1"/>
      <c r="H2387" s="1"/>
    </row>
    <row r="2388" spans="2:8" x14ac:dyDescent="0.25">
      <c r="B2388" s="1"/>
      <c r="C2388" s="1"/>
      <c r="D2388" s="1"/>
      <c r="E2388" s="1"/>
      <c r="F2388" s="1"/>
      <c r="H2388" s="1"/>
    </row>
    <row r="2389" spans="2:8" x14ac:dyDescent="0.25">
      <c r="B2389" s="1"/>
      <c r="C2389" s="1"/>
      <c r="D2389" s="1"/>
      <c r="E2389" s="1"/>
      <c r="F2389" s="1"/>
      <c r="H2389" s="1"/>
    </row>
    <row r="2390" spans="2:8" x14ac:dyDescent="0.25">
      <c r="B2390" s="1"/>
      <c r="C2390" s="1"/>
      <c r="D2390" s="1"/>
      <c r="E2390" s="1"/>
      <c r="F2390" s="1"/>
      <c r="H2390" s="1"/>
    </row>
    <row r="2391" spans="2:8" x14ac:dyDescent="0.25">
      <c r="B2391" s="1"/>
      <c r="C2391" s="1"/>
      <c r="D2391" s="1"/>
      <c r="E2391" s="1"/>
      <c r="F2391" s="1"/>
      <c r="H2391" s="1"/>
    </row>
    <row r="2392" spans="2:8" x14ac:dyDescent="0.25">
      <c r="B2392" s="1"/>
      <c r="C2392" s="1"/>
      <c r="D2392" s="1"/>
      <c r="E2392" s="1"/>
      <c r="F2392" s="1"/>
      <c r="H2392" s="1"/>
    </row>
    <row r="2393" spans="2:8" x14ac:dyDescent="0.25">
      <c r="B2393" s="1"/>
      <c r="C2393" s="1"/>
      <c r="D2393" s="1"/>
      <c r="E2393" s="1"/>
      <c r="F2393" s="1"/>
      <c r="H2393" s="1"/>
    </row>
    <row r="2394" spans="2:8" x14ac:dyDescent="0.25">
      <c r="B2394" s="1"/>
      <c r="C2394" s="1"/>
      <c r="D2394" s="1"/>
      <c r="E2394" s="1"/>
      <c r="F2394" s="1"/>
      <c r="H2394" s="1"/>
    </row>
    <row r="2395" spans="2:8" x14ac:dyDescent="0.25">
      <c r="B2395" s="1"/>
      <c r="C2395" s="1"/>
      <c r="D2395" s="1"/>
      <c r="E2395" s="1"/>
      <c r="F2395" s="1"/>
      <c r="H2395" s="1"/>
    </row>
    <row r="2396" spans="2:8" x14ac:dyDescent="0.25">
      <c r="B2396" s="1"/>
      <c r="C2396" s="1"/>
      <c r="D2396" s="1"/>
      <c r="E2396" s="1"/>
      <c r="F2396" s="1"/>
      <c r="H2396" s="1"/>
    </row>
    <row r="2397" spans="2:8" x14ac:dyDescent="0.25">
      <c r="B2397" s="1"/>
      <c r="C2397" s="1"/>
      <c r="D2397" s="1"/>
      <c r="E2397" s="1"/>
      <c r="F2397" s="1"/>
      <c r="H2397" s="1"/>
    </row>
    <row r="2398" spans="2:8" x14ac:dyDescent="0.25">
      <c r="B2398" s="1"/>
      <c r="C2398" s="1"/>
      <c r="D2398" s="1"/>
      <c r="E2398" s="1"/>
      <c r="F2398" s="1"/>
      <c r="H2398" s="1"/>
    </row>
    <row r="2399" spans="2:8" x14ac:dyDescent="0.25">
      <c r="B2399" s="1"/>
      <c r="C2399" s="1"/>
      <c r="D2399" s="1"/>
      <c r="E2399" s="1"/>
      <c r="F2399" s="1"/>
      <c r="H2399" s="1"/>
    </row>
    <row r="2400" spans="2:8" x14ac:dyDescent="0.25">
      <c r="B2400" s="1"/>
      <c r="C2400" s="1"/>
      <c r="D2400" s="1"/>
      <c r="E2400" s="1"/>
      <c r="F2400" s="1"/>
      <c r="H2400" s="1"/>
    </row>
    <row r="2401" spans="2:8" x14ac:dyDescent="0.25">
      <c r="B2401" s="1"/>
      <c r="C2401" s="1"/>
      <c r="D2401" s="1"/>
      <c r="E2401" s="1"/>
      <c r="F2401" s="1"/>
      <c r="H2401" s="1"/>
    </row>
    <row r="2402" spans="2:8" x14ac:dyDescent="0.25">
      <c r="B2402" s="1"/>
      <c r="C2402" s="1"/>
      <c r="D2402" s="1"/>
      <c r="E2402" s="1"/>
      <c r="F2402" s="1"/>
      <c r="H2402" s="1"/>
    </row>
    <row r="2403" spans="2:8" x14ac:dyDescent="0.25">
      <c r="B2403" s="1"/>
      <c r="C2403" s="1"/>
      <c r="D2403" s="1"/>
      <c r="E2403" s="1"/>
      <c r="F2403" s="1"/>
      <c r="H2403" s="1"/>
    </row>
    <row r="2404" spans="2:8" x14ac:dyDescent="0.25">
      <c r="B2404" s="1"/>
      <c r="C2404" s="1"/>
      <c r="D2404" s="1"/>
      <c r="E2404" s="1"/>
      <c r="F2404" s="1"/>
      <c r="H2404" s="1"/>
    </row>
    <row r="2405" spans="2:8" x14ac:dyDescent="0.25">
      <c r="B2405" s="1"/>
      <c r="C2405" s="1"/>
      <c r="D2405" s="1"/>
      <c r="E2405" s="1"/>
      <c r="F2405" s="1"/>
      <c r="H2405" s="1"/>
    </row>
    <row r="2406" spans="2:8" x14ac:dyDescent="0.25">
      <c r="B2406" s="1"/>
      <c r="C2406" s="1"/>
      <c r="D2406" s="1"/>
      <c r="E2406" s="1"/>
      <c r="F2406" s="1"/>
      <c r="H2406" s="1"/>
    </row>
    <row r="2407" spans="2:8" x14ac:dyDescent="0.25">
      <c r="B2407" s="1"/>
      <c r="C2407" s="1"/>
      <c r="D2407" s="1"/>
      <c r="E2407" s="1"/>
      <c r="F2407" s="1"/>
      <c r="H2407" s="1"/>
    </row>
    <row r="2408" spans="2:8" x14ac:dyDescent="0.25">
      <c r="B2408" s="1"/>
      <c r="C2408" s="1"/>
      <c r="D2408" s="1"/>
      <c r="E2408" s="1"/>
      <c r="F2408" s="1"/>
      <c r="H2408" s="1"/>
    </row>
    <row r="2409" spans="2:8" x14ac:dyDescent="0.25">
      <c r="B2409" s="1"/>
      <c r="C2409" s="1"/>
      <c r="D2409" s="1"/>
      <c r="E2409" s="1"/>
      <c r="F2409" s="1"/>
      <c r="H2409" s="1"/>
    </row>
    <row r="2410" spans="2:8" x14ac:dyDescent="0.25">
      <c r="B2410" s="1"/>
      <c r="C2410" s="1"/>
      <c r="D2410" s="1"/>
      <c r="E2410" s="1"/>
      <c r="F2410" s="1"/>
      <c r="H2410" s="1"/>
    </row>
    <row r="2411" spans="2:8" x14ac:dyDescent="0.25">
      <c r="B2411" s="1"/>
      <c r="C2411" s="1"/>
      <c r="D2411" s="1"/>
      <c r="E2411" s="1"/>
      <c r="F2411" s="1"/>
      <c r="H2411" s="1"/>
    </row>
    <row r="2412" spans="2:8" x14ac:dyDescent="0.25">
      <c r="B2412" s="1"/>
      <c r="C2412" s="1"/>
      <c r="D2412" s="1"/>
      <c r="E2412" s="1"/>
      <c r="F2412" s="1"/>
      <c r="H2412" s="1"/>
    </row>
    <row r="2413" spans="2:8" x14ac:dyDescent="0.25">
      <c r="B2413" s="1"/>
      <c r="C2413" s="1"/>
      <c r="D2413" s="1"/>
      <c r="E2413" s="1"/>
      <c r="F2413" s="1"/>
      <c r="H2413" s="1"/>
    </row>
    <row r="2414" spans="2:8" x14ac:dyDescent="0.25">
      <c r="B2414" s="1"/>
      <c r="C2414" s="1"/>
      <c r="D2414" s="1"/>
      <c r="E2414" s="1"/>
      <c r="F2414" s="1"/>
      <c r="H2414" s="1"/>
    </row>
    <row r="2415" spans="2:8" x14ac:dyDescent="0.25">
      <c r="B2415" s="1"/>
      <c r="C2415" s="1"/>
      <c r="D2415" s="1"/>
      <c r="E2415" s="1"/>
      <c r="F2415" s="1"/>
      <c r="H2415" s="1"/>
    </row>
    <row r="2416" spans="2:8" x14ac:dyDescent="0.25">
      <c r="B2416" s="1"/>
      <c r="C2416" s="1"/>
      <c r="D2416" s="1"/>
      <c r="E2416" s="1"/>
      <c r="F2416" s="1"/>
      <c r="H2416" s="1"/>
    </row>
    <row r="2417" spans="2:8" x14ac:dyDescent="0.25">
      <c r="B2417" s="1"/>
      <c r="C2417" s="1"/>
      <c r="D2417" s="1"/>
      <c r="E2417" s="1"/>
      <c r="F2417" s="1"/>
      <c r="H2417" s="1"/>
    </row>
    <row r="2418" spans="2:8" x14ac:dyDescent="0.25">
      <c r="B2418" s="1"/>
      <c r="C2418" s="1"/>
      <c r="D2418" s="1"/>
      <c r="E2418" s="1"/>
      <c r="F2418" s="1"/>
      <c r="H2418" s="1"/>
    </row>
    <row r="2419" spans="2:8" x14ac:dyDescent="0.25">
      <c r="B2419" s="1"/>
      <c r="C2419" s="1"/>
      <c r="D2419" s="1"/>
      <c r="E2419" s="1"/>
      <c r="F2419" s="1"/>
      <c r="H2419" s="1"/>
    </row>
    <row r="2420" spans="2:8" x14ac:dyDescent="0.25">
      <c r="B2420" s="1"/>
      <c r="C2420" s="1"/>
      <c r="D2420" s="1"/>
      <c r="E2420" s="1"/>
      <c r="F2420" s="1"/>
      <c r="H2420" s="1"/>
    </row>
    <row r="2421" spans="2:8" x14ac:dyDescent="0.25">
      <c r="B2421" s="1"/>
      <c r="C2421" s="1"/>
      <c r="D2421" s="1"/>
      <c r="E2421" s="1"/>
      <c r="F2421" s="1"/>
      <c r="H2421" s="1"/>
    </row>
    <row r="2422" spans="2:8" x14ac:dyDescent="0.25">
      <c r="B2422" s="1"/>
      <c r="C2422" s="1"/>
      <c r="D2422" s="1"/>
      <c r="E2422" s="1"/>
      <c r="F2422" s="1"/>
      <c r="H2422" s="1"/>
    </row>
    <row r="2423" spans="2:8" x14ac:dyDescent="0.25">
      <c r="B2423" s="1"/>
      <c r="C2423" s="1"/>
      <c r="D2423" s="1"/>
      <c r="E2423" s="1"/>
      <c r="F2423" s="1"/>
      <c r="H2423" s="1"/>
    </row>
    <row r="2424" spans="2:8" x14ac:dyDescent="0.25">
      <c r="B2424" s="1"/>
      <c r="C2424" s="1"/>
      <c r="D2424" s="1"/>
      <c r="E2424" s="1"/>
      <c r="F2424" s="1"/>
      <c r="H2424" s="1"/>
    </row>
    <row r="2425" spans="2:8" x14ac:dyDescent="0.25">
      <c r="B2425" s="1"/>
      <c r="C2425" s="1"/>
      <c r="D2425" s="1"/>
      <c r="E2425" s="1"/>
      <c r="F2425" s="1"/>
      <c r="H2425" s="1"/>
    </row>
    <row r="2426" spans="2:8" x14ac:dyDescent="0.25">
      <c r="B2426" s="1"/>
      <c r="C2426" s="1"/>
      <c r="D2426" s="1"/>
      <c r="E2426" s="1"/>
      <c r="F2426" s="1"/>
      <c r="H2426" s="1"/>
    </row>
    <row r="2427" spans="2:8" x14ac:dyDescent="0.25">
      <c r="B2427" s="1"/>
      <c r="C2427" s="1"/>
      <c r="D2427" s="1"/>
      <c r="E2427" s="1"/>
      <c r="F2427" s="1"/>
      <c r="H2427" s="1"/>
    </row>
    <row r="2428" spans="2:8" x14ac:dyDescent="0.25">
      <c r="B2428" s="1"/>
      <c r="C2428" s="1"/>
      <c r="D2428" s="1"/>
      <c r="E2428" s="1"/>
      <c r="F2428" s="1"/>
      <c r="H2428" s="1"/>
    </row>
    <row r="2429" spans="2:8" x14ac:dyDescent="0.25">
      <c r="B2429" s="1"/>
      <c r="C2429" s="1"/>
      <c r="D2429" s="1"/>
      <c r="E2429" s="1"/>
      <c r="F2429" s="1"/>
      <c r="H2429" s="1"/>
    </row>
    <row r="2430" spans="2:8" x14ac:dyDescent="0.25">
      <c r="B2430" s="1"/>
      <c r="C2430" s="1"/>
      <c r="D2430" s="1"/>
      <c r="E2430" s="1"/>
      <c r="F2430" s="1"/>
      <c r="H2430" s="1"/>
    </row>
    <row r="2431" spans="2:8" x14ac:dyDescent="0.25">
      <c r="B2431" s="1"/>
      <c r="C2431" s="1"/>
      <c r="D2431" s="1"/>
      <c r="E2431" s="1"/>
      <c r="F2431" s="1"/>
      <c r="H2431" s="1"/>
    </row>
    <row r="2432" spans="2:8" x14ac:dyDescent="0.25">
      <c r="B2432" s="1"/>
      <c r="C2432" s="1"/>
      <c r="D2432" s="1"/>
      <c r="E2432" s="1"/>
      <c r="F2432" s="1"/>
      <c r="H2432" s="1"/>
    </row>
    <row r="2433" spans="2:8" x14ac:dyDescent="0.25">
      <c r="B2433" s="1"/>
      <c r="C2433" s="1"/>
      <c r="D2433" s="1"/>
      <c r="E2433" s="1"/>
      <c r="F2433" s="1"/>
      <c r="H2433" s="1"/>
    </row>
    <row r="2434" spans="2:8" x14ac:dyDescent="0.25">
      <c r="B2434" s="1"/>
      <c r="C2434" s="1"/>
      <c r="D2434" s="1"/>
      <c r="E2434" s="1"/>
      <c r="F2434" s="1"/>
      <c r="H2434" s="1"/>
    </row>
    <row r="2435" spans="2:8" x14ac:dyDescent="0.25">
      <c r="B2435" s="1"/>
      <c r="C2435" s="1"/>
      <c r="D2435" s="1"/>
      <c r="E2435" s="1"/>
      <c r="F2435" s="1"/>
      <c r="H2435" s="1"/>
    </row>
    <row r="2436" spans="2:8" x14ac:dyDescent="0.25">
      <c r="B2436" s="1"/>
      <c r="C2436" s="1"/>
      <c r="D2436" s="1"/>
      <c r="E2436" s="1"/>
      <c r="F2436" s="1"/>
      <c r="H2436" s="1"/>
    </row>
    <row r="2437" spans="2:8" x14ac:dyDescent="0.25">
      <c r="B2437" s="1"/>
      <c r="C2437" s="1"/>
      <c r="D2437" s="1"/>
      <c r="E2437" s="1"/>
      <c r="F2437" s="1"/>
      <c r="H2437" s="1"/>
    </row>
    <row r="2438" spans="2:8" x14ac:dyDescent="0.25">
      <c r="B2438" s="1"/>
      <c r="C2438" s="1"/>
      <c r="D2438" s="1"/>
      <c r="E2438" s="1"/>
      <c r="F2438" s="1"/>
      <c r="H2438" s="1"/>
    </row>
    <row r="2439" spans="2:8" x14ac:dyDescent="0.25">
      <c r="B2439" s="1"/>
      <c r="C2439" s="1"/>
      <c r="D2439" s="1"/>
      <c r="E2439" s="1"/>
      <c r="F2439" s="1"/>
      <c r="H2439" s="1"/>
    </row>
    <row r="2440" spans="2:8" x14ac:dyDescent="0.25">
      <c r="B2440" s="1"/>
      <c r="C2440" s="1"/>
      <c r="D2440" s="1"/>
      <c r="E2440" s="1"/>
      <c r="F2440" s="1"/>
      <c r="H2440" s="1"/>
    </row>
    <row r="2441" spans="2:8" x14ac:dyDescent="0.25">
      <c r="B2441" s="1"/>
      <c r="C2441" s="1"/>
      <c r="D2441" s="1"/>
      <c r="E2441" s="1"/>
      <c r="F2441" s="1"/>
      <c r="H2441" s="1"/>
    </row>
    <row r="2442" spans="2:8" x14ac:dyDescent="0.25">
      <c r="B2442" s="1"/>
      <c r="C2442" s="1"/>
      <c r="D2442" s="1"/>
      <c r="E2442" s="1"/>
      <c r="F2442" s="1"/>
      <c r="H2442" s="1"/>
    </row>
    <row r="2443" spans="2:8" x14ac:dyDescent="0.25">
      <c r="B2443" s="1"/>
      <c r="C2443" s="1"/>
      <c r="D2443" s="1"/>
      <c r="E2443" s="1"/>
      <c r="F2443" s="1"/>
      <c r="H2443" s="1"/>
    </row>
    <row r="2444" spans="2:8" x14ac:dyDescent="0.25">
      <c r="B2444" s="1"/>
      <c r="C2444" s="1"/>
      <c r="D2444" s="1"/>
      <c r="E2444" s="1"/>
      <c r="F2444" s="1"/>
      <c r="H2444" s="1"/>
    </row>
    <row r="2445" spans="2:8" x14ac:dyDescent="0.25">
      <c r="B2445" s="1"/>
      <c r="C2445" s="1"/>
      <c r="D2445" s="1"/>
      <c r="E2445" s="1"/>
      <c r="F2445" s="1"/>
      <c r="H2445" s="1"/>
    </row>
    <row r="2446" spans="2:8" x14ac:dyDescent="0.25">
      <c r="B2446" s="1"/>
      <c r="C2446" s="1"/>
      <c r="D2446" s="1"/>
      <c r="E2446" s="1"/>
      <c r="F2446" s="1"/>
      <c r="H2446" s="1"/>
    </row>
    <row r="2447" spans="2:8" x14ac:dyDescent="0.25">
      <c r="B2447" s="1"/>
      <c r="C2447" s="1"/>
      <c r="D2447" s="1"/>
      <c r="E2447" s="1"/>
      <c r="F2447" s="1"/>
      <c r="H2447" s="1"/>
    </row>
    <row r="2448" spans="2:8" x14ac:dyDescent="0.25">
      <c r="B2448" s="1"/>
      <c r="C2448" s="1"/>
      <c r="D2448" s="1"/>
      <c r="E2448" s="1"/>
      <c r="F2448" s="1"/>
      <c r="H2448" s="1"/>
    </row>
    <row r="2449" spans="2:8" x14ac:dyDescent="0.25">
      <c r="B2449" s="1"/>
      <c r="C2449" s="1"/>
      <c r="D2449" s="1"/>
      <c r="E2449" s="1"/>
      <c r="F2449" s="1"/>
      <c r="H2449" s="1"/>
    </row>
    <row r="2450" spans="2:8" x14ac:dyDescent="0.25">
      <c r="B2450" s="1"/>
      <c r="C2450" s="1"/>
      <c r="D2450" s="1"/>
      <c r="E2450" s="1"/>
      <c r="F2450" s="1"/>
      <c r="H2450" s="1"/>
    </row>
    <row r="2451" spans="2:8" x14ac:dyDescent="0.25">
      <c r="B2451" s="1"/>
      <c r="C2451" s="1"/>
      <c r="D2451" s="1"/>
      <c r="E2451" s="1"/>
      <c r="F2451" s="1"/>
      <c r="H2451" s="1"/>
    </row>
    <row r="2452" spans="2:8" x14ac:dyDescent="0.25">
      <c r="B2452" s="1"/>
      <c r="C2452" s="1"/>
      <c r="D2452" s="1"/>
      <c r="E2452" s="1"/>
      <c r="F2452" s="1"/>
      <c r="H2452" s="1"/>
    </row>
    <row r="2453" spans="2:8" x14ac:dyDescent="0.25">
      <c r="B2453" s="1"/>
      <c r="C2453" s="1"/>
      <c r="D2453" s="1"/>
      <c r="E2453" s="1"/>
      <c r="F2453" s="1"/>
      <c r="H2453" s="1"/>
    </row>
    <row r="2454" spans="2:8" x14ac:dyDescent="0.25">
      <c r="B2454" s="1"/>
      <c r="C2454" s="1"/>
      <c r="D2454" s="1"/>
      <c r="E2454" s="1"/>
      <c r="F2454" s="1"/>
      <c r="H2454" s="1"/>
    </row>
    <row r="2455" spans="2:8" x14ac:dyDescent="0.25">
      <c r="B2455" s="1"/>
      <c r="C2455" s="1"/>
      <c r="D2455" s="1"/>
      <c r="E2455" s="1"/>
      <c r="F2455" s="1"/>
      <c r="H2455" s="1"/>
    </row>
    <row r="2456" spans="2:8" x14ac:dyDescent="0.25">
      <c r="B2456" s="1"/>
      <c r="C2456" s="1"/>
      <c r="D2456" s="1"/>
      <c r="E2456" s="1"/>
      <c r="F2456" s="1"/>
      <c r="H2456" s="1"/>
    </row>
    <row r="2457" spans="2:8" x14ac:dyDescent="0.25">
      <c r="B2457" s="1"/>
      <c r="C2457" s="1"/>
      <c r="D2457" s="1"/>
      <c r="E2457" s="1"/>
      <c r="F2457" s="1"/>
      <c r="H2457" s="1"/>
    </row>
    <row r="2458" spans="2:8" x14ac:dyDescent="0.25">
      <c r="B2458" s="1"/>
      <c r="C2458" s="1"/>
      <c r="D2458" s="1"/>
      <c r="E2458" s="1"/>
      <c r="F2458" s="1"/>
      <c r="H2458" s="1"/>
    </row>
    <row r="2459" spans="2:8" x14ac:dyDescent="0.25">
      <c r="B2459" s="1"/>
      <c r="C2459" s="1"/>
      <c r="D2459" s="1"/>
      <c r="E2459" s="1"/>
      <c r="F2459" s="1"/>
      <c r="H2459" s="1"/>
    </row>
    <row r="2460" spans="2:8" x14ac:dyDescent="0.25">
      <c r="B2460" s="1"/>
      <c r="C2460" s="1"/>
      <c r="D2460" s="1"/>
      <c r="E2460" s="1"/>
      <c r="F2460" s="1"/>
      <c r="H2460" s="1"/>
    </row>
    <row r="2461" spans="2:8" x14ac:dyDescent="0.25">
      <c r="B2461" s="1"/>
      <c r="C2461" s="1"/>
      <c r="D2461" s="1"/>
      <c r="E2461" s="1"/>
      <c r="F2461" s="1"/>
      <c r="H2461" s="1"/>
    </row>
    <row r="2462" spans="2:8" x14ac:dyDescent="0.25">
      <c r="B2462" s="1"/>
      <c r="C2462" s="1"/>
      <c r="D2462" s="1"/>
      <c r="E2462" s="1"/>
      <c r="F2462" s="1"/>
      <c r="H2462" s="1"/>
    </row>
    <row r="2463" spans="2:8" x14ac:dyDescent="0.25">
      <c r="B2463" s="1"/>
      <c r="C2463" s="1"/>
      <c r="D2463" s="1"/>
      <c r="E2463" s="1"/>
      <c r="F2463" s="1"/>
      <c r="H2463" s="1"/>
    </row>
    <row r="2464" spans="2:8" x14ac:dyDescent="0.25">
      <c r="B2464" s="1"/>
      <c r="C2464" s="1"/>
      <c r="D2464" s="1"/>
      <c r="E2464" s="1"/>
      <c r="F2464" s="1"/>
      <c r="H2464" s="1"/>
    </row>
    <row r="2465" spans="2:8" x14ac:dyDescent="0.25">
      <c r="B2465" s="1"/>
      <c r="C2465" s="1"/>
      <c r="D2465" s="1"/>
      <c r="E2465" s="1"/>
      <c r="F2465" s="1"/>
      <c r="H2465" s="1"/>
    </row>
    <row r="2466" spans="2:8" x14ac:dyDescent="0.25">
      <c r="B2466" s="1"/>
      <c r="C2466" s="1"/>
      <c r="D2466" s="1"/>
      <c r="E2466" s="1"/>
      <c r="F2466" s="1"/>
      <c r="H2466" s="1"/>
    </row>
    <row r="2467" spans="2:8" x14ac:dyDescent="0.25">
      <c r="B2467" s="1"/>
      <c r="C2467" s="1"/>
      <c r="D2467" s="1"/>
      <c r="E2467" s="1"/>
      <c r="F2467" s="1"/>
      <c r="H2467" s="1"/>
    </row>
    <row r="2468" spans="2:8" x14ac:dyDescent="0.25">
      <c r="B2468" s="1"/>
      <c r="C2468" s="1"/>
      <c r="D2468" s="1"/>
      <c r="E2468" s="1"/>
      <c r="F2468" s="1"/>
      <c r="H2468" s="1"/>
    </row>
    <row r="2469" spans="2:8" x14ac:dyDescent="0.25">
      <c r="B2469" s="1"/>
      <c r="C2469" s="1"/>
      <c r="D2469" s="1"/>
      <c r="E2469" s="1"/>
      <c r="F2469" s="1"/>
      <c r="H2469" s="1"/>
    </row>
    <row r="2470" spans="2:8" x14ac:dyDescent="0.25">
      <c r="B2470" s="1"/>
      <c r="C2470" s="1"/>
      <c r="D2470" s="1"/>
      <c r="E2470" s="1"/>
      <c r="F2470" s="1"/>
      <c r="H2470" s="1"/>
    </row>
    <row r="2471" spans="2:8" x14ac:dyDescent="0.25">
      <c r="B2471" s="1"/>
      <c r="C2471" s="1"/>
      <c r="D2471" s="1"/>
      <c r="E2471" s="1"/>
      <c r="F2471" s="1"/>
      <c r="H2471" s="1"/>
    </row>
    <row r="2472" spans="2:8" x14ac:dyDescent="0.25">
      <c r="B2472" s="1"/>
      <c r="C2472" s="1"/>
      <c r="D2472" s="1"/>
      <c r="E2472" s="1"/>
      <c r="F2472" s="1"/>
      <c r="H2472" s="1"/>
    </row>
    <row r="2473" spans="2:8" x14ac:dyDescent="0.25">
      <c r="B2473" s="1"/>
      <c r="C2473" s="1"/>
      <c r="D2473" s="1"/>
      <c r="E2473" s="1"/>
      <c r="F2473" s="1"/>
      <c r="H2473" s="1"/>
    </row>
    <row r="2474" spans="2:8" x14ac:dyDescent="0.25">
      <c r="B2474" s="1"/>
      <c r="C2474" s="1"/>
      <c r="D2474" s="1"/>
      <c r="E2474" s="1"/>
      <c r="F2474" s="1"/>
      <c r="H2474" s="1"/>
    </row>
    <row r="2475" spans="2:8" x14ac:dyDescent="0.25">
      <c r="B2475" s="1"/>
      <c r="C2475" s="1"/>
      <c r="D2475" s="1"/>
      <c r="E2475" s="1"/>
      <c r="F2475" s="1"/>
      <c r="H2475" s="1"/>
    </row>
    <row r="2476" spans="2:8" x14ac:dyDescent="0.25">
      <c r="B2476" s="1"/>
      <c r="C2476" s="1"/>
      <c r="D2476" s="1"/>
      <c r="E2476" s="1"/>
      <c r="F2476" s="1"/>
      <c r="H2476" s="1"/>
    </row>
    <row r="2477" spans="2:8" x14ac:dyDescent="0.25">
      <c r="B2477" s="1"/>
      <c r="C2477" s="1"/>
      <c r="D2477" s="1"/>
      <c r="E2477" s="1"/>
      <c r="F2477" s="1"/>
      <c r="H2477" s="1"/>
    </row>
    <row r="2478" spans="2:8" x14ac:dyDescent="0.25">
      <c r="B2478" s="1"/>
      <c r="C2478" s="1"/>
      <c r="D2478" s="1"/>
      <c r="E2478" s="1"/>
      <c r="F2478" s="1"/>
      <c r="H2478" s="1"/>
    </row>
    <row r="2479" spans="2:8" x14ac:dyDescent="0.25">
      <c r="B2479" s="1"/>
      <c r="C2479" s="1"/>
      <c r="D2479" s="1"/>
      <c r="E2479" s="1"/>
      <c r="F2479" s="1"/>
      <c r="H2479" s="1"/>
    </row>
    <row r="2480" spans="2:8" x14ac:dyDescent="0.25">
      <c r="B2480" s="1"/>
      <c r="C2480" s="1"/>
      <c r="D2480" s="1"/>
      <c r="E2480" s="1"/>
      <c r="F2480" s="1"/>
      <c r="H2480" s="1"/>
    </row>
    <row r="2481" spans="2:8" x14ac:dyDescent="0.25">
      <c r="B2481" s="1"/>
      <c r="C2481" s="1"/>
      <c r="D2481" s="1"/>
      <c r="E2481" s="1"/>
      <c r="F2481" s="1"/>
      <c r="H2481" s="1"/>
    </row>
    <row r="2482" spans="2:8" x14ac:dyDescent="0.25">
      <c r="B2482" s="1"/>
      <c r="C2482" s="1"/>
      <c r="D2482" s="1"/>
      <c r="E2482" s="1"/>
      <c r="F2482" s="1"/>
      <c r="H2482" s="1"/>
    </row>
    <row r="2483" spans="2:8" x14ac:dyDescent="0.25">
      <c r="B2483" s="1"/>
      <c r="C2483" s="1"/>
      <c r="D2483" s="1"/>
      <c r="E2483" s="1"/>
      <c r="F2483" s="1"/>
      <c r="H2483" s="1"/>
    </row>
    <row r="2484" spans="2:8" x14ac:dyDescent="0.25">
      <c r="B2484" s="1"/>
      <c r="C2484" s="1"/>
      <c r="D2484" s="1"/>
      <c r="E2484" s="1"/>
      <c r="F2484" s="1"/>
      <c r="H2484" s="1"/>
    </row>
    <row r="2485" spans="2:8" x14ac:dyDescent="0.25">
      <c r="B2485" s="1"/>
      <c r="C2485" s="1"/>
      <c r="D2485" s="1"/>
      <c r="E2485" s="1"/>
      <c r="F2485" s="1"/>
      <c r="H2485" s="1"/>
    </row>
    <row r="2486" spans="2:8" x14ac:dyDescent="0.25">
      <c r="B2486" s="1"/>
      <c r="C2486" s="1"/>
      <c r="D2486" s="1"/>
      <c r="E2486" s="1"/>
      <c r="F2486" s="1"/>
      <c r="H2486" s="1"/>
    </row>
    <row r="2487" spans="2:8" x14ac:dyDescent="0.25">
      <c r="B2487" s="1"/>
      <c r="C2487" s="1"/>
      <c r="D2487" s="1"/>
      <c r="E2487" s="1"/>
      <c r="F2487" s="1"/>
      <c r="H2487" s="1"/>
    </row>
    <row r="2488" spans="2:8" x14ac:dyDescent="0.25">
      <c r="B2488" s="1"/>
      <c r="C2488" s="1"/>
      <c r="D2488" s="1"/>
      <c r="E2488" s="1"/>
      <c r="F2488" s="1"/>
      <c r="H2488" s="1"/>
    </row>
    <row r="2489" spans="2:8" x14ac:dyDescent="0.25">
      <c r="B2489" s="1"/>
      <c r="C2489" s="1"/>
      <c r="D2489" s="1"/>
      <c r="E2489" s="1"/>
      <c r="F2489" s="1"/>
      <c r="H2489" s="1"/>
    </row>
    <row r="2490" spans="2:8" x14ac:dyDescent="0.25">
      <c r="B2490" s="1"/>
      <c r="C2490" s="1"/>
      <c r="D2490" s="1"/>
      <c r="E2490" s="1"/>
      <c r="F2490" s="1"/>
      <c r="H2490" s="1"/>
    </row>
    <row r="2491" spans="2:8" x14ac:dyDescent="0.25">
      <c r="B2491" s="1"/>
      <c r="C2491" s="1"/>
      <c r="D2491" s="1"/>
      <c r="E2491" s="1"/>
      <c r="F2491" s="1"/>
      <c r="H2491" s="1"/>
    </row>
    <row r="2492" spans="2:8" x14ac:dyDescent="0.25">
      <c r="B2492" s="1"/>
      <c r="C2492" s="1"/>
      <c r="D2492" s="1"/>
      <c r="E2492" s="1"/>
      <c r="F2492" s="1"/>
      <c r="H2492" s="1"/>
    </row>
    <row r="2493" spans="2:8" x14ac:dyDescent="0.25">
      <c r="B2493" s="1"/>
      <c r="C2493" s="1"/>
      <c r="D2493" s="1"/>
      <c r="E2493" s="1"/>
      <c r="F2493" s="1"/>
      <c r="H2493" s="1"/>
    </row>
    <row r="2494" spans="2:8" x14ac:dyDescent="0.25">
      <c r="B2494" s="1"/>
      <c r="C2494" s="1"/>
      <c r="D2494" s="1"/>
      <c r="E2494" s="1"/>
      <c r="F2494" s="1"/>
      <c r="H2494" s="1"/>
    </row>
    <row r="2495" spans="2:8" x14ac:dyDescent="0.25">
      <c r="B2495" s="1"/>
      <c r="C2495" s="1"/>
      <c r="D2495" s="1"/>
      <c r="E2495" s="1"/>
      <c r="F2495" s="1"/>
      <c r="H2495" s="1"/>
    </row>
    <row r="2496" spans="2:8" x14ac:dyDescent="0.25">
      <c r="B2496" s="1"/>
      <c r="C2496" s="1"/>
      <c r="D2496" s="1"/>
      <c r="E2496" s="1"/>
      <c r="F2496" s="1"/>
      <c r="H2496" s="1"/>
    </row>
    <row r="2497" spans="2:8" x14ac:dyDescent="0.25">
      <c r="B2497" s="1"/>
      <c r="C2497" s="1"/>
      <c r="D2497" s="1"/>
      <c r="E2497" s="1"/>
      <c r="F2497" s="1"/>
      <c r="H2497" s="1"/>
    </row>
    <row r="2498" spans="2:8" x14ac:dyDescent="0.25">
      <c r="B2498" s="1"/>
      <c r="C2498" s="1"/>
      <c r="D2498" s="1"/>
      <c r="E2498" s="1"/>
      <c r="F2498" s="1"/>
      <c r="H2498" s="1"/>
    </row>
    <row r="2499" spans="2:8" x14ac:dyDescent="0.25">
      <c r="B2499" s="1"/>
      <c r="C2499" s="1"/>
      <c r="D2499" s="1"/>
      <c r="E2499" s="1"/>
      <c r="F2499" s="1"/>
      <c r="H2499" s="1"/>
    </row>
    <row r="2500" spans="2:8" x14ac:dyDescent="0.25">
      <c r="B2500" s="1"/>
      <c r="C2500" s="1"/>
      <c r="D2500" s="1"/>
      <c r="E2500" s="1"/>
      <c r="F2500" s="1"/>
      <c r="H2500" s="1"/>
    </row>
    <row r="2501" spans="2:8" x14ac:dyDescent="0.25">
      <c r="B2501" s="1"/>
      <c r="C2501" s="1"/>
      <c r="D2501" s="1"/>
      <c r="E2501" s="1"/>
      <c r="F2501" s="1"/>
      <c r="H2501" s="1"/>
    </row>
    <row r="2502" spans="2:8" x14ac:dyDescent="0.25">
      <c r="B2502" s="1"/>
      <c r="C2502" s="1"/>
      <c r="D2502" s="1"/>
      <c r="E2502" s="1"/>
      <c r="F2502" s="1"/>
      <c r="H2502" s="1"/>
    </row>
    <row r="2503" spans="2:8" x14ac:dyDescent="0.25">
      <c r="B2503" s="1"/>
      <c r="C2503" s="1"/>
      <c r="D2503" s="1"/>
      <c r="E2503" s="1"/>
      <c r="F2503" s="1"/>
      <c r="H2503" s="1"/>
    </row>
    <row r="2504" spans="2:8" x14ac:dyDescent="0.25">
      <c r="B2504" s="1"/>
      <c r="C2504" s="1"/>
      <c r="D2504" s="1"/>
      <c r="E2504" s="1"/>
      <c r="F2504" s="1"/>
      <c r="H2504" s="1"/>
    </row>
    <row r="2505" spans="2:8" x14ac:dyDescent="0.25">
      <c r="B2505" s="1"/>
      <c r="C2505" s="1"/>
      <c r="D2505" s="1"/>
      <c r="E2505" s="1"/>
      <c r="F2505" s="1"/>
      <c r="H2505" s="1"/>
    </row>
    <row r="2506" spans="2:8" x14ac:dyDescent="0.25">
      <c r="B2506" s="1"/>
      <c r="C2506" s="1"/>
      <c r="D2506" s="1"/>
      <c r="E2506" s="1"/>
      <c r="F2506" s="1"/>
      <c r="H2506" s="1"/>
    </row>
    <row r="2507" spans="2:8" x14ac:dyDescent="0.25">
      <c r="B2507" s="1"/>
      <c r="C2507" s="1"/>
      <c r="D2507" s="1"/>
      <c r="E2507" s="1"/>
      <c r="F2507" s="1"/>
      <c r="H2507" s="1"/>
    </row>
    <row r="2508" spans="2:8" x14ac:dyDescent="0.25">
      <c r="B2508" s="1"/>
      <c r="C2508" s="1"/>
      <c r="D2508" s="1"/>
      <c r="E2508" s="1"/>
      <c r="F2508" s="1"/>
      <c r="H2508" s="1"/>
    </row>
    <row r="2509" spans="2:8" x14ac:dyDescent="0.25">
      <c r="B2509" s="1"/>
      <c r="C2509" s="1"/>
      <c r="D2509" s="1"/>
      <c r="E2509" s="1"/>
      <c r="F2509" s="1"/>
      <c r="H2509" s="1"/>
    </row>
    <row r="2510" spans="2:8" x14ac:dyDescent="0.25">
      <c r="B2510" s="1"/>
      <c r="C2510" s="1"/>
      <c r="D2510" s="1"/>
      <c r="E2510" s="1"/>
      <c r="F2510" s="1"/>
      <c r="H2510" s="1"/>
    </row>
    <row r="2511" spans="2:8" x14ac:dyDescent="0.25">
      <c r="B2511" s="1"/>
      <c r="C2511" s="1"/>
      <c r="D2511" s="1"/>
      <c r="E2511" s="1"/>
      <c r="F2511" s="1"/>
      <c r="H2511" s="1"/>
    </row>
    <row r="2512" spans="2:8" x14ac:dyDescent="0.25">
      <c r="B2512" s="1"/>
      <c r="C2512" s="1"/>
      <c r="D2512" s="1"/>
      <c r="E2512" s="1"/>
      <c r="F2512" s="1"/>
      <c r="H2512" s="1"/>
    </row>
    <row r="2513" spans="2:8" x14ac:dyDescent="0.25">
      <c r="B2513" s="1"/>
      <c r="C2513" s="1"/>
      <c r="D2513" s="1"/>
      <c r="E2513" s="1"/>
      <c r="F2513" s="1"/>
      <c r="H2513" s="1"/>
    </row>
    <row r="2514" spans="2:8" x14ac:dyDescent="0.25">
      <c r="B2514" s="1"/>
      <c r="C2514" s="1"/>
      <c r="D2514" s="1"/>
      <c r="E2514" s="1"/>
      <c r="F2514" s="1"/>
      <c r="H2514" s="1"/>
    </row>
    <row r="2515" spans="2:8" x14ac:dyDescent="0.25">
      <c r="B2515" s="1"/>
      <c r="C2515" s="1"/>
      <c r="D2515" s="1"/>
      <c r="E2515" s="1"/>
      <c r="F2515" s="1"/>
      <c r="H2515" s="1"/>
    </row>
    <row r="2516" spans="2:8" x14ac:dyDescent="0.25">
      <c r="B2516" s="1"/>
      <c r="C2516" s="1"/>
      <c r="D2516" s="1"/>
      <c r="E2516" s="1"/>
      <c r="F2516" s="1"/>
      <c r="H2516" s="1"/>
    </row>
    <row r="2517" spans="2:8" x14ac:dyDescent="0.25">
      <c r="B2517" s="1"/>
      <c r="C2517" s="1"/>
      <c r="D2517" s="1"/>
      <c r="E2517" s="1"/>
      <c r="F2517" s="1"/>
      <c r="H2517" s="1"/>
    </row>
    <row r="2518" spans="2:8" x14ac:dyDescent="0.25">
      <c r="B2518" s="1"/>
      <c r="C2518" s="1"/>
      <c r="D2518" s="1"/>
      <c r="E2518" s="1"/>
      <c r="F2518" s="1"/>
      <c r="H2518" s="1"/>
    </row>
    <row r="2519" spans="2:8" x14ac:dyDescent="0.25">
      <c r="B2519" s="1"/>
      <c r="C2519" s="1"/>
      <c r="D2519" s="1"/>
      <c r="E2519" s="1"/>
      <c r="F2519" s="1"/>
      <c r="H2519" s="1"/>
    </row>
    <row r="2520" spans="2:8" x14ac:dyDescent="0.25">
      <c r="B2520" s="1"/>
      <c r="C2520" s="1"/>
      <c r="D2520" s="1"/>
      <c r="E2520" s="1"/>
      <c r="F2520" s="1"/>
      <c r="H2520" s="1"/>
    </row>
    <row r="2521" spans="2:8" x14ac:dyDescent="0.25">
      <c r="B2521" s="1"/>
      <c r="C2521" s="1"/>
      <c r="D2521" s="1"/>
      <c r="E2521" s="1"/>
      <c r="F2521" s="1"/>
      <c r="H2521" s="1"/>
    </row>
    <row r="2522" spans="2:8" x14ac:dyDescent="0.25">
      <c r="B2522" s="1"/>
      <c r="C2522" s="1"/>
      <c r="D2522" s="1"/>
      <c r="E2522" s="1"/>
      <c r="F2522" s="1"/>
      <c r="H2522" s="1"/>
    </row>
    <row r="2523" spans="2:8" x14ac:dyDescent="0.25">
      <c r="B2523" s="1"/>
      <c r="C2523" s="1"/>
      <c r="D2523" s="1"/>
      <c r="E2523" s="1"/>
      <c r="F2523" s="1"/>
      <c r="H2523" s="1"/>
    </row>
    <row r="2524" spans="2:8" x14ac:dyDescent="0.25">
      <c r="B2524" s="1"/>
      <c r="C2524" s="1"/>
      <c r="D2524" s="1"/>
      <c r="E2524" s="1"/>
      <c r="F2524" s="1"/>
      <c r="H2524" s="1"/>
    </row>
    <row r="2525" spans="2:8" x14ac:dyDescent="0.25">
      <c r="B2525" s="1"/>
      <c r="C2525" s="1"/>
      <c r="D2525" s="1"/>
      <c r="E2525" s="1"/>
      <c r="F2525" s="1"/>
      <c r="H2525" s="1"/>
    </row>
    <row r="2526" spans="2:8" x14ac:dyDescent="0.25">
      <c r="B2526" s="1"/>
      <c r="C2526" s="1"/>
      <c r="D2526" s="1"/>
      <c r="E2526" s="1"/>
      <c r="F2526" s="1"/>
      <c r="H2526" s="1"/>
    </row>
    <row r="2527" spans="2:8" x14ac:dyDescent="0.25">
      <c r="B2527" s="1"/>
      <c r="C2527" s="1"/>
      <c r="D2527" s="1"/>
      <c r="E2527" s="1"/>
      <c r="F2527" s="1"/>
      <c r="H2527" s="1"/>
    </row>
    <row r="2528" spans="2:8" x14ac:dyDescent="0.25">
      <c r="B2528" s="1"/>
      <c r="C2528" s="1"/>
      <c r="D2528" s="1"/>
      <c r="E2528" s="1"/>
      <c r="F2528" s="1"/>
      <c r="H2528" s="1"/>
    </row>
    <row r="2529" spans="2:8" x14ac:dyDescent="0.25">
      <c r="B2529" s="1"/>
      <c r="C2529" s="1"/>
      <c r="D2529" s="1"/>
      <c r="E2529" s="1"/>
      <c r="F2529" s="1"/>
      <c r="H2529" s="1"/>
    </row>
    <row r="2530" spans="2:8" x14ac:dyDescent="0.25">
      <c r="B2530" s="1"/>
      <c r="C2530" s="1"/>
      <c r="D2530" s="1"/>
      <c r="E2530" s="1"/>
      <c r="F2530" s="1"/>
      <c r="H2530" s="1"/>
    </row>
    <row r="2531" spans="2:8" x14ac:dyDescent="0.25">
      <c r="B2531" s="1"/>
      <c r="C2531" s="1"/>
      <c r="D2531" s="1"/>
      <c r="E2531" s="1"/>
      <c r="F2531" s="1"/>
      <c r="H2531" s="1"/>
    </row>
    <row r="2532" spans="2:8" x14ac:dyDescent="0.25">
      <c r="B2532" s="1"/>
      <c r="C2532" s="1"/>
      <c r="D2532" s="1"/>
      <c r="E2532" s="1"/>
      <c r="F2532" s="1"/>
      <c r="H2532" s="1"/>
    </row>
    <row r="2533" spans="2:8" x14ac:dyDescent="0.25">
      <c r="B2533" s="1"/>
      <c r="C2533" s="1"/>
      <c r="D2533" s="1"/>
      <c r="E2533" s="1"/>
      <c r="F2533" s="1"/>
      <c r="H2533" s="1"/>
    </row>
    <row r="2534" spans="2:8" x14ac:dyDescent="0.25">
      <c r="B2534" s="1"/>
      <c r="C2534" s="1"/>
      <c r="D2534" s="1"/>
      <c r="E2534" s="1"/>
      <c r="F2534" s="1"/>
      <c r="H2534" s="1"/>
    </row>
    <row r="2535" spans="2:8" x14ac:dyDescent="0.25">
      <c r="B2535" s="1"/>
      <c r="C2535" s="1"/>
      <c r="D2535" s="1"/>
      <c r="E2535" s="1"/>
      <c r="F2535" s="1"/>
      <c r="H2535" s="1"/>
    </row>
    <row r="2536" spans="2:8" x14ac:dyDescent="0.25">
      <c r="B2536" s="1"/>
      <c r="C2536" s="1"/>
      <c r="D2536" s="1"/>
      <c r="E2536" s="1"/>
      <c r="F2536" s="1"/>
      <c r="H2536" s="1"/>
    </row>
    <row r="2537" spans="2:8" x14ac:dyDescent="0.25">
      <c r="B2537" s="1"/>
      <c r="C2537" s="1"/>
      <c r="D2537" s="1"/>
      <c r="E2537" s="1"/>
      <c r="F2537" s="1"/>
      <c r="H2537" s="1"/>
    </row>
    <row r="2538" spans="2:8" x14ac:dyDescent="0.25">
      <c r="B2538" s="1"/>
      <c r="C2538" s="1"/>
      <c r="D2538" s="1"/>
      <c r="E2538" s="1"/>
      <c r="F2538" s="1"/>
      <c r="H2538" s="1"/>
    </row>
    <row r="2539" spans="2:8" x14ac:dyDescent="0.25">
      <c r="B2539" s="1"/>
      <c r="C2539" s="1"/>
      <c r="D2539" s="1"/>
      <c r="E2539" s="1"/>
      <c r="F2539" s="1"/>
      <c r="H2539" s="1"/>
    </row>
    <row r="2540" spans="2:8" x14ac:dyDescent="0.25">
      <c r="B2540" s="1"/>
      <c r="C2540" s="1"/>
      <c r="D2540" s="1"/>
      <c r="E2540" s="1"/>
      <c r="F2540" s="1"/>
      <c r="H2540" s="1"/>
    </row>
    <row r="2541" spans="2:8" x14ac:dyDescent="0.25">
      <c r="B2541" s="1"/>
      <c r="C2541" s="1"/>
      <c r="D2541" s="1"/>
      <c r="E2541" s="1"/>
      <c r="F2541" s="1"/>
      <c r="H2541" s="1"/>
    </row>
    <row r="2542" spans="2:8" x14ac:dyDescent="0.25">
      <c r="B2542" s="1"/>
      <c r="C2542" s="1"/>
      <c r="D2542" s="1"/>
      <c r="E2542" s="1"/>
      <c r="F2542" s="1"/>
      <c r="H2542" s="1"/>
    </row>
    <row r="2543" spans="2:8" x14ac:dyDescent="0.25">
      <c r="B2543" s="1"/>
      <c r="C2543" s="1"/>
      <c r="D2543" s="1"/>
      <c r="E2543" s="1"/>
      <c r="F2543" s="1"/>
      <c r="H2543" s="1"/>
    </row>
    <row r="2544" spans="2:8" x14ac:dyDescent="0.25">
      <c r="B2544" s="1"/>
      <c r="C2544" s="1"/>
      <c r="D2544" s="1"/>
      <c r="E2544" s="1"/>
      <c r="F2544" s="1"/>
      <c r="H2544" s="1"/>
    </row>
    <row r="2545" spans="2:8" x14ac:dyDescent="0.25">
      <c r="B2545" s="1"/>
      <c r="C2545" s="1"/>
      <c r="D2545" s="1"/>
      <c r="E2545" s="1"/>
      <c r="F2545" s="1"/>
      <c r="H2545" s="1"/>
    </row>
    <row r="2546" spans="2:8" x14ac:dyDescent="0.25">
      <c r="B2546" s="1"/>
      <c r="C2546" s="1"/>
      <c r="D2546" s="1"/>
      <c r="E2546" s="1"/>
      <c r="F2546" s="1"/>
      <c r="H2546" s="1"/>
    </row>
    <row r="2547" spans="2:8" x14ac:dyDescent="0.25">
      <c r="B2547" s="1"/>
      <c r="C2547" s="1"/>
      <c r="D2547" s="1"/>
      <c r="E2547" s="1"/>
      <c r="F2547" s="1"/>
      <c r="H2547" s="1"/>
    </row>
    <row r="2548" spans="2:8" x14ac:dyDescent="0.25">
      <c r="B2548" s="1"/>
      <c r="C2548" s="1"/>
      <c r="D2548" s="1"/>
      <c r="E2548" s="1"/>
      <c r="F2548" s="1"/>
      <c r="H2548" s="1"/>
    </row>
    <row r="2549" spans="2:8" x14ac:dyDescent="0.25">
      <c r="B2549" s="1"/>
      <c r="C2549" s="1"/>
      <c r="D2549" s="1"/>
      <c r="E2549" s="1"/>
      <c r="F2549" s="1"/>
      <c r="H2549" s="1"/>
    </row>
    <row r="2550" spans="2:8" x14ac:dyDescent="0.25">
      <c r="B2550" s="1"/>
      <c r="C2550" s="1"/>
      <c r="D2550" s="1"/>
      <c r="E2550" s="1"/>
      <c r="F2550" s="1"/>
      <c r="H2550" s="1"/>
    </row>
    <row r="2551" spans="2:8" x14ac:dyDescent="0.25">
      <c r="B2551" s="1"/>
      <c r="C2551" s="1"/>
      <c r="D2551" s="1"/>
      <c r="E2551" s="1"/>
      <c r="F2551" s="1"/>
      <c r="H2551" s="1"/>
    </row>
    <row r="2552" spans="2:8" x14ac:dyDescent="0.25">
      <c r="B2552" s="1"/>
      <c r="C2552" s="1"/>
      <c r="D2552" s="1"/>
      <c r="E2552" s="1"/>
      <c r="F2552" s="1"/>
      <c r="H2552" s="1"/>
    </row>
    <row r="2553" spans="2:8" x14ac:dyDescent="0.25">
      <c r="B2553" s="1"/>
      <c r="C2553" s="1"/>
      <c r="D2553" s="1"/>
      <c r="E2553" s="1"/>
      <c r="F2553" s="1"/>
      <c r="H2553" s="1"/>
    </row>
    <row r="2554" spans="2:8" x14ac:dyDescent="0.25">
      <c r="B2554" s="1"/>
      <c r="C2554" s="1"/>
      <c r="D2554" s="1"/>
      <c r="E2554" s="1"/>
      <c r="F2554" s="1"/>
      <c r="H2554" s="1"/>
    </row>
    <row r="2555" spans="2:8" x14ac:dyDescent="0.25">
      <c r="B2555" s="1"/>
      <c r="C2555" s="1"/>
      <c r="D2555" s="1"/>
      <c r="E2555" s="1"/>
      <c r="F2555" s="1"/>
      <c r="H2555" s="1"/>
    </row>
    <row r="2556" spans="2:8" x14ac:dyDescent="0.25">
      <c r="B2556" s="1"/>
      <c r="C2556" s="1"/>
      <c r="D2556" s="1"/>
      <c r="E2556" s="1"/>
      <c r="F2556" s="1"/>
      <c r="H2556" s="1"/>
    </row>
    <row r="2557" spans="2:8" x14ac:dyDescent="0.25">
      <c r="B2557" s="1"/>
      <c r="C2557" s="1"/>
      <c r="D2557" s="1"/>
      <c r="E2557" s="1"/>
      <c r="F2557" s="1"/>
      <c r="H2557" s="1"/>
    </row>
    <row r="2558" spans="2:8" x14ac:dyDescent="0.25">
      <c r="B2558" s="1"/>
      <c r="C2558" s="1"/>
      <c r="D2558" s="1"/>
      <c r="E2558" s="1"/>
      <c r="F2558" s="1"/>
      <c r="H2558" s="1"/>
    </row>
    <row r="2559" spans="2:8" x14ac:dyDescent="0.25">
      <c r="B2559" s="1"/>
      <c r="C2559" s="1"/>
      <c r="D2559" s="1"/>
      <c r="E2559" s="1"/>
      <c r="F2559" s="1"/>
      <c r="H2559" s="1"/>
    </row>
    <row r="2560" spans="2:8" x14ac:dyDescent="0.25">
      <c r="B2560" s="1"/>
      <c r="C2560" s="1"/>
      <c r="D2560" s="1"/>
      <c r="E2560" s="1"/>
      <c r="F2560" s="1"/>
      <c r="H2560" s="1"/>
    </row>
    <row r="2561" spans="2:8" x14ac:dyDescent="0.25">
      <c r="B2561" s="1"/>
      <c r="C2561" s="1"/>
      <c r="D2561" s="1"/>
      <c r="E2561" s="1"/>
      <c r="F2561" s="1"/>
      <c r="H2561" s="1"/>
    </row>
    <row r="2562" spans="2:8" x14ac:dyDescent="0.25">
      <c r="B2562" s="1"/>
      <c r="C2562" s="1"/>
      <c r="D2562" s="1"/>
      <c r="E2562" s="1"/>
      <c r="F2562" s="1"/>
      <c r="H2562" s="1"/>
    </row>
    <row r="2563" spans="2:8" x14ac:dyDescent="0.25">
      <c r="B2563" s="1"/>
      <c r="C2563" s="1"/>
      <c r="D2563" s="1"/>
      <c r="E2563" s="1"/>
      <c r="F2563" s="1"/>
      <c r="H2563" s="1"/>
    </row>
    <row r="2564" spans="2:8" x14ac:dyDescent="0.25">
      <c r="B2564" s="1"/>
      <c r="C2564" s="1"/>
      <c r="D2564" s="1"/>
      <c r="E2564" s="1"/>
      <c r="F2564" s="1"/>
      <c r="H2564" s="1"/>
    </row>
    <row r="2565" spans="2:8" x14ac:dyDescent="0.25">
      <c r="B2565" s="1"/>
      <c r="C2565" s="1"/>
      <c r="D2565" s="1"/>
      <c r="E2565" s="1"/>
      <c r="F2565" s="1"/>
      <c r="H2565" s="1"/>
    </row>
    <row r="2566" spans="2:8" x14ac:dyDescent="0.25">
      <c r="B2566" s="1"/>
      <c r="C2566" s="1"/>
      <c r="D2566" s="1"/>
      <c r="E2566" s="1"/>
      <c r="F2566" s="1"/>
      <c r="H2566" s="1"/>
    </row>
    <row r="2567" spans="2:8" x14ac:dyDescent="0.25">
      <c r="B2567" s="1"/>
      <c r="C2567" s="1"/>
      <c r="D2567" s="1"/>
      <c r="E2567" s="1"/>
      <c r="F2567" s="1"/>
      <c r="H2567" s="1"/>
    </row>
    <row r="2568" spans="2:8" x14ac:dyDescent="0.25">
      <c r="B2568" s="1"/>
      <c r="C2568" s="1"/>
      <c r="D2568" s="1"/>
      <c r="E2568" s="1"/>
      <c r="F2568" s="1"/>
      <c r="H2568" s="1"/>
    </row>
    <row r="2569" spans="2:8" x14ac:dyDescent="0.25">
      <c r="B2569" s="1"/>
      <c r="C2569" s="1"/>
      <c r="D2569" s="1"/>
      <c r="E2569" s="1"/>
      <c r="F2569" s="1"/>
      <c r="H2569" s="1"/>
    </row>
    <row r="2570" spans="2:8" x14ac:dyDescent="0.25">
      <c r="B2570" s="1"/>
      <c r="C2570" s="1"/>
      <c r="D2570" s="1"/>
      <c r="E2570" s="1"/>
      <c r="F2570" s="1"/>
      <c r="H2570" s="1"/>
    </row>
    <row r="2571" spans="2:8" x14ac:dyDescent="0.25">
      <c r="B2571" s="1"/>
      <c r="C2571" s="1"/>
      <c r="D2571" s="1"/>
      <c r="E2571" s="1"/>
      <c r="F2571" s="1"/>
      <c r="H2571" s="1"/>
    </row>
    <row r="2572" spans="2:8" x14ac:dyDescent="0.25">
      <c r="B2572" s="1"/>
      <c r="C2572" s="1"/>
      <c r="D2572" s="1"/>
      <c r="E2572" s="1"/>
      <c r="F2572" s="1"/>
      <c r="H2572" s="1"/>
    </row>
    <row r="2573" spans="2:8" x14ac:dyDescent="0.25">
      <c r="B2573" s="1"/>
      <c r="C2573" s="1"/>
      <c r="D2573" s="1"/>
      <c r="E2573" s="1"/>
      <c r="F2573" s="1"/>
      <c r="H2573" s="1"/>
    </row>
    <row r="2574" spans="2:8" x14ac:dyDescent="0.25">
      <c r="B2574" s="1"/>
      <c r="C2574" s="1"/>
      <c r="D2574" s="1"/>
      <c r="E2574" s="1"/>
      <c r="F2574" s="1"/>
      <c r="H2574" s="1"/>
    </row>
    <row r="2575" spans="2:8" x14ac:dyDescent="0.25">
      <c r="B2575" s="1"/>
      <c r="C2575" s="1"/>
      <c r="D2575" s="1"/>
      <c r="E2575" s="1"/>
      <c r="F2575" s="1"/>
      <c r="H2575" s="1"/>
    </row>
    <row r="2576" spans="2:8" x14ac:dyDescent="0.25">
      <c r="B2576" s="1"/>
      <c r="C2576" s="1"/>
      <c r="D2576" s="1"/>
      <c r="E2576" s="1"/>
      <c r="F2576" s="1"/>
      <c r="H2576" s="1"/>
    </row>
    <row r="2577" spans="2:8" x14ac:dyDescent="0.25">
      <c r="B2577" s="1"/>
      <c r="C2577" s="1"/>
      <c r="D2577" s="1"/>
      <c r="E2577" s="1"/>
      <c r="F2577" s="1"/>
      <c r="H2577" s="1"/>
    </row>
    <row r="2578" spans="2:8" x14ac:dyDescent="0.25">
      <c r="B2578" s="1"/>
      <c r="C2578" s="1"/>
      <c r="D2578" s="1"/>
      <c r="E2578" s="1"/>
      <c r="F2578" s="1"/>
      <c r="H2578" s="1"/>
    </row>
    <row r="2579" spans="2:8" x14ac:dyDescent="0.25">
      <c r="B2579" s="1"/>
      <c r="C2579" s="1"/>
      <c r="D2579" s="1"/>
      <c r="E2579" s="1"/>
      <c r="F2579" s="1"/>
      <c r="H2579" s="1"/>
    </row>
    <row r="2580" spans="2:8" x14ac:dyDescent="0.25">
      <c r="B2580" s="1"/>
      <c r="C2580" s="1"/>
      <c r="D2580" s="1"/>
      <c r="E2580" s="1"/>
      <c r="F2580" s="1"/>
      <c r="H2580" s="1"/>
    </row>
    <row r="2581" spans="2:8" x14ac:dyDescent="0.25">
      <c r="B2581" s="1"/>
      <c r="C2581" s="1"/>
      <c r="D2581" s="1"/>
      <c r="E2581" s="1"/>
      <c r="F2581" s="1"/>
      <c r="H2581" s="1"/>
    </row>
    <row r="2582" spans="2:8" x14ac:dyDescent="0.25">
      <c r="B2582" s="1"/>
      <c r="C2582" s="1"/>
      <c r="D2582" s="1"/>
      <c r="E2582" s="1"/>
      <c r="F2582" s="1"/>
      <c r="H2582" s="1"/>
    </row>
    <row r="2583" spans="2:8" x14ac:dyDescent="0.25">
      <c r="B2583" s="1"/>
      <c r="C2583" s="1"/>
      <c r="D2583" s="1"/>
      <c r="E2583" s="1"/>
      <c r="F2583" s="1"/>
      <c r="H2583" s="1"/>
    </row>
    <row r="2584" spans="2:8" x14ac:dyDescent="0.25">
      <c r="B2584" s="1"/>
      <c r="C2584" s="1"/>
      <c r="D2584" s="1"/>
      <c r="E2584" s="1"/>
      <c r="F2584" s="1"/>
      <c r="H2584" s="1"/>
    </row>
    <row r="2585" spans="2:8" x14ac:dyDescent="0.25">
      <c r="B2585" s="1"/>
      <c r="C2585" s="1"/>
      <c r="D2585" s="1"/>
      <c r="E2585" s="1"/>
      <c r="F2585" s="1"/>
      <c r="H2585" s="1"/>
    </row>
    <row r="2586" spans="2:8" x14ac:dyDescent="0.25">
      <c r="B2586" s="1"/>
      <c r="C2586" s="1"/>
      <c r="D2586" s="1"/>
      <c r="E2586" s="1"/>
      <c r="F2586" s="1"/>
      <c r="H2586" s="1"/>
    </row>
    <row r="2587" spans="2:8" x14ac:dyDescent="0.25">
      <c r="B2587" s="1"/>
      <c r="C2587" s="1"/>
      <c r="D2587" s="1"/>
      <c r="E2587" s="1"/>
      <c r="F2587" s="1"/>
      <c r="H2587" s="1"/>
    </row>
    <row r="2588" spans="2:8" x14ac:dyDescent="0.25">
      <c r="B2588" s="1"/>
      <c r="C2588" s="1"/>
      <c r="D2588" s="1"/>
      <c r="E2588" s="1"/>
      <c r="F2588" s="1"/>
      <c r="H2588" s="1"/>
    </row>
    <row r="2589" spans="2:8" x14ac:dyDescent="0.25">
      <c r="B2589" s="1"/>
      <c r="C2589" s="1"/>
      <c r="D2589" s="1"/>
      <c r="E2589" s="1"/>
      <c r="F2589" s="1"/>
      <c r="H2589" s="1"/>
    </row>
    <row r="2590" spans="2:8" x14ac:dyDescent="0.25">
      <c r="B2590" s="1"/>
      <c r="C2590" s="1"/>
      <c r="D2590" s="1"/>
      <c r="E2590" s="1"/>
      <c r="F2590" s="1"/>
      <c r="H2590" s="1"/>
    </row>
    <row r="2591" spans="2:8" x14ac:dyDescent="0.25">
      <c r="B2591" s="1"/>
      <c r="C2591" s="1"/>
      <c r="D2591" s="1"/>
      <c r="E2591" s="1"/>
      <c r="F2591" s="1"/>
      <c r="H2591" s="1"/>
    </row>
    <row r="2592" spans="2:8" x14ac:dyDescent="0.25">
      <c r="B2592" s="1"/>
      <c r="C2592" s="1"/>
      <c r="D2592" s="1"/>
      <c r="E2592" s="1"/>
      <c r="F2592" s="1"/>
      <c r="H2592" s="1"/>
    </row>
    <row r="2593" spans="2:8" x14ac:dyDescent="0.25">
      <c r="B2593" s="1"/>
      <c r="C2593" s="1"/>
      <c r="D2593" s="1"/>
      <c r="E2593" s="1"/>
      <c r="F2593" s="1"/>
      <c r="H2593" s="1"/>
    </row>
    <row r="2594" spans="2:8" x14ac:dyDescent="0.25">
      <c r="B2594" s="1"/>
      <c r="C2594" s="1"/>
      <c r="D2594" s="1"/>
      <c r="E2594" s="1"/>
      <c r="F2594" s="1"/>
      <c r="H2594" s="1"/>
    </row>
    <row r="2595" spans="2:8" x14ac:dyDescent="0.25">
      <c r="B2595" s="1"/>
      <c r="C2595" s="1"/>
      <c r="D2595" s="1"/>
      <c r="E2595" s="1"/>
      <c r="F2595" s="1"/>
      <c r="H2595" s="1"/>
    </row>
    <row r="2596" spans="2:8" x14ac:dyDescent="0.25">
      <c r="B2596" s="1"/>
      <c r="C2596" s="1"/>
      <c r="D2596" s="1"/>
      <c r="E2596" s="1"/>
      <c r="F2596" s="1"/>
      <c r="H2596" s="1"/>
    </row>
    <row r="2597" spans="2:8" x14ac:dyDescent="0.25">
      <c r="B2597" s="1"/>
      <c r="C2597" s="1"/>
      <c r="D2597" s="1"/>
      <c r="E2597" s="1"/>
      <c r="F2597" s="1"/>
      <c r="H2597" s="1"/>
    </row>
    <row r="2598" spans="2:8" x14ac:dyDescent="0.25">
      <c r="B2598" s="1"/>
      <c r="C2598" s="1"/>
      <c r="D2598" s="1"/>
      <c r="E2598" s="1"/>
      <c r="F2598" s="1"/>
      <c r="H2598" s="1"/>
    </row>
    <row r="2599" spans="2:8" x14ac:dyDescent="0.25">
      <c r="B2599" s="1"/>
      <c r="C2599" s="1"/>
      <c r="D2599" s="1"/>
      <c r="E2599" s="1"/>
      <c r="F2599" s="1"/>
      <c r="H2599" s="1"/>
    </row>
    <row r="2600" spans="2:8" x14ac:dyDescent="0.25">
      <c r="B2600" s="1"/>
      <c r="C2600" s="1"/>
      <c r="D2600" s="1"/>
      <c r="E2600" s="1"/>
      <c r="F2600" s="1"/>
      <c r="H2600" s="1"/>
    </row>
    <row r="2601" spans="2:8" x14ac:dyDescent="0.25">
      <c r="B2601" s="1"/>
      <c r="C2601" s="1"/>
      <c r="D2601" s="1"/>
      <c r="E2601" s="1"/>
      <c r="F2601" s="1"/>
      <c r="H2601" s="1"/>
    </row>
    <row r="2602" spans="2:8" x14ac:dyDescent="0.25">
      <c r="B2602" s="1"/>
      <c r="C2602" s="1"/>
      <c r="D2602" s="1"/>
      <c r="E2602" s="1"/>
      <c r="F2602" s="1"/>
      <c r="H2602" s="1"/>
    </row>
    <row r="2603" spans="2:8" x14ac:dyDescent="0.25">
      <c r="B2603" s="1"/>
      <c r="C2603" s="1"/>
      <c r="D2603" s="1"/>
      <c r="E2603" s="1"/>
      <c r="F2603" s="1"/>
      <c r="H2603" s="1"/>
    </row>
    <row r="2604" spans="2:8" x14ac:dyDescent="0.25">
      <c r="B2604" s="1"/>
      <c r="C2604" s="1"/>
      <c r="D2604" s="1"/>
      <c r="E2604" s="1"/>
      <c r="F2604" s="1"/>
      <c r="H2604" s="1"/>
    </row>
    <row r="2605" spans="2:8" x14ac:dyDescent="0.25">
      <c r="B2605" s="1"/>
      <c r="C2605" s="1"/>
      <c r="D2605" s="1"/>
      <c r="E2605" s="1"/>
      <c r="F2605" s="1"/>
      <c r="H2605" s="1"/>
    </row>
    <row r="2606" spans="2:8" x14ac:dyDescent="0.25">
      <c r="B2606" s="1"/>
      <c r="C2606" s="1"/>
      <c r="D2606" s="1"/>
      <c r="E2606" s="1"/>
      <c r="F2606" s="1"/>
      <c r="H2606" s="1"/>
    </row>
    <row r="2607" spans="2:8" x14ac:dyDescent="0.25">
      <c r="B2607" s="1"/>
      <c r="C2607" s="1"/>
      <c r="D2607" s="1"/>
      <c r="E2607" s="1"/>
      <c r="F2607" s="1"/>
      <c r="H2607" s="1"/>
    </row>
    <row r="2608" spans="2:8" x14ac:dyDescent="0.25">
      <c r="B2608" s="1"/>
      <c r="C2608" s="1"/>
      <c r="D2608" s="1"/>
      <c r="E2608" s="1"/>
      <c r="F2608" s="1"/>
      <c r="H2608" s="1"/>
    </row>
    <row r="2609" spans="2:8" x14ac:dyDescent="0.25">
      <c r="B2609" s="1"/>
      <c r="C2609" s="1"/>
      <c r="D2609" s="1"/>
      <c r="E2609" s="1"/>
      <c r="F2609" s="1"/>
      <c r="H2609" s="1"/>
    </row>
    <row r="2610" spans="2:8" x14ac:dyDescent="0.25">
      <c r="B2610" s="1"/>
      <c r="C2610" s="1"/>
      <c r="D2610" s="1"/>
      <c r="E2610" s="1"/>
      <c r="F2610" s="1"/>
      <c r="H2610" s="1"/>
    </row>
    <row r="2611" spans="2:8" x14ac:dyDescent="0.25">
      <c r="B2611" s="1"/>
      <c r="C2611" s="1"/>
      <c r="D2611" s="1"/>
      <c r="E2611" s="1"/>
      <c r="F2611" s="1"/>
      <c r="H2611" s="1"/>
    </row>
    <row r="2612" spans="2:8" x14ac:dyDescent="0.25">
      <c r="B2612" s="1"/>
      <c r="C2612" s="1"/>
      <c r="D2612" s="1"/>
      <c r="E2612" s="1"/>
      <c r="F2612" s="1"/>
      <c r="H2612" s="1"/>
    </row>
    <row r="2613" spans="2:8" x14ac:dyDescent="0.25">
      <c r="B2613" s="1"/>
      <c r="C2613" s="1"/>
      <c r="D2613" s="1"/>
      <c r="E2613" s="1"/>
      <c r="F2613" s="1"/>
      <c r="H2613" s="1"/>
    </row>
    <row r="2614" spans="2:8" x14ac:dyDescent="0.25">
      <c r="B2614" s="1"/>
      <c r="C2614" s="1"/>
      <c r="D2614" s="1"/>
      <c r="E2614" s="1"/>
      <c r="F2614" s="1"/>
      <c r="H2614" s="1"/>
    </row>
    <row r="2615" spans="2:8" x14ac:dyDescent="0.25">
      <c r="B2615" s="1"/>
      <c r="C2615" s="1"/>
      <c r="D2615" s="1"/>
      <c r="E2615" s="1"/>
      <c r="F2615" s="1"/>
      <c r="H2615" s="1"/>
    </row>
    <row r="2616" spans="2:8" x14ac:dyDescent="0.25">
      <c r="B2616" s="1"/>
      <c r="C2616" s="1"/>
      <c r="D2616" s="1"/>
      <c r="E2616" s="1"/>
      <c r="F2616" s="1"/>
      <c r="H2616" s="1"/>
    </row>
    <row r="2617" spans="2:8" x14ac:dyDescent="0.25">
      <c r="B2617" s="1"/>
      <c r="C2617" s="1"/>
      <c r="D2617" s="1"/>
      <c r="E2617" s="1"/>
      <c r="F2617" s="1"/>
      <c r="H2617" s="1"/>
    </row>
    <row r="2618" spans="2:8" x14ac:dyDescent="0.25">
      <c r="B2618" s="1"/>
      <c r="C2618" s="1"/>
      <c r="D2618" s="1"/>
      <c r="E2618" s="1"/>
      <c r="F2618" s="1"/>
      <c r="H2618" s="1"/>
    </row>
    <row r="2619" spans="2:8" x14ac:dyDescent="0.25">
      <c r="B2619" s="1"/>
      <c r="C2619" s="1"/>
      <c r="D2619" s="1"/>
      <c r="E2619" s="1"/>
      <c r="F2619" s="1"/>
      <c r="H2619" s="1"/>
    </row>
    <row r="2620" spans="2:8" x14ac:dyDescent="0.25">
      <c r="B2620" s="1"/>
      <c r="C2620" s="1"/>
      <c r="D2620" s="1"/>
      <c r="E2620" s="1"/>
      <c r="F2620" s="1"/>
      <c r="H2620" s="1"/>
    </row>
    <row r="2621" spans="2:8" x14ac:dyDescent="0.25">
      <c r="B2621" s="1"/>
      <c r="C2621" s="1"/>
      <c r="D2621" s="1"/>
      <c r="E2621" s="1"/>
      <c r="F2621" s="1"/>
      <c r="H2621" s="1"/>
    </row>
    <row r="2622" spans="2:8" x14ac:dyDescent="0.25">
      <c r="B2622" s="1"/>
      <c r="C2622" s="1"/>
      <c r="D2622" s="1"/>
      <c r="E2622" s="1"/>
      <c r="F2622" s="1"/>
      <c r="H2622" s="1"/>
    </row>
    <row r="2623" spans="2:8" x14ac:dyDescent="0.25">
      <c r="B2623" s="1"/>
      <c r="C2623" s="1"/>
      <c r="D2623" s="1"/>
      <c r="E2623" s="1"/>
      <c r="F2623" s="1"/>
      <c r="H2623" s="1"/>
    </row>
    <row r="2624" spans="2:8" x14ac:dyDescent="0.25">
      <c r="B2624" s="1"/>
      <c r="C2624" s="1"/>
      <c r="D2624" s="1"/>
      <c r="E2624" s="1"/>
      <c r="F2624" s="1"/>
      <c r="H2624" s="1"/>
    </row>
    <row r="2625" spans="2:8" x14ac:dyDescent="0.25">
      <c r="B2625" s="1"/>
      <c r="C2625" s="1"/>
      <c r="D2625" s="1"/>
      <c r="E2625" s="1"/>
      <c r="F2625" s="1"/>
      <c r="H2625" s="1"/>
    </row>
    <row r="2626" spans="2:8" x14ac:dyDescent="0.25">
      <c r="B2626" s="1"/>
      <c r="C2626" s="1"/>
      <c r="D2626" s="1"/>
      <c r="E2626" s="1"/>
      <c r="F2626" s="1"/>
      <c r="H2626" s="1"/>
    </row>
    <row r="2627" spans="2:8" x14ac:dyDescent="0.25">
      <c r="B2627" s="1"/>
      <c r="C2627" s="1"/>
      <c r="D2627" s="1"/>
      <c r="E2627" s="1"/>
      <c r="F2627" s="1"/>
      <c r="H2627" s="1"/>
    </row>
    <row r="2628" spans="2:8" x14ac:dyDescent="0.25">
      <c r="B2628" s="1"/>
      <c r="C2628" s="1"/>
      <c r="D2628" s="1"/>
      <c r="E2628" s="1"/>
      <c r="F2628" s="1"/>
      <c r="H2628" s="1"/>
    </row>
    <row r="2629" spans="2:8" x14ac:dyDescent="0.25">
      <c r="B2629" s="1"/>
      <c r="C2629" s="1"/>
      <c r="D2629" s="1"/>
      <c r="E2629" s="1"/>
      <c r="F2629" s="1"/>
      <c r="H2629" s="1"/>
    </row>
    <row r="2630" spans="2:8" x14ac:dyDescent="0.25">
      <c r="B2630" s="1"/>
      <c r="C2630" s="1"/>
      <c r="D2630" s="1"/>
      <c r="E2630" s="1"/>
      <c r="F2630" s="1"/>
      <c r="H2630" s="1"/>
    </row>
    <row r="2631" spans="2:8" x14ac:dyDescent="0.25">
      <c r="B2631" s="1"/>
      <c r="C2631" s="1"/>
      <c r="D2631" s="1"/>
      <c r="E2631" s="1"/>
      <c r="F2631" s="1"/>
      <c r="H2631" s="1"/>
    </row>
    <row r="2632" spans="2:8" x14ac:dyDescent="0.25">
      <c r="B2632" s="1"/>
      <c r="C2632" s="1"/>
      <c r="D2632" s="1"/>
      <c r="E2632" s="1"/>
      <c r="F2632" s="1"/>
      <c r="H2632" s="1"/>
    </row>
    <row r="2633" spans="2:8" x14ac:dyDescent="0.25">
      <c r="B2633" s="1"/>
      <c r="C2633" s="1"/>
      <c r="D2633" s="1"/>
      <c r="E2633" s="1"/>
      <c r="F2633" s="1"/>
      <c r="H2633" s="1"/>
    </row>
    <row r="2634" spans="2:8" x14ac:dyDescent="0.25">
      <c r="B2634" s="1"/>
      <c r="C2634" s="1"/>
      <c r="D2634" s="1"/>
      <c r="E2634" s="1"/>
      <c r="F2634" s="1"/>
      <c r="H2634" s="1"/>
    </row>
    <row r="2635" spans="2:8" x14ac:dyDescent="0.25">
      <c r="B2635" s="1"/>
      <c r="C2635" s="1"/>
      <c r="D2635" s="1"/>
      <c r="E2635" s="1"/>
      <c r="F2635" s="1"/>
      <c r="H2635" s="1"/>
    </row>
    <row r="2636" spans="2:8" x14ac:dyDescent="0.25">
      <c r="B2636" s="1"/>
      <c r="C2636" s="1"/>
      <c r="D2636" s="1"/>
      <c r="E2636" s="1"/>
      <c r="F2636" s="1"/>
      <c r="H2636" s="1"/>
    </row>
    <row r="2637" spans="2:8" x14ac:dyDescent="0.25">
      <c r="B2637" s="1"/>
      <c r="C2637" s="1"/>
      <c r="D2637" s="1"/>
      <c r="E2637" s="1"/>
      <c r="F2637" s="1"/>
      <c r="H2637" s="1"/>
    </row>
    <row r="2638" spans="2:8" x14ac:dyDescent="0.25">
      <c r="B2638" s="1"/>
      <c r="C2638" s="1"/>
      <c r="D2638" s="1"/>
      <c r="E2638" s="1"/>
      <c r="F2638" s="1"/>
      <c r="H2638" s="1"/>
    </row>
    <row r="2639" spans="2:8" x14ac:dyDescent="0.25">
      <c r="B2639" s="1"/>
      <c r="C2639" s="1"/>
      <c r="D2639" s="1"/>
      <c r="E2639" s="1"/>
      <c r="F2639" s="1"/>
      <c r="H2639" s="1"/>
    </row>
    <row r="2640" spans="2:8" x14ac:dyDescent="0.25">
      <c r="B2640" s="1"/>
      <c r="C2640" s="1"/>
      <c r="D2640" s="1"/>
      <c r="E2640" s="1"/>
      <c r="F2640" s="1"/>
      <c r="H2640" s="1"/>
    </row>
    <row r="2641" spans="2:8" x14ac:dyDescent="0.25">
      <c r="B2641" s="1"/>
      <c r="C2641" s="1"/>
      <c r="D2641" s="1"/>
      <c r="E2641" s="1"/>
      <c r="F2641" s="1"/>
      <c r="H2641" s="1"/>
    </row>
    <row r="2642" spans="2:8" x14ac:dyDescent="0.25">
      <c r="B2642" s="1"/>
      <c r="C2642" s="1"/>
      <c r="D2642" s="1"/>
      <c r="E2642" s="1"/>
      <c r="F2642" s="1"/>
      <c r="H2642" s="1"/>
    </row>
    <row r="2643" spans="2:8" x14ac:dyDescent="0.25">
      <c r="B2643" s="1"/>
      <c r="C2643" s="1"/>
      <c r="D2643" s="1"/>
      <c r="E2643" s="1"/>
      <c r="F2643" s="1"/>
      <c r="H2643" s="1"/>
    </row>
    <row r="2644" spans="2:8" x14ac:dyDescent="0.25">
      <c r="B2644" s="1"/>
      <c r="C2644" s="1"/>
      <c r="D2644" s="1"/>
      <c r="E2644" s="1"/>
      <c r="F2644" s="1"/>
      <c r="H2644" s="1"/>
    </row>
    <row r="2645" spans="2:8" x14ac:dyDescent="0.25">
      <c r="B2645" s="1"/>
      <c r="C2645" s="1"/>
      <c r="D2645" s="1"/>
      <c r="E2645" s="1"/>
      <c r="F2645" s="1"/>
      <c r="H2645" s="1"/>
    </row>
    <row r="2646" spans="2:8" x14ac:dyDescent="0.25">
      <c r="B2646" s="1"/>
      <c r="C2646" s="1"/>
      <c r="D2646" s="1"/>
      <c r="E2646" s="1"/>
      <c r="F2646" s="1"/>
      <c r="H2646" s="1"/>
    </row>
    <row r="2647" spans="2:8" x14ac:dyDescent="0.25">
      <c r="B2647" s="1"/>
      <c r="C2647" s="1"/>
      <c r="D2647" s="1"/>
      <c r="E2647" s="1"/>
      <c r="F2647" s="1"/>
      <c r="H2647" s="1"/>
    </row>
    <row r="2648" spans="2:8" x14ac:dyDescent="0.25">
      <c r="B2648" s="1"/>
      <c r="C2648" s="1"/>
      <c r="D2648" s="1"/>
      <c r="E2648" s="1"/>
      <c r="F2648" s="1"/>
      <c r="H2648" s="1"/>
    </row>
    <row r="2649" spans="2:8" x14ac:dyDescent="0.25">
      <c r="B2649" s="1"/>
      <c r="C2649" s="1"/>
      <c r="D2649" s="1"/>
      <c r="E2649" s="1"/>
      <c r="F2649" s="1"/>
      <c r="H2649" s="1"/>
    </row>
    <row r="2650" spans="2:8" x14ac:dyDescent="0.25">
      <c r="B2650" s="1"/>
      <c r="C2650" s="1"/>
      <c r="D2650" s="1"/>
      <c r="E2650" s="1"/>
      <c r="F2650" s="1"/>
      <c r="H2650" s="1"/>
    </row>
    <row r="2651" spans="2:8" x14ac:dyDescent="0.25">
      <c r="B2651" s="1"/>
      <c r="C2651" s="1"/>
      <c r="D2651" s="1"/>
      <c r="E2651" s="1"/>
      <c r="F2651" s="1"/>
      <c r="H2651" s="1"/>
    </row>
    <row r="2652" spans="2:8" x14ac:dyDescent="0.25">
      <c r="B2652" s="1"/>
      <c r="C2652" s="1"/>
      <c r="D2652" s="1"/>
      <c r="E2652" s="1"/>
      <c r="F2652" s="1"/>
      <c r="H2652" s="1"/>
    </row>
    <row r="2653" spans="2:8" x14ac:dyDescent="0.25">
      <c r="B2653" s="1"/>
      <c r="C2653" s="1"/>
      <c r="D2653" s="1"/>
      <c r="E2653" s="1"/>
      <c r="F2653" s="1"/>
      <c r="H2653" s="1"/>
    </row>
    <row r="2654" spans="2:8" x14ac:dyDescent="0.25">
      <c r="B2654" s="1"/>
      <c r="C2654" s="1"/>
      <c r="D2654" s="1"/>
      <c r="E2654" s="1"/>
      <c r="F2654" s="1"/>
      <c r="H2654" s="1"/>
    </row>
    <row r="2655" spans="2:8" x14ac:dyDescent="0.25">
      <c r="B2655" s="1"/>
      <c r="C2655" s="1"/>
      <c r="D2655" s="1"/>
      <c r="E2655" s="1"/>
      <c r="F2655" s="1"/>
      <c r="H2655" s="1"/>
    </row>
    <row r="2656" spans="2:8" x14ac:dyDescent="0.25">
      <c r="B2656" s="1"/>
      <c r="C2656" s="1"/>
      <c r="D2656" s="1"/>
      <c r="E2656" s="1"/>
      <c r="F2656" s="1"/>
      <c r="H2656" s="1"/>
    </row>
    <row r="2657" spans="2:8" x14ac:dyDescent="0.25">
      <c r="B2657" s="1"/>
      <c r="C2657" s="1"/>
      <c r="D2657" s="1"/>
      <c r="E2657" s="1"/>
      <c r="F2657" s="1"/>
      <c r="H2657" s="1"/>
    </row>
    <row r="2658" spans="2:8" x14ac:dyDescent="0.25">
      <c r="B2658" s="1"/>
      <c r="C2658" s="1"/>
      <c r="D2658" s="1"/>
      <c r="E2658" s="1"/>
      <c r="F2658" s="1"/>
      <c r="H2658" s="1"/>
    </row>
    <row r="2659" spans="2:8" x14ac:dyDescent="0.25">
      <c r="B2659" s="1"/>
      <c r="C2659" s="1"/>
      <c r="D2659" s="1"/>
      <c r="E2659" s="1"/>
      <c r="F2659" s="1"/>
      <c r="H2659" s="1"/>
    </row>
    <row r="2660" spans="2:8" x14ac:dyDescent="0.25">
      <c r="B2660" s="1"/>
      <c r="C2660" s="1"/>
      <c r="D2660" s="1"/>
      <c r="E2660" s="1"/>
      <c r="F2660" s="1"/>
      <c r="H2660" s="1"/>
    </row>
    <row r="2661" spans="2:8" x14ac:dyDescent="0.25">
      <c r="B2661" s="1"/>
      <c r="C2661" s="1"/>
      <c r="D2661" s="1"/>
      <c r="E2661" s="1"/>
      <c r="F2661" s="1"/>
      <c r="H2661" s="1"/>
    </row>
    <row r="2662" spans="2:8" x14ac:dyDescent="0.25">
      <c r="B2662" s="1"/>
      <c r="C2662" s="1"/>
      <c r="D2662" s="1"/>
      <c r="E2662" s="1"/>
      <c r="F2662" s="1"/>
      <c r="H2662" s="1"/>
    </row>
    <row r="2663" spans="2:8" x14ac:dyDescent="0.25">
      <c r="B2663" s="1"/>
      <c r="C2663" s="1"/>
      <c r="D2663" s="1"/>
      <c r="E2663" s="1"/>
      <c r="F2663" s="1"/>
      <c r="H2663" s="1"/>
    </row>
    <row r="2664" spans="2:8" x14ac:dyDescent="0.25">
      <c r="B2664" s="1"/>
      <c r="C2664" s="1"/>
      <c r="D2664" s="1"/>
      <c r="E2664" s="1"/>
      <c r="F2664" s="1"/>
      <c r="H2664" s="1"/>
    </row>
    <row r="2665" spans="2:8" x14ac:dyDescent="0.25">
      <c r="B2665" s="1"/>
      <c r="C2665" s="1"/>
      <c r="D2665" s="1"/>
      <c r="E2665" s="1"/>
      <c r="F2665" s="1"/>
      <c r="H2665" s="1"/>
    </row>
    <row r="2666" spans="2:8" x14ac:dyDescent="0.25">
      <c r="B2666" s="1"/>
      <c r="C2666" s="1"/>
      <c r="D2666" s="1"/>
      <c r="E2666" s="1"/>
      <c r="F2666" s="1"/>
      <c r="H2666" s="1"/>
    </row>
    <row r="2667" spans="2:8" x14ac:dyDescent="0.25">
      <c r="B2667" s="1"/>
      <c r="C2667" s="1"/>
      <c r="D2667" s="1"/>
      <c r="E2667" s="1"/>
      <c r="F2667" s="1"/>
      <c r="H2667" s="1"/>
    </row>
    <row r="2668" spans="2:8" x14ac:dyDescent="0.25">
      <c r="B2668" s="1"/>
      <c r="C2668" s="1"/>
      <c r="D2668" s="1"/>
      <c r="E2668" s="1"/>
      <c r="F2668" s="1"/>
      <c r="H2668" s="1"/>
    </row>
    <row r="2669" spans="2:8" x14ac:dyDescent="0.25">
      <c r="B2669" s="1"/>
      <c r="C2669" s="1"/>
      <c r="D2669" s="1"/>
      <c r="E2669" s="1"/>
      <c r="F2669" s="1"/>
      <c r="H2669" s="1"/>
    </row>
    <row r="2670" spans="2:8" x14ac:dyDescent="0.25">
      <c r="B2670" s="1"/>
      <c r="C2670" s="1"/>
      <c r="D2670" s="1"/>
      <c r="E2670" s="1"/>
      <c r="F2670" s="1"/>
      <c r="H2670" s="1"/>
    </row>
    <row r="2671" spans="2:8" x14ac:dyDescent="0.25">
      <c r="B2671" s="1"/>
      <c r="C2671" s="1"/>
      <c r="D2671" s="1"/>
      <c r="E2671" s="1"/>
      <c r="F2671" s="1"/>
      <c r="H2671" s="1"/>
    </row>
    <row r="2672" spans="2:8" x14ac:dyDescent="0.25">
      <c r="B2672" s="1"/>
      <c r="C2672" s="1"/>
      <c r="D2672" s="1"/>
      <c r="E2672" s="1"/>
      <c r="F2672" s="1"/>
      <c r="H2672" s="1"/>
    </row>
    <row r="2673" spans="2:8" x14ac:dyDescent="0.25">
      <c r="B2673" s="1"/>
      <c r="C2673" s="1"/>
      <c r="D2673" s="1"/>
      <c r="E2673" s="1"/>
      <c r="F2673" s="1"/>
      <c r="H2673" s="1"/>
    </row>
    <row r="2674" spans="2:8" x14ac:dyDescent="0.25">
      <c r="B2674" s="1"/>
      <c r="C2674" s="1"/>
      <c r="D2674" s="1"/>
      <c r="E2674" s="1"/>
      <c r="F2674" s="1"/>
      <c r="H2674" s="1"/>
    </row>
    <row r="2675" spans="2:8" x14ac:dyDescent="0.25">
      <c r="B2675" s="1"/>
      <c r="C2675" s="1"/>
      <c r="D2675" s="1"/>
      <c r="E2675" s="1"/>
      <c r="F2675" s="1"/>
      <c r="H2675" s="1"/>
    </row>
    <row r="2676" spans="2:8" x14ac:dyDescent="0.25">
      <c r="B2676" s="1"/>
      <c r="C2676" s="1"/>
      <c r="D2676" s="1"/>
      <c r="E2676" s="1"/>
      <c r="F2676" s="1"/>
      <c r="H2676" s="1"/>
    </row>
    <row r="2677" spans="2:8" x14ac:dyDescent="0.25">
      <c r="B2677" s="1"/>
      <c r="C2677" s="1"/>
      <c r="D2677" s="1"/>
      <c r="E2677" s="1"/>
      <c r="F2677" s="1"/>
      <c r="H2677" s="1"/>
    </row>
    <row r="2678" spans="2:8" x14ac:dyDescent="0.25">
      <c r="B2678" s="1"/>
      <c r="C2678" s="1"/>
      <c r="D2678" s="1"/>
      <c r="E2678" s="1"/>
      <c r="F2678" s="1"/>
      <c r="H2678" s="1"/>
    </row>
    <row r="2679" spans="2:8" x14ac:dyDescent="0.25">
      <c r="B2679" s="1"/>
      <c r="C2679" s="1"/>
      <c r="D2679" s="1"/>
      <c r="E2679" s="1"/>
      <c r="F2679" s="1"/>
      <c r="H2679" s="1"/>
    </row>
    <row r="2680" spans="2:8" x14ac:dyDescent="0.25">
      <c r="B2680" s="1"/>
      <c r="C2680" s="1"/>
      <c r="D2680" s="1"/>
      <c r="E2680" s="1"/>
      <c r="F2680" s="1"/>
      <c r="H2680" s="1"/>
    </row>
    <row r="2681" spans="2:8" x14ac:dyDescent="0.25">
      <c r="B2681" s="1"/>
      <c r="C2681" s="1"/>
      <c r="D2681" s="1"/>
      <c r="E2681" s="1"/>
      <c r="F2681" s="1"/>
      <c r="H2681" s="1"/>
    </row>
    <row r="2682" spans="2:8" x14ac:dyDescent="0.25">
      <c r="B2682" s="1"/>
      <c r="C2682" s="1"/>
      <c r="D2682" s="1"/>
      <c r="E2682" s="1"/>
      <c r="F2682" s="1"/>
      <c r="H2682" s="1"/>
    </row>
    <row r="2683" spans="2:8" x14ac:dyDescent="0.25">
      <c r="B2683" s="1"/>
      <c r="C2683" s="1"/>
      <c r="D2683" s="1"/>
      <c r="E2683" s="1"/>
      <c r="F2683" s="1"/>
      <c r="H2683" s="1"/>
    </row>
    <row r="2684" spans="2:8" x14ac:dyDescent="0.25">
      <c r="B2684" s="1"/>
      <c r="C2684" s="1"/>
      <c r="D2684" s="1"/>
      <c r="E2684" s="1"/>
      <c r="F2684" s="1"/>
      <c r="H2684" s="1"/>
    </row>
    <row r="2685" spans="2:8" x14ac:dyDescent="0.25">
      <c r="B2685" s="1"/>
      <c r="C2685" s="1"/>
      <c r="D2685" s="1"/>
      <c r="E2685" s="1"/>
      <c r="F2685" s="1"/>
      <c r="H2685" s="1"/>
    </row>
    <row r="2686" spans="2:8" x14ac:dyDescent="0.25">
      <c r="B2686" s="1"/>
      <c r="C2686" s="1"/>
      <c r="D2686" s="1"/>
      <c r="E2686" s="1"/>
      <c r="F2686" s="1"/>
      <c r="H2686" s="1"/>
    </row>
    <row r="2687" spans="2:8" x14ac:dyDescent="0.25">
      <c r="B2687" s="1"/>
      <c r="C2687" s="1"/>
      <c r="D2687" s="1"/>
      <c r="E2687" s="1"/>
      <c r="F2687" s="1"/>
      <c r="H2687" s="1"/>
    </row>
    <row r="2688" spans="2:8" x14ac:dyDescent="0.25">
      <c r="B2688" s="1"/>
      <c r="C2688" s="1"/>
      <c r="D2688" s="1"/>
      <c r="E2688" s="1"/>
      <c r="F2688" s="1"/>
      <c r="H2688" s="1"/>
    </row>
    <row r="2689" spans="2:8" x14ac:dyDescent="0.25">
      <c r="B2689" s="1"/>
      <c r="C2689" s="1"/>
      <c r="D2689" s="1"/>
      <c r="E2689" s="1"/>
      <c r="F2689" s="1"/>
      <c r="H2689" s="1"/>
    </row>
    <row r="2690" spans="2:8" x14ac:dyDescent="0.25">
      <c r="B2690" s="1"/>
      <c r="C2690" s="1"/>
      <c r="D2690" s="1"/>
      <c r="E2690" s="1"/>
      <c r="F2690" s="1"/>
      <c r="H2690" s="1"/>
    </row>
    <row r="2691" spans="2:8" x14ac:dyDescent="0.25">
      <c r="B2691" s="1"/>
      <c r="C2691" s="1"/>
      <c r="D2691" s="1"/>
      <c r="E2691" s="1"/>
      <c r="F2691" s="1"/>
      <c r="H2691" s="1"/>
    </row>
    <row r="2692" spans="2:8" x14ac:dyDescent="0.25">
      <c r="B2692" s="1"/>
      <c r="C2692" s="1"/>
      <c r="D2692" s="1"/>
      <c r="E2692" s="1"/>
      <c r="F2692" s="1"/>
      <c r="H2692" s="1"/>
    </row>
    <row r="2693" spans="2:8" x14ac:dyDescent="0.25">
      <c r="B2693" s="1"/>
      <c r="C2693" s="1"/>
      <c r="D2693" s="1"/>
      <c r="E2693" s="1"/>
      <c r="F2693" s="1"/>
      <c r="H2693" s="1"/>
    </row>
    <row r="2694" spans="2:8" x14ac:dyDescent="0.25">
      <c r="B2694" s="1"/>
      <c r="C2694" s="1"/>
      <c r="D2694" s="1"/>
      <c r="E2694" s="1"/>
      <c r="F2694" s="1"/>
      <c r="H2694" s="1"/>
    </row>
    <row r="2695" spans="2:8" x14ac:dyDescent="0.25">
      <c r="B2695" s="1"/>
      <c r="C2695" s="1"/>
      <c r="D2695" s="1"/>
      <c r="E2695" s="1"/>
      <c r="F2695" s="1"/>
      <c r="H2695" s="1"/>
    </row>
    <row r="2696" spans="2:8" x14ac:dyDescent="0.25">
      <c r="B2696" s="1"/>
      <c r="C2696" s="1"/>
      <c r="D2696" s="1"/>
      <c r="E2696" s="1"/>
      <c r="F2696" s="1"/>
      <c r="H2696" s="1"/>
    </row>
    <row r="2697" spans="2:8" x14ac:dyDescent="0.25">
      <c r="B2697" s="1"/>
      <c r="C2697" s="1"/>
      <c r="D2697" s="1"/>
      <c r="E2697" s="1"/>
      <c r="F2697" s="1"/>
      <c r="H2697" s="1"/>
    </row>
    <row r="2698" spans="2:8" x14ac:dyDescent="0.25">
      <c r="B2698" s="1"/>
      <c r="C2698" s="1"/>
      <c r="D2698" s="1"/>
      <c r="E2698" s="1"/>
      <c r="F2698" s="1"/>
      <c r="H2698" s="1"/>
    </row>
    <row r="2699" spans="2:8" x14ac:dyDescent="0.25">
      <c r="B2699" s="1"/>
      <c r="C2699" s="1"/>
      <c r="D2699" s="1"/>
      <c r="E2699" s="1"/>
      <c r="F2699" s="1"/>
      <c r="H2699" s="1"/>
    </row>
    <row r="2700" spans="2:8" x14ac:dyDescent="0.25">
      <c r="B2700" s="1"/>
      <c r="C2700" s="1"/>
      <c r="D2700" s="1"/>
      <c r="E2700" s="1"/>
      <c r="F2700" s="1"/>
      <c r="H2700" s="1"/>
    </row>
    <row r="2701" spans="2:8" x14ac:dyDescent="0.25">
      <c r="B2701" s="1"/>
      <c r="C2701" s="1"/>
      <c r="D2701" s="1"/>
      <c r="E2701" s="1"/>
      <c r="F2701" s="1"/>
      <c r="H2701" s="1"/>
    </row>
    <row r="2702" spans="2:8" x14ac:dyDescent="0.25">
      <c r="B2702" s="1"/>
      <c r="C2702" s="1"/>
      <c r="D2702" s="1"/>
      <c r="E2702" s="1"/>
      <c r="F2702" s="1"/>
      <c r="H2702" s="1"/>
    </row>
    <row r="2703" spans="2:8" x14ac:dyDescent="0.25">
      <c r="B2703" s="1"/>
      <c r="C2703" s="1"/>
      <c r="D2703" s="1"/>
      <c r="E2703" s="1"/>
      <c r="F2703" s="1"/>
      <c r="H2703" s="1"/>
    </row>
    <row r="2704" spans="2:8" x14ac:dyDescent="0.25">
      <c r="B2704" s="1"/>
      <c r="C2704" s="1"/>
      <c r="D2704" s="1"/>
      <c r="E2704" s="1"/>
      <c r="F2704" s="1"/>
      <c r="H2704" s="1"/>
    </row>
    <row r="2705" spans="2:8" x14ac:dyDescent="0.25">
      <c r="B2705" s="1"/>
      <c r="C2705" s="1"/>
      <c r="D2705" s="1"/>
      <c r="E2705" s="1"/>
      <c r="F2705" s="1"/>
      <c r="H2705" s="1"/>
    </row>
    <row r="2706" spans="2:8" x14ac:dyDescent="0.25">
      <c r="B2706" s="1"/>
      <c r="C2706" s="1"/>
      <c r="D2706" s="1"/>
      <c r="E2706" s="1"/>
      <c r="F2706" s="1"/>
      <c r="H2706" s="1"/>
    </row>
    <row r="2707" spans="2:8" x14ac:dyDescent="0.25">
      <c r="B2707" s="1"/>
      <c r="C2707" s="1"/>
      <c r="D2707" s="1"/>
      <c r="E2707" s="1"/>
      <c r="F2707" s="1"/>
      <c r="H2707" s="1"/>
    </row>
    <row r="2708" spans="2:8" x14ac:dyDescent="0.25">
      <c r="B2708" s="1"/>
      <c r="C2708" s="1"/>
      <c r="D2708" s="1"/>
      <c r="E2708" s="1"/>
      <c r="F2708" s="1"/>
      <c r="H2708" s="1"/>
    </row>
    <row r="2709" spans="2:8" x14ac:dyDescent="0.25">
      <c r="B2709" s="1"/>
      <c r="C2709" s="1"/>
      <c r="D2709" s="1"/>
      <c r="E2709" s="1"/>
      <c r="F2709" s="1"/>
      <c r="H2709" s="1"/>
    </row>
    <row r="2710" spans="2:8" x14ac:dyDescent="0.25">
      <c r="B2710" s="1"/>
      <c r="C2710" s="1"/>
      <c r="D2710" s="1"/>
      <c r="E2710" s="1"/>
      <c r="F2710" s="1"/>
      <c r="H2710" s="1"/>
    </row>
    <row r="2711" spans="2:8" x14ac:dyDescent="0.25">
      <c r="B2711" s="1"/>
      <c r="C2711" s="1"/>
      <c r="D2711" s="1"/>
      <c r="E2711" s="1"/>
      <c r="F2711" s="1"/>
      <c r="H2711" s="1"/>
    </row>
    <row r="2712" spans="2:8" x14ac:dyDescent="0.25">
      <c r="B2712" s="1"/>
      <c r="C2712" s="1"/>
      <c r="D2712" s="1"/>
      <c r="E2712" s="1"/>
      <c r="F2712" s="1"/>
      <c r="H2712" s="1"/>
    </row>
    <row r="2713" spans="2:8" x14ac:dyDescent="0.25">
      <c r="B2713" s="1"/>
      <c r="C2713" s="1"/>
      <c r="D2713" s="1"/>
      <c r="E2713" s="1"/>
      <c r="F2713" s="1"/>
      <c r="H2713" s="1"/>
    </row>
    <row r="2714" spans="2:8" x14ac:dyDescent="0.25">
      <c r="B2714" s="1"/>
      <c r="C2714" s="1"/>
      <c r="D2714" s="1"/>
      <c r="E2714" s="1"/>
      <c r="F2714" s="1"/>
      <c r="H2714" s="1"/>
    </row>
    <row r="2715" spans="2:8" x14ac:dyDescent="0.25">
      <c r="B2715" s="1"/>
      <c r="C2715" s="1"/>
      <c r="D2715" s="1"/>
      <c r="E2715" s="1"/>
      <c r="F2715" s="1"/>
      <c r="H2715" s="1"/>
    </row>
    <row r="2716" spans="2:8" x14ac:dyDescent="0.25">
      <c r="B2716" s="1"/>
      <c r="C2716" s="1"/>
      <c r="D2716" s="1"/>
      <c r="E2716" s="1"/>
      <c r="F2716" s="1"/>
      <c r="H2716" s="1"/>
    </row>
    <row r="2717" spans="2:8" x14ac:dyDescent="0.25">
      <c r="B2717" s="1"/>
      <c r="C2717" s="1"/>
      <c r="D2717" s="1"/>
      <c r="E2717" s="1"/>
      <c r="F2717" s="1"/>
      <c r="H2717" s="1"/>
    </row>
    <row r="2718" spans="2:8" x14ac:dyDescent="0.25">
      <c r="B2718" s="1"/>
      <c r="C2718" s="1"/>
      <c r="D2718" s="1"/>
      <c r="E2718" s="1"/>
      <c r="F2718" s="1"/>
      <c r="H2718" s="1"/>
    </row>
    <row r="2719" spans="2:8" x14ac:dyDescent="0.25">
      <c r="B2719" s="1"/>
      <c r="C2719" s="1"/>
      <c r="D2719" s="1"/>
      <c r="E2719" s="1"/>
      <c r="F2719" s="1"/>
      <c r="H2719" s="1"/>
    </row>
    <row r="2720" spans="2:8" x14ac:dyDescent="0.25">
      <c r="B2720" s="1"/>
      <c r="C2720" s="1"/>
      <c r="D2720" s="1"/>
      <c r="E2720" s="1"/>
      <c r="F2720" s="1"/>
      <c r="H2720" s="1"/>
    </row>
    <row r="2721" spans="2:8" x14ac:dyDescent="0.25">
      <c r="B2721" s="1"/>
      <c r="C2721" s="1"/>
      <c r="D2721" s="1"/>
      <c r="E2721" s="1"/>
      <c r="F2721" s="1"/>
      <c r="H2721" s="1"/>
    </row>
    <row r="2722" spans="2:8" x14ac:dyDescent="0.25">
      <c r="B2722" s="1"/>
      <c r="C2722" s="1"/>
      <c r="D2722" s="1"/>
      <c r="E2722" s="1"/>
      <c r="F2722" s="1"/>
      <c r="H2722" s="1"/>
    </row>
    <row r="2723" spans="2:8" x14ac:dyDescent="0.25">
      <c r="B2723" s="1"/>
      <c r="C2723" s="1"/>
      <c r="D2723" s="1"/>
      <c r="E2723" s="1"/>
      <c r="F2723" s="1"/>
      <c r="H2723" s="1"/>
    </row>
    <row r="2724" spans="2:8" x14ac:dyDescent="0.25">
      <c r="B2724" s="1"/>
      <c r="C2724" s="1"/>
      <c r="D2724" s="1"/>
      <c r="E2724" s="1"/>
      <c r="F2724" s="1"/>
      <c r="H2724" s="1"/>
    </row>
    <row r="2725" spans="2:8" x14ac:dyDescent="0.25">
      <c r="B2725" s="1"/>
      <c r="C2725" s="1"/>
      <c r="D2725" s="1"/>
      <c r="E2725" s="1"/>
      <c r="F2725" s="1"/>
      <c r="H2725" s="1"/>
    </row>
    <row r="2726" spans="2:8" x14ac:dyDescent="0.25">
      <c r="B2726" s="1"/>
      <c r="C2726" s="1"/>
      <c r="D2726" s="1"/>
      <c r="E2726" s="1"/>
      <c r="F2726" s="1"/>
      <c r="H2726" s="1"/>
    </row>
    <row r="2727" spans="2:8" x14ac:dyDescent="0.25">
      <c r="B2727" s="1"/>
      <c r="C2727" s="1"/>
      <c r="D2727" s="1"/>
      <c r="E2727" s="1"/>
      <c r="F2727" s="1"/>
      <c r="H2727" s="1"/>
    </row>
    <row r="2728" spans="2:8" x14ac:dyDescent="0.25">
      <c r="B2728" s="1"/>
      <c r="C2728" s="1"/>
      <c r="D2728" s="1"/>
      <c r="E2728" s="1"/>
      <c r="F2728" s="1"/>
      <c r="H2728" s="1"/>
    </row>
    <row r="2729" spans="2:8" x14ac:dyDescent="0.25">
      <c r="B2729" s="1"/>
      <c r="C2729" s="1"/>
      <c r="D2729" s="1"/>
      <c r="E2729" s="1"/>
      <c r="F2729" s="1"/>
      <c r="H2729" s="1"/>
    </row>
    <row r="2730" spans="2:8" x14ac:dyDescent="0.25">
      <c r="B2730" s="1"/>
      <c r="C2730" s="1"/>
      <c r="D2730" s="1"/>
      <c r="E2730" s="1"/>
      <c r="F2730" s="1"/>
      <c r="H2730" s="1"/>
    </row>
    <row r="2731" spans="2:8" x14ac:dyDescent="0.25">
      <c r="B2731" s="1"/>
      <c r="C2731" s="1"/>
      <c r="D2731" s="1"/>
      <c r="E2731" s="1"/>
      <c r="F2731" s="1"/>
      <c r="H2731" s="1"/>
    </row>
    <row r="2732" spans="2:8" x14ac:dyDescent="0.25">
      <c r="B2732" s="1"/>
      <c r="C2732" s="1"/>
      <c r="D2732" s="1"/>
      <c r="E2732" s="1"/>
      <c r="F2732" s="1"/>
      <c r="H2732" s="1"/>
    </row>
    <row r="2733" spans="2:8" x14ac:dyDescent="0.25">
      <c r="B2733" s="1"/>
      <c r="C2733" s="1"/>
      <c r="D2733" s="1"/>
      <c r="E2733" s="1"/>
      <c r="F2733" s="1"/>
      <c r="H2733" s="1"/>
    </row>
    <row r="2734" spans="2:8" x14ac:dyDescent="0.25">
      <c r="B2734" s="1"/>
      <c r="C2734" s="1"/>
      <c r="D2734" s="1"/>
      <c r="E2734" s="1"/>
      <c r="F2734" s="1"/>
      <c r="H2734" s="1"/>
    </row>
    <row r="2735" spans="2:8" x14ac:dyDescent="0.25">
      <c r="B2735" s="1"/>
      <c r="C2735" s="1"/>
      <c r="D2735" s="1"/>
      <c r="E2735" s="1"/>
      <c r="F2735" s="1"/>
      <c r="H2735" s="1"/>
    </row>
    <row r="2736" spans="2:8" x14ac:dyDescent="0.25">
      <c r="B2736" s="1"/>
      <c r="C2736" s="1"/>
      <c r="D2736" s="1"/>
      <c r="E2736" s="1"/>
      <c r="F2736" s="1"/>
      <c r="H2736" s="1"/>
    </row>
    <row r="2737" spans="2:8" x14ac:dyDescent="0.25">
      <c r="B2737" s="1"/>
      <c r="C2737" s="1"/>
      <c r="D2737" s="1"/>
      <c r="E2737" s="1"/>
      <c r="F2737" s="1"/>
      <c r="H2737" s="1"/>
    </row>
    <row r="2738" spans="2:8" x14ac:dyDescent="0.25">
      <c r="B2738" s="1"/>
      <c r="C2738" s="1"/>
      <c r="D2738" s="1"/>
      <c r="E2738" s="1"/>
      <c r="F2738" s="1"/>
      <c r="H2738" s="1"/>
    </row>
    <row r="2739" spans="2:8" x14ac:dyDescent="0.25">
      <c r="B2739" s="1"/>
      <c r="C2739" s="1"/>
      <c r="D2739" s="1"/>
      <c r="E2739" s="1"/>
      <c r="F2739" s="1"/>
      <c r="H2739" s="1"/>
    </row>
    <row r="2740" spans="2:8" x14ac:dyDescent="0.25">
      <c r="B2740" s="1"/>
      <c r="C2740" s="1"/>
      <c r="D2740" s="1"/>
      <c r="E2740" s="1"/>
      <c r="F2740" s="1"/>
      <c r="H2740" s="1"/>
    </row>
    <row r="2741" spans="2:8" x14ac:dyDescent="0.25">
      <c r="B2741" s="1"/>
      <c r="C2741" s="1"/>
      <c r="D2741" s="1"/>
      <c r="E2741" s="1"/>
      <c r="F2741" s="1"/>
      <c r="H2741" s="1"/>
    </row>
    <row r="2742" spans="2:8" x14ac:dyDescent="0.25">
      <c r="B2742" s="1"/>
      <c r="C2742" s="1"/>
      <c r="D2742" s="1"/>
      <c r="E2742" s="1"/>
      <c r="F2742" s="1"/>
      <c r="H2742" s="1"/>
    </row>
    <row r="2743" spans="2:8" x14ac:dyDescent="0.25">
      <c r="B2743" s="1"/>
      <c r="C2743" s="1"/>
      <c r="D2743" s="1"/>
      <c r="E2743" s="1"/>
      <c r="F2743" s="1"/>
      <c r="H2743" s="1"/>
    </row>
    <row r="2744" spans="2:8" x14ac:dyDescent="0.25">
      <c r="B2744" s="1"/>
      <c r="C2744" s="1"/>
      <c r="D2744" s="1"/>
      <c r="E2744" s="1"/>
      <c r="F2744" s="1"/>
      <c r="H2744" s="1"/>
    </row>
    <row r="2745" spans="2:8" x14ac:dyDescent="0.25">
      <c r="B2745" s="1"/>
      <c r="C2745" s="1"/>
      <c r="D2745" s="1"/>
      <c r="E2745" s="1"/>
      <c r="F2745" s="1"/>
      <c r="H2745" s="1"/>
    </row>
    <row r="2746" spans="2:8" x14ac:dyDescent="0.25">
      <c r="B2746" s="1"/>
      <c r="C2746" s="1"/>
      <c r="D2746" s="1"/>
      <c r="E2746" s="1"/>
      <c r="F2746" s="1"/>
      <c r="H2746" s="1"/>
    </row>
    <row r="2747" spans="2:8" x14ac:dyDescent="0.25">
      <c r="B2747" s="1"/>
      <c r="C2747" s="1"/>
      <c r="D2747" s="1"/>
      <c r="E2747" s="1"/>
      <c r="F2747" s="1"/>
      <c r="H2747" s="1"/>
    </row>
    <row r="2748" spans="2:8" x14ac:dyDescent="0.25">
      <c r="B2748" s="1"/>
      <c r="C2748" s="1"/>
      <c r="D2748" s="1"/>
      <c r="E2748" s="1"/>
      <c r="F2748" s="1"/>
      <c r="H2748" s="1"/>
    </row>
    <row r="2749" spans="2:8" x14ac:dyDescent="0.25">
      <c r="B2749" s="1"/>
      <c r="C2749" s="1"/>
      <c r="D2749" s="1"/>
      <c r="E2749" s="1"/>
      <c r="F2749" s="1"/>
      <c r="H2749" s="1"/>
    </row>
    <row r="2750" spans="2:8" x14ac:dyDescent="0.25">
      <c r="B2750" s="1"/>
      <c r="C2750" s="1"/>
      <c r="D2750" s="1"/>
      <c r="E2750" s="1"/>
      <c r="F2750" s="1"/>
      <c r="H2750" s="1"/>
    </row>
    <row r="2751" spans="2:8" x14ac:dyDescent="0.25">
      <c r="B2751" s="1"/>
      <c r="C2751" s="1"/>
      <c r="D2751" s="1"/>
      <c r="E2751" s="1"/>
      <c r="F2751" s="1"/>
      <c r="H2751" s="1"/>
    </row>
    <row r="2752" spans="2:8" x14ac:dyDescent="0.25">
      <c r="B2752" s="1"/>
      <c r="C2752" s="1"/>
      <c r="D2752" s="1"/>
      <c r="E2752" s="1"/>
      <c r="F2752" s="1"/>
      <c r="H2752" s="1"/>
    </row>
    <row r="2753" spans="2:8" x14ac:dyDescent="0.25">
      <c r="B2753" s="1"/>
      <c r="C2753" s="1"/>
      <c r="D2753" s="1"/>
      <c r="E2753" s="1"/>
      <c r="F2753" s="1"/>
      <c r="H2753" s="1"/>
    </row>
    <row r="2754" spans="2:8" x14ac:dyDescent="0.25">
      <c r="B2754" s="1"/>
      <c r="C2754" s="1"/>
      <c r="D2754" s="1"/>
      <c r="E2754" s="1"/>
      <c r="F2754" s="1"/>
      <c r="H2754" s="1"/>
    </row>
    <row r="2755" spans="2:8" x14ac:dyDescent="0.25">
      <c r="B2755" s="1"/>
      <c r="C2755" s="1"/>
      <c r="D2755" s="1"/>
      <c r="E2755" s="1"/>
      <c r="F2755" s="1"/>
      <c r="H2755" s="1"/>
    </row>
    <row r="2756" spans="2:8" x14ac:dyDescent="0.25">
      <c r="B2756" s="1"/>
      <c r="C2756" s="1"/>
      <c r="D2756" s="1"/>
      <c r="E2756" s="1"/>
      <c r="F2756" s="1"/>
      <c r="H2756" s="1"/>
    </row>
    <row r="2757" spans="2:8" x14ac:dyDescent="0.25">
      <c r="B2757" s="1"/>
      <c r="C2757" s="1"/>
      <c r="D2757" s="1"/>
      <c r="E2757" s="1"/>
      <c r="F2757" s="1"/>
      <c r="H2757" s="1"/>
    </row>
    <row r="2758" spans="2:8" x14ac:dyDescent="0.25">
      <c r="B2758" s="1"/>
      <c r="C2758" s="1"/>
      <c r="D2758" s="1"/>
      <c r="E2758" s="1"/>
      <c r="F2758" s="1"/>
      <c r="H2758" s="1"/>
    </row>
    <row r="2759" spans="2:8" x14ac:dyDescent="0.25">
      <c r="B2759" s="1"/>
      <c r="C2759" s="1"/>
      <c r="D2759" s="1"/>
      <c r="E2759" s="1"/>
      <c r="F2759" s="1"/>
      <c r="H2759" s="1"/>
    </row>
    <row r="2760" spans="2:8" x14ac:dyDescent="0.25">
      <c r="B2760" s="1"/>
      <c r="C2760" s="1"/>
      <c r="D2760" s="1"/>
      <c r="E2760" s="1"/>
      <c r="F2760" s="1"/>
      <c r="H2760" s="1"/>
    </row>
    <row r="2761" spans="2:8" x14ac:dyDescent="0.25">
      <c r="B2761" s="1"/>
      <c r="C2761" s="1"/>
      <c r="D2761" s="1"/>
      <c r="E2761" s="1"/>
      <c r="F2761" s="1"/>
      <c r="H2761" s="1"/>
    </row>
    <row r="2762" spans="2:8" x14ac:dyDescent="0.25">
      <c r="B2762" s="1"/>
      <c r="C2762" s="1"/>
      <c r="D2762" s="1"/>
      <c r="E2762" s="1"/>
      <c r="F2762" s="1"/>
      <c r="H2762" s="1"/>
    </row>
    <row r="2763" spans="2:8" x14ac:dyDescent="0.25">
      <c r="B2763" s="1"/>
      <c r="C2763" s="1"/>
      <c r="D2763" s="1"/>
      <c r="E2763" s="1"/>
      <c r="F2763" s="1"/>
      <c r="H2763" s="1"/>
    </row>
    <row r="2764" spans="2:8" x14ac:dyDescent="0.25">
      <c r="B2764" s="1"/>
      <c r="C2764" s="1"/>
      <c r="D2764" s="1"/>
      <c r="E2764" s="1"/>
      <c r="F2764" s="1"/>
      <c r="H2764" s="1"/>
    </row>
    <row r="2765" spans="2:8" x14ac:dyDescent="0.25">
      <c r="B2765" s="1"/>
      <c r="C2765" s="1"/>
      <c r="D2765" s="1"/>
      <c r="E2765" s="1"/>
      <c r="F2765" s="1"/>
      <c r="H2765" s="1"/>
    </row>
    <row r="2766" spans="2:8" x14ac:dyDescent="0.25">
      <c r="B2766" s="1"/>
      <c r="C2766" s="1"/>
      <c r="D2766" s="1"/>
      <c r="E2766" s="1"/>
      <c r="F2766" s="1"/>
      <c r="H2766" s="1"/>
    </row>
    <row r="2767" spans="2:8" x14ac:dyDescent="0.25">
      <c r="B2767" s="1"/>
      <c r="C2767" s="1"/>
      <c r="D2767" s="1"/>
      <c r="E2767" s="1"/>
      <c r="F2767" s="1"/>
      <c r="H2767" s="1"/>
    </row>
    <row r="2768" spans="2:8" x14ac:dyDescent="0.25">
      <c r="B2768" s="1"/>
      <c r="C2768" s="1"/>
      <c r="D2768" s="1"/>
      <c r="E2768" s="1"/>
      <c r="F2768" s="1"/>
      <c r="H2768" s="1"/>
    </row>
    <row r="2769" spans="2:8" x14ac:dyDescent="0.25">
      <c r="B2769" s="1"/>
      <c r="C2769" s="1"/>
      <c r="D2769" s="1"/>
      <c r="E2769" s="1"/>
      <c r="F2769" s="1"/>
      <c r="H2769" s="1"/>
    </row>
    <row r="2770" spans="2:8" x14ac:dyDescent="0.25">
      <c r="B2770" s="1"/>
      <c r="C2770" s="1"/>
      <c r="D2770" s="1"/>
      <c r="E2770" s="1"/>
      <c r="F2770" s="1"/>
      <c r="H2770" s="1"/>
    </row>
    <row r="2771" spans="2:8" x14ac:dyDescent="0.25">
      <c r="B2771" s="1"/>
      <c r="C2771" s="1"/>
      <c r="D2771" s="1"/>
      <c r="E2771" s="1"/>
      <c r="F2771" s="1"/>
      <c r="H2771" s="1"/>
    </row>
    <row r="2772" spans="2:8" x14ac:dyDescent="0.25">
      <c r="B2772" s="1"/>
      <c r="C2772" s="1"/>
      <c r="D2772" s="1"/>
      <c r="E2772" s="1"/>
      <c r="F2772" s="1"/>
      <c r="H2772" s="1"/>
    </row>
    <row r="2773" spans="2:8" x14ac:dyDescent="0.25">
      <c r="B2773" s="1"/>
      <c r="C2773" s="1"/>
      <c r="D2773" s="1"/>
      <c r="E2773" s="1"/>
      <c r="F2773" s="1"/>
      <c r="H2773" s="1"/>
    </row>
    <row r="2774" spans="2:8" x14ac:dyDescent="0.25">
      <c r="B2774" s="1"/>
      <c r="C2774" s="1"/>
      <c r="D2774" s="1"/>
      <c r="E2774" s="1"/>
      <c r="F2774" s="1"/>
      <c r="H2774" s="1"/>
    </row>
    <row r="2775" spans="2:8" x14ac:dyDescent="0.25">
      <c r="B2775" s="1"/>
      <c r="C2775" s="1"/>
      <c r="D2775" s="1"/>
      <c r="E2775" s="1"/>
      <c r="F2775" s="1"/>
      <c r="H2775" s="1"/>
    </row>
    <row r="2776" spans="2:8" x14ac:dyDescent="0.25">
      <c r="B2776" s="1"/>
      <c r="C2776" s="1"/>
      <c r="D2776" s="1"/>
      <c r="E2776" s="1"/>
      <c r="F2776" s="1"/>
      <c r="H2776" s="1"/>
    </row>
    <row r="2777" spans="2:8" x14ac:dyDescent="0.25">
      <c r="B2777" s="1"/>
      <c r="C2777" s="1"/>
      <c r="D2777" s="1"/>
      <c r="E2777" s="1"/>
      <c r="F2777" s="1"/>
      <c r="H2777" s="1"/>
    </row>
    <row r="2778" spans="2:8" x14ac:dyDescent="0.25">
      <c r="B2778" s="1"/>
      <c r="C2778" s="1"/>
      <c r="D2778" s="1"/>
      <c r="E2778" s="1"/>
      <c r="F2778" s="1"/>
      <c r="H2778" s="1"/>
    </row>
    <row r="2779" spans="2:8" x14ac:dyDescent="0.25">
      <c r="B2779" s="1"/>
      <c r="C2779" s="1"/>
      <c r="D2779" s="1"/>
      <c r="E2779" s="1"/>
      <c r="F2779" s="1"/>
      <c r="H2779" s="1"/>
    </row>
    <row r="2780" spans="2:8" x14ac:dyDescent="0.25">
      <c r="B2780" s="1"/>
      <c r="C2780" s="1"/>
      <c r="D2780" s="1"/>
      <c r="E2780" s="1"/>
      <c r="F2780" s="1"/>
      <c r="H2780" s="1"/>
    </row>
    <row r="2781" spans="2:8" x14ac:dyDescent="0.25">
      <c r="B2781" s="1"/>
      <c r="C2781" s="1"/>
      <c r="D2781" s="1"/>
      <c r="E2781" s="1"/>
      <c r="F2781" s="1"/>
      <c r="H2781" s="1"/>
    </row>
    <row r="2782" spans="2:8" x14ac:dyDescent="0.25">
      <c r="B2782" s="1"/>
      <c r="C2782" s="1"/>
      <c r="D2782" s="1"/>
      <c r="E2782" s="1"/>
      <c r="F2782" s="1"/>
      <c r="H2782" s="1"/>
    </row>
    <row r="2783" spans="2:8" x14ac:dyDescent="0.25">
      <c r="B2783" s="1"/>
      <c r="C2783" s="1"/>
      <c r="D2783" s="1"/>
      <c r="E2783" s="1"/>
      <c r="F2783" s="1"/>
      <c r="H2783" s="1"/>
    </row>
    <row r="2784" spans="2:8" x14ac:dyDescent="0.25">
      <c r="B2784" s="1"/>
      <c r="C2784" s="1"/>
      <c r="D2784" s="1"/>
      <c r="E2784" s="1"/>
      <c r="F2784" s="1"/>
      <c r="H2784" s="1"/>
    </row>
    <row r="2785" spans="2:8" x14ac:dyDescent="0.25">
      <c r="B2785" s="1"/>
      <c r="C2785" s="1"/>
      <c r="D2785" s="1"/>
      <c r="E2785" s="1"/>
      <c r="F2785" s="1"/>
      <c r="H2785" s="1"/>
    </row>
    <row r="2786" spans="2:8" x14ac:dyDescent="0.25">
      <c r="B2786" s="1"/>
      <c r="C2786" s="1"/>
      <c r="D2786" s="1"/>
      <c r="E2786" s="1"/>
      <c r="F2786" s="1"/>
      <c r="H2786" s="1"/>
    </row>
    <row r="2787" spans="2:8" x14ac:dyDescent="0.25">
      <c r="B2787" s="1"/>
      <c r="C2787" s="1"/>
      <c r="D2787" s="1"/>
      <c r="E2787" s="1"/>
      <c r="F2787" s="1"/>
      <c r="H2787" s="1"/>
    </row>
    <row r="2788" spans="2:8" x14ac:dyDescent="0.25">
      <c r="B2788" s="1"/>
      <c r="C2788" s="1"/>
      <c r="D2788" s="1"/>
      <c r="E2788" s="1"/>
      <c r="F2788" s="1"/>
      <c r="H2788" s="1"/>
    </row>
    <row r="2789" spans="2:8" x14ac:dyDescent="0.25">
      <c r="B2789" s="1"/>
      <c r="C2789" s="1"/>
      <c r="D2789" s="1"/>
      <c r="E2789" s="1"/>
      <c r="F2789" s="1"/>
      <c r="H2789" s="1"/>
    </row>
    <row r="2790" spans="2:8" x14ac:dyDescent="0.25">
      <c r="B2790" s="1"/>
      <c r="C2790" s="1"/>
      <c r="D2790" s="1"/>
      <c r="E2790" s="1"/>
      <c r="F2790" s="1"/>
      <c r="H2790" s="1"/>
    </row>
    <row r="2791" spans="2:8" x14ac:dyDescent="0.25">
      <c r="B2791" s="1"/>
      <c r="C2791" s="1"/>
      <c r="D2791" s="1"/>
      <c r="E2791" s="1"/>
      <c r="F2791" s="1"/>
      <c r="H2791" s="1"/>
    </row>
    <row r="2792" spans="2:8" x14ac:dyDescent="0.25">
      <c r="B2792" s="1"/>
      <c r="C2792" s="1"/>
      <c r="D2792" s="1"/>
      <c r="E2792" s="1"/>
      <c r="F2792" s="1"/>
      <c r="H2792" s="1"/>
    </row>
    <row r="2793" spans="2:8" x14ac:dyDescent="0.25">
      <c r="B2793" s="1"/>
      <c r="C2793" s="1"/>
      <c r="D2793" s="1"/>
      <c r="E2793" s="1"/>
      <c r="F2793" s="1"/>
      <c r="H2793" s="1"/>
    </row>
    <row r="2794" spans="2:8" x14ac:dyDescent="0.25">
      <c r="B2794" s="1"/>
      <c r="C2794" s="1"/>
      <c r="D2794" s="1"/>
      <c r="E2794" s="1"/>
      <c r="F2794" s="1"/>
      <c r="H2794" s="1"/>
    </row>
    <row r="2795" spans="2:8" x14ac:dyDescent="0.25">
      <c r="B2795" s="1"/>
      <c r="C2795" s="1"/>
      <c r="D2795" s="1"/>
      <c r="E2795" s="1"/>
      <c r="F2795" s="1"/>
      <c r="H2795" s="1"/>
    </row>
    <row r="2796" spans="2:8" x14ac:dyDescent="0.25">
      <c r="B2796" s="1"/>
      <c r="C2796" s="1"/>
      <c r="D2796" s="1"/>
      <c r="E2796" s="1"/>
      <c r="F2796" s="1"/>
      <c r="H2796" s="1"/>
    </row>
    <row r="2797" spans="2:8" x14ac:dyDescent="0.25">
      <c r="B2797" s="1"/>
      <c r="C2797" s="1"/>
      <c r="D2797" s="1"/>
      <c r="E2797" s="1"/>
      <c r="F2797" s="1"/>
      <c r="H2797" s="1"/>
    </row>
    <row r="2798" spans="2:8" x14ac:dyDescent="0.25">
      <c r="B2798" s="1"/>
      <c r="C2798" s="1"/>
      <c r="D2798" s="1"/>
      <c r="E2798" s="1"/>
      <c r="F2798" s="1"/>
      <c r="H2798" s="1"/>
    </row>
    <row r="2799" spans="2:8" x14ac:dyDescent="0.25">
      <c r="B2799" s="1"/>
      <c r="C2799" s="1"/>
      <c r="D2799" s="1"/>
      <c r="E2799" s="1"/>
      <c r="F2799" s="1"/>
      <c r="H2799" s="1"/>
    </row>
    <row r="2800" spans="2:8" x14ac:dyDescent="0.25">
      <c r="B2800" s="1"/>
      <c r="C2800" s="1"/>
      <c r="D2800" s="1"/>
      <c r="E2800" s="1"/>
      <c r="F2800" s="1"/>
      <c r="H2800" s="1"/>
    </row>
    <row r="2801" spans="2:8" x14ac:dyDescent="0.25">
      <c r="B2801" s="1"/>
      <c r="C2801" s="1"/>
      <c r="D2801" s="1"/>
      <c r="E2801" s="1"/>
      <c r="F2801" s="1"/>
      <c r="H2801" s="1"/>
    </row>
    <row r="2802" spans="2:8" x14ac:dyDescent="0.25">
      <c r="B2802" s="1"/>
      <c r="C2802" s="1"/>
      <c r="D2802" s="1"/>
      <c r="E2802" s="1"/>
      <c r="F2802" s="1"/>
      <c r="H2802" s="1"/>
    </row>
    <row r="2803" spans="2:8" x14ac:dyDescent="0.25">
      <c r="B2803" s="1"/>
      <c r="C2803" s="1"/>
      <c r="D2803" s="1"/>
      <c r="E2803" s="1"/>
      <c r="F2803" s="1"/>
      <c r="H2803" s="1"/>
    </row>
    <row r="2804" spans="2:8" x14ac:dyDescent="0.25">
      <c r="B2804" s="1"/>
      <c r="C2804" s="1"/>
      <c r="D2804" s="1"/>
      <c r="E2804" s="1"/>
      <c r="F2804" s="1"/>
      <c r="H2804" s="1"/>
    </row>
    <row r="2805" spans="2:8" x14ac:dyDescent="0.25">
      <c r="B2805" s="1"/>
      <c r="C2805" s="1"/>
      <c r="D2805" s="1"/>
      <c r="E2805" s="1"/>
      <c r="F2805" s="1"/>
      <c r="H2805" s="1"/>
    </row>
    <row r="2806" spans="2:8" x14ac:dyDescent="0.25">
      <c r="B2806" s="1"/>
      <c r="C2806" s="1"/>
      <c r="D2806" s="1"/>
      <c r="E2806" s="1"/>
      <c r="F2806" s="1"/>
      <c r="H2806" s="1"/>
    </row>
    <row r="2807" spans="2:8" x14ac:dyDescent="0.25">
      <c r="B2807" s="1"/>
      <c r="C2807" s="1"/>
      <c r="D2807" s="1"/>
      <c r="E2807" s="1"/>
      <c r="F2807" s="1"/>
      <c r="H2807" s="1"/>
    </row>
    <row r="2808" spans="2:8" x14ac:dyDescent="0.25">
      <c r="B2808" s="1"/>
      <c r="C2808" s="1"/>
      <c r="D2808" s="1"/>
      <c r="E2808" s="1"/>
      <c r="F2808" s="1"/>
      <c r="H2808" s="1"/>
    </row>
    <row r="2809" spans="2:8" x14ac:dyDescent="0.25">
      <c r="B2809" s="1"/>
      <c r="C2809" s="1"/>
      <c r="D2809" s="1"/>
      <c r="E2809" s="1"/>
      <c r="F2809" s="1"/>
      <c r="H2809" s="1"/>
    </row>
    <row r="2810" spans="2:8" x14ac:dyDescent="0.25">
      <c r="B2810" s="1"/>
      <c r="C2810" s="1"/>
      <c r="D2810" s="1"/>
      <c r="E2810" s="1"/>
      <c r="F2810" s="1"/>
      <c r="H2810" s="1"/>
    </row>
    <row r="2811" spans="2:8" x14ac:dyDescent="0.25">
      <c r="B2811" s="1"/>
      <c r="C2811" s="1"/>
      <c r="D2811" s="1"/>
      <c r="E2811" s="1"/>
      <c r="F2811" s="1"/>
      <c r="H2811" s="1"/>
    </row>
    <row r="2812" spans="2:8" x14ac:dyDescent="0.25">
      <c r="B2812" s="1"/>
      <c r="C2812" s="1"/>
      <c r="D2812" s="1"/>
      <c r="E2812" s="1"/>
      <c r="F2812" s="1"/>
      <c r="H2812" s="1"/>
    </row>
    <row r="2813" spans="2:8" x14ac:dyDescent="0.25">
      <c r="B2813" s="1"/>
      <c r="C2813" s="1"/>
      <c r="D2813" s="1"/>
      <c r="E2813" s="1"/>
      <c r="F2813" s="1"/>
      <c r="H2813" s="1"/>
    </row>
    <row r="2814" spans="2:8" x14ac:dyDescent="0.25">
      <c r="B2814" s="1"/>
      <c r="C2814" s="1"/>
      <c r="D2814" s="1"/>
      <c r="E2814" s="1"/>
      <c r="F2814" s="1"/>
      <c r="H2814" s="1"/>
    </row>
    <row r="2815" spans="2:8" x14ac:dyDescent="0.25">
      <c r="B2815" s="1"/>
      <c r="C2815" s="1"/>
      <c r="D2815" s="1"/>
      <c r="E2815" s="1"/>
      <c r="F2815" s="1"/>
      <c r="H2815" s="1"/>
    </row>
    <row r="2816" spans="2:8" x14ac:dyDescent="0.25">
      <c r="B2816" s="1"/>
      <c r="C2816" s="1"/>
      <c r="D2816" s="1"/>
      <c r="E2816" s="1"/>
      <c r="F2816" s="1"/>
      <c r="H2816" s="1"/>
    </row>
    <row r="2817" spans="2:8" x14ac:dyDescent="0.25">
      <c r="B2817" s="1"/>
      <c r="C2817" s="1"/>
      <c r="D2817" s="1"/>
      <c r="E2817" s="1"/>
      <c r="F2817" s="1"/>
      <c r="H2817" s="1"/>
    </row>
    <row r="2818" spans="2:8" x14ac:dyDescent="0.25">
      <c r="B2818" s="1"/>
      <c r="C2818" s="1"/>
      <c r="D2818" s="1"/>
      <c r="E2818" s="1"/>
      <c r="F2818" s="1"/>
      <c r="H2818" s="1"/>
    </row>
    <row r="2819" spans="2:8" x14ac:dyDescent="0.25">
      <c r="B2819" s="1"/>
      <c r="C2819" s="1"/>
      <c r="D2819" s="1"/>
      <c r="E2819" s="1"/>
      <c r="F2819" s="1"/>
      <c r="H2819" s="1"/>
    </row>
    <row r="2820" spans="2:8" x14ac:dyDescent="0.25">
      <c r="B2820" s="1"/>
      <c r="C2820" s="1"/>
      <c r="D2820" s="1"/>
      <c r="E2820" s="1"/>
      <c r="F2820" s="1"/>
      <c r="H2820" s="1"/>
    </row>
    <row r="2821" spans="2:8" x14ac:dyDescent="0.25">
      <c r="B2821" s="1"/>
      <c r="C2821" s="1"/>
      <c r="D2821" s="1"/>
      <c r="E2821" s="1"/>
      <c r="F2821" s="1"/>
      <c r="H2821" s="1"/>
    </row>
    <row r="2822" spans="2:8" x14ac:dyDescent="0.25">
      <c r="B2822" s="1"/>
      <c r="C2822" s="1"/>
      <c r="D2822" s="1"/>
      <c r="E2822" s="1"/>
      <c r="F2822" s="1"/>
      <c r="H2822" s="1"/>
    </row>
    <row r="2823" spans="2:8" x14ac:dyDescent="0.25">
      <c r="B2823" s="1"/>
      <c r="C2823" s="1"/>
      <c r="D2823" s="1"/>
      <c r="E2823" s="1"/>
      <c r="F2823" s="1"/>
      <c r="H2823" s="1"/>
    </row>
    <row r="2824" spans="2:8" x14ac:dyDescent="0.25">
      <c r="B2824" s="1"/>
      <c r="C2824" s="1"/>
      <c r="D2824" s="1"/>
      <c r="E2824" s="1"/>
      <c r="F2824" s="1"/>
      <c r="H2824" s="1"/>
    </row>
    <row r="2825" spans="2:8" x14ac:dyDescent="0.25">
      <c r="B2825" s="1"/>
      <c r="C2825" s="1"/>
      <c r="D2825" s="1"/>
      <c r="E2825" s="1"/>
      <c r="F2825" s="1"/>
      <c r="H2825" s="1"/>
    </row>
    <row r="2826" spans="2:8" x14ac:dyDescent="0.25">
      <c r="B2826" s="1"/>
      <c r="C2826" s="1"/>
      <c r="D2826" s="1"/>
      <c r="E2826" s="1"/>
      <c r="F2826" s="1"/>
      <c r="H2826" s="1"/>
    </row>
    <row r="2827" spans="2:8" x14ac:dyDescent="0.25">
      <c r="B2827" s="1"/>
      <c r="C2827" s="1"/>
      <c r="D2827" s="1"/>
      <c r="E2827" s="1"/>
      <c r="F2827" s="1"/>
      <c r="H2827" s="1"/>
    </row>
    <row r="2828" spans="2:8" x14ac:dyDescent="0.25">
      <c r="B2828" s="1"/>
      <c r="C2828" s="1"/>
      <c r="D2828" s="1"/>
      <c r="E2828" s="1"/>
      <c r="F2828" s="1"/>
      <c r="H2828" s="1"/>
    </row>
    <row r="2829" spans="2:8" x14ac:dyDescent="0.25">
      <c r="B2829" s="1"/>
      <c r="C2829" s="1"/>
      <c r="D2829" s="1"/>
      <c r="E2829" s="1"/>
      <c r="F2829" s="1"/>
      <c r="H2829" s="1"/>
    </row>
    <row r="2830" spans="2:8" x14ac:dyDescent="0.25">
      <c r="B2830" s="1"/>
      <c r="C2830" s="1"/>
      <c r="D2830" s="1"/>
      <c r="E2830" s="1"/>
      <c r="F2830" s="1"/>
      <c r="H2830" s="1"/>
    </row>
    <row r="2831" spans="2:8" x14ac:dyDescent="0.25">
      <c r="B2831" s="1"/>
      <c r="C2831" s="1"/>
      <c r="D2831" s="1"/>
      <c r="E2831" s="1"/>
      <c r="F2831" s="1"/>
      <c r="H2831" s="1"/>
    </row>
    <row r="2832" spans="2:8" x14ac:dyDescent="0.25">
      <c r="B2832" s="1"/>
      <c r="C2832" s="1"/>
      <c r="D2832" s="1"/>
      <c r="E2832" s="1"/>
      <c r="F2832" s="1"/>
      <c r="H2832" s="1"/>
    </row>
    <row r="2833" spans="2:8" x14ac:dyDescent="0.25">
      <c r="B2833" s="1"/>
      <c r="C2833" s="1"/>
      <c r="D2833" s="1"/>
      <c r="E2833" s="1"/>
      <c r="F2833" s="1"/>
      <c r="H2833" s="1"/>
    </row>
    <row r="2834" spans="2:8" x14ac:dyDescent="0.25">
      <c r="B2834" s="1"/>
      <c r="C2834" s="1"/>
      <c r="D2834" s="1"/>
      <c r="E2834" s="1"/>
      <c r="F2834" s="1"/>
      <c r="H2834" s="1"/>
    </row>
    <row r="2835" spans="2:8" x14ac:dyDescent="0.25">
      <c r="B2835" s="1"/>
      <c r="C2835" s="1"/>
      <c r="D2835" s="1"/>
      <c r="E2835" s="1"/>
      <c r="F2835" s="1"/>
      <c r="H2835" s="1"/>
    </row>
    <row r="2836" spans="2:8" x14ac:dyDescent="0.25">
      <c r="B2836" s="1"/>
      <c r="C2836" s="1"/>
      <c r="D2836" s="1"/>
      <c r="E2836" s="1"/>
      <c r="F2836" s="1"/>
      <c r="H2836" s="1"/>
    </row>
    <row r="2837" spans="2:8" x14ac:dyDescent="0.25">
      <c r="B2837" s="1"/>
      <c r="C2837" s="1"/>
      <c r="D2837" s="1"/>
      <c r="E2837" s="1"/>
      <c r="F2837" s="1"/>
      <c r="H2837" s="1"/>
    </row>
    <row r="2838" spans="2:8" x14ac:dyDescent="0.25">
      <c r="B2838" s="1"/>
      <c r="C2838" s="1"/>
      <c r="D2838" s="1"/>
      <c r="E2838" s="1"/>
      <c r="F2838" s="1"/>
      <c r="H2838" s="1"/>
    </row>
    <row r="2839" spans="2:8" x14ac:dyDescent="0.25">
      <c r="B2839" s="1"/>
      <c r="C2839" s="1"/>
      <c r="D2839" s="1"/>
      <c r="E2839" s="1"/>
      <c r="F2839" s="1"/>
      <c r="H2839" s="1"/>
    </row>
    <row r="2840" spans="2:8" x14ac:dyDescent="0.25">
      <c r="B2840" s="1"/>
      <c r="C2840" s="1"/>
      <c r="D2840" s="1"/>
      <c r="E2840" s="1"/>
      <c r="F2840" s="1"/>
      <c r="H2840" s="1"/>
    </row>
    <row r="2841" spans="2:8" x14ac:dyDescent="0.25">
      <c r="B2841" s="1"/>
      <c r="C2841" s="1"/>
      <c r="D2841" s="1"/>
      <c r="E2841" s="1"/>
      <c r="F2841" s="1"/>
      <c r="H2841" s="1"/>
    </row>
    <row r="2842" spans="2:8" x14ac:dyDescent="0.25">
      <c r="B2842" s="1"/>
      <c r="C2842" s="1"/>
      <c r="D2842" s="1"/>
      <c r="E2842" s="1"/>
      <c r="F2842" s="1"/>
      <c r="H2842" s="1"/>
    </row>
    <row r="2843" spans="2:8" x14ac:dyDescent="0.25">
      <c r="B2843" s="1"/>
      <c r="C2843" s="1"/>
      <c r="D2843" s="1"/>
      <c r="E2843" s="1"/>
      <c r="F2843" s="1"/>
      <c r="H2843" s="1"/>
    </row>
    <row r="2844" spans="2:8" x14ac:dyDescent="0.25">
      <c r="B2844" s="1"/>
      <c r="C2844" s="1"/>
      <c r="D2844" s="1"/>
      <c r="E2844" s="1"/>
      <c r="F2844" s="1"/>
      <c r="H2844" s="1"/>
    </row>
    <row r="2845" spans="2:8" x14ac:dyDescent="0.25">
      <c r="B2845" s="1"/>
      <c r="C2845" s="1"/>
      <c r="D2845" s="1"/>
      <c r="E2845" s="1"/>
      <c r="F2845" s="1"/>
      <c r="H2845" s="1"/>
    </row>
    <row r="2846" spans="2:8" x14ac:dyDescent="0.25">
      <c r="B2846" s="1"/>
      <c r="C2846" s="1"/>
      <c r="D2846" s="1"/>
      <c r="E2846" s="1"/>
      <c r="F2846" s="1"/>
      <c r="H2846" s="1"/>
    </row>
    <row r="2847" spans="2:8" x14ac:dyDescent="0.25">
      <c r="B2847" s="1"/>
      <c r="C2847" s="1"/>
      <c r="D2847" s="1"/>
      <c r="E2847" s="1"/>
      <c r="F2847" s="1"/>
      <c r="H2847" s="1"/>
    </row>
    <row r="2848" spans="2:8" x14ac:dyDescent="0.25">
      <c r="B2848" s="1"/>
      <c r="C2848" s="1"/>
      <c r="D2848" s="1"/>
      <c r="E2848" s="1"/>
      <c r="F2848" s="1"/>
      <c r="H2848" s="1"/>
    </row>
    <row r="2849" spans="2:8" x14ac:dyDescent="0.25">
      <c r="B2849" s="1"/>
      <c r="C2849" s="1"/>
      <c r="D2849" s="1"/>
      <c r="E2849" s="1"/>
      <c r="F2849" s="1"/>
      <c r="H2849" s="1"/>
    </row>
    <row r="2850" spans="2:8" x14ac:dyDescent="0.25">
      <c r="B2850" s="1"/>
      <c r="C2850" s="1"/>
      <c r="D2850" s="1"/>
      <c r="E2850" s="1"/>
      <c r="F2850" s="1"/>
      <c r="H2850" s="1"/>
    </row>
    <row r="2851" spans="2:8" x14ac:dyDescent="0.25">
      <c r="B2851" s="1"/>
      <c r="C2851" s="1"/>
      <c r="D2851" s="1"/>
      <c r="E2851" s="1"/>
      <c r="F2851" s="1"/>
      <c r="H2851" s="1"/>
    </row>
    <row r="2852" spans="2:8" x14ac:dyDescent="0.25">
      <c r="B2852" s="1"/>
      <c r="C2852" s="1"/>
      <c r="D2852" s="1"/>
      <c r="E2852" s="1"/>
      <c r="F2852" s="1"/>
      <c r="H2852" s="1"/>
    </row>
    <row r="2853" spans="2:8" x14ac:dyDescent="0.25">
      <c r="B2853" s="1"/>
      <c r="C2853" s="1"/>
      <c r="D2853" s="1"/>
      <c r="E2853" s="1"/>
      <c r="F2853" s="1"/>
      <c r="H2853" s="1"/>
    </row>
    <row r="2854" spans="2:8" x14ac:dyDescent="0.25">
      <c r="B2854" s="1"/>
      <c r="C2854" s="1"/>
      <c r="D2854" s="1"/>
      <c r="E2854" s="1"/>
      <c r="F2854" s="1"/>
      <c r="H2854" s="1"/>
    </row>
    <row r="2855" spans="2:8" x14ac:dyDescent="0.25">
      <c r="B2855" s="1"/>
      <c r="C2855" s="1"/>
      <c r="D2855" s="1"/>
      <c r="E2855" s="1"/>
      <c r="F2855" s="1"/>
      <c r="H2855" s="1"/>
    </row>
    <row r="2856" spans="2:8" x14ac:dyDescent="0.25">
      <c r="B2856" s="1"/>
      <c r="C2856" s="1"/>
      <c r="D2856" s="1"/>
      <c r="E2856" s="1"/>
      <c r="F2856" s="1"/>
      <c r="H2856" s="1"/>
    </row>
    <row r="2857" spans="2:8" x14ac:dyDescent="0.25">
      <c r="B2857" s="1"/>
      <c r="C2857" s="1"/>
      <c r="D2857" s="1"/>
      <c r="E2857" s="1"/>
      <c r="F2857" s="1"/>
      <c r="H2857" s="1"/>
    </row>
    <row r="2858" spans="2:8" x14ac:dyDescent="0.25">
      <c r="B2858" s="1"/>
      <c r="C2858" s="1"/>
      <c r="D2858" s="1"/>
      <c r="E2858" s="1"/>
      <c r="F2858" s="1"/>
      <c r="H2858" s="1"/>
    </row>
    <row r="2859" spans="2:8" x14ac:dyDescent="0.25">
      <c r="B2859" s="1"/>
      <c r="C2859" s="1"/>
      <c r="D2859" s="1"/>
      <c r="E2859" s="1"/>
      <c r="F2859" s="1"/>
      <c r="H2859" s="1"/>
    </row>
    <row r="2860" spans="2:8" x14ac:dyDescent="0.25">
      <c r="B2860" s="1"/>
      <c r="C2860" s="1"/>
      <c r="D2860" s="1"/>
      <c r="E2860" s="1"/>
      <c r="F2860" s="1"/>
      <c r="H2860" s="1"/>
    </row>
    <row r="2861" spans="2:8" x14ac:dyDescent="0.25">
      <c r="B2861" s="1"/>
      <c r="C2861" s="1"/>
      <c r="D2861" s="1"/>
      <c r="E2861" s="1"/>
      <c r="F2861" s="1"/>
      <c r="H2861" s="1"/>
    </row>
    <row r="2862" spans="2:8" x14ac:dyDescent="0.25">
      <c r="B2862" s="1"/>
      <c r="C2862" s="1"/>
      <c r="D2862" s="1"/>
      <c r="E2862" s="1"/>
      <c r="F2862" s="1"/>
      <c r="H2862" s="1"/>
    </row>
    <row r="2863" spans="2:8" x14ac:dyDescent="0.25">
      <c r="B2863" s="1"/>
      <c r="C2863" s="1"/>
      <c r="D2863" s="1"/>
      <c r="E2863" s="1"/>
      <c r="F2863" s="1"/>
      <c r="H2863" s="1"/>
    </row>
    <row r="2864" spans="2:8" x14ac:dyDescent="0.25">
      <c r="B2864" s="1"/>
      <c r="C2864" s="1"/>
      <c r="D2864" s="1"/>
      <c r="E2864" s="1"/>
      <c r="F2864" s="1"/>
      <c r="H2864" s="1"/>
    </row>
    <row r="2865" spans="2:8" x14ac:dyDescent="0.25">
      <c r="B2865" s="1"/>
      <c r="C2865" s="1"/>
      <c r="D2865" s="1"/>
      <c r="E2865" s="1"/>
      <c r="F2865" s="1"/>
      <c r="H2865" s="1"/>
    </row>
    <row r="2866" spans="2:8" x14ac:dyDescent="0.25">
      <c r="B2866" s="1"/>
      <c r="C2866" s="1"/>
      <c r="D2866" s="1"/>
      <c r="E2866" s="1"/>
      <c r="F2866" s="1"/>
      <c r="H2866" s="1"/>
    </row>
    <row r="2867" spans="2:8" x14ac:dyDescent="0.25">
      <c r="B2867" s="1"/>
      <c r="C2867" s="1"/>
      <c r="D2867" s="1"/>
      <c r="E2867" s="1"/>
      <c r="F2867" s="1"/>
      <c r="H2867" s="1"/>
    </row>
    <row r="2868" spans="2:8" x14ac:dyDescent="0.25">
      <c r="B2868" s="1"/>
      <c r="C2868" s="1"/>
      <c r="D2868" s="1"/>
      <c r="E2868" s="1"/>
      <c r="F2868" s="1"/>
      <c r="H2868" s="1"/>
    </row>
    <row r="2869" spans="2:8" x14ac:dyDescent="0.25">
      <c r="B2869" s="1"/>
      <c r="C2869" s="1"/>
      <c r="D2869" s="1"/>
      <c r="E2869" s="1"/>
      <c r="F2869" s="1"/>
      <c r="H2869" s="1"/>
    </row>
    <row r="2870" spans="2:8" x14ac:dyDescent="0.25">
      <c r="B2870" s="1"/>
      <c r="C2870" s="1"/>
      <c r="D2870" s="1"/>
      <c r="E2870" s="1"/>
      <c r="F2870" s="1"/>
      <c r="H2870" s="1"/>
    </row>
    <row r="2871" spans="2:8" x14ac:dyDescent="0.25">
      <c r="B2871" s="1"/>
      <c r="C2871" s="1"/>
      <c r="D2871" s="1"/>
      <c r="E2871" s="1"/>
      <c r="F2871" s="1"/>
      <c r="H2871" s="1"/>
    </row>
    <row r="2872" spans="2:8" x14ac:dyDescent="0.25">
      <c r="B2872" s="1"/>
      <c r="C2872" s="1"/>
      <c r="D2872" s="1"/>
      <c r="E2872" s="1"/>
      <c r="F2872" s="1"/>
      <c r="H2872" s="1"/>
    </row>
    <row r="2873" spans="2:8" x14ac:dyDescent="0.25">
      <c r="B2873" s="1"/>
      <c r="C2873" s="1"/>
      <c r="D2873" s="1"/>
      <c r="E2873" s="1"/>
      <c r="F2873" s="1"/>
      <c r="H2873" s="1"/>
    </row>
    <row r="2874" spans="2:8" x14ac:dyDescent="0.25">
      <c r="B2874" s="1"/>
      <c r="C2874" s="1"/>
      <c r="D2874" s="1"/>
      <c r="E2874" s="1"/>
      <c r="F2874" s="1"/>
      <c r="H2874" s="1"/>
    </row>
    <row r="2875" spans="2:8" x14ac:dyDescent="0.25">
      <c r="B2875" s="1"/>
      <c r="C2875" s="1"/>
      <c r="D2875" s="1"/>
      <c r="E2875" s="1"/>
      <c r="F2875" s="1"/>
      <c r="H2875" s="1"/>
    </row>
    <row r="2876" spans="2:8" x14ac:dyDescent="0.25">
      <c r="B2876" s="1"/>
      <c r="C2876" s="1"/>
      <c r="D2876" s="1"/>
      <c r="E2876" s="1"/>
      <c r="F2876" s="1"/>
      <c r="H2876" s="1"/>
    </row>
    <row r="2877" spans="2:8" x14ac:dyDescent="0.25">
      <c r="B2877" s="1"/>
      <c r="C2877" s="1"/>
      <c r="D2877" s="1"/>
      <c r="E2877" s="1"/>
      <c r="F2877" s="1"/>
      <c r="H2877" s="1"/>
    </row>
    <row r="2878" spans="2:8" x14ac:dyDescent="0.25">
      <c r="B2878" s="1"/>
      <c r="C2878" s="1"/>
      <c r="D2878" s="1"/>
      <c r="E2878" s="1"/>
      <c r="F2878" s="1"/>
      <c r="H2878" s="1"/>
    </row>
    <row r="2879" spans="2:8" x14ac:dyDescent="0.25">
      <c r="B2879" s="1"/>
      <c r="C2879" s="1"/>
      <c r="D2879" s="1"/>
      <c r="E2879" s="1"/>
      <c r="F2879" s="1"/>
      <c r="H2879" s="1"/>
    </row>
    <row r="2880" spans="2:8" x14ac:dyDescent="0.25">
      <c r="B2880" s="1"/>
      <c r="C2880" s="1"/>
      <c r="D2880" s="1"/>
      <c r="E2880" s="1"/>
      <c r="F2880" s="1"/>
      <c r="H2880" s="1"/>
    </row>
    <row r="2881" spans="2:8" x14ac:dyDescent="0.25">
      <c r="B2881" s="1"/>
      <c r="C2881" s="1"/>
      <c r="D2881" s="1"/>
      <c r="E2881" s="1"/>
      <c r="F2881" s="1"/>
      <c r="H2881" s="1"/>
    </row>
    <row r="2882" spans="2:8" x14ac:dyDescent="0.25">
      <c r="B2882" s="1"/>
      <c r="C2882" s="1"/>
      <c r="D2882" s="1"/>
      <c r="E2882" s="1"/>
      <c r="F2882" s="1"/>
      <c r="H2882" s="1"/>
    </row>
    <row r="2883" spans="2:8" x14ac:dyDescent="0.25">
      <c r="B2883" s="1"/>
      <c r="C2883" s="1"/>
      <c r="D2883" s="1"/>
      <c r="E2883" s="1"/>
      <c r="F2883" s="1"/>
      <c r="H2883" s="1"/>
    </row>
    <row r="2884" spans="2:8" x14ac:dyDescent="0.25">
      <c r="B2884" s="1"/>
      <c r="C2884" s="1"/>
      <c r="D2884" s="1"/>
      <c r="E2884" s="1"/>
      <c r="F2884" s="1"/>
      <c r="H2884" s="1"/>
    </row>
    <row r="2885" spans="2:8" x14ac:dyDescent="0.25">
      <c r="B2885" s="1"/>
      <c r="C2885" s="1"/>
      <c r="D2885" s="1"/>
      <c r="E2885" s="1"/>
      <c r="F2885" s="1"/>
      <c r="H2885" s="1"/>
    </row>
    <row r="2886" spans="2:8" x14ac:dyDescent="0.25">
      <c r="B2886" s="1"/>
      <c r="C2886" s="1"/>
      <c r="D2886" s="1"/>
      <c r="E2886" s="1"/>
      <c r="F2886" s="1"/>
      <c r="H2886" s="1"/>
    </row>
    <row r="2887" spans="2:8" x14ac:dyDescent="0.25">
      <c r="B2887" s="1"/>
      <c r="C2887" s="1"/>
      <c r="D2887" s="1"/>
      <c r="E2887" s="1"/>
      <c r="F2887" s="1"/>
      <c r="H2887" s="1"/>
    </row>
    <row r="2888" spans="2:8" x14ac:dyDescent="0.25">
      <c r="B2888" s="1"/>
      <c r="C2888" s="1"/>
      <c r="D2888" s="1"/>
      <c r="E2888" s="1"/>
      <c r="F2888" s="1"/>
      <c r="H2888" s="1"/>
    </row>
    <row r="2889" spans="2:8" x14ac:dyDescent="0.25">
      <c r="B2889" s="1"/>
      <c r="C2889" s="1"/>
      <c r="D2889" s="1"/>
      <c r="E2889" s="1"/>
      <c r="F2889" s="1"/>
      <c r="H2889" s="1"/>
    </row>
    <row r="2890" spans="2:8" x14ac:dyDescent="0.25">
      <c r="B2890" s="1"/>
      <c r="C2890" s="1"/>
      <c r="D2890" s="1"/>
      <c r="E2890" s="1"/>
      <c r="F2890" s="1"/>
      <c r="H2890" s="1"/>
    </row>
    <row r="2891" spans="2:8" x14ac:dyDescent="0.25">
      <c r="B2891" s="1"/>
      <c r="C2891" s="1"/>
      <c r="D2891" s="1"/>
      <c r="E2891" s="1"/>
      <c r="F2891" s="1"/>
      <c r="H2891" s="1"/>
    </row>
    <row r="2892" spans="2:8" x14ac:dyDescent="0.25">
      <c r="B2892" s="1"/>
      <c r="C2892" s="1"/>
      <c r="D2892" s="1"/>
      <c r="E2892" s="1"/>
      <c r="F2892" s="1"/>
      <c r="H2892" s="1"/>
    </row>
    <row r="2893" spans="2:8" x14ac:dyDescent="0.25">
      <c r="B2893" s="1"/>
      <c r="C2893" s="1"/>
      <c r="D2893" s="1"/>
      <c r="E2893" s="1"/>
      <c r="F2893" s="1"/>
      <c r="H2893" s="1"/>
    </row>
    <row r="2894" spans="2:8" x14ac:dyDescent="0.25">
      <c r="B2894" s="1"/>
      <c r="C2894" s="1"/>
      <c r="D2894" s="1"/>
      <c r="E2894" s="1"/>
      <c r="F2894" s="1"/>
      <c r="H2894" s="1"/>
    </row>
    <row r="2895" spans="2:8" x14ac:dyDescent="0.25">
      <c r="B2895" s="1"/>
      <c r="C2895" s="1"/>
      <c r="D2895" s="1"/>
      <c r="E2895" s="1"/>
      <c r="F2895" s="1"/>
      <c r="H2895" s="1"/>
    </row>
    <row r="2896" spans="2:8" x14ac:dyDescent="0.25">
      <c r="B2896" s="1"/>
      <c r="C2896" s="1"/>
      <c r="D2896" s="1"/>
      <c r="E2896" s="1"/>
      <c r="F2896" s="1"/>
      <c r="H2896" s="1"/>
    </row>
    <row r="2897" spans="2:8" x14ac:dyDescent="0.25">
      <c r="B2897" s="1"/>
      <c r="C2897" s="1"/>
      <c r="D2897" s="1"/>
      <c r="E2897" s="1"/>
      <c r="F2897" s="1"/>
      <c r="H2897" s="1"/>
    </row>
    <row r="2898" spans="2:8" x14ac:dyDescent="0.25">
      <c r="B2898" s="1"/>
      <c r="C2898" s="1"/>
      <c r="D2898" s="1"/>
      <c r="E2898" s="1"/>
      <c r="F2898" s="1"/>
      <c r="H2898" s="1"/>
    </row>
    <row r="2899" spans="2:8" x14ac:dyDescent="0.25">
      <c r="B2899" s="1"/>
      <c r="C2899" s="1"/>
      <c r="D2899" s="1"/>
      <c r="E2899" s="1"/>
      <c r="F2899" s="1"/>
      <c r="H2899" s="1"/>
    </row>
    <row r="2900" spans="2:8" x14ac:dyDescent="0.25">
      <c r="B2900" s="1"/>
      <c r="C2900" s="1"/>
      <c r="D2900" s="1"/>
      <c r="E2900" s="1"/>
      <c r="F2900" s="1"/>
      <c r="H2900" s="1"/>
    </row>
    <row r="2901" spans="2:8" x14ac:dyDescent="0.25">
      <c r="B2901" s="1"/>
      <c r="C2901" s="1"/>
      <c r="D2901" s="1"/>
      <c r="E2901" s="1"/>
      <c r="F2901" s="1"/>
      <c r="H2901" s="1"/>
    </row>
    <row r="2902" spans="2:8" x14ac:dyDescent="0.25">
      <c r="B2902" s="1"/>
      <c r="C2902" s="1"/>
      <c r="D2902" s="1"/>
      <c r="E2902" s="1"/>
      <c r="F2902" s="1"/>
      <c r="H2902" s="1"/>
    </row>
    <row r="2903" spans="2:8" x14ac:dyDescent="0.25">
      <c r="B2903" s="1"/>
      <c r="C2903" s="1"/>
      <c r="D2903" s="1"/>
      <c r="E2903" s="1"/>
      <c r="F2903" s="1"/>
      <c r="H2903" s="1"/>
    </row>
    <row r="2904" spans="2:8" x14ac:dyDescent="0.25">
      <c r="B2904" s="1"/>
      <c r="C2904" s="1"/>
      <c r="D2904" s="1"/>
      <c r="E2904" s="1"/>
      <c r="F2904" s="1"/>
      <c r="H2904" s="1"/>
    </row>
    <row r="2905" spans="2:8" x14ac:dyDescent="0.25">
      <c r="B2905" s="1"/>
      <c r="C2905" s="1"/>
      <c r="D2905" s="1"/>
      <c r="E2905" s="1"/>
      <c r="F2905" s="1"/>
      <c r="H2905" s="1"/>
    </row>
    <row r="2906" spans="2:8" x14ac:dyDescent="0.25">
      <c r="B2906" s="1"/>
      <c r="C2906" s="1"/>
      <c r="D2906" s="1"/>
      <c r="E2906" s="1"/>
      <c r="F2906" s="1"/>
      <c r="H2906" s="1"/>
    </row>
    <row r="2907" spans="2:8" x14ac:dyDescent="0.25">
      <c r="B2907" s="1"/>
      <c r="C2907" s="1"/>
      <c r="D2907" s="1"/>
      <c r="E2907" s="1"/>
      <c r="F2907" s="1"/>
      <c r="H2907" s="1"/>
    </row>
    <row r="2908" spans="2:8" x14ac:dyDescent="0.25">
      <c r="B2908" s="1"/>
      <c r="C2908" s="1"/>
      <c r="D2908" s="1"/>
      <c r="E2908" s="1"/>
      <c r="F2908" s="1"/>
      <c r="H2908" s="1"/>
    </row>
    <row r="2909" spans="2:8" x14ac:dyDescent="0.25">
      <c r="B2909" s="1"/>
      <c r="C2909" s="1"/>
      <c r="D2909" s="1"/>
      <c r="E2909" s="1"/>
      <c r="F2909" s="1"/>
      <c r="H2909" s="1"/>
    </row>
    <row r="2910" spans="2:8" x14ac:dyDescent="0.25">
      <c r="B2910" s="1"/>
      <c r="C2910" s="1"/>
      <c r="D2910" s="1"/>
      <c r="E2910" s="1"/>
      <c r="F2910" s="1"/>
      <c r="H2910" s="1"/>
    </row>
    <row r="2911" spans="2:8" x14ac:dyDescent="0.25">
      <c r="B2911" s="1"/>
      <c r="C2911" s="1"/>
      <c r="D2911" s="1"/>
      <c r="E2911" s="1"/>
      <c r="F2911" s="1"/>
      <c r="H2911" s="1"/>
    </row>
    <row r="2912" spans="2:8" x14ac:dyDescent="0.25">
      <c r="B2912" s="1"/>
      <c r="C2912" s="1"/>
      <c r="D2912" s="1"/>
      <c r="E2912" s="1"/>
      <c r="F2912" s="1"/>
      <c r="H2912" s="1"/>
    </row>
    <row r="2913" spans="2:8" x14ac:dyDescent="0.25">
      <c r="B2913" s="1"/>
      <c r="C2913" s="1"/>
      <c r="D2913" s="1"/>
      <c r="E2913" s="1"/>
      <c r="F2913" s="1"/>
      <c r="H2913" s="1"/>
    </row>
    <row r="2914" spans="2:8" x14ac:dyDescent="0.25">
      <c r="B2914" s="1"/>
      <c r="C2914" s="1"/>
      <c r="D2914" s="1"/>
      <c r="E2914" s="1"/>
      <c r="F2914" s="1"/>
      <c r="H2914" s="1"/>
    </row>
    <row r="2915" spans="2:8" x14ac:dyDescent="0.25">
      <c r="B2915" s="1"/>
      <c r="C2915" s="1"/>
      <c r="D2915" s="1"/>
      <c r="E2915" s="1"/>
      <c r="F2915" s="1"/>
      <c r="H2915" s="1"/>
    </row>
    <row r="2916" spans="2:8" x14ac:dyDescent="0.25">
      <c r="B2916" s="1"/>
      <c r="C2916" s="1"/>
      <c r="D2916" s="1"/>
      <c r="E2916" s="1"/>
      <c r="F2916" s="1"/>
      <c r="H2916" s="1"/>
    </row>
    <row r="2917" spans="2:8" x14ac:dyDescent="0.25">
      <c r="B2917" s="1"/>
      <c r="C2917" s="1"/>
      <c r="D2917" s="1"/>
      <c r="E2917" s="1"/>
      <c r="F2917" s="1"/>
      <c r="H2917" s="1"/>
    </row>
    <row r="2918" spans="2:8" x14ac:dyDescent="0.25">
      <c r="B2918" s="1"/>
      <c r="C2918" s="1"/>
      <c r="D2918" s="1"/>
      <c r="E2918" s="1"/>
      <c r="F2918" s="1"/>
      <c r="H2918" s="1"/>
    </row>
    <row r="2919" spans="2:8" x14ac:dyDescent="0.25">
      <c r="B2919" s="1"/>
      <c r="C2919" s="1"/>
      <c r="D2919" s="1"/>
      <c r="E2919" s="1"/>
      <c r="F2919" s="1"/>
      <c r="H2919" s="1"/>
    </row>
    <row r="2920" spans="2:8" x14ac:dyDescent="0.25">
      <c r="B2920" s="1"/>
      <c r="C2920" s="1"/>
      <c r="D2920" s="1"/>
      <c r="E2920" s="1"/>
      <c r="F2920" s="1"/>
      <c r="H2920" s="1"/>
    </row>
    <row r="2921" spans="2:8" x14ac:dyDescent="0.25">
      <c r="B2921" s="1"/>
      <c r="C2921" s="1"/>
      <c r="D2921" s="1"/>
      <c r="E2921" s="1"/>
      <c r="F2921" s="1"/>
      <c r="H2921" s="1"/>
    </row>
    <row r="2922" spans="2:8" x14ac:dyDescent="0.25">
      <c r="B2922" s="1"/>
      <c r="C2922" s="1"/>
      <c r="D2922" s="1"/>
      <c r="E2922" s="1"/>
      <c r="F2922" s="1"/>
      <c r="H2922" s="1"/>
    </row>
    <row r="2923" spans="2:8" x14ac:dyDescent="0.25">
      <c r="B2923" s="1"/>
      <c r="C2923" s="1"/>
      <c r="D2923" s="1"/>
      <c r="E2923" s="1"/>
      <c r="F2923" s="1"/>
      <c r="H2923" s="1"/>
    </row>
    <row r="2924" spans="2:8" x14ac:dyDescent="0.25">
      <c r="B2924" s="1"/>
      <c r="C2924" s="1"/>
      <c r="D2924" s="1"/>
      <c r="E2924" s="1"/>
      <c r="F2924" s="1"/>
      <c r="H2924" s="1"/>
    </row>
    <row r="2925" spans="2:8" x14ac:dyDescent="0.25">
      <c r="B2925" s="1"/>
      <c r="C2925" s="1"/>
      <c r="D2925" s="1"/>
      <c r="E2925" s="1"/>
      <c r="F2925" s="1"/>
      <c r="H2925" s="1"/>
    </row>
    <row r="2926" spans="2:8" x14ac:dyDescent="0.25">
      <c r="B2926" s="1"/>
      <c r="C2926" s="1"/>
      <c r="D2926" s="1"/>
      <c r="E2926" s="1"/>
      <c r="F2926" s="1"/>
      <c r="H2926" s="1"/>
    </row>
    <row r="2927" spans="2:8" x14ac:dyDescent="0.25">
      <c r="B2927" s="1"/>
      <c r="C2927" s="1"/>
      <c r="D2927" s="1"/>
      <c r="E2927" s="1"/>
      <c r="F2927" s="1"/>
      <c r="H2927" s="1"/>
    </row>
    <row r="2928" spans="2:8" x14ac:dyDescent="0.25">
      <c r="B2928" s="1"/>
      <c r="C2928" s="1"/>
      <c r="D2928" s="1"/>
      <c r="E2928" s="1"/>
      <c r="F2928" s="1"/>
      <c r="H2928" s="1"/>
    </row>
    <row r="2929" spans="2:8" x14ac:dyDescent="0.25">
      <c r="B2929" s="1"/>
      <c r="C2929" s="1"/>
      <c r="D2929" s="1"/>
      <c r="E2929" s="1"/>
      <c r="F2929" s="1"/>
      <c r="H2929" s="1"/>
    </row>
    <row r="2930" spans="2:8" x14ac:dyDescent="0.25">
      <c r="B2930" s="1"/>
      <c r="C2930" s="1"/>
      <c r="D2930" s="1"/>
      <c r="E2930" s="1"/>
      <c r="F2930" s="1"/>
      <c r="H2930" s="1"/>
    </row>
    <row r="2931" spans="2:8" x14ac:dyDescent="0.25">
      <c r="B2931" s="1"/>
      <c r="C2931" s="1"/>
      <c r="D2931" s="1"/>
      <c r="E2931" s="1"/>
      <c r="F2931" s="1"/>
      <c r="H2931" s="1"/>
    </row>
    <row r="2932" spans="2:8" x14ac:dyDescent="0.25">
      <c r="B2932" s="1"/>
      <c r="C2932" s="1"/>
      <c r="D2932" s="1"/>
      <c r="E2932" s="1"/>
      <c r="F2932" s="1"/>
      <c r="H2932" s="1"/>
    </row>
    <row r="2933" spans="2:8" x14ac:dyDescent="0.25">
      <c r="B2933" s="1"/>
      <c r="C2933" s="1"/>
      <c r="D2933" s="1"/>
      <c r="E2933" s="1"/>
      <c r="F2933" s="1"/>
      <c r="H2933" s="1"/>
    </row>
    <row r="2934" spans="2:8" x14ac:dyDescent="0.25">
      <c r="B2934" s="1"/>
      <c r="C2934" s="1"/>
      <c r="D2934" s="1"/>
      <c r="E2934" s="1"/>
      <c r="F2934" s="1"/>
      <c r="H2934" s="1"/>
    </row>
    <row r="2935" spans="2:8" x14ac:dyDescent="0.25">
      <c r="B2935" s="1"/>
      <c r="C2935" s="1"/>
      <c r="D2935" s="1"/>
      <c r="E2935" s="1"/>
      <c r="F2935" s="1"/>
      <c r="H2935" s="1"/>
    </row>
    <row r="2936" spans="2:8" x14ac:dyDescent="0.25">
      <c r="B2936" s="1"/>
      <c r="C2936" s="1"/>
      <c r="D2936" s="1"/>
      <c r="E2936" s="1"/>
      <c r="F2936" s="1"/>
      <c r="H2936" s="1"/>
    </row>
    <row r="2937" spans="2:8" x14ac:dyDescent="0.25">
      <c r="B2937" s="1"/>
      <c r="C2937" s="1"/>
      <c r="D2937" s="1"/>
      <c r="E2937" s="1"/>
      <c r="F2937" s="1"/>
      <c r="H2937" s="1"/>
    </row>
    <row r="2938" spans="2:8" x14ac:dyDescent="0.25">
      <c r="B2938" s="1"/>
      <c r="C2938" s="1"/>
      <c r="D2938" s="1"/>
      <c r="E2938" s="1"/>
      <c r="F2938" s="1"/>
      <c r="H2938" s="1"/>
    </row>
    <row r="2939" spans="2:8" x14ac:dyDescent="0.25">
      <c r="B2939" s="1"/>
      <c r="C2939" s="1"/>
      <c r="D2939" s="1"/>
      <c r="E2939" s="1"/>
      <c r="F2939" s="1"/>
      <c r="H2939" s="1"/>
    </row>
    <row r="2940" spans="2:8" x14ac:dyDescent="0.25">
      <c r="B2940" s="1"/>
      <c r="C2940" s="1"/>
      <c r="D2940" s="1"/>
      <c r="E2940" s="1"/>
      <c r="F2940" s="1"/>
      <c r="H2940" s="1"/>
    </row>
    <row r="2941" spans="2:8" x14ac:dyDescent="0.25">
      <c r="B2941" s="1"/>
      <c r="C2941" s="1"/>
      <c r="D2941" s="1"/>
      <c r="E2941" s="1"/>
      <c r="F2941" s="1"/>
      <c r="H2941" s="1"/>
    </row>
    <row r="2942" spans="2:8" x14ac:dyDescent="0.25">
      <c r="B2942" s="1"/>
      <c r="C2942" s="1"/>
      <c r="D2942" s="1"/>
      <c r="E2942" s="1"/>
      <c r="F2942" s="1"/>
      <c r="H2942" s="1"/>
    </row>
    <row r="2943" spans="2:8" x14ac:dyDescent="0.25">
      <c r="B2943" s="1"/>
      <c r="C2943" s="1"/>
      <c r="D2943" s="1"/>
      <c r="E2943" s="1"/>
      <c r="F2943" s="1"/>
      <c r="H2943" s="1"/>
    </row>
    <row r="2944" spans="2:8" x14ac:dyDescent="0.25">
      <c r="B2944" s="1"/>
      <c r="C2944" s="1"/>
      <c r="D2944" s="1"/>
      <c r="E2944" s="1"/>
      <c r="F2944" s="1"/>
      <c r="H2944" s="1"/>
    </row>
    <row r="2945" spans="2:8" x14ac:dyDescent="0.25">
      <c r="B2945" s="1"/>
      <c r="C2945" s="1"/>
      <c r="D2945" s="1"/>
      <c r="E2945" s="1"/>
      <c r="F2945" s="1"/>
      <c r="H2945" s="1"/>
    </row>
    <row r="2946" spans="2:8" x14ac:dyDescent="0.25">
      <c r="B2946" s="1"/>
      <c r="C2946" s="1"/>
      <c r="D2946" s="1"/>
      <c r="E2946" s="1"/>
      <c r="F2946" s="1"/>
      <c r="H2946" s="1"/>
    </row>
    <row r="2947" spans="2:8" x14ac:dyDescent="0.25">
      <c r="B2947" s="1"/>
      <c r="C2947" s="1"/>
      <c r="D2947" s="1"/>
      <c r="E2947" s="1"/>
      <c r="F2947" s="1"/>
      <c r="H2947" s="1"/>
    </row>
    <row r="2948" spans="2:8" x14ac:dyDescent="0.25">
      <c r="B2948" s="1"/>
      <c r="C2948" s="1"/>
      <c r="D2948" s="1"/>
      <c r="E2948" s="1"/>
      <c r="F2948" s="1"/>
      <c r="H2948" s="1"/>
    </row>
    <row r="2949" spans="2:8" x14ac:dyDescent="0.25">
      <c r="B2949" s="1"/>
      <c r="C2949" s="1"/>
      <c r="D2949" s="1"/>
      <c r="E2949" s="1"/>
      <c r="F2949" s="1"/>
      <c r="H2949" s="1"/>
    </row>
    <row r="2950" spans="2:8" x14ac:dyDescent="0.25">
      <c r="B2950" s="1"/>
      <c r="C2950" s="1"/>
      <c r="D2950" s="1"/>
      <c r="E2950" s="1"/>
      <c r="F2950" s="1"/>
      <c r="H2950" s="1"/>
    </row>
    <row r="2951" spans="2:8" x14ac:dyDescent="0.25">
      <c r="B2951" s="1"/>
      <c r="C2951" s="1"/>
      <c r="D2951" s="1"/>
      <c r="E2951" s="1"/>
      <c r="F2951" s="1"/>
      <c r="H2951" s="1"/>
    </row>
    <row r="2952" spans="2:8" x14ac:dyDescent="0.25">
      <c r="B2952" s="1"/>
      <c r="C2952" s="1"/>
      <c r="D2952" s="1"/>
      <c r="E2952" s="1"/>
      <c r="F2952" s="1"/>
      <c r="H2952" s="1"/>
    </row>
    <row r="2953" spans="2:8" x14ac:dyDescent="0.25">
      <c r="B2953" s="1"/>
      <c r="C2953" s="1"/>
      <c r="D2953" s="1"/>
      <c r="E2953" s="1"/>
      <c r="F2953" s="1"/>
      <c r="H2953" s="1"/>
    </row>
    <row r="2954" spans="2:8" x14ac:dyDescent="0.25">
      <c r="B2954" s="1"/>
      <c r="C2954" s="1"/>
      <c r="D2954" s="1"/>
      <c r="E2954" s="1"/>
      <c r="F2954" s="1"/>
      <c r="H2954" s="1"/>
    </row>
    <row r="2955" spans="2:8" x14ac:dyDescent="0.25">
      <c r="B2955" s="1"/>
      <c r="C2955" s="1"/>
      <c r="D2955" s="1"/>
      <c r="E2955" s="1"/>
      <c r="F2955" s="1"/>
      <c r="H2955" s="1"/>
    </row>
    <row r="2956" spans="2:8" x14ac:dyDescent="0.25">
      <c r="B2956" s="1"/>
      <c r="C2956" s="1"/>
      <c r="D2956" s="1"/>
      <c r="E2956" s="1"/>
      <c r="F2956" s="1"/>
      <c r="H2956" s="1"/>
    </row>
    <row r="2957" spans="2:8" x14ac:dyDescent="0.25">
      <c r="B2957" s="1"/>
      <c r="C2957" s="1"/>
      <c r="D2957" s="1"/>
      <c r="E2957" s="1"/>
      <c r="F2957" s="1"/>
      <c r="H2957" s="1"/>
    </row>
    <row r="2958" spans="2:8" x14ac:dyDescent="0.25">
      <c r="B2958" s="1"/>
      <c r="C2958" s="1"/>
      <c r="D2958" s="1"/>
      <c r="E2958" s="1"/>
      <c r="F2958" s="1"/>
      <c r="H2958" s="1"/>
    </row>
    <row r="2959" spans="2:8" x14ac:dyDescent="0.25">
      <c r="B2959" s="1"/>
      <c r="C2959" s="1"/>
      <c r="D2959" s="1"/>
      <c r="E2959" s="1"/>
      <c r="F2959" s="1"/>
      <c r="H2959" s="1"/>
    </row>
    <row r="2960" spans="2:8" x14ac:dyDescent="0.25">
      <c r="B2960" s="1"/>
      <c r="C2960" s="1"/>
      <c r="D2960" s="1"/>
      <c r="E2960" s="1"/>
      <c r="F2960" s="1"/>
      <c r="H2960" s="1"/>
    </row>
    <row r="2961" spans="2:8" x14ac:dyDescent="0.25">
      <c r="B2961" s="1"/>
      <c r="C2961" s="1"/>
      <c r="D2961" s="1"/>
      <c r="E2961" s="1"/>
      <c r="F2961" s="1"/>
      <c r="H2961" s="1"/>
    </row>
    <row r="2962" spans="2:8" x14ac:dyDescent="0.25">
      <c r="B2962" s="1"/>
      <c r="C2962" s="1"/>
      <c r="D2962" s="1"/>
      <c r="E2962" s="1"/>
      <c r="F2962" s="1"/>
      <c r="H2962" s="1"/>
    </row>
    <row r="2963" spans="2:8" x14ac:dyDescent="0.25">
      <c r="B2963" s="1"/>
      <c r="C2963" s="1"/>
      <c r="D2963" s="1"/>
      <c r="E2963" s="1"/>
      <c r="F2963" s="1"/>
      <c r="H2963" s="1"/>
    </row>
    <row r="2964" spans="2:8" x14ac:dyDescent="0.25">
      <c r="B2964" s="1"/>
      <c r="C2964" s="1"/>
      <c r="D2964" s="1"/>
      <c r="E2964" s="1"/>
      <c r="F2964" s="1"/>
      <c r="H2964" s="1"/>
    </row>
    <row r="2965" spans="2:8" x14ac:dyDescent="0.25">
      <c r="B2965" s="1"/>
      <c r="C2965" s="1"/>
      <c r="D2965" s="1"/>
      <c r="E2965" s="1"/>
      <c r="F2965" s="1"/>
      <c r="H2965" s="1"/>
    </row>
    <row r="2966" spans="2:8" x14ac:dyDescent="0.25">
      <c r="B2966" s="1"/>
      <c r="C2966" s="1"/>
      <c r="D2966" s="1"/>
      <c r="E2966" s="1"/>
      <c r="F2966" s="1"/>
      <c r="H2966" s="1"/>
    </row>
    <row r="2967" spans="2:8" x14ac:dyDescent="0.25">
      <c r="B2967" s="1"/>
      <c r="C2967" s="1"/>
      <c r="D2967" s="1"/>
      <c r="E2967" s="1"/>
      <c r="F2967" s="1"/>
      <c r="H2967" s="1"/>
    </row>
    <row r="2968" spans="2:8" x14ac:dyDescent="0.25">
      <c r="B2968" s="1"/>
      <c r="C2968" s="1"/>
      <c r="D2968" s="1"/>
      <c r="E2968" s="1"/>
      <c r="F2968" s="1"/>
      <c r="H2968" s="1"/>
    </row>
    <row r="2969" spans="2:8" x14ac:dyDescent="0.25">
      <c r="B2969" s="1"/>
      <c r="C2969" s="1"/>
      <c r="D2969" s="1"/>
      <c r="E2969" s="1"/>
      <c r="F2969" s="1"/>
      <c r="H2969" s="1"/>
    </row>
    <row r="2970" spans="2:8" x14ac:dyDescent="0.25">
      <c r="B2970" s="1"/>
      <c r="C2970" s="1"/>
      <c r="D2970" s="1"/>
      <c r="E2970" s="1"/>
      <c r="F2970" s="1"/>
      <c r="H2970" s="1"/>
    </row>
    <row r="2971" spans="2:8" x14ac:dyDescent="0.25">
      <c r="B2971" s="1"/>
      <c r="C2971" s="1"/>
      <c r="D2971" s="1"/>
      <c r="E2971" s="1"/>
      <c r="F2971" s="1"/>
      <c r="H2971" s="1"/>
    </row>
    <row r="2972" spans="2:8" x14ac:dyDescent="0.25">
      <c r="B2972" s="1"/>
      <c r="C2972" s="1"/>
      <c r="D2972" s="1"/>
      <c r="E2972" s="1"/>
      <c r="F2972" s="1"/>
      <c r="H2972" s="1"/>
    </row>
    <row r="2973" spans="2:8" x14ac:dyDescent="0.25">
      <c r="B2973" s="1"/>
      <c r="C2973" s="1"/>
      <c r="D2973" s="1"/>
      <c r="E2973" s="1"/>
      <c r="F2973" s="1"/>
      <c r="H2973" s="1"/>
    </row>
    <row r="2974" spans="2:8" x14ac:dyDescent="0.25">
      <c r="B2974" s="1"/>
      <c r="C2974" s="1"/>
      <c r="D2974" s="1"/>
      <c r="E2974" s="1"/>
      <c r="F2974" s="1"/>
      <c r="H2974" s="1"/>
    </row>
    <row r="2975" spans="2:8" x14ac:dyDescent="0.25">
      <c r="B2975" s="1"/>
      <c r="C2975" s="1"/>
      <c r="D2975" s="1"/>
      <c r="E2975" s="1"/>
      <c r="F2975" s="1"/>
      <c r="H2975" s="1"/>
    </row>
    <row r="2976" spans="2:8" x14ac:dyDescent="0.25">
      <c r="B2976" s="1"/>
      <c r="C2976" s="1"/>
      <c r="D2976" s="1"/>
      <c r="E2976" s="1"/>
      <c r="F2976" s="1"/>
      <c r="H2976" s="1"/>
    </row>
    <row r="2977" spans="2:8" x14ac:dyDescent="0.25">
      <c r="B2977" s="1"/>
      <c r="C2977" s="1"/>
      <c r="D2977" s="1"/>
      <c r="E2977" s="1"/>
      <c r="F2977" s="1"/>
      <c r="H2977" s="1"/>
    </row>
    <row r="2978" spans="2:8" x14ac:dyDescent="0.25">
      <c r="B2978" s="1"/>
      <c r="C2978" s="1"/>
      <c r="D2978" s="1"/>
      <c r="E2978" s="1"/>
      <c r="F2978" s="1"/>
      <c r="H2978" s="1"/>
    </row>
    <row r="2979" spans="2:8" x14ac:dyDescent="0.25">
      <c r="B2979" s="1"/>
      <c r="C2979" s="1"/>
      <c r="D2979" s="1"/>
      <c r="E2979" s="1"/>
      <c r="F2979" s="1"/>
      <c r="H2979" s="1"/>
    </row>
    <row r="2980" spans="2:8" x14ac:dyDescent="0.25">
      <c r="B2980" s="1"/>
      <c r="C2980" s="1"/>
      <c r="D2980" s="1"/>
      <c r="E2980" s="1"/>
      <c r="F2980" s="1"/>
      <c r="H2980" s="1"/>
    </row>
    <row r="2981" spans="2:8" x14ac:dyDescent="0.25">
      <c r="B2981" s="1"/>
      <c r="C2981" s="1"/>
      <c r="D2981" s="1"/>
      <c r="E2981" s="1"/>
      <c r="F2981" s="1"/>
      <c r="H2981" s="1"/>
    </row>
    <row r="2982" spans="2:8" x14ac:dyDescent="0.25">
      <c r="B2982" s="1"/>
      <c r="C2982" s="1"/>
      <c r="D2982" s="1"/>
      <c r="E2982" s="1"/>
      <c r="F2982" s="1"/>
      <c r="H2982" s="1"/>
    </row>
    <row r="2983" spans="2:8" x14ac:dyDescent="0.25">
      <c r="B2983" s="1"/>
      <c r="C2983" s="1"/>
      <c r="D2983" s="1"/>
      <c r="E2983" s="1"/>
      <c r="F2983" s="1"/>
      <c r="H2983" s="1"/>
    </row>
    <row r="2984" spans="2:8" x14ac:dyDescent="0.25">
      <c r="B2984" s="1"/>
      <c r="C2984" s="1"/>
      <c r="D2984" s="1"/>
      <c r="E2984" s="1"/>
      <c r="F2984" s="1"/>
      <c r="H2984" s="1"/>
    </row>
    <row r="2985" spans="2:8" x14ac:dyDescent="0.25">
      <c r="B2985" s="1"/>
      <c r="C2985" s="1"/>
      <c r="D2985" s="1"/>
      <c r="E2985" s="1"/>
      <c r="F2985" s="1"/>
      <c r="H2985" s="1"/>
    </row>
    <row r="2986" spans="2:8" x14ac:dyDescent="0.25">
      <c r="B2986" s="1"/>
      <c r="C2986" s="1"/>
      <c r="D2986" s="1"/>
      <c r="E2986" s="1"/>
      <c r="F2986" s="1"/>
      <c r="H2986" s="1"/>
    </row>
    <row r="2987" spans="2:8" x14ac:dyDescent="0.25">
      <c r="B2987" s="1"/>
      <c r="C2987" s="1"/>
      <c r="D2987" s="1"/>
      <c r="E2987" s="1"/>
      <c r="F2987" s="1"/>
      <c r="H2987" s="1"/>
    </row>
    <row r="2988" spans="2:8" x14ac:dyDescent="0.25">
      <c r="B2988" s="1"/>
      <c r="C2988" s="1"/>
      <c r="D2988" s="1"/>
      <c r="E2988" s="1"/>
      <c r="F2988" s="1"/>
      <c r="H2988" s="1"/>
    </row>
    <row r="2989" spans="2:8" x14ac:dyDescent="0.25">
      <c r="B2989" s="1"/>
      <c r="C2989" s="1"/>
      <c r="D2989" s="1"/>
      <c r="E2989" s="1"/>
      <c r="F2989" s="1"/>
      <c r="H2989" s="1"/>
    </row>
    <row r="2990" spans="2:8" x14ac:dyDescent="0.25">
      <c r="B2990" s="1"/>
      <c r="C2990" s="1"/>
      <c r="D2990" s="1"/>
      <c r="E2990" s="1"/>
      <c r="F2990" s="1"/>
      <c r="H2990" s="1"/>
    </row>
    <row r="2991" spans="2:8" x14ac:dyDescent="0.25">
      <c r="B2991" s="1"/>
      <c r="C2991" s="1"/>
      <c r="D2991" s="1"/>
      <c r="E2991" s="1"/>
      <c r="F2991" s="1"/>
      <c r="H2991" s="1"/>
    </row>
    <row r="2992" spans="2:8" x14ac:dyDescent="0.25">
      <c r="B2992" s="1"/>
      <c r="C2992" s="1"/>
      <c r="D2992" s="1"/>
      <c r="E2992" s="1"/>
      <c r="F2992" s="1"/>
      <c r="H2992" s="1"/>
    </row>
    <row r="2993" spans="2:8" x14ac:dyDescent="0.25">
      <c r="B2993" s="1"/>
      <c r="C2993" s="1"/>
      <c r="D2993" s="1"/>
      <c r="E2993" s="1"/>
      <c r="F2993" s="1"/>
      <c r="H2993" s="1"/>
    </row>
    <row r="2994" spans="2:8" x14ac:dyDescent="0.25">
      <c r="B2994" s="1"/>
      <c r="C2994" s="1"/>
      <c r="D2994" s="1"/>
      <c r="E2994" s="1"/>
      <c r="F2994" s="1"/>
      <c r="H2994" s="1"/>
    </row>
    <row r="2995" spans="2:8" x14ac:dyDescent="0.25">
      <c r="B2995" s="1"/>
      <c r="C2995" s="1"/>
      <c r="D2995" s="1"/>
      <c r="E2995" s="1"/>
      <c r="F2995" s="1"/>
      <c r="H2995" s="1"/>
    </row>
    <row r="2996" spans="2:8" x14ac:dyDescent="0.25">
      <c r="B2996" s="1"/>
      <c r="C2996" s="1"/>
      <c r="D2996" s="1"/>
      <c r="E2996" s="1"/>
      <c r="F2996" s="1"/>
      <c r="H2996" s="1"/>
    </row>
    <row r="2997" spans="2:8" x14ac:dyDescent="0.25">
      <c r="B2997" s="1"/>
      <c r="C2997" s="1"/>
      <c r="D2997" s="1"/>
      <c r="E2997" s="1"/>
      <c r="F2997" s="1"/>
      <c r="H2997" s="1"/>
    </row>
    <row r="2998" spans="2:8" x14ac:dyDescent="0.25">
      <c r="B2998" s="1"/>
      <c r="C2998" s="1"/>
      <c r="D2998" s="1"/>
      <c r="E2998" s="1"/>
      <c r="F2998" s="1"/>
      <c r="H2998" s="1"/>
    </row>
    <row r="2999" spans="2:8" x14ac:dyDescent="0.25">
      <c r="B2999" s="1"/>
      <c r="C2999" s="1"/>
      <c r="D2999" s="1"/>
      <c r="E2999" s="1"/>
      <c r="F2999" s="1"/>
      <c r="H2999" s="1"/>
    </row>
    <row r="3000" spans="2:8" x14ac:dyDescent="0.25">
      <c r="B3000" s="1"/>
      <c r="C3000" s="1"/>
      <c r="D3000" s="1"/>
      <c r="E3000" s="1"/>
      <c r="F3000" s="1"/>
      <c r="H3000" s="1"/>
    </row>
    <row r="3001" spans="2:8" x14ac:dyDescent="0.25">
      <c r="B3001" s="1"/>
      <c r="C3001" s="1"/>
      <c r="D3001" s="1"/>
      <c r="E3001" s="1"/>
      <c r="F3001" s="1"/>
      <c r="H3001" s="1"/>
    </row>
    <row r="3002" spans="2:8" x14ac:dyDescent="0.25">
      <c r="B3002" s="1"/>
      <c r="C3002" s="1"/>
      <c r="D3002" s="1"/>
      <c r="E3002" s="1"/>
      <c r="F3002" s="1"/>
      <c r="H3002" s="1"/>
    </row>
    <row r="3003" spans="2:8" x14ac:dyDescent="0.25">
      <c r="B3003" s="1"/>
      <c r="C3003" s="1"/>
      <c r="D3003" s="1"/>
      <c r="E3003" s="1"/>
      <c r="F3003" s="1"/>
      <c r="H3003" s="1"/>
    </row>
    <row r="3004" spans="2:8" x14ac:dyDescent="0.25">
      <c r="B3004" s="1"/>
      <c r="C3004" s="1"/>
      <c r="D3004" s="1"/>
      <c r="E3004" s="1"/>
      <c r="F3004" s="1"/>
      <c r="H3004" s="1"/>
    </row>
    <row r="3005" spans="2:8" x14ac:dyDescent="0.25">
      <c r="B3005" s="1"/>
      <c r="C3005" s="1"/>
      <c r="D3005" s="1"/>
      <c r="E3005" s="1"/>
      <c r="F3005" s="1"/>
      <c r="H3005" s="1"/>
    </row>
    <row r="3006" spans="2:8" x14ac:dyDescent="0.25">
      <c r="B3006" s="1"/>
      <c r="C3006" s="1"/>
      <c r="D3006" s="1"/>
      <c r="E3006" s="1"/>
      <c r="F3006" s="1"/>
      <c r="H3006" s="1"/>
    </row>
    <row r="3007" spans="2:8" x14ac:dyDescent="0.25">
      <c r="B3007" s="1"/>
      <c r="C3007" s="1"/>
      <c r="D3007" s="1"/>
      <c r="E3007" s="1"/>
      <c r="F3007" s="1"/>
      <c r="H3007" s="1"/>
    </row>
    <row r="3008" spans="2:8" x14ac:dyDescent="0.25">
      <c r="B3008" s="1"/>
      <c r="C3008" s="1"/>
      <c r="D3008" s="1"/>
      <c r="E3008" s="1"/>
      <c r="F3008" s="1"/>
      <c r="H3008" s="1"/>
    </row>
    <row r="3009" spans="2:8" x14ac:dyDescent="0.25">
      <c r="B3009" s="1"/>
      <c r="C3009" s="1"/>
      <c r="D3009" s="1"/>
      <c r="E3009" s="1"/>
      <c r="F3009" s="1"/>
      <c r="H3009" s="1"/>
    </row>
    <row r="3010" spans="2:8" x14ac:dyDescent="0.25">
      <c r="B3010" s="1"/>
      <c r="C3010" s="1"/>
      <c r="D3010" s="1"/>
      <c r="E3010" s="1"/>
      <c r="F3010" s="1"/>
      <c r="H3010" s="1"/>
    </row>
    <row r="3011" spans="2:8" x14ac:dyDescent="0.25">
      <c r="B3011" s="1"/>
      <c r="C3011" s="1"/>
      <c r="D3011" s="1"/>
      <c r="E3011" s="1"/>
      <c r="F3011" s="1"/>
      <c r="H3011" s="1"/>
    </row>
    <row r="3012" spans="2:8" x14ac:dyDescent="0.25">
      <c r="B3012" s="1"/>
      <c r="C3012" s="1"/>
      <c r="D3012" s="1"/>
      <c r="E3012" s="1"/>
      <c r="F3012" s="1"/>
      <c r="H3012" s="1"/>
    </row>
    <row r="3013" spans="2:8" x14ac:dyDescent="0.25">
      <c r="B3013" s="1"/>
      <c r="C3013" s="1"/>
      <c r="D3013" s="1"/>
      <c r="E3013" s="1"/>
      <c r="F3013" s="1"/>
      <c r="H3013" s="1"/>
    </row>
    <row r="3014" spans="2:8" x14ac:dyDescent="0.25">
      <c r="B3014" s="1"/>
      <c r="C3014" s="1"/>
      <c r="D3014" s="1"/>
      <c r="E3014" s="1"/>
      <c r="F3014" s="1"/>
      <c r="H3014" s="1"/>
    </row>
    <row r="3015" spans="2:8" x14ac:dyDescent="0.25">
      <c r="B3015" s="1"/>
      <c r="C3015" s="1"/>
      <c r="D3015" s="1"/>
      <c r="E3015" s="1"/>
      <c r="F3015" s="1"/>
      <c r="H3015" s="1"/>
    </row>
    <row r="3016" spans="2:8" x14ac:dyDescent="0.25">
      <c r="B3016" s="1"/>
      <c r="C3016" s="1"/>
      <c r="D3016" s="1"/>
      <c r="E3016" s="1"/>
      <c r="F3016" s="1"/>
      <c r="H3016" s="1"/>
    </row>
    <row r="3017" spans="2:8" x14ac:dyDescent="0.25">
      <c r="B3017" s="1"/>
      <c r="C3017" s="1"/>
      <c r="D3017" s="1"/>
      <c r="E3017" s="1"/>
      <c r="F3017" s="1"/>
      <c r="H3017" s="1"/>
    </row>
    <row r="3018" spans="2:8" x14ac:dyDescent="0.25">
      <c r="B3018" s="1"/>
      <c r="C3018" s="1"/>
      <c r="D3018" s="1"/>
      <c r="E3018" s="1"/>
      <c r="F3018" s="1"/>
      <c r="H3018" s="1"/>
    </row>
    <row r="3019" spans="2:8" x14ac:dyDescent="0.25">
      <c r="B3019" s="1"/>
      <c r="C3019" s="1"/>
      <c r="D3019" s="1"/>
      <c r="E3019" s="1"/>
      <c r="F3019" s="1"/>
      <c r="H3019" s="1"/>
    </row>
    <row r="3020" spans="2:8" x14ac:dyDescent="0.25">
      <c r="B3020" s="1"/>
      <c r="C3020" s="1"/>
      <c r="D3020" s="1"/>
      <c r="E3020" s="1"/>
      <c r="F3020" s="1"/>
      <c r="H3020" s="1"/>
    </row>
    <row r="3021" spans="2:8" x14ac:dyDescent="0.25">
      <c r="B3021" s="1"/>
      <c r="C3021" s="1"/>
      <c r="D3021" s="1"/>
      <c r="E3021" s="1"/>
      <c r="F3021" s="1"/>
      <c r="H3021" s="1"/>
    </row>
    <row r="3022" spans="2:8" x14ac:dyDescent="0.25">
      <c r="B3022" s="1"/>
      <c r="C3022" s="1"/>
      <c r="D3022" s="1"/>
      <c r="E3022" s="1"/>
      <c r="F3022" s="1"/>
      <c r="H3022" s="1"/>
    </row>
    <row r="3023" spans="2:8" x14ac:dyDescent="0.25">
      <c r="B3023" s="1"/>
      <c r="C3023" s="1"/>
      <c r="D3023" s="1"/>
      <c r="E3023" s="1"/>
      <c r="F3023" s="1"/>
      <c r="H3023" s="1"/>
    </row>
    <row r="3024" spans="2:8" x14ac:dyDescent="0.25">
      <c r="B3024" s="1"/>
      <c r="C3024" s="1"/>
      <c r="D3024" s="1"/>
      <c r="E3024" s="1"/>
      <c r="F3024" s="1"/>
      <c r="H3024" s="1"/>
    </row>
    <row r="3025" spans="2:8" x14ac:dyDescent="0.25">
      <c r="B3025" s="1"/>
      <c r="C3025" s="1"/>
      <c r="D3025" s="1"/>
      <c r="E3025" s="1"/>
      <c r="F3025" s="1"/>
      <c r="H3025" s="1"/>
    </row>
    <row r="3026" spans="2:8" x14ac:dyDescent="0.25">
      <c r="B3026" s="1"/>
      <c r="C3026" s="1"/>
      <c r="D3026" s="1"/>
      <c r="E3026" s="1"/>
      <c r="F3026" s="1"/>
      <c r="H3026" s="1"/>
    </row>
    <row r="3027" spans="2:8" x14ac:dyDescent="0.25">
      <c r="B3027" s="1"/>
      <c r="C3027" s="1"/>
      <c r="D3027" s="1"/>
      <c r="E3027" s="1"/>
      <c r="F3027" s="1"/>
      <c r="H3027" s="1"/>
    </row>
    <row r="3028" spans="2:8" x14ac:dyDescent="0.25">
      <c r="B3028" s="1"/>
      <c r="C3028" s="1"/>
      <c r="D3028" s="1"/>
      <c r="E3028" s="1"/>
      <c r="F3028" s="1"/>
      <c r="H3028" s="1"/>
    </row>
    <row r="3029" spans="2:8" x14ac:dyDescent="0.25">
      <c r="B3029" s="1"/>
      <c r="C3029" s="1"/>
      <c r="D3029" s="1"/>
      <c r="E3029" s="1"/>
      <c r="F3029" s="1"/>
      <c r="H3029" s="1"/>
    </row>
    <row r="3030" spans="2:8" x14ac:dyDescent="0.25">
      <c r="B3030" s="1"/>
      <c r="C3030" s="1"/>
      <c r="D3030" s="1"/>
      <c r="E3030" s="1"/>
      <c r="F3030" s="1"/>
      <c r="H3030" s="1"/>
    </row>
    <row r="3031" spans="2:8" x14ac:dyDescent="0.25">
      <c r="B3031" s="1"/>
      <c r="C3031" s="1"/>
      <c r="D3031" s="1"/>
      <c r="E3031" s="1"/>
      <c r="F3031" s="1"/>
      <c r="H3031" s="1"/>
    </row>
    <row r="3032" spans="2:8" x14ac:dyDescent="0.25">
      <c r="B3032" s="1"/>
      <c r="C3032" s="1"/>
      <c r="D3032" s="1"/>
      <c r="E3032" s="1"/>
      <c r="F3032" s="1"/>
      <c r="H3032" s="1"/>
    </row>
    <row r="3033" spans="2:8" x14ac:dyDescent="0.25">
      <c r="B3033" s="1"/>
      <c r="C3033" s="1"/>
      <c r="D3033" s="1"/>
      <c r="E3033" s="1"/>
      <c r="F3033" s="1"/>
      <c r="H3033" s="1"/>
    </row>
    <row r="3034" spans="2:8" x14ac:dyDescent="0.25">
      <c r="B3034" s="1"/>
      <c r="C3034" s="1"/>
      <c r="D3034" s="1"/>
      <c r="E3034" s="1"/>
      <c r="F3034" s="1"/>
      <c r="H3034" s="1"/>
    </row>
    <row r="3035" spans="2:8" x14ac:dyDescent="0.25">
      <c r="B3035" s="1"/>
      <c r="C3035" s="1"/>
      <c r="D3035" s="1"/>
      <c r="E3035" s="1"/>
      <c r="F3035" s="1"/>
      <c r="H3035" s="1"/>
    </row>
    <row r="3036" spans="2:8" x14ac:dyDescent="0.25">
      <c r="B3036" s="1"/>
      <c r="C3036" s="1"/>
      <c r="D3036" s="1"/>
      <c r="E3036" s="1"/>
      <c r="F3036" s="1"/>
      <c r="H3036" s="1"/>
    </row>
    <row r="3037" spans="2:8" x14ac:dyDescent="0.25">
      <c r="B3037" s="1"/>
      <c r="C3037" s="1"/>
      <c r="D3037" s="1"/>
      <c r="E3037" s="1"/>
      <c r="F3037" s="1"/>
      <c r="H3037" s="1"/>
    </row>
    <row r="3038" spans="2:8" x14ac:dyDescent="0.25">
      <c r="B3038" s="1"/>
      <c r="C3038" s="1"/>
      <c r="D3038" s="1"/>
      <c r="E3038" s="1"/>
      <c r="F3038" s="1"/>
      <c r="H3038" s="1"/>
    </row>
    <row r="3039" spans="2:8" x14ac:dyDescent="0.25">
      <c r="B3039" s="1"/>
      <c r="C3039" s="1"/>
      <c r="D3039" s="1"/>
      <c r="E3039" s="1"/>
      <c r="F3039" s="1"/>
      <c r="H3039" s="1"/>
    </row>
    <row r="3040" spans="2:8" x14ac:dyDescent="0.25">
      <c r="B3040" s="1"/>
      <c r="C3040" s="1"/>
      <c r="D3040" s="1"/>
      <c r="E3040" s="1"/>
      <c r="F3040" s="1"/>
      <c r="H3040" s="1"/>
    </row>
    <row r="3041" spans="2:8" x14ac:dyDescent="0.25">
      <c r="B3041" s="1"/>
      <c r="C3041" s="1"/>
      <c r="D3041" s="1"/>
      <c r="E3041" s="1"/>
      <c r="F3041" s="1"/>
      <c r="H3041" s="1"/>
    </row>
    <row r="3042" spans="2:8" x14ac:dyDescent="0.25">
      <c r="B3042" s="1"/>
      <c r="C3042" s="1"/>
      <c r="D3042" s="1"/>
      <c r="E3042" s="1"/>
      <c r="F3042" s="1"/>
      <c r="H3042" s="1"/>
    </row>
    <row r="3043" spans="2:8" x14ac:dyDescent="0.25">
      <c r="B3043" s="1"/>
      <c r="C3043" s="1"/>
      <c r="D3043" s="1"/>
      <c r="E3043" s="1"/>
      <c r="F3043" s="1"/>
      <c r="H3043" s="1"/>
    </row>
    <row r="3044" spans="2:8" x14ac:dyDescent="0.25">
      <c r="B3044" s="1"/>
      <c r="C3044" s="1"/>
      <c r="D3044" s="1"/>
      <c r="E3044" s="1"/>
      <c r="F3044" s="1"/>
      <c r="H3044" s="1"/>
    </row>
    <row r="3045" spans="2:8" x14ac:dyDescent="0.25">
      <c r="B3045" s="1"/>
      <c r="C3045" s="1"/>
      <c r="D3045" s="1"/>
      <c r="E3045" s="1"/>
      <c r="F3045" s="1"/>
      <c r="H3045" s="1"/>
    </row>
    <row r="3046" spans="2:8" x14ac:dyDescent="0.25">
      <c r="B3046" s="1"/>
      <c r="C3046" s="1"/>
      <c r="D3046" s="1"/>
      <c r="E3046" s="1"/>
      <c r="F3046" s="1"/>
      <c r="H3046" s="1"/>
    </row>
    <row r="3047" spans="2:8" x14ac:dyDescent="0.25">
      <c r="B3047" s="1"/>
      <c r="C3047" s="1"/>
      <c r="D3047" s="1"/>
      <c r="E3047" s="1"/>
      <c r="F3047" s="1"/>
      <c r="H3047" s="1"/>
    </row>
    <row r="3048" spans="2:8" x14ac:dyDescent="0.25">
      <c r="B3048" s="1"/>
      <c r="C3048" s="1"/>
      <c r="D3048" s="1"/>
      <c r="E3048" s="1"/>
      <c r="F3048" s="1"/>
      <c r="H3048" s="1"/>
    </row>
    <row r="3049" spans="2:8" x14ac:dyDescent="0.25">
      <c r="B3049" s="1"/>
      <c r="C3049" s="1"/>
      <c r="D3049" s="1"/>
      <c r="E3049" s="1"/>
      <c r="F3049" s="1"/>
      <c r="H3049" s="1"/>
    </row>
    <row r="3050" spans="2:8" x14ac:dyDescent="0.25">
      <c r="B3050" s="1"/>
      <c r="C3050" s="1"/>
      <c r="D3050" s="1"/>
      <c r="E3050" s="1"/>
      <c r="F3050" s="1"/>
      <c r="H3050" s="1"/>
    </row>
    <row r="3051" spans="2:8" x14ac:dyDescent="0.25">
      <c r="B3051" s="1"/>
      <c r="C3051" s="1"/>
      <c r="D3051" s="1"/>
      <c r="E3051" s="1"/>
      <c r="F3051" s="1"/>
      <c r="H3051" s="1"/>
    </row>
    <row r="3052" spans="2:8" x14ac:dyDescent="0.25">
      <c r="B3052" s="1"/>
      <c r="C3052" s="1"/>
      <c r="D3052" s="1"/>
      <c r="E3052" s="1"/>
      <c r="F3052" s="1"/>
      <c r="H3052" s="1"/>
    </row>
    <row r="3053" spans="2:8" x14ac:dyDescent="0.25">
      <c r="B3053" s="1"/>
      <c r="C3053" s="1"/>
      <c r="D3053" s="1"/>
      <c r="E3053" s="1"/>
      <c r="F3053" s="1"/>
      <c r="H3053" s="1"/>
    </row>
    <row r="3054" spans="2:8" x14ac:dyDescent="0.25">
      <c r="B3054" s="1"/>
      <c r="C3054" s="1"/>
      <c r="D3054" s="1"/>
      <c r="E3054" s="1"/>
      <c r="F3054" s="1"/>
      <c r="H3054" s="1"/>
    </row>
    <row r="3055" spans="2:8" x14ac:dyDescent="0.25">
      <c r="B3055" s="1"/>
      <c r="C3055" s="1"/>
      <c r="D3055" s="1"/>
      <c r="E3055" s="1"/>
      <c r="F3055" s="1"/>
      <c r="H3055" s="1"/>
    </row>
    <row r="3056" spans="2:8" x14ac:dyDescent="0.25">
      <c r="B3056" s="1"/>
      <c r="C3056" s="1"/>
      <c r="D3056" s="1"/>
      <c r="E3056" s="1"/>
      <c r="F3056" s="1"/>
      <c r="H3056" s="1"/>
    </row>
    <row r="3057" spans="2:8" x14ac:dyDescent="0.25">
      <c r="B3057" s="1"/>
      <c r="C3057" s="1"/>
      <c r="D3057" s="1"/>
      <c r="E3057" s="1"/>
      <c r="F3057" s="1"/>
      <c r="H3057" s="1"/>
    </row>
    <row r="3058" spans="2:8" x14ac:dyDescent="0.25">
      <c r="B3058" s="1"/>
      <c r="C3058" s="1"/>
      <c r="D3058" s="1"/>
      <c r="E3058" s="1"/>
      <c r="F3058" s="1"/>
      <c r="H3058" s="1"/>
    </row>
    <row r="3059" spans="2:8" x14ac:dyDescent="0.25">
      <c r="B3059" s="1"/>
      <c r="C3059" s="1"/>
      <c r="D3059" s="1"/>
      <c r="E3059" s="1"/>
      <c r="F3059" s="1"/>
      <c r="H3059" s="1"/>
    </row>
    <row r="3060" spans="2:8" x14ac:dyDescent="0.25">
      <c r="B3060" s="1"/>
      <c r="C3060" s="1"/>
      <c r="D3060" s="1"/>
      <c r="E3060" s="1"/>
      <c r="F3060" s="1"/>
      <c r="H3060" s="1"/>
    </row>
    <row r="3061" spans="2:8" x14ac:dyDescent="0.25">
      <c r="B3061" s="1"/>
      <c r="C3061" s="1"/>
      <c r="D3061" s="1"/>
      <c r="E3061" s="1"/>
      <c r="F3061" s="1"/>
      <c r="H3061" s="1"/>
    </row>
    <row r="3062" spans="2:8" x14ac:dyDescent="0.25">
      <c r="B3062" s="1"/>
      <c r="C3062" s="1"/>
      <c r="D3062" s="1"/>
      <c r="E3062" s="1"/>
      <c r="F3062" s="1"/>
      <c r="H3062" s="1"/>
    </row>
    <row r="3063" spans="2:8" x14ac:dyDescent="0.25">
      <c r="B3063" s="1"/>
      <c r="C3063" s="1"/>
      <c r="D3063" s="1"/>
      <c r="E3063" s="1"/>
      <c r="F3063" s="1"/>
      <c r="H3063" s="1"/>
    </row>
    <row r="3064" spans="2:8" x14ac:dyDescent="0.25">
      <c r="B3064" s="1"/>
      <c r="C3064" s="1"/>
      <c r="D3064" s="1"/>
      <c r="E3064" s="1"/>
      <c r="F3064" s="1"/>
      <c r="H3064" s="1"/>
    </row>
    <row r="3065" spans="2:8" x14ac:dyDescent="0.25">
      <c r="B3065" s="1"/>
      <c r="C3065" s="1"/>
      <c r="D3065" s="1"/>
      <c r="E3065" s="1"/>
      <c r="F3065" s="1"/>
      <c r="H3065" s="1"/>
    </row>
    <row r="3066" spans="2:8" x14ac:dyDescent="0.25">
      <c r="B3066" s="1"/>
      <c r="C3066" s="1"/>
      <c r="D3066" s="1"/>
      <c r="E3066" s="1"/>
      <c r="F3066" s="1"/>
      <c r="H3066" s="1"/>
    </row>
    <row r="3067" spans="2:8" x14ac:dyDescent="0.25">
      <c r="B3067" s="1"/>
      <c r="C3067" s="1"/>
      <c r="D3067" s="1"/>
      <c r="E3067" s="1"/>
      <c r="F3067" s="1"/>
      <c r="H3067" s="1"/>
    </row>
    <row r="3068" spans="2:8" x14ac:dyDescent="0.25">
      <c r="B3068" s="1"/>
      <c r="C3068" s="1"/>
      <c r="D3068" s="1"/>
      <c r="E3068" s="1"/>
      <c r="F3068" s="1"/>
      <c r="H3068" s="1"/>
    </row>
    <row r="3069" spans="2:8" x14ac:dyDescent="0.25">
      <c r="B3069" s="1"/>
      <c r="C3069" s="1"/>
      <c r="D3069" s="1"/>
      <c r="E3069" s="1"/>
      <c r="F3069" s="1"/>
      <c r="H3069" s="1"/>
    </row>
    <row r="3070" spans="2:8" x14ac:dyDescent="0.25">
      <c r="B3070" s="1"/>
      <c r="C3070" s="1"/>
      <c r="D3070" s="1"/>
      <c r="E3070" s="1"/>
      <c r="F3070" s="1"/>
      <c r="H3070" s="1"/>
    </row>
    <row r="3071" spans="2:8" x14ac:dyDescent="0.25">
      <c r="B3071" s="1"/>
      <c r="C3071" s="1"/>
      <c r="D3071" s="1"/>
      <c r="E3071" s="1"/>
      <c r="F3071" s="1"/>
      <c r="H3071" s="1"/>
    </row>
    <row r="3072" spans="2:8" x14ac:dyDescent="0.25">
      <c r="B3072" s="1"/>
      <c r="C3072" s="1"/>
      <c r="D3072" s="1"/>
      <c r="E3072" s="1"/>
      <c r="F3072" s="1"/>
      <c r="H3072" s="1"/>
    </row>
    <row r="3073" spans="2:8" x14ac:dyDescent="0.25">
      <c r="B3073" s="1"/>
      <c r="C3073" s="1"/>
      <c r="D3073" s="1"/>
      <c r="E3073" s="1"/>
      <c r="F3073" s="1"/>
      <c r="H3073" s="1"/>
    </row>
    <row r="3074" spans="2:8" x14ac:dyDescent="0.25">
      <c r="B3074" s="1"/>
      <c r="C3074" s="1"/>
      <c r="D3074" s="1"/>
      <c r="E3074" s="1"/>
      <c r="F3074" s="1"/>
      <c r="H3074" s="1"/>
    </row>
    <row r="3075" spans="2:8" x14ac:dyDescent="0.25">
      <c r="B3075" s="1"/>
      <c r="C3075" s="1"/>
      <c r="D3075" s="1"/>
      <c r="E3075" s="1"/>
      <c r="F3075" s="1"/>
      <c r="H3075" s="1"/>
    </row>
    <row r="3076" spans="2:8" x14ac:dyDescent="0.25">
      <c r="B3076" s="1"/>
      <c r="C3076" s="1"/>
      <c r="D3076" s="1"/>
      <c r="E3076" s="1"/>
      <c r="F3076" s="1"/>
      <c r="H3076" s="1"/>
    </row>
    <row r="3077" spans="2:8" x14ac:dyDescent="0.25">
      <c r="B3077" s="1"/>
      <c r="C3077" s="1"/>
      <c r="D3077" s="1"/>
      <c r="E3077" s="1"/>
      <c r="F3077" s="1"/>
      <c r="H3077" s="1"/>
    </row>
    <row r="3078" spans="2:8" x14ac:dyDescent="0.25">
      <c r="B3078" s="1"/>
      <c r="C3078" s="1"/>
      <c r="D3078" s="1"/>
      <c r="E3078" s="1"/>
      <c r="F3078" s="1"/>
      <c r="H3078" s="1"/>
    </row>
    <row r="3079" spans="2:8" x14ac:dyDescent="0.25">
      <c r="B3079" s="1"/>
      <c r="C3079" s="1"/>
      <c r="D3079" s="1"/>
      <c r="E3079" s="1"/>
      <c r="F3079" s="1"/>
      <c r="H3079" s="1"/>
    </row>
    <row r="3080" spans="2:8" x14ac:dyDescent="0.25">
      <c r="B3080" s="1"/>
      <c r="C3080" s="1"/>
      <c r="D3080" s="1"/>
      <c r="E3080" s="1"/>
      <c r="F3080" s="1"/>
      <c r="H3080" s="1"/>
    </row>
    <row r="3081" spans="2:8" x14ac:dyDescent="0.25">
      <c r="B3081" s="1"/>
      <c r="C3081" s="1"/>
      <c r="D3081" s="1"/>
      <c r="E3081" s="1"/>
      <c r="F3081" s="1"/>
      <c r="H3081" s="1"/>
    </row>
    <row r="3082" spans="2:8" x14ac:dyDescent="0.25">
      <c r="B3082" s="1"/>
      <c r="C3082" s="1"/>
      <c r="D3082" s="1"/>
      <c r="E3082" s="1"/>
      <c r="F3082" s="1"/>
      <c r="H3082" s="1"/>
    </row>
    <row r="3083" spans="2:8" x14ac:dyDescent="0.25">
      <c r="B3083" s="1"/>
      <c r="C3083" s="1"/>
      <c r="D3083" s="1"/>
      <c r="E3083" s="1"/>
      <c r="F3083" s="1"/>
      <c r="H3083" s="1"/>
    </row>
    <row r="3084" spans="2:8" x14ac:dyDescent="0.25">
      <c r="B3084" s="1"/>
      <c r="C3084" s="1"/>
      <c r="D3084" s="1"/>
      <c r="E3084" s="1"/>
      <c r="F3084" s="1"/>
      <c r="H3084" s="1"/>
    </row>
    <row r="3085" spans="2:8" x14ac:dyDescent="0.25">
      <c r="B3085" s="1"/>
      <c r="C3085" s="1"/>
      <c r="D3085" s="1"/>
      <c r="E3085" s="1"/>
      <c r="F3085" s="1"/>
      <c r="H3085" s="1"/>
    </row>
    <row r="3086" spans="2:8" x14ac:dyDescent="0.25">
      <c r="B3086" s="1"/>
      <c r="C3086" s="1"/>
      <c r="D3086" s="1"/>
      <c r="E3086" s="1"/>
      <c r="F3086" s="1"/>
      <c r="H3086" s="1"/>
    </row>
    <row r="3087" spans="2:8" x14ac:dyDescent="0.25">
      <c r="B3087" s="1"/>
      <c r="C3087" s="1"/>
      <c r="D3087" s="1"/>
      <c r="E3087" s="1"/>
      <c r="F3087" s="1"/>
      <c r="H3087" s="1"/>
    </row>
    <row r="3088" spans="2:8" x14ac:dyDescent="0.25">
      <c r="B3088" s="1"/>
      <c r="C3088" s="1"/>
      <c r="D3088" s="1"/>
      <c r="E3088" s="1"/>
      <c r="F3088" s="1"/>
      <c r="H3088" s="1"/>
    </row>
    <row r="3089" spans="2:8" x14ac:dyDescent="0.25">
      <c r="B3089" s="1"/>
      <c r="C3089" s="1"/>
      <c r="D3089" s="1"/>
      <c r="E3089" s="1"/>
      <c r="F3089" s="1"/>
      <c r="H3089" s="1"/>
    </row>
    <row r="3090" spans="2:8" x14ac:dyDescent="0.25">
      <c r="B3090" s="1"/>
      <c r="C3090" s="1"/>
      <c r="D3090" s="1"/>
      <c r="E3090" s="1"/>
      <c r="F3090" s="1"/>
      <c r="H3090" s="1"/>
    </row>
    <row r="3091" spans="2:8" x14ac:dyDescent="0.25">
      <c r="B3091" s="1"/>
      <c r="C3091" s="1"/>
      <c r="D3091" s="1"/>
      <c r="E3091" s="1"/>
      <c r="F3091" s="1"/>
      <c r="H3091" s="1"/>
    </row>
    <row r="3092" spans="2:8" x14ac:dyDescent="0.25">
      <c r="B3092" s="1"/>
      <c r="C3092" s="1"/>
      <c r="D3092" s="1"/>
      <c r="E3092" s="1"/>
      <c r="F3092" s="1"/>
      <c r="H3092" s="1"/>
    </row>
    <row r="3093" spans="2:8" x14ac:dyDescent="0.25">
      <c r="B3093" s="1"/>
      <c r="C3093" s="1"/>
      <c r="D3093" s="1"/>
      <c r="E3093" s="1"/>
      <c r="F3093" s="1"/>
      <c r="H3093" s="1"/>
    </row>
    <row r="3094" spans="2:8" x14ac:dyDescent="0.25">
      <c r="B3094" s="1"/>
      <c r="C3094" s="1"/>
      <c r="D3094" s="1"/>
      <c r="E3094" s="1"/>
      <c r="F3094" s="1"/>
      <c r="H3094" s="1"/>
    </row>
    <row r="3095" spans="2:8" x14ac:dyDescent="0.25">
      <c r="B3095" s="1"/>
      <c r="C3095" s="1"/>
      <c r="D3095" s="1"/>
      <c r="E3095" s="1"/>
      <c r="F3095" s="1"/>
      <c r="H3095" s="1"/>
    </row>
    <row r="3096" spans="2:8" x14ac:dyDescent="0.25">
      <c r="B3096" s="1"/>
      <c r="C3096" s="1"/>
      <c r="D3096" s="1"/>
      <c r="E3096" s="1"/>
      <c r="F3096" s="1"/>
      <c r="H3096" s="1"/>
    </row>
    <row r="3097" spans="2:8" x14ac:dyDescent="0.25">
      <c r="B3097" s="1"/>
      <c r="C3097" s="1"/>
      <c r="D3097" s="1"/>
      <c r="E3097" s="1"/>
      <c r="F3097" s="1"/>
      <c r="H3097" s="1"/>
    </row>
    <row r="3098" spans="2:8" x14ac:dyDescent="0.25">
      <c r="B3098" s="1"/>
      <c r="C3098" s="1"/>
      <c r="D3098" s="1"/>
      <c r="E3098" s="1"/>
      <c r="F3098" s="1"/>
      <c r="H3098" s="1"/>
    </row>
    <row r="3099" spans="2:8" x14ac:dyDescent="0.25">
      <c r="B3099" s="1"/>
      <c r="C3099" s="1"/>
      <c r="D3099" s="1"/>
      <c r="E3099" s="1"/>
      <c r="F3099" s="1"/>
      <c r="H3099" s="1"/>
    </row>
    <row r="3100" spans="2:8" x14ac:dyDescent="0.25">
      <c r="B3100" s="1"/>
      <c r="C3100" s="1"/>
      <c r="D3100" s="1"/>
      <c r="E3100" s="1"/>
      <c r="F3100" s="1"/>
      <c r="H3100" s="1"/>
    </row>
    <row r="3101" spans="2:8" x14ac:dyDescent="0.25">
      <c r="B3101" s="1"/>
      <c r="C3101" s="1"/>
      <c r="D3101" s="1"/>
      <c r="E3101" s="1"/>
      <c r="F3101" s="1"/>
      <c r="H3101" s="1"/>
    </row>
    <row r="3102" spans="2:8" x14ac:dyDescent="0.25">
      <c r="B3102" s="1"/>
      <c r="C3102" s="1"/>
      <c r="D3102" s="1"/>
      <c r="E3102" s="1"/>
      <c r="F3102" s="1"/>
      <c r="H3102" s="1"/>
    </row>
    <row r="3103" spans="2:8" x14ac:dyDescent="0.25">
      <c r="B3103" s="1"/>
      <c r="C3103" s="1"/>
      <c r="D3103" s="1"/>
      <c r="E3103" s="1"/>
      <c r="F3103" s="1"/>
      <c r="H3103" s="1"/>
    </row>
    <row r="3104" spans="2:8" x14ac:dyDescent="0.25">
      <c r="B3104" s="1"/>
      <c r="C3104" s="1"/>
      <c r="D3104" s="1"/>
      <c r="E3104" s="1"/>
      <c r="F3104" s="1"/>
      <c r="H3104" s="1"/>
    </row>
    <row r="3105" spans="2:8" x14ac:dyDescent="0.25">
      <c r="B3105" s="1"/>
      <c r="C3105" s="1"/>
      <c r="D3105" s="1"/>
      <c r="E3105" s="1"/>
      <c r="F3105" s="1"/>
      <c r="H3105" s="1"/>
    </row>
    <row r="3106" spans="2:8" x14ac:dyDescent="0.25">
      <c r="B3106" s="1"/>
      <c r="C3106" s="1"/>
      <c r="D3106" s="1"/>
      <c r="E3106" s="1"/>
      <c r="F3106" s="1"/>
      <c r="H3106" s="1"/>
    </row>
    <row r="3107" spans="2:8" x14ac:dyDescent="0.25">
      <c r="B3107" s="1"/>
      <c r="C3107" s="1"/>
      <c r="D3107" s="1"/>
      <c r="E3107" s="1"/>
      <c r="F3107" s="1"/>
      <c r="H3107" s="1"/>
    </row>
    <row r="3108" spans="2:8" x14ac:dyDescent="0.25">
      <c r="B3108" s="1"/>
      <c r="C3108" s="1"/>
      <c r="D3108" s="1"/>
      <c r="E3108" s="1"/>
      <c r="F3108" s="1"/>
      <c r="H3108" s="1"/>
    </row>
    <row r="3109" spans="2:8" x14ac:dyDescent="0.25">
      <c r="B3109" s="1"/>
      <c r="C3109" s="1"/>
      <c r="D3109" s="1"/>
      <c r="E3109" s="1"/>
      <c r="F3109" s="1"/>
      <c r="H3109" s="1"/>
    </row>
    <row r="3110" spans="2:8" x14ac:dyDescent="0.25">
      <c r="B3110" s="1"/>
      <c r="C3110" s="1"/>
      <c r="D3110" s="1"/>
      <c r="E3110" s="1"/>
      <c r="F3110" s="1"/>
      <c r="H3110" s="1"/>
    </row>
    <row r="3111" spans="2:8" x14ac:dyDescent="0.25">
      <c r="B3111" s="1"/>
      <c r="C3111" s="1"/>
      <c r="D3111" s="1"/>
      <c r="E3111" s="1"/>
      <c r="F3111" s="1"/>
      <c r="H3111" s="1"/>
    </row>
    <row r="3112" spans="2:8" x14ac:dyDescent="0.25">
      <c r="B3112" s="1"/>
      <c r="C3112" s="1"/>
      <c r="D3112" s="1"/>
      <c r="E3112" s="1"/>
      <c r="F3112" s="1"/>
      <c r="H3112" s="1"/>
    </row>
    <row r="3113" spans="2:8" x14ac:dyDescent="0.25">
      <c r="B3113" s="1"/>
      <c r="C3113" s="1"/>
      <c r="D3113" s="1"/>
      <c r="E3113" s="1"/>
      <c r="F3113" s="1"/>
      <c r="H3113" s="1"/>
    </row>
    <row r="3114" spans="2:8" x14ac:dyDescent="0.25">
      <c r="B3114" s="1"/>
      <c r="C3114" s="1"/>
      <c r="D3114" s="1"/>
      <c r="E3114" s="1"/>
      <c r="F3114" s="1"/>
      <c r="H3114" s="1"/>
    </row>
    <row r="3115" spans="2:8" x14ac:dyDescent="0.25">
      <c r="B3115" s="1"/>
      <c r="C3115" s="1"/>
      <c r="D3115" s="1"/>
      <c r="E3115" s="1"/>
      <c r="F3115" s="1"/>
      <c r="H3115" s="1"/>
    </row>
    <row r="3116" spans="2:8" x14ac:dyDescent="0.25">
      <c r="B3116" s="1"/>
      <c r="C3116" s="1"/>
      <c r="D3116" s="1"/>
      <c r="E3116" s="1"/>
      <c r="F3116" s="1"/>
      <c r="H3116" s="1"/>
    </row>
    <row r="3117" spans="2:8" x14ac:dyDescent="0.25">
      <c r="B3117" s="1"/>
      <c r="C3117" s="1"/>
      <c r="D3117" s="1"/>
      <c r="E3117" s="1"/>
      <c r="F3117" s="1"/>
      <c r="H3117" s="1"/>
    </row>
    <row r="3118" spans="2:8" x14ac:dyDescent="0.25">
      <c r="B3118" s="1"/>
      <c r="C3118" s="1"/>
      <c r="D3118" s="1"/>
      <c r="E3118" s="1"/>
      <c r="F3118" s="1"/>
      <c r="H3118" s="1"/>
    </row>
    <row r="3119" spans="2:8" x14ac:dyDescent="0.25">
      <c r="B3119" s="1"/>
      <c r="C3119" s="1"/>
      <c r="D3119" s="1"/>
      <c r="E3119" s="1"/>
      <c r="F3119" s="1"/>
      <c r="H3119" s="1"/>
    </row>
    <row r="3120" spans="2:8" x14ac:dyDescent="0.25">
      <c r="B3120" s="1"/>
      <c r="C3120" s="1"/>
      <c r="D3120" s="1"/>
      <c r="E3120" s="1"/>
      <c r="F3120" s="1"/>
      <c r="H3120" s="1"/>
    </row>
    <row r="3121" spans="2:8" x14ac:dyDescent="0.25">
      <c r="B3121" s="1"/>
      <c r="C3121" s="1"/>
      <c r="D3121" s="1"/>
      <c r="E3121" s="1"/>
      <c r="F3121" s="1"/>
      <c r="H3121" s="1"/>
    </row>
    <row r="3122" spans="2:8" x14ac:dyDescent="0.25">
      <c r="B3122" s="1"/>
      <c r="C3122" s="1"/>
      <c r="D3122" s="1"/>
      <c r="E3122" s="1"/>
      <c r="F3122" s="1"/>
      <c r="H3122" s="1"/>
    </row>
    <row r="3123" spans="2:8" x14ac:dyDescent="0.25">
      <c r="B3123" s="1"/>
      <c r="C3123" s="1"/>
      <c r="D3123" s="1"/>
      <c r="E3123" s="1"/>
      <c r="F3123" s="1"/>
      <c r="H3123" s="1"/>
    </row>
    <row r="3124" spans="2:8" x14ac:dyDescent="0.25">
      <c r="B3124" s="1"/>
      <c r="C3124" s="1"/>
      <c r="D3124" s="1"/>
      <c r="E3124" s="1"/>
      <c r="F3124" s="1"/>
      <c r="H3124" s="1"/>
    </row>
    <row r="3125" spans="2:8" x14ac:dyDescent="0.25">
      <c r="B3125" s="1"/>
      <c r="C3125" s="1"/>
      <c r="D3125" s="1"/>
      <c r="E3125" s="1"/>
      <c r="F3125" s="1"/>
      <c r="H3125" s="1"/>
    </row>
    <row r="3126" spans="2:8" x14ac:dyDescent="0.25">
      <c r="B3126" s="1"/>
      <c r="C3126" s="1"/>
      <c r="D3126" s="1"/>
      <c r="E3126" s="1"/>
      <c r="F3126" s="1"/>
      <c r="H3126" s="1"/>
    </row>
    <row r="3127" spans="2:8" x14ac:dyDescent="0.25">
      <c r="B3127" s="1"/>
      <c r="C3127" s="1"/>
      <c r="D3127" s="1"/>
      <c r="E3127" s="1"/>
      <c r="F3127" s="1"/>
      <c r="H3127" s="1"/>
    </row>
    <row r="3128" spans="2:8" x14ac:dyDescent="0.25">
      <c r="B3128" s="1"/>
      <c r="C3128" s="1"/>
      <c r="D3128" s="1"/>
      <c r="E3128" s="1"/>
      <c r="F3128" s="1"/>
      <c r="H3128" s="1"/>
    </row>
    <row r="3129" spans="2:8" x14ac:dyDescent="0.25">
      <c r="B3129" s="1"/>
      <c r="C3129" s="1"/>
      <c r="D3129" s="1"/>
      <c r="E3129" s="1"/>
      <c r="F3129" s="1"/>
      <c r="H3129" s="1"/>
    </row>
    <row r="3130" spans="2:8" x14ac:dyDescent="0.25">
      <c r="B3130" s="1"/>
      <c r="C3130" s="1"/>
      <c r="D3130" s="1"/>
      <c r="E3130" s="1"/>
      <c r="F3130" s="1"/>
      <c r="H3130" s="1"/>
    </row>
    <row r="3131" spans="2:8" x14ac:dyDescent="0.25">
      <c r="B3131" s="1"/>
      <c r="C3131" s="1"/>
      <c r="D3131" s="1"/>
      <c r="E3131" s="1"/>
      <c r="F3131" s="1"/>
      <c r="H3131" s="1"/>
    </row>
    <row r="3132" spans="2:8" x14ac:dyDescent="0.25">
      <c r="B3132" s="1"/>
      <c r="C3132" s="1"/>
      <c r="D3132" s="1"/>
      <c r="E3132" s="1"/>
      <c r="F3132" s="1"/>
      <c r="H3132" s="1"/>
    </row>
    <row r="3133" spans="2:8" x14ac:dyDescent="0.25">
      <c r="B3133" s="1"/>
      <c r="C3133" s="1"/>
      <c r="D3133" s="1"/>
      <c r="E3133" s="1"/>
      <c r="F3133" s="1"/>
      <c r="H3133" s="1"/>
    </row>
    <row r="3134" spans="2:8" x14ac:dyDescent="0.25">
      <c r="B3134" s="1"/>
      <c r="C3134" s="1"/>
      <c r="D3134" s="1"/>
      <c r="E3134" s="1"/>
      <c r="F3134" s="1"/>
      <c r="H3134" s="1"/>
    </row>
    <row r="3135" spans="2:8" x14ac:dyDescent="0.25">
      <c r="B3135" s="1"/>
      <c r="C3135" s="1"/>
      <c r="D3135" s="1"/>
      <c r="E3135" s="1"/>
      <c r="F3135" s="1"/>
      <c r="H3135" s="1"/>
    </row>
    <row r="3136" spans="2:8" x14ac:dyDescent="0.25">
      <c r="B3136" s="1"/>
      <c r="C3136" s="1"/>
      <c r="D3136" s="1"/>
      <c r="E3136" s="1"/>
      <c r="F3136" s="1"/>
      <c r="H3136" s="1"/>
    </row>
    <row r="3137" spans="2:8" x14ac:dyDescent="0.25">
      <c r="B3137" s="1"/>
      <c r="C3137" s="1"/>
      <c r="D3137" s="1"/>
      <c r="E3137" s="1"/>
      <c r="F3137" s="1"/>
      <c r="H3137" s="1"/>
    </row>
    <row r="3138" spans="2:8" x14ac:dyDescent="0.25">
      <c r="B3138" s="1"/>
      <c r="C3138" s="1"/>
      <c r="D3138" s="1"/>
      <c r="E3138" s="1"/>
      <c r="F3138" s="1"/>
      <c r="H3138" s="1"/>
    </row>
    <row r="3139" spans="2:8" x14ac:dyDescent="0.25">
      <c r="B3139" s="1"/>
      <c r="C3139" s="1"/>
      <c r="D3139" s="1"/>
      <c r="E3139" s="1"/>
      <c r="F3139" s="1"/>
      <c r="H3139" s="1"/>
    </row>
    <row r="3140" spans="2:8" x14ac:dyDescent="0.25">
      <c r="B3140" s="1"/>
      <c r="C3140" s="1"/>
      <c r="D3140" s="1"/>
      <c r="E3140" s="1"/>
      <c r="F3140" s="1"/>
      <c r="H3140" s="1"/>
    </row>
    <row r="3141" spans="2:8" x14ac:dyDescent="0.25">
      <c r="B3141" s="1"/>
      <c r="C3141" s="1"/>
      <c r="D3141" s="1"/>
      <c r="E3141" s="1"/>
      <c r="F3141" s="1"/>
      <c r="H3141" s="1"/>
    </row>
    <row r="3142" spans="2:8" x14ac:dyDescent="0.25">
      <c r="B3142" s="1"/>
      <c r="C3142" s="1"/>
      <c r="D3142" s="1"/>
      <c r="E3142" s="1"/>
      <c r="F3142" s="1"/>
      <c r="H3142" s="1"/>
    </row>
    <row r="3143" spans="2:8" x14ac:dyDescent="0.25">
      <c r="B3143" s="1"/>
      <c r="C3143" s="1"/>
      <c r="D3143" s="1"/>
      <c r="E3143" s="1"/>
      <c r="F3143" s="1"/>
      <c r="H3143" s="1"/>
    </row>
    <row r="3144" spans="2:8" x14ac:dyDescent="0.25">
      <c r="B3144" s="1"/>
      <c r="C3144" s="1"/>
      <c r="D3144" s="1"/>
      <c r="E3144" s="1"/>
      <c r="F3144" s="1"/>
      <c r="H3144" s="1"/>
    </row>
    <row r="3145" spans="2:8" x14ac:dyDescent="0.25">
      <c r="B3145" s="1"/>
      <c r="C3145" s="1"/>
      <c r="D3145" s="1"/>
      <c r="E3145" s="1"/>
      <c r="F3145" s="1"/>
      <c r="H3145" s="1"/>
    </row>
    <row r="3146" spans="2:8" x14ac:dyDescent="0.25">
      <c r="B3146" s="1"/>
      <c r="C3146" s="1"/>
      <c r="D3146" s="1"/>
      <c r="E3146" s="1"/>
      <c r="F3146" s="1"/>
      <c r="H3146" s="1"/>
    </row>
    <row r="3147" spans="2:8" x14ac:dyDescent="0.25">
      <c r="B3147" s="1"/>
      <c r="C3147" s="1"/>
      <c r="D3147" s="1"/>
      <c r="E3147" s="1"/>
      <c r="F3147" s="1"/>
      <c r="H3147" s="1"/>
    </row>
    <row r="3148" spans="2:8" x14ac:dyDescent="0.25">
      <c r="B3148" s="1"/>
      <c r="C3148" s="1"/>
      <c r="D3148" s="1"/>
      <c r="E3148" s="1"/>
      <c r="F3148" s="1"/>
      <c r="H3148" s="1"/>
    </row>
    <row r="3149" spans="2:8" x14ac:dyDescent="0.25">
      <c r="B3149" s="1"/>
      <c r="C3149" s="1"/>
      <c r="D3149" s="1"/>
      <c r="E3149" s="1"/>
      <c r="F3149" s="1"/>
      <c r="H3149" s="1"/>
    </row>
    <row r="3150" spans="2:8" x14ac:dyDescent="0.25">
      <c r="B3150" s="1"/>
      <c r="C3150" s="1"/>
      <c r="D3150" s="1"/>
      <c r="E3150" s="1"/>
      <c r="F3150" s="1"/>
      <c r="H3150" s="1"/>
    </row>
    <row r="3151" spans="2:8" x14ac:dyDescent="0.25">
      <c r="B3151" s="1"/>
      <c r="C3151" s="1"/>
      <c r="D3151" s="1"/>
      <c r="E3151" s="1"/>
      <c r="F3151" s="1"/>
      <c r="H3151" s="1"/>
    </row>
    <row r="3152" spans="2:8" x14ac:dyDescent="0.25">
      <c r="B3152" s="1"/>
      <c r="C3152" s="1"/>
      <c r="D3152" s="1"/>
      <c r="E3152" s="1"/>
      <c r="F3152" s="1"/>
      <c r="H3152" s="1"/>
    </row>
    <row r="3153" spans="2:8" x14ac:dyDescent="0.25">
      <c r="B3153" s="1"/>
      <c r="C3153" s="1"/>
      <c r="D3153" s="1"/>
      <c r="E3153" s="1"/>
      <c r="F3153" s="1"/>
      <c r="H3153" s="1"/>
    </row>
    <row r="3154" spans="2:8" x14ac:dyDescent="0.25">
      <c r="B3154" s="1"/>
      <c r="C3154" s="1"/>
      <c r="D3154" s="1"/>
      <c r="E3154" s="1"/>
      <c r="F3154" s="1"/>
      <c r="H3154" s="1"/>
    </row>
    <row r="3155" spans="2:8" x14ac:dyDescent="0.25">
      <c r="B3155" s="1"/>
      <c r="C3155" s="1"/>
      <c r="D3155" s="1"/>
      <c r="E3155" s="1"/>
      <c r="F3155" s="1"/>
      <c r="H3155" s="1"/>
    </row>
    <row r="3156" spans="2:8" x14ac:dyDescent="0.25">
      <c r="B3156" s="1"/>
      <c r="C3156" s="1"/>
      <c r="D3156" s="1"/>
      <c r="E3156" s="1"/>
      <c r="F3156" s="1"/>
      <c r="H3156" s="1"/>
    </row>
    <row r="3157" spans="2:8" x14ac:dyDescent="0.25">
      <c r="B3157" s="1"/>
      <c r="C3157" s="1"/>
      <c r="D3157" s="1"/>
      <c r="E3157" s="1"/>
      <c r="F3157" s="1"/>
      <c r="H3157" s="1"/>
    </row>
    <row r="3158" spans="2:8" x14ac:dyDescent="0.25">
      <c r="B3158" s="1"/>
      <c r="C3158" s="1"/>
      <c r="D3158" s="1"/>
      <c r="E3158" s="1"/>
      <c r="F3158" s="1"/>
      <c r="H3158" s="1"/>
    </row>
    <row r="3159" spans="2:8" x14ac:dyDescent="0.25">
      <c r="B3159" s="1"/>
      <c r="C3159" s="1"/>
      <c r="D3159" s="1"/>
      <c r="E3159" s="1"/>
      <c r="F3159" s="1"/>
      <c r="H3159" s="1"/>
    </row>
    <row r="3160" spans="2:8" x14ac:dyDescent="0.25">
      <c r="B3160" s="1"/>
      <c r="C3160" s="1"/>
      <c r="D3160" s="1"/>
      <c r="E3160" s="1"/>
      <c r="F3160" s="1"/>
      <c r="H3160" s="1"/>
    </row>
    <row r="3161" spans="2:8" x14ac:dyDescent="0.25">
      <c r="B3161" s="1"/>
      <c r="C3161" s="1"/>
      <c r="D3161" s="1"/>
      <c r="E3161" s="1"/>
      <c r="F3161" s="1"/>
      <c r="H3161" s="1"/>
    </row>
    <row r="3162" spans="2:8" x14ac:dyDescent="0.25">
      <c r="B3162" s="1"/>
      <c r="C3162" s="1"/>
      <c r="D3162" s="1"/>
      <c r="E3162" s="1"/>
      <c r="F3162" s="1"/>
      <c r="H3162" s="1"/>
    </row>
    <row r="3163" spans="2:8" x14ac:dyDescent="0.25">
      <c r="B3163" s="1"/>
      <c r="C3163" s="1"/>
      <c r="D3163" s="1"/>
      <c r="E3163" s="1"/>
      <c r="F3163" s="1"/>
      <c r="H3163" s="1"/>
    </row>
    <row r="3164" spans="2:8" x14ac:dyDescent="0.25">
      <c r="B3164" s="1"/>
      <c r="C3164" s="1"/>
      <c r="D3164" s="1"/>
      <c r="E3164" s="1"/>
      <c r="F3164" s="1"/>
      <c r="H3164" s="1"/>
    </row>
    <row r="3165" spans="2:8" x14ac:dyDescent="0.25">
      <c r="B3165" s="1"/>
      <c r="C3165" s="1"/>
      <c r="D3165" s="1"/>
      <c r="E3165" s="1"/>
      <c r="F3165" s="1"/>
      <c r="H3165" s="1"/>
    </row>
    <row r="3166" spans="2:8" x14ac:dyDescent="0.25">
      <c r="B3166" s="1"/>
      <c r="C3166" s="1"/>
      <c r="D3166" s="1"/>
      <c r="E3166" s="1"/>
      <c r="F3166" s="1"/>
      <c r="H3166" s="1"/>
    </row>
    <row r="3167" spans="2:8" x14ac:dyDescent="0.25">
      <c r="B3167" s="1"/>
      <c r="C3167" s="1"/>
      <c r="D3167" s="1"/>
      <c r="E3167" s="1"/>
      <c r="F3167" s="1"/>
      <c r="H3167" s="1"/>
    </row>
    <row r="3168" spans="2:8" x14ac:dyDescent="0.25">
      <c r="B3168" s="1"/>
      <c r="C3168" s="1"/>
      <c r="D3168" s="1"/>
      <c r="E3168" s="1"/>
      <c r="F3168" s="1"/>
      <c r="H3168" s="1"/>
    </row>
    <row r="3169" spans="2:8" x14ac:dyDescent="0.25">
      <c r="B3169" s="1"/>
      <c r="C3169" s="1"/>
      <c r="D3169" s="1"/>
      <c r="E3169" s="1"/>
      <c r="F3169" s="1"/>
      <c r="H3169" s="1"/>
    </row>
    <row r="3170" spans="2:8" x14ac:dyDescent="0.25">
      <c r="B3170" s="1"/>
      <c r="C3170" s="1"/>
      <c r="D3170" s="1"/>
      <c r="E3170" s="1"/>
      <c r="F3170" s="1"/>
      <c r="H3170" s="1"/>
    </row>
    <row r="3171" spans="2:8" x14ac:dyDescent="0.25">
      <c r="B3171" s="1"/>
      <c r="C3171" s="1"/>
      <c r="D3171" s="1"/>
      <c r="E3171" s="1"/>
      <c r="F3171" s="1"/>
      <c r="H3171" s="1"/>
    </row>
    <row r="3172" spans="2:8" x14ac:dyDescent="0.25">
      <c r="B3172" s="1"/>
      <c r="C3172" s="1"/>
      <c r="D3172" s="1"/>
      <c r="E3172" s="1"/>
      <c r="F3172" s="1"/>
      <c r="H3172" s="1"/>
    </row>
    <row r="3173" spans="2:8" x14ac:dyDescent="0.25">
      <c r="B3173" s="1"/>
      <c r="C3173" s="1"/>
      <c r="D3173" s="1"/>
      <c r="E3173" s="1"/>
      <c r="F3173" s="1"/>
      <c r="H3173" s="1"/>
    </row>
    <row r="3174" spans="2:8" x14ac:dyDescent="0.25">
      <c r="B3174" s="1"/>
      <c r="C3174" s="1"/>
      <c r="D3174" s="1"/>
      <c r="E3174" s="1"/>
      <c r="F3174" s="1"/>
      <c r="H3174" s="1"/>
    </row>
    <row r="3175" spans="2:8" x14ac:dyDescent="0.25">
      <c r="B3175" s="1"/>
      <c r="C3175" s="1"/>
      <c r="D3175" s="1"/>
      <c r="E3175" s="1"/>
      <c r="F3175" s="1"/>
      <c r="H3175" s="1"/>
    </row>
    <row r="3176" spans="2:8" x14ac:dyDescent="0.25">
      <c r="B3176" s="1"/>
      <c r="C3176" s="1"/>
      <c r="D3176" s="1"/>
      <c r="E3176" s="1"/>
      <c r="F3176" s="1"/>
      <c r="H3176" s="1"/>
    </row>
    <row r="3177" spans="2:8" x14ac:dyDescent="0.25">
      <c r="B3177" s="1"/>
      <c r="C3177" s="1"/>
      <c r="D3177" s="1"/>
      <c r="E3177" s="1"/>
      <c r="F3177" s="1"/>
      <c r="H3177" s="1"/>
    </row>
    <row r="3178" spans="2:8" x14ac:dyDescent="0.25">
      <c r="B3178" s="1"/>
      <c r="C3178" s="1"/>
      <c r="D3178" s="1"/>
      <c r="E3178" s="1"/>
      <c r="F3178" s="1"/>
      <c r="H3178" s="1"/>
    </row>
    <row r="3179" spans="2:8" x14ac:dyDescent="0.25">
      <c r="B3179" s="1"/>
      <c r="C3179" s="1"/>
      <c r="D3179" s="1"/>
      <c r="E3179" s="1"/>
      <c r="F3179" s="1"/>
      <c r="H3179" s="1"/>
    </row>
    <row r="3180" spans="2:8" x14ac:dyDescent="0.25">
      <c r="B3180" s="1"/>
      <c r="C3180" s="1"/>
      <c r="D3180" s="1"/>
      <c r="E3180" s="1"/>
      <c r="F3180" s="1"/>
      <c r="H3180" s="1"/>
    </row>
    <row r="3181" spans="2:8" x14ac:dyDescent="0.25">
      <c r="B3181" s="1"/>
      <c r="C3181" s="1"/>
      <c r="D3181" s="1"/>
      <c r="E3181" s="1"/>
      <c r="F3181" s="1"/>
      <c r="H3181" s="1"/>
    </row>
    <row r="3182" spans="2:8" x14ac:dyDescent="0.25">
      <c r="B3182" s="1"/>
      <c r="C3182" s="1"/>
      <c r="D3182" s="1"/>
      <c r="E3182" s="1"/>
      <c r="F3182" s="1"/>
      <c r="H3182" s="1"/>
    </row>
    <row r="3183" spans="2:8" x14ac:dyDescent="0.25">
      <c r="B3183" s="1"/>
      <c r="C3183" s="1"/>
      <c r="D3183" s="1"/>
      <c r="E3183" s="1"/>
      <c r="F3183" s="1"/>
      <c r="H3183" s="1"/>
    </row>
    <row r="3184" spans="2:8" x14ac:dyDescent="0.25">
      <c r="B3184" s="1"/>
      <c r="C3184" s="1"/>
      <c r="D3184" s="1"/>
      <c r="E3184" s="1"/>
      <c r="F3184" s="1"/>
      <c r="H3184" s="1"/>
    </row>
    <row r="3185" spans="2:8" x14ac:dyDescent="0.25">
      <c r="B3185" s="1"/>
      <c r="C3185" s="1"/>
      <c r="D3185" s="1"/>
      <c r="E3185" s="1"/>
      <c r="F3185" s="1"/>
      <c r="H3185" s="1"/>
    </row>
    <row r="3186" spans="2:8" x14ac:dyDescent="0.25">
      <c r="B3186" s="1"/>
      <c r="C3186" s="1"/>
      <c r="D3186" s="1"/>
      <c r="E3186" s="1"/>
      <c r="F3186" s="1"/>
      <c r="H3186" s="1"/>
    </row>
    <row r="3187" spans="2:8" x14ac:dyDescent="0.25">
      <c r="B3187" s="1"/>
      <c r="C3187" s="1"/>
      <c r="D3187" s="1"/>
      <c r="E3187" s="1"/>
      <c r="F3187" s="1"/>
      <c r="H3187" s="1"/>
    </row>
    <row r="3188" spans="2:8" x14ac:dyDescent="0.25">
      <c r="B3188" s="1"/>
      <c r="C3188" s="1"/>
      <c r="D3188" s="1"/>
      <c r="E3188" s="1"/>
      <c r="F3188" s="1"/>
      <c r="H3188" s="1"/>
    </row>
    <row r="3189" spans="2:8" x14ac:dyDescent="0.25">
      <c r="B3189" s="1"/>
      <c r="C3189" s="1"/>
      <c r="D3189" s="1"/>
      <c r="E3189" s="1"/>
      <c r="F3189" s="1"/>
      <c r="H3189" s="1"/>
    </row>
    <row r="3190" spans="2:8" x14ac:dyDescent="0.25">
      <c r="B3190" s="1"/>
      <c r="C3190" s="1"/>
      <c r="D3190" s="1"/>
      <c r="E3190" s="1"/>
      <c r="F3190" s="1"/>
      <c r="H3190" s="1"/>
    </row>
    <row r="3191" spans="2:8" x14ac:dyDescent="0.25">
      <c r="B3191" s="1"/>
      <c r="C3191" s="1"/>
      <c r="D3191" s="1"/>
      <c r="E3191" s="1"/>
      <c r="F3191" s="1"/>
      <c r="H3191" s="1"/>
    </row>
    <row r="3192" spans="2:8" x14ac:dyDescent="0.25">
      <c r="B3192" s="1"/>
      <c r="C3192" s="1"/>
      <c r="D3192" s="1"/>
      <c r="E3192" s="1"/>
      <c r="F3192" s="1"/>
      <c r="H3192" s="1"/>
    </row>
    <row r="3193" spans="2:8" x14ac:dyDescent="0.25">
      <c r="B3193" s="1"/>
      <c r="C3193" s="1"/>
      <c r="D3193" s="1"/>
      <c r="E3193" s="1"/>
      <c r="F3193" s="1"/>
      <c r="H3193" s="1"/>
    </row>
    <row r="3194" spans="2:8" x14ac:dyDescent="0.25">
      <c r="B3194" s="1"/>
      <c r="C3194" s="1"/>
      <c r="D3194" s="1"/>
      <c r="E3194" s="1"/>
      <c r="F3194" s="1"/>
      <c r="H3194" s="1"/>
    </row>
    <row r="3195" spans="2:8" x14ac:dyDescent="0.25">
      <c r="B3195" s="1"/>
      <c r="C3195" s="1"/>
      <c r="D3195" s="1"/>
      <c r="E3195" s="1"/>
      <c r="F3195" s="1"/>
      <c r="H3195" s="1"/>
    </row>
    <row r="3196" spans="2:8" x14ac:dyDescent="0.25">
      <c r="B3196" s="1"/>
      <c r="C3196" s="1"/>
      <c r="D3196" s="1"/>
      <c r="E3196" s="1"/>
      <c r="F3196" s="1"/>
      <c r="H3196" s="1"/>
    </row>
    <row r="3197" spans="2:8" x14ac:dyDescent="0.25">
      <c r="B3197" s="1"/>
      <c r="C3197" s="1"/>
      <c r="D3197" s="1"/>
      <c r="E3197" s="1"/>
      <c r="F3197" s="1"/>
      <c r="H3197" s="1"/>
    </row>
    <row r="3198" spans="2:8" x14ac:dyDescent="0.25">
      <c r="B3198" s="1"/>
      <c r="C3198" s="1"/>
      <c r="D3198" s="1"/>
      <c r="E3198" s="1"/>
      <c r="F3198" s="1"/>
      <c r="H3198" s="1"/>
    </row>
    <row r="3199" spans="2:8" x14ac:dyDescent="0.25">
      <c r="B3199" s="1"/>
      <c r="C3199" s="1"/>
      <c r="D3199" s="1"/>
      <c r="E3199" s="1"/>
      <c r="F3199" s="1"/>
      <c r="H3199" s="1"/>
    </row>
    <row r="3200" spans="2:8" x14ac:dyDescent="0.25">
      <c r="B3200" s="1"/>
      <c r="C3200" s="1"/>
      <c r="D3200" s="1"/>
      <c r="E3200" s="1"/>
      <c r="F3200" s="1"/>
      <c r="H3200" s="1"/>
    </row>
    <row r="3201" spans="2:8" x14ac:dyDescent="0.25">
      <c r="B3201" s="1"/>
      <c r="C3201" s="1"/>
      <c r="D3201" s="1"/>
      <c r="E3201" s="1"/>
      <c r="F3201" s="1"/>
      <c r="H3201" s="1"/>
    </row>
    <row r="3202" spans="2:8" x14ac:dyDescent="0.25">
      <c r="B3202" s="1"/>
      <c r="C3202" s="1"/>
      <c r="D3202" s="1"/>
      <c r="E3202" s="1"/>
      <c r="F3202" s="1"/>
      <c r="H3202" s="1"/>
    </row>
    <row r="3203" spans="2:8" x14ac:dyDescent="0.25">
      <c r="B3203" s="1"/>
      <c r="C3203" s="1"/>
      <c r="D3203" s="1"/>
      <c r="E3203" s="1"/>
      <c r="F3203" s="1"/>
      <c r="H3203" s="1"/>
    </row>
    <row r="3204" spans="2:8" x14ac:dyDescent="0.25">
      <c r="B3204" s="1"/>
      <c r="C3204" s="1"/>
      <c r="D3204" s="1"/>
      <c r="E3204" s="1"/>
      <c r="F3204" s="1"/>
      <c r="H3204" s="1"/>
    </row>
    <row r="3205" spans="2:8" x14ac:dyDescent="0.25">
      <c r="B3205" s="1"/>
      <c r="C3205" s="1"/>
      <c r="D3205" s="1"/>
      <c r="E3205" s="1"/>
      <c r="F3205" s="1"/>
      <c r="H3205" s="1"/>
    </row>
    <row r="3206" spans="2:8" x14ac:dyDescent="0.25">
      <c r="B3206" s="1"/>
      <c r="C3206" s="1"/>
      <c r="D3206" s="1"/>
      <c r="E3206" s="1"/>
      <c r="F3206" s="1"/>
      <c r="H3206" s="1"/>
    </row>
    <row r="3207" spans="2:8" x14ac:dyDescent="0.25">
      <c r="B3207" s="1"/>
      <c r="C3207" s="1"/>
      <c r="D3207" s="1"/>
      <c r="E3207" s="1"/>
      <c r="F3207" s="1"/>
      <c r="H3207" s="1"/>
    </row>
    <row r="3208" spans="2:8" x14ac:dyDescent="0.25">
      <c r="B3208" s="1"/>
      <c r="C3208" s="1"/>
      <c r="D3208" s="1"/>
      <c r="E3208" s="1"/>
      <c r="F3208" s="1"/>
      <c r="H3208" s="1"/>
    </row>
    <row r="3209" spans="2:8" x14ac:dyDescent="0.25">
      <c r="B3209" s="1"/>
      <c r="C3209" s="1"/>
      <c r="D3209" s="1"/>
      <c r="E3209" s="1"/>
      <c r="F3209" s="1"/>
      <c r="H3209" s="1"/>
    </row>
    <row r="3210" spans="2:8" x14ac:dyDescent="0.25">
      <c r="B3210" s="1"/>
      <c r="C3210" s="1"/>
      <c r="D3210" s="1"/>
      <c r="E3210" s="1"/>
      <c r="F3210" s="1"/>
      <c r="H3210" s="1"/>
    </row>
    <row r="3211" spans="2:8" x14ac:dyDescent="0.25">
      <c r="B3211" s="1"/>
      <c r="C3211" s="1"/>
      <c r="D3211" s="1"/>
      <c r="E3211" s="1"/>
      <c r="F3211" s="1"/>
      <c r="H3211" s="1"/>
    </row>
    <row r="3212" spans="2:8" x14ac:dyDescent="0.25">
      <c r="B3212" s="1"/>
      <c r="C3212" s="1"/>
      <c r="D3212" s="1"/>
      <c r="E3212" s="1"/>
      <c r="F3212" s="1"/>
      <c r="H3212" s="1"/>
    </row>
    <row r="3213" spans="2:8" x14ac:dyDescent="0.25">
      <c r="B3213" s="1"/>
      <c r="C3213" s="1"/>
      <c r="D3213" s="1"/>
      <c r="E3213" s="1"/>
      <c r="F3213" s="1"/>
      <c r="H3213" s="1"/>
    </row>
    <row r="3214" spans="2:8" x14ac:dyDescent="0.25">
      <c r="B3214" s="1"/>
      <c r="C3214" s="1"/>
      <c r="D3214" s="1"/>
      <c r="E3214" s="1"/>
      <c r="F3214" s="1"/>
      <c r="H3214" s="1"/>
    </row>
    <row r="3215" spans="2:8" x14ac:dyDescent="0.25">
      <c r="B3215" s="1"/>
      <c r="C3215" s="1"/>
      <c r="D3215" s="1"/>
      <c r="E3215" s="1"/>
      <c r="F3215" s="1"/>
      <c r="H3215" s="1"/>
    </row>
    <row r="3216" spans="2:8" x14ac:dyDescent="0.25">
      <c r="B3216" s="1"/>
      <c r="C3216" s="1"/>
      <c r="D3216" s="1"/>
      <c r="E3216" s="1"/>
      <c r="F3216" s="1"/>
      <c r="H3216" s="1"/>
    </row>
    <row r="3217" spans="2:8" x14ac:dyDescent="0.25">
      <c r="B3217" s="1"/>
      <c r="C3217" s="1"/>
      <c r="D3217" s="1"/>
      <c r="E3217" s="1"/>
      <c r="F3217" s="1"/>
      <c r="H3217" s="1"/>
    </row>
    <row r="3218" spans="2:8" x14ac:dyDescent="0.25">
      <c r="B3218" s="1"/>
      <c r="C3218" s="1"/>
      <c r="D3218" s="1"/>
      <c r="E3218" s="1"/>
      <c r="F3218" s="1"/>
      <c r="H3218" s="1"/>
    </row>
    <row r="3219" spans="2:8" x14ac:dyDescent="0.25">
      <c r="B3219" s="1"/>
      <c r="C3219" s="1"/>
      <c r="D3219" s="1"/>
      <c r="E3219" s="1"/>
      <c r="F3219" s="1"/>
      <c r="H3219" s="1"/>
    </row>
    <row r="3220" spans="2:8" x14ac:dyDescent="0.25">
      <c r="B3220" s="1"/>
      <c r="C3220" s="1"/>
      <c r="D3220" s="1"/>
      <c r="E3220" s="1"/>
      <c r="F3220" s="1"/>
      <c r="H3220" s="1"/>
    </row>
    <row r="3221" spans="2:8" x14ac:dyDescent="0.25">
      <c r="B3221" s="1"/>
      <c r="C3221" s="1"/>
      <c r="D3221" s="1"/>
      <c r="E3221" s="1"/>
      <c r="F3221" s="1"/>
      <c r="H3221" s="1"/>
    </row>
    <row r="3222" spans="2:8" x14ac:dyDescent="0.25">
      <c r="B3222" s="1"/>
      <c r="C3222" s="1"/>
      <c r="D3222" s="1"/>
      <c r="E3222" s="1"/>
      <c r="F3222" s="1"/>
      <c r="H3222" s="1"/>
    </row>
    <row r="3223" spans="2:8" x14ac:dyDescent="0.25">
      <c r="B3223" s="1"/>
      <c r="C3223" s="1"/>
      <c r="D3223" s="1"/>
      <c r="E3223" s="1"/>
      <c r="F3223" s="1"/>
      <c r="H3223" s="1"/>
    </row>
    <row r="3224" spans="2:8" x14ac:dyDescent="0.25">
      <c r="B3224" s="1"/>
      <c r="C3224" s="1"/>
      <c r="D3224" s="1"/>
      <c r="E3224" s="1"/>
      <c r="F3224" s="1"/>
      <c r="H3224" s="1"/>
    </row>
    <row r="3225" spans="2:8" x14ac:dyDescent="0.25">
      <c r="B3225" s="1"/>
      <c r="C3225" s="1"/>
      <c r="D3225" s="1"/>
      <c r="E3225" s="1"/>
      <c r="F3225" s="1"/>
      <c r="H3225" s="1"/>
    </row>
    <row r="3226" spans="2:8" x14ac:dyDescent="0.25">
      <c r="B3226" s="1"/>
      <c r="C3226" s="1"/>
      <c r="D3226" s="1"/>
      <c r="E3226" s="1"/>
      <c r="F3226" s="1"/>
      <c r="H3226" s="1"/>
    </row>
    <row r="3227" spans="2:8" x14ac:dyDescent="0.25">
      <c r="B3227" s="1"/>
      <c r="C3227" s="1"/>
      <c r="D3227" s="1"/>
      <c r="E3227" s="1"/>
      <c r="F3227" s="1"/>
      <c r="H3227" s="1"/>
    </row>
    <row r="3228" spans="2:8" x14ac:dyDescent="0.25">
      <c r="B3228" s="1"/>
      <c r="C3228" s="1"/>
      <c r="D3228" s="1"/>
      <c r="E3228" s="1"/>
      <c r="F3228" s="1"/>
      <c r="H3228" s="1"/>
    </row>
    <row r="3229" spans="2:8" x14ac:dyDescent="0.25">
      <c r="B3229" s="1"/>
      <c r="C3229" s="1"/>
      <c r="D3229" s="1"/>
      <c r="E3229" s="1"/>
      <c r="F3229" s="1"/>
      <c r="H3229" s="1"/>
    </row>
    <row r="3230" spans="2:8" x14ac:dyDescent="0.25">
      <c r="B3230" s="1"/>
      <c r="C3230" s="1"/>
      <c r="D3230" s="1"/>
      <c r="E3230" s="1"/>
      <c r="F3230" s="1"/>
      <c r="H3230" s="1"/>
    </row>
    <row r="3231" spans="2:8" x14ac:dyDescent="0.25">
      <c r="B3231" s="1"/>
      <c r="C3231" s="1"/>
      <c r="D3231" s="1"/>
      <c r="E3231" s="1"/>
      <c r="F3231" s="1"/>
      <c r="H3231" s="1"/>
    </row>
    <row r="3232" spans="2:8" x14ac:dyDescent="0.25">
      <c r="B3232" s="1"/>
      <c r="C3232" s="1"/>
      <c r="D3232" s="1"/>
      <c r="E3232" s="1"/>
      <c r="F3232" s="1"/>
      <c r="H3232" s="1"/>
    </row>
    <row r="3233" spans="2:8" x14ac:dyDescent="0.25">
      <c r="B3233" s="1"/>
      <c r="C3233" s="1"/>
      <c r="D3233" s="1"/>
      <c r="E3233" s="1"/>
      <c r="F3233" s="1"/>
      <c r="H3233" s="1"/>
    </row>
    <row r="3234" spans="2:8" x14ac:dyDescent="0.25">
      <c r="B3234" s="1"/>
      <c r="C3234" s="1"/>
      <c r="D3234" s="1"/>
      <c r="E3234" s="1"/>
      <c r="F3234" s="1"/>
      <c r="H3234" s="1"/>
    </row>
    <row r="3235" spans="2:8" x14ac:dyDescent="0.25">
      <c r="B3235" s="1"/>
      <c r="C3235" s="1"/>
      <c r="D3235" s="1"/>
      <c r="E3235" s="1"/>
      <c r="F3235" s="1"/>
      <c r="H3235" s="1"/>
    </row>
    <row r="3236" spans="2:8" x14ac:dyDescent="0.25">
      <c r="B3236" s="1"/>
      <c r="C3236" s="1"/>
      <c r="D3236" s="1"/>
      <c r="E3236" s="1"/>
      <c r="F3236" s="1"/>
      <c r="H3236" s="1"/>
    </row>
    <row r="3237" spans="2:8" x14ac:dyDescent="0.25">
      <c r="B3237" s="1"/>
      <c r="C3237" s="1"/>
      <c r="D3237" s="1"/>
      <c r="E3237" s="1"/>
      <c r="F3237" s="1"/>
      <c r="H3237" s="1"/>
    </row>
    <row r="3238" spans="2:8" x14ac:dyDescent="0.25">
      <c r="B3238" s="1"/>
      <c r="C3238" s="1"/>
      <c r="D3238" s="1"/>
      <c r="E3238" s="1"/>
      <c r="F3238" s="1"/>
      <c r="H3238" s="1"/>
    </row>
    <row r="3239" spans="2:8" x14ac:dyDescent="0.25">
      <c r="B3239" s="1"/>
      <c r="C3239" s="1"/>
      <c r="D3239" s="1"/>
      <c r="E3239" s="1"/>
      <c r="F3239" s="1"/>
      <c r="H3239" s="1"/>
    </row>
    <row r="3240" spans="2:8" x14ac:dyDescent="0.25">
      <c r="B3240" s="1"/>
      <c r="C3240" s="1"/>
      <c r="D3240" s="1"/>
      <c r="E3240" s="1"/>
      <c r="F3240" s="1"/>
      <c r="H3240" s="1"/>
    </row>
    <row r="3241" spans="2:8" x14ac:dyDescent="0.25">
      <c r="B3241" s="1"/>
      <c r="C3241" s="1"/>
      <c r="D3241" s="1"/>
      <c r="E3241" s="1"/>
      <c r="F3241" s="1"/>
      <c r="H3241" s="1"/>
    </row>
    <row r="3242" spans="2:8" x14ac:dyDescent="0.25">
      <c r="B3242" s="1"/>
      <c r="C3242" s="1"/>
      <c r="D3242" s="1"/>
      <c r="E3242" s="1"/>
      <c r="F3242" s="1"/>
      <c r="H3242" s="1"/>
    </row>
    <row r="3243" spans="2:8" x14ac:dyDescent="0.25">
      <c r="B3243" s="1"/>
      <c r="C3243" s="1"/>
      <c r="D3243" s="1"/>
      <c r="E3243" s="1"/>
      <c r="F3243" s="1"/>
      <c r="H3243" s="1"/>
    </row>
    <row r="3244" spans="2:8" x14ac:dyDescent="0.25">
      <c r="B3244" s="1"/>
      <c r="C3244" s="1"/>
      <c r="D3244" s="1"/>
      <c r="E3244" s="1"/>
      <c r="F3244" s="1"/>
      <c r="H3244" s="1"/>
    </row>
    <row r="3245" spans="2:8" x14ac:dyDescent="0.25">
      <c r="B3245" s="1"/>
      <c r="C3245" s="1"/>
      <c r="D3245" s="1"/>
      <c r="E3245" s="1"/>
      <c r="F3245" s="1"/>
      <c r="H3245" s="1"/>
    </row>
    <row r="3246" spans="2:8" x14ac:dyDescent="0.25">
      <c r="B3246" s="1"/>
      <c r="C3246" s="1"/>
      <c r="D3246" s="1"/>
      <c r="E3246" s="1"/>
      <c r="F3246" s="1"/>
      <c r="H3246" s="1"/>
    </row>
    <row r="3247" spans="2:8" x14ac:dyDescent="0.25">
      <c r="B3247" s="1"/>
      <c r="C3247" s="1"/>
      <c r="D3247" s="1"/>
      <c r="E3247" s="1"/>
      <c r="F3247" s="1"/>
      <c r="H3247" s="1"/>
    </row>
    <row r="3248" spans="2:8" x14ac:dyDescent="0.25">
      <c r="B3248" s="1"/>
      <c r="C3248" s="1"/>
      <c r="D3248" s="1"/>
      <c r="E3248" s="1"/>
      <c r="F3248" s="1"/>
      <c r="H3248" s="1"/>
    </row>
    <row r="3249" spans="2:8" x14ac:dyDescent="0.25">
      <c r="B3249" s="1"/>
      <c r="C3249" s="1"/>
      <c r="D3249" s="1"/>
      <c r="E3249" s="1"/>
      <c r="F3249" s="1"/>
      <c r="H3249" s="1"/>
    </row>
    <row r="3250" spans="2:8" x14ac:dyDescent="0.25">
      <c r="B3250" s="1"/>
      <c r="C3250" s="1"/>
      <c r="D3250" s="1"/>
      <c r="E3250" s="1"/>
      <c r="F3250" s="1"/>
      <c r="H3250" s="1"/>
    </row>
    <row r="3251" spans="2:8" x14ac:dyDescent="0.25">
      <c r="B3251" s="1"/>
      <c r="C3251" s="1"/>
      <c r="D3251" s="1"/>
      <c r="E3251" s="1"/>
      <c r="F3251" s="1"/>
      <c r="H3251" s="1"/>
    </row>
    <row r="3252" spans="2:8" x14ac:dyDescent="0.25">
      <c r="B3252" s="1"/>
      <c r="C3252" s="1"/>
      <c r="D3252" s="1"/>
      <c r="E3252" s="1"/>
      <c r="F3252" s="1"/>
      <c r="H3252" s="1"/>
    </row>
    <row r="3253" spans="2:8" x14ac:dyDescent="0.25">
      <c r="B3253" s="1"/>
      <c r="C3253" s="1"/>
      <c r="D3253" s="1"/>
      <c r="E3253" s="1"/>
      <c r="F3253" s="1"/>
      <c r="H3253" s="1"/>
    </row>
    <row r="3254" spans="2:8" x14ac:dyDescent="0.25">
      <c r="B3254" s="1"/>
      <c r="C3254" s="1"/>
      <c r="D3254" s="1"/>
      <c r="E3254" s="1"/>
      <c r="F3254" s="1"/>
      <c r="H3254" s="1"/>
    </row>
    <row r="3255" spans="2:8" x14ac:dyDescent="0.25">
      <c r="B3255" s="1"/>
      <c r="C3255" s="1"/>
      <c r="D3255" s="1"/>
      <c r="E3255" s="1"/>
      <c r="F3255" s="1"/>
      <c r="H3255" s="1"/>
    </row>
    <row r="3256" spans="2:8" x14ac:dyDescent="0.25">
      <c r="B3256" s="1"/>
      <c r="C3256" s="1"/>
      <c r="D3256" s="1"/>
      <c r="E3256" s="1"/>
      <c r="F3256" s="1"/>
      <c r="H3256" s="1"/>
    </row>
    <row r="3257" spans="2:8" x14ac:dyDescent="0.25">
      <c r="B3257" s="1"/>
      <c r="C3257" s="1"/>
      <c r="D3257" s="1"/>
      <c r="E3257" s="1"/>
      <c r="F3257" s="1"/>
      <c r="H3257" s="1"/>
    </row>
    <row r="3258" spans="2:8" x14ac:dyDescent="0.25">
      <c r="B3258" s="1"/>
      <c r="C3258" s="1"/>
      <c r="D3258" s="1"/>
      <c r="E3258" s="1"/>
      <c r="F3258" s="1"/>
      <c r="H3258" s="1"/>
    </row>
    <row r="3259" spans="2:8" x14ac:dyDescent="0.25">
      <c r="B3259" s="1"/>
      <c r="C3259" s="1"/>
      <c r="D3259" s="1"/>
      <c r="E3259" s="1"/>
      <c r="F3259" s="1"/>
      <c r="H3259" s="1"/>
    </row>
    <row r="3260" spans="2:8" x14ac:dyDescent="0.25">
      <c r="B3260" s="1"/>
      <c r="C3260" s="1"/>
      <c r="D3260" s="1"/>
      <c r="E3260" s="1"/>
      <c r="F3260" s="1"/>
      <c r="H3260" s="1"/>
    </row>
    <row r="3261" spans="2:8" x14ac:dyDescent="0.25">
      <c r="B3261" s="1"/>
      <c r="C3261" s="1"/>
      <c r="D3261" s="1"/>
      <c r="E3261" s="1"/>
      <c r="F3261" s="1"/>
      <c r="H3261" s="1"/>
    </row>
    <row r="3262" spans="2:8" x14ac:dyDescent="0.25">
      <c r="B3262" s="1"/>
      <c r="C3262" s="1"/>
      <c r="D3262" s="1"/>
      <c r="E3262" s="1"/>
      <c r="F3262" s="1"/>
      <c r="H3262" s="1"/>
    </row>
    <row r="3263" spans="2:8" x14ac:dyDescent="0.25">
      <c r="B3263" s="1"/>
      <c r="C3263" s="1"/>
      <c r="D3263" s="1"/>
      <c r="E3263" s="1"/>
      <c r="F3263" s="1"/>
      <c r="H3263" s="1"/>
    </row>
    <row r="3264" spans="2:8" x14ac:dyDescent="0.25">
      <c r="B3264" s="1"/>
      <c r="C3264" s="1"/>
      <c r="D3264" s="1"/>
      <c r="E3264" s="1"/>
      <c r="F3264" s="1"/>
      <c r="H3264" s="1"/>
    </row>
    <row r="3265" spans="2:8" x14ac:dyDescent="0.25">
      <c r="B3265" s="1"/>
      <c r="C3265" s="1"/>
      <c r="D3265" s="1"/>
      <c r="E3265" s="1"/>
      <c r="F3265" s="1"/>
      <c r="H3265" s="1"/>
    </row>
    <row r="3266" spans="2:8" x14ac:dyDescent="0.25">
      <c r="B3266" s="1"/>
      <c r="C3266" s="1"/>
      <c r="D3266" s="1"/>
      <c r="E3266" s="1"/>
      <c r="F3266" s="1"/>
      <c r="H3266" s="1"/>
    </row>
    <row r="3267" spans="2:8" x14ac:dyDescent="0.25">
      <c r="B3267" s="1"/>
      <c r="C3267" s="1"/>
      <c r="D3267" s="1"/>
      <c r="E3267" s="1"/>
      <c r="F3267" s="1"/>
      <c r="H3267" s="1"/>
    </row>
    <row r="3268" spans="2:8" x14ac:dyDescent="0.25">
      <c r="B3268" s="1"/>
      <c r="C3268" s="1"/>
      <c r="D3268" s="1"/>
      <c r="E3268" s="1"/>
      <c r="F3268" s="1"/>
      <c r="H3268" s="1"/>
    </row>
    <row r="3269" spans="2:8" x14ac:dyDescent="0.25">
      <c r="B3269" s="1"/>
      <c r="C3269" s="1"/>
      <c r="D3269" s="1"/>
      <c r="E3269" s="1"/>
      <c r="F3269" s="1"/>
      <c r="H3269" s="1"/>
    </row>
    <row r="3270" spans="2:8" x14ac:dyDescent="0.25">
      <c r="B3270" s="1"/>
      <c r="C3270" s="1"/>
      <c r="D3270" s="1"/>
      <c r="E3270" s="1"/>
      <c r="F3270" s="1"/>
      <c r="H3270" s="1"/>
    </row>
    <row r="3271" spans="2:8" x14ac:dyDescent="0.25">
      <c r="B3271" s="1"/>
      <c r="C3271" s="1"/>
      <c r="D3271" s="1"/>
      <c r="E3271" s="1"/>
      <c r="F3271" s="1"/>
      <c r="H3271" s="1"/>
    </row>
    <row r="3272" spans="2:8" x14ac:dyDescent="0.25">
      <c r="B3272" s="1"/>
      <c r="C3272" s="1"/>
      <c r="D3272" s="1"/>
      <c r="E3272" s="1"/>
      <c r="F3272" s="1"/>
      <c r="H3272" s="1"/>
    </row>
    <row r="3273" spans="2:8" x14ac:dyDescent="0.25">
      <c r="B3273" s="1"/>
      <c r="C3273" s="1"/>
      <c r="D3273" s="1"/>
      <c r="E3273" s="1"/>
      <c r="F3273" s="1"/>
      <c r="H3273" s="1"/>
    </row>
    <row r="3274" spans="2:8" x14ac:dyDescent="0.25">
      <c r="B3274" s="1"/>
      <c r="C3274" s="1"/>
      <c r="D3274" s="1"/>
      <c r="E3274" s="1"/>
      <c r="F3274" s="1"/>
      <c r="H3274" s="1"/>
    </row>
    <row r="3275" spans="2:8" x14ac:dyDescent="0.25">
      <c r="B3275" s="1"/>
      <c r="C3275" s="1"/>
      <c r="D3275" s="1"/>
      <c r="E3275" s="1"/>
      <c r="F3275" s="1"/>
      <c r="H3275" s="1"/>
    </row>
    <row r="3276" spans="2:8" x14ac:dyDescent="0.25">
      <c r="B3276" s="1"/>
      <c r="C3276" s="1"/>
      <c r="D3276" s="1"/>
      <c r="E3276" s="1"/>
      <c r="F3276" s="1"/>
      <c r="H3276" s="1"/>
    </row>
    <row r="3277" spans="2:8" x14ac:dyDescent="0.25">
      <c r="B3277" s="1"/>
      <c r="C3277" s="1"/>
      <c r="D3277" s="1"/>
      <c r="E3277" s="1"/>
      <c r="F3277" s="1"/>
      <c r="H3277" s="1"/>
    </row>
    <row r="3278" spans="2:8" x14ac:dyDescent="0.25">
      <c r="B3278" s="1"/>
      <c r="C3278" s="1"/>
      <c r="D3278" s="1"/>
      <c r="E3278" s="1"/>
      <c r="F3278" s="1"/>
      <c r="H3278" s="1"/>
    </row>
    <row r="3279" spans="2:8" x14ac:dyDescent="0.25">
      <c r="B3279" s="1"/>
      <c r="C3279" s="1"/>
      <c r="D3279" s="1"/>
      <c r="E3279" s="1"/>
      <c r="F3279" s="1"/>
      <c r="H3279" s="1"/>
    </row>
    <row r="3280" spans="2:8" x14ac:dyDescent="0.25">
      <c r="B3280" s="1"/>
      <c r="C3280" s="1"/>
      <c r="D3280" s="1"/>
      <c r="E3280" s="1"/>
      <c r="F3280" s="1"/>
      <c r="H3280" s="1"/>
    </row>
    <row r="3281" spans="2:8" x14ac:dyDescent="0.25">
      <c r="B3281" s="1"/>
      <c r="C3281" s="1"/>
      <c r="D3281" s="1"/>
      <c r="E3281" s="1"/>
      <c r="F3281" s="1"/>
      <c r="H3281" s="1"/>
    </row>
    <row r="3282" spans="2:8" x14ac:dyDescent="0.25">
      <c r="B3282" s="1"/>
      <c r="C3282" s="1"/>
      <c r="D3282" s="1"/>
      <c r="E3282" s="1"/>
      <c r="F3282" s="1"/>
      <c r="H3282" s="1"/>
    </row>
    <row r="3283" spans="2:8" x14ac:dyDescent="0.25">
      <c r="B3283" s="1"/>
      <c r="C3283" s="1"/>
      <c r="D3283" s="1"/>
      <c r="E3283" s="1"/>
      <c r="F3283" s="1"/>
      <c r="H3283" s="1"/>
    </row>
    <row r="3284" spans="2:8" x14ac:dyDescent="0.25">
      <c r="B3284" s="1"/>
      <c r="C3284" s="1"/>
      <c r="D3284" s="1"/>
      <c r="E3284" s="1"/>
      <c r="F3284" s="1"/>
      <c r="H3284" s="1"/>
    </row>
    <row r="3285" spans="2:8" x14ac:dyDescent="0.25">
      <c r="B3285" s="1"/>
      <c r="C3285" s="1"/>
      <c r="D3285" s="1"/>
      <c r="E3285" s="1"/>
      <c r="F3285" s="1"/>
      <c r="H3285" s="1"/>
    </row>
    <row r="3286" spans="2:8" x14ac:dyDescent="0.25">
      <c r="B3286" s="1"/>
      <c r="C3286" s="1"/>
      <c r="D3286" s="1"/>
      <c r="E3286" s="1"/>
      <c r="F3286" s="1"/>
      <c r="H3286" s="1"/>
    </row>
    <row r="3287" spans="2:8" x14ac:dyDescent="0.25">
      <c r="B3287" s="1"/>
      <c r="C3287" s="1"/>
      <c r="D3287" s="1"/>
      <c r="E3287" s="1"/>
      <c r="F3287" s="1"/>
      <c r="H3287" s="1"/>
    </row>
    <row r="3288" spans="2:8" x14ac:dyDescent="0.25">
      <c r="B3288" s="1"/>
      <c r="C3288" s="1"/>
      <c r="D3288" s="1"/>
      <c r="E3288" s="1"/>
      <c r="F3288" s="1"/>
      <c r="H3288" s="1"/>
    </row>
    <row r="3289" spans="2:8" x14ac:dyDescent="0.25">
      <c r="B3289" s="1"/>
      <c r="C3289" s="1"/>
      <c r="D3289" s="1"/>
      <c r="E3289" s="1"/>
      <c r="F3289" s="1"/>
      <c r="H3289" s="1"/>
    </row>
    <row r="3290" spans="2:8" x14ac:dyDescent="0.25">
      <c r="B3290" s="1"/>
      <c r="C3290" s="1"/>
      <c r="D3290" s="1"/>
      <c r="E3290" s="1"/>
      <c r="F3290" s="1"/>
      <c r="H3290" s="1"/>
    </row>
    <row r="3291" spans="2:8" x14ac:dyDescent="0.25">
      <c r="B3291" s="1"/>
      <c r="C3291" s="1"/>
      <c r="D3291" s="1"/>
      <c r="E3291" s="1"/>
      <c r="F3291" s="1"/>
      <c r="H3291" s="1"/>
    </row>
    <row r="3292" spans="2:8" x14ac:dyDescent="0.25">
      <c r="B3292" s="1"/>
      <c r="C3292" s="1"/>
      <c r="D3292" s="1"/>
      <c r="E3292" s="1"/>
      <c r="F3292" s="1"/>
      <c r="H3292" s="1"/>
    </row>
    <row r="3293" spans="2:8" x14ac:dyDescent="0.25">
      <c r="B3293" s="1"/>
      <c r="C3293" s="1"/>
      <c r="D3293" s="1"/>
      <c r="E3293" s="1"/>
      <c r="F3293" s="1"/>
      <c r="H3293" s="1"/>
    </row>
    <row r="3294" spans="2:8" x14ac:dyDescent="0.25">
      <c r="B3294" s="1"/>
      <c r="C3294" s="1"/>
      <c r="D3294" s="1"/>
      <c r="E3294" s="1"/>
      <c r="F3294" s="1"/>
      <c r="H3294" s="1"/>
    </row>
    <row r="3295" spans="2:8" x14ac:dyDescent="0.25">
      <c r="B3295" s="1"/>
      <c r="C3295" s="1"/>
      <c r="D3295" s="1"/>
      <c r="E3295" s="1"/>
      <c r="F3295" s="1"/>
      <c r="H3295" s="1"/>
    </row>
    <row r="3296" spans="2:8" x14ac:dyDescent="0.25">
      <c r="B3296" s="1"/>
      <c r="C3296" s="1"/>
      <c r="D3296" s="1"/>
      <c r="E3296" s="1"/>
      <c r="F3296" s="1"/>
      <c r="H3296" s="1"/>
    </row>
    <row r="3297" spans="2:8" x14ac:dyDescent="0.25">
      <c r="B3297" s="1"/>
      <c r="C3297" s="1"/>
      <c r="D3297" s="1"/>
      <c r="E3297" s="1"/>
      <c r="F3297" s="1"/>
      <c r="H3297" s="1"/>
    </row>
    <row r="3298" spans="2:8" x14ac:dyDescent="0.25">
      <c r="B3298" s="1"/>
      <c r="C3298" s="1"/>
      <c r="D3298" s="1"/>
      <c r="E3298" s="1"/>
      <c r="F3298" s="1"/>
      <c r="H3298" s="1"/>
    </row>
    <row r="3299" spans="2:8" x14ac:dyDescent="0.25">
      <c r="B3299" s="1"/>
      <c r="C3299" s="1"/>
      <c r="D3299" s="1"/>
      <c r="E3299" s="1"/>
      <c r="F3299" s="1"/>
      <c r="H3299" s="1"/>
    </row>
    <row r="3300" spans="2:8" x14ac:dyDescent="0.25">
      <c r="B3300" s="1"/>
      <c r="C3300" s="1"/>
      <c r="D3300" s="1"/>
      <c r="E3300" s="1"/>
      <c r="F3300" s="1"/>
      <c r="H3300" s="1"/>
    </row>
    <row r="3301" spans="2:8" x14ac:dyDescent="0.25">
      <c r="B3301" s="1"/>
      <c r="C3301" s="1"/>
      <c r="D3301" s="1"/>
      <c r="E3301" s="1"/>
      <c r="F3301" s="1"/>
      <c r="H3301" s="1"/>
    </row>
    <row r="3302" spans="2:8" x14ac:dyDescent="0.25">
      <c r="B3302" s="1"/>
      <c r="C3302" s="1"/>
      <c r="D3302" s="1"/>
      <c r="E3302" s="1"/>
      <c r="F3302" s="1"/>
      <c r="H3302" s="1"/>
    </row>
    <row r="3303" spans="2:8" x14ac:dyDescent="0.25">
      <c r="B3303" s="1"/>
      <c r="C3303" s="1"/>
      <c r="D3303" s="1"/>
      <c r="E3303" s="1"/>
      <c r="F3303" s="1"/>
      <c r="H3303" s="1"/>
    </row>
    <row r="3304" spans="2:8" x14ac:dyDescent="0.25">
      <c r="B3304" s="1"/>
      <c r="C3304" s="1"/>
      <c r="D3304" s="1"/>
      <c r="E3304" s="1"/>
      <c r="F3304" s="1"/>
      <c r="H3304" s="1"/>
    </row>
    <row r="3305" spans="2:8" x14ac:dyDescent="0.25">
      <c r="B3305" s="1"/>
      <c r="C3305" s="1"/>
      <c r="D3305" s="1"/>
      <c r="E3305" s="1"/>
      <c r="F3305" s="1"/>
      <c r="H3305" s="1"/>
    </row>
    <row r="3306" spans="2:8" x14ac:dyDescent="0.25">
      <c r="B3306" s="1"/>
      <c r="C3306" s="1"/>
      <c r="D3306" s="1"/>
      <c r="E3306" s="1"/>
      <c r="F3306" s="1"/>
      <c r="H3306" s="1"/>
    </row>
    <row r="3307" spans="2:8" x14ac:dyDescent="0.25">
      <c r="B3307" s="1"/>
      <c r="C3307" s="1"/>
      <c r="D3307" s="1"/>
      <c r="E3307" s="1"/>
      <c r="F3307" s="1"/>
      <c r="H3307" s="1"/>
    </row>
    <row r="3308" spans="2:8" x14ac:dyDescent="0.25">
      <c r="B3308" s="1"/>
      <c r="C3308" s="1"/>
      <c r="D3308" s="1"/>
      <c r="E3308" s="1"/>
      <c r="F3308" s="1"/>
      <c r="H3308" s="1"/>
    </row>
    <row r="3309" spans="2:8" x14ac:dyDescent="0.25">
      <c r="B3309" s="1"/>
      <c r="C3309" s="1"/>
      <c r="D3309" s="1"/>
      <c r="E3309" s="1"/>
      <c r="F3309" s="1"/>
      <c r="H3309" s="1"/>
    </row>
    <row r="3310" spans="2:8" x14ac:dyDescent="0.25">
      <c r="B3310" s="1"/>
      <c r="C3310" s="1"/>
      <c r="D3310" s="1"/>
      <c r="E3310" s="1"/>
      <c r="F3310" s="1"/>
      <c r="H3310" s="1"/>
    </row>
    <row r="3311" spans="2:8" x14ac:dyDescent="0.25">
      <c r="B3311" s="1"/>
      <c r="C3311" s="1"/>
      <c r="D3311" s="1"/>
      <c r="E3311" s="1"/>
      <c r="F3311" s="1"/>
      <c r="H3311" s="1"/>
    </row>
    <row r="3312" spans="2:8" x14ac:dyDescent="0.25">
      <c r="B3312" s="1"/>
      <c r="C3312" s="1"/>
      <c r="D3312" s="1"/>
      <c r="E3312" s="1"/>
      <c r="F3312" s="1"/>
      <c r="H3312" s="1"/>
    </row>
    <row r="3313" spans="2:8" x14ac:dyDescent="0.25">
      <c r="B3313" s="1"/>
      <c r="C3313" s="1"/>
      <c r="D3313" s="1"/>
      <c r="E3313" s="1"/>
      <c r="F3313" s="1"/>
      <c r="H3313" s="1"/>
    </row>
    <row r="3314" spans="2:8" x14ac:dyDescent="0.25">
      <c r="B3314" s="1"/>
      <c r="C3314" s="1"/>
      <c r="D3314" s="1"/>
      <c r="E3314" s="1"/>
      <c r="F3314" s="1"/>
      <c r="H3314" s="1"/>
    </row>
    <row r="3315" spans="2:8" x14ac:dyDescent="0.25">
      <c r="B3315" s="1"/>
      <c r="C3315" s="1"/>
      <c r="D3315" s="1"/>
      <c r="E3315" s="1"/>
      <c r="F3315" s="1"/>
      <c r="H3315" s="1"/>
    </row>
    <row r="3316" spans="2:8" x14ac:dyDescent="0.25">
      <c r="B3316" s="1"/>
      <c r="C3316" s="1"/>
      <c r="D3316" s="1"/>
      <c r="E3316" s="1"/>
      <c r="F3316" s="1"/>
      <c r="H3316" s="1"/>
    </row>
    <row r="3317" spans="2:8" x14ac:dyDescent="0.25">
      <c r="B3317" s="1"/>
      <c r="C3317" s="1"/>
      <c r="D3317" s="1"/>
      <c r="E3317" s="1"/>
      <c r="F3317" s="1"/>
      <c r="H3317" s="1"/>
    </row>
    <row r="3318" spans="2:8" x14ac:dyDescent="0.25">
      <c r="B3318" s="1"/>
      <c r="C3318" s="1"/>
      <c r="D3318" s="1"/>
      <c r="E3318" s="1"/>
      <c r="F3318" s="1"/>
      <c r="H3318" s="1"/>
    </row>
    <row r="3319" spans="2:8" x14ac:dyDescent="0.25">
      <c r="B3319" s="1"/>
      <c r="C3319" s="1"/>
      <c r="D3319" s="1"/>
      <c r="E3319" s="1"/>
      <c r="F3319" s="1"/>
      <c r="H3319" s="1"/>
    </row>
    <row r="3320" spans="2:8" x14ac:dyDescent="0.25">
      <c r="B3320" s="1"/>
      <c r="C3320" s="1"/>
      <c r="D3320" s="1"/>
      <c r="E3320" s="1"/>
      <c r="F3320" s="1"/>
      <c r="H3320" s="1"/>
    </row>
    <row r="3321" spans="2:8" x14ac:dyDescent="0.25">
      <c r="B3321" s="1"/>
      <c r="C3321" s="1"/>
      <c r="D3321" s="1"/>
      <c r="E3321" s="1"/>
      <c r="F3321" s="1"/>
      <c r="H3321" s="1"/>
    </row>
    <row r="3322" spans="2:8" x14ac:dyDescent="0.25">
      <c r="B3322" s="1"/>
      <c r="C3322" s="1"/>
      <c r="D3322" s="1"/>
      <c r="E3322" s="1"/>
      <c r="F3322" s="1"/>
      <c r="H3322" s="1"/>
    </row>
    <row r="3323" spans="2:8" x14ac:dyDescent="0.25">
      <c r="B3323" s="1"/>
      <c r="C3323" s="1"/>
      <c r="D3323" s="1"/>
      <c r="E3323" s="1"/>
      <c r="F3323" s="1"/>
      <c r="H3323" s="1"/>
    </row>
    <row r="3324" spans="2:8" x14ac:dyDescent="0.25">
      <c r="B3324" s="1"/>
      <c r="C3324" s="1"/>
      <c r="D3324" s="1"/>
      <c r="E3324" s="1"/>
      <c r="F3324" s="1"/>
      <c r="H3324" s="1"/>
    </row>
    <row r="3325" spans="2:8" x14ac:dyDescent="0.25">
      <c r="B3325" s="1"/>
      <c r="C3325" s="1"/>
      <c r="D3325" s="1"/>
      <c r="E3325" s="1"/>
      <c r="F3325" s="1"/>
      <c r="H3325" s="1"/>
    </row>
    <row r="3326" spans="2:8" x14ac:dyDescent="0.25">
      <c r="B3326" s="1"/>
      <c r="C3326" s="1"/>
      <c r="D3326" s="1"/>
      <c r="E3326" s="1"/>
      <c r="F3326" s="1"/>
      <c r="H3326" s="1"/>
    </row>
    <row r="3327" spans="2:8" x14ac:dyDescent="0.25">
      <c r="B3327" s="1"/>
      <c r="C3327" s="1"/>
      <c r="D3327" s="1"/>
      <c r="E3327" s="1"/>
      <c r="F3327" s="1"/>
      <c r="H3327" s="1"/>
    </row>
    <row r="3328" spans="2:8" x14ac:dyDescent="0.25">
      <c r="B3328" s="1"/>
      <c r="C3328" s="1"/>
      <c r="D3328" s="1"/>
      <c r="E3328" s="1"/>
      <c r="F3328" s="1"/>
      <c r="H3328" s="1"/>
    </row>
    <row r="3329" spans="2:8" x14ac:dyDescent="0.25">
      <c r="B3329" s="1"/>
      <c r="C3329" s="1"/>
      <c r="D3329" s="1"/>
      <c r="E3329" s="1"/>
      <c r="F3329" s="1"/>
      <c r="H3329" s="1"/>
    </row>
    <row r="3330" spans="2:8" x14ac:dyDescent="0.25">
      <c r="B3330" s="1"/>
      <c r="C3330" s="1"/>
      <c r="D3330" s="1"/>
      <c r="E3330" s="1"/>
      <c r="F3330" s="1"/>
      <c r="H3330" s="1"/>
    </row>
    <row r="3331" spans="2:8" x14ac:dyDescent="0.25">
      <c r="B3331" s="1"/>
      <c r="C3331" s="1"/>
      <c r="D3331" s="1"/>
      <c r="E3331" s="1"/>
      <c r="F3331" s="1"/>
      <c r="H3331" s="1"/>
    </row>
    <row r="3332" spans="2:8" x14ac:dyDescent="0.25">
      <c r="B3332" s="1"/>
      <c r="C3332" s="1"/>
      <c r="D3332" s="1"/>
      <c r="E3332" s="1"/>
      <c r="F3332" s="1"/>
      <c r="H3332" s="1"/>
    </row>
    <row r="3333" spans="2:8" x14ac:dyDescent="0.25">
      <c r="B3333" s="1"/>
      <c r="C3333" s="1"/>
      <c r="D3333" s="1"/>
      <c r="E3333" s="1"/>
      <c r="F3333" s="1"/>
      <c r="H3333" s="1"/>
    </row>
    <row r="3334" spans="2:8" x14ac:dyDescent="0.25">
      <c r="B3334" s="1"/>
      <c r="C3334" s="1"/>
      <c r="D3334" s="1"/>
      <c r="E3334" s="1"/>
      <c r="F3334" s="1"/>
      <c r="H3334" s="1"/>
    </row>
    <row r="3335" spans="2:8" x14ac:dyDescent="0.25">
      <c r="B3335" s="1"/>
      <c r="C3335" s="1"/>
      <c r="D3335" s="1"/>
      <c r="E3335" s="1"/>
      <c r="F3335" s="1"/>
      <c r="H3335" s="1"/>
    </row>
    <row r="3336" spans="2:8" x14ac:dyDescent="0.25">
      <c r="B3336" s="1"/>
      <c r="C3336" s="1"/>
      <c r="D3336" s="1"/>
      <c r="E3336" s="1"/>
      <c r="F3336" s="1"/>
      <c r="H3336" s="1"/>
    </row>
    <row r="3337" spans="2:8" x14ac:dyDescent="0.25">
      <c r="B3337" s="1"/>
      <c r="C3337" s="1"/>
      <c r="D3337" s="1"/>
      <c r="E3337" s="1"/>
      <c r="F3337" s="1"/>
      <c r="H3337" s="1"/>
    </row>
    <row r="3338" spans="2:8" x14ac:dyDescent="0.25">
      <c r="B3338" s="1"/>
      <c r="C3338" s="1"/>
      <c r="D3338" s="1"/>
      <c r="E3338" s="1"/>
      <c r="F3338" s="1"/>
      <c r="H3338" s="1"/>
    </row>
    <row r="3339" spans="2:8" x14ac:dyDescent="0.25">
      <c r="B3339" s="1"/>
      <c r="C3339" s="1"/>
      <c r="D3339" s="1"/>
      <c r="E3339" s="1"/>
      <c r="F3339" s="1"/>
      <c r="H3339" s="1"/>
    </row>
    <row r="3340" spans="2:8" x14ac:dyDescent="0.25">
      <c r="B3340" s="1"/>
      <c r="C3340" s="1"/>
      <c r="D3340" s="1"/>
      <c r="E3340" s="1"/>
      <c r="F3340" s="1"/>
      <c r="H3340" s="1"/>
    </row>
    <row r="3341" spans="2:8" x14ac:dyDescent="0.25">
      <c r="B3341" s="1"/>
      <c r="C3341" s="1"/>
      <c r="D3341" s="1"/>
      <c r="E3341" s="1"/>
      <c r="F3341" s="1"/>
      <c r="H3341" s="1"/>
    </row>
    <row r="3342" spans="2:8" x14ac:dyDescent="0.25">
      <c r="B3342" s="1"/>
      <c r="C3342" s="1"/>
      <c r="D3342" s="1"/>
      <c r="E3342" s="1"/>
      <c r="F3342" s="1"/>
      <c r="H3342" s="1"/>
    </row>
    <row r="3343" spans="2:8" x14ac:dyDescent="0.25">
      <c r="B3343" s="1"/>
      <c r="C3343" s="1"/>
      <c r="D3343" s="1"/>
      <c r="E3343" s="1"/>
      <c r="F3343" s="1"/>
      <c r="H3343" s="1"/>
    </row>
    <row r="3344" spans="2:8" x14ac:dyDescent="0.25">
      <c r="B3344" s="1"/>
      <c r="C3344" s="1"/>
      <c r="D3344" s="1"/>
      <c r="E3344" s="1"/>
      <c r="F3344" s="1"/>
      <c r="H3344" s="1"/>
    </row>
    <row r="3345" spans="2:8" x14ac:dyDescent="0.25">
      <c r="B3345" s="1"/>
      <c r="C3345" s="1"/>
      <c r="D3345" s="1"/>
      <c r="E3345" s="1"/>
      <c r="F3345" s="1"/>
      <c r="H3345" s="1"/>
    </row>
    <row r="3346" spans="2:8" x14ac:dyDescent="0.25">
      <c r="B3346" s="1"/>
      <c r="C3346" s="1"/>
      <c r="D3346" s="1"/>
      <c r="E3346" s="1"/>
      <c r="F3346" s="1"/>
      <c r="H3346" s="1"/>
    </row>
    <row r="3347" spans="2:8" x14ac:dyDescent="0.25">
      <c r="B3347" s="1"/>
      <c r="C3347" s="1"/>
      <c r="D3347" s="1"/>
      <c r="E3347" s="1"/>
      <c r="F3347" s="1"/>
      <c r="H3347" s="1"/>
    </row>
    <row r="3348" spans="2:8" x14ac:dyDescent="0.25">
      <c r="B3348" s="1"/>
      <c r="C3348" s="1"/>
      <c r="D3348" s="1"/>
      <c r="E3348" s="1"/>
      <c r="F3348" s="1"/>
      <c r="H3348" s="1"/>
    </row>
    <row r="3349" spans="2:8" x14ac:dyDescent="0.25">
      <c r="B3349" s="1"/>
      <c r="C3349" s="1"/>
      <c r="D3349" s="1"/>
      <c r="E3349" s="1"/>
      <c r="F3349" s="1"/>
      <c r="H3349" s="1"/>
    </row>
    <row r="3350" spans="2:8" x14ac:dyDescent="0.25">
      <c r="B3350" s="1"/>
      <c r="C3350" s="1"/>
      <c r="D3350" s="1"/>
      <c r="E3350" s="1"/>
      <c r="F3350" s="1"/>
      <c r="H3350" s="1"/>
    </row>
    <row r="3351" spans="2:8" x14ac:dyDescent="0.25">
      <c r="B3351" s="1"/>
      <c r="C3351" s="1"/>
      <c r="D3351" s="1"/>
      <c r="E3351" s="1"/>
      <c r="F3351" s="1"/>
      <c r="H3351" s="1"/>
    </row>
    <row r="3352" spans="2:8" x14ac:dyDescent="0.25">
      <c r="B3352" s="1"/>
      <c r="C3352" s="1"/>
      <c r="D3352" s="1"/>
      <c r="E3352" s="1"/>
      <c r="F3352" s="1"/>
      <c r="H3352" s="1"/>
    </row>
    <row r="3353" spans="2:8" x14ac:dyDescent="0.25">
      <c r="B3353" s="1"/>
      <c r="C3353" s="1"/>
      <c r="D3353" s="1"/>
      <c r="E3353" s="1"/>
      <c r="F3353" s="1"/>
      <c r="H3353" s="1"/>
    </row>
    <row r="3354" spans="2:8" x14ac:dyDescent="0.25">
      <c r="B3354" s="1"/>
      <c r="C3354" s="1"/>
      <c r="D3354" s="1"/>
      <c r="E3354" s="1"/>
      <c r="F3354" s="1"/>
      <c r="H3354" s="1"/>
    </row>
    <row r="3355" spans="2:8" x14ac:dyDescent="0.25">
      <c r="B3355" s="1"/>
      <c r="C3355" s="1"/>
      <c r="D3355" s="1"/>
      <c r="E3355" s="1"/>
      <c r="F3355" s="1"/>
      <c r="H3355" s="1"/>
    </row>
    <row r="3356" spans="2:8" x14ac:dyDescent="0.25">
      <c r="B3356" s="1"/>
      <c r="C3356" s="1"/>
      <c r="D3356" s="1"/>
      <c r="E3356" s="1"/>
      <c r="F3356" s="1"/>
      <c r="H3356" s="1"/>
    </row>
    <row r="3357" spans="2:8" x14ac:dyDescent="0.25">
      <c r="B3357" s="1"/>
      <c r="C3357" s="1"/>
      <c r="D3357" s="1"/>
      <c r="E3357" s="1"/>
      <c r="F3357" s="1"/>
      <c r="H3357" s="1"/>
    </row>
    <row r="3358" spans="2:8" x14ac:dyDescent="0.25">
      <c r="B3358" s="1"/>
      <c r="C3358" s="1"/>
      <c r="D3358" s="1"/>
      <c r="E3358" s="1"/>
      <c r="F3358" s="1"/>
      <c r="H3358" s="1"/>
    </row>
    <row r="3359" spans="2:8" x14ac:dyDescent="0.25">
      <c r="B3359" s="1"/>
      <c r="C3359" s="1"/>
      <c r="D3359" s="1"/>
      <c r="E3359" s="1"/>
      <c r="F3359" s="1"/>
      <c r="H3359" s="1"/>
    </row>
    <row r="3360" spans="2:8" x14ac:dyDescent="0.25">
      <c r="B3360" s="1"/>
      <c r="C3360" s="1"/>
      <c r="D3360" s="1"/>
      <c r="E3360" s="1"/>
      <c r="F3360" s="1"/>
      <c r="H3360" s="1"/>
    </row>
    <row r="3361" spans="2:8" x14ac:dyDescent="0.25">
      <c r="B3361" s="1"/>
      <c r="C3361" s="1"/>
      <c r="D3361" s="1"/>
      <c r="E3361" s="1"/>
      <c r="F3361" s="1"/>
      <c r="H3361" s="1"/>
    </row>
    <row r="3362" spans="2:8" x14ac:dyDescent="0.25">
      <c r="B3362" s="1"/>
      <c r="C3362" s="1"/>
      <c r="D3362" s="1"/>
      <c r="E3362" s="1"/>
      <c r="F3362" s="1"/>
      <c r="H3362" s="1"/>
    </row>
    <row r="3363" spans="2:8" x14ac:dyDescent="0.25">
      <c r="B3363" s="1"/>
      <c r="C3363" s="1"/>
      <c r="D3363" s="1"/>
      <c r="E3363" s="1"/>
      <c r="F3363" s="1"/>
      <c r="H3363" s="1"/>
    </row>
    <row r="3364" spans="2:8" x14ac:dyDescent="0.25">
      <c r="B3364" s="1"/>
      <c r="C3364" s="1"/>
      <c r="D3364" s="1"/>
      <c r="E3364" s="1"/>
      <c r="F3364" s="1"/>
      <c r="H3364" s="1"/>
    </row>
    <row r="3365" spans="2:8" x14ac:dyDescent="0.25">
      <c r="B3365" s="1"/>
      <c r="C3365" s="1"/>
      <c r="D3365" s="1"/>
      <c r="E3365" s="1"/>
      <c r="F3365" s="1"/>
      <c r="H3365" s="1"/>
    </row>
    <row r="3366" spans="2:8" x14ac:dyDescent="0.25">
      <c r="B3366" s="1"/>
      <c r="C3366" s="1"/>
      <c r="D3366" s="1"/>
      <c r="E3366" s="1"/>
      <c r="F3366" s="1"/>
      <c r="H3366" s="1"/>
    </row>
    <row r="3367" spans="2:8" x14ac:dyDescent="0.25">
      <c r="B3367" s="1"/>
      <c r="C3367" s="1"/>
      <c r="D3367" s="1"/>
      <c r="E3367" s="1"/>
      <c r="F3367" s="1"/>
      <c r="H3367" s="1"/>
    </row>
    <row r="3368" spans="2:8" x14ac:dyDescent="0.25">
      <c r="B3368" s="1"/>
      <c r="C3368" s="1"/>
      <c r="D3368" s="1"/>
      <c r="E3368" s="1"/>
      <c r="F3368" s="1"/>
      <c r="H3368" s="1"/>
    </row>
    <row r="3369" spans="2:8" x14ac:dyDescent="0.25">
      <c r="B3369" s="1"/>
      <c r="C3369" s="1"/>
      <c r="D3369" s="1"/>
      <c r="E3369" s="1"/>
      <c r="F3369" s="1"/>
      <c r="H3369" s="1"/>
    </row>
    <row r="3370" spans="2:8" x14ac:dyDescent="0.25">
      <c r="B3370" s="1"/>
      <c r="C3370" s="1"/>
      <c r="D3370" s="1"/>
      <c r="E3370" s="1"/>
      <c r="F3370" s="1"/>
      <c r="H3370" s="1"/>
    </row>
    <row r="3371" spans="2:8" x14ac:dyDescent="0.25">
      <c r="B3371" s="1"/>
      <c r="C3371" s="1"/>
      <c r="D3371" s="1"/>
      <c r="E3371" s="1"/>
      <c r="F3371" s="1"/>
      <c r="H3371" s="1"/>
    </row>
    <row r="3372" spans="2:8" x14ac:dyDescent="0.25">
      <c r="B3372" s="1"/>
      <c r="C3372" s="1"/>
      <c r="D3372" s="1"/>
      <c r="E3372" s="1"/>
      <c r="F3372" s="1"/>
      <c r="H3372" s="1"/>
    </row>
    <row r="3373" spans="2:8" x14ac:dyDescent="0.25">
      <c r="B3373" s="1"/>
      <c r="C3373" s="1"/>
      <c r="D3373" s="1"/>
      <c r="E3373" s="1"/>
      <c r="F3373" s="1"/>
      <c r="H3373" s="1"/>
    </row>
    <row r="3374" spans="2:8" x14ac:dyDescent="0.25">
      <c r="B3374" s="1"/>
      <c r="C3374" s="1"/>
      <c r="D3374" s="1"/>
      <c r="E3374" s="1"/>
      <c r="F3374" s="1"/>
      <c r="H3374" s="1"/>
    </row>
    <row r="3375" spans="2:8" x14ac:dyDescent="0.25">
      <c r="B3375" s="1"/>
      <c r="C3375" s="1"/>
      <c r="D3375" s="1"/>
      <c r="E3375" s="1"/>
      <c r="F3375" s="1"/>
      <c r="H3375" s="1"/>
    </row>
    <row r="3376" spans="2:8" x14ac:dyDescent="0.25">
      <c r="B3376" s="1"/>
      <c r="C3376" s="1"/>
      <c r="D3376" s="1"/>
      <c r="E3376" s="1"/>
      <c r="F3376" s="1"/>
      <c r="H3376" s="1"/>
    </row>
    <row r="3377" spans="2:8" x14ac:dyDescent="0.25">
      <c r="B3377" s="1"/>
      <c r="C3377" s="1"/>
      <c r="D3377" s="1"/>
      <c r="E3377" s="1"/>
      <c r="F3377" s="1"/>
      <c r="H3377" s="1"/>
    </row>
    <row r="3378" spans="2:8" x14ac:dyDescent="0.25">
      <c r="B3378" s="1"/>
      <c r="C3378" s="1"/>
      <c r="D3378" s="1"/>
      <c r="E3378" s="1"/>
      <c r="F3378" s="1"/>
      <c r="H3378" s="1"/>
    </row>
    <row r="3379" spans="2:8" x14ac:dyDescent="0.25">
      <c r="B3379" s="1"/>
      <c r="C3379" s="1"/>
      <c r="D3379" s="1"/>
      <c r="E3379" s="1"/>
      <c r="F3379" s="1"/>
      <c r="H3379" s="1"/>
    </row>
    <row r="3380" spans="2:8" x14ac:dyDescent="0.25">
      <c r="B3380" s="1"/>
      <c r="C3380" s="1"/>
      <c r="D3380" s="1"/>
      <c r="E3380" s="1"/>
      <c r="F3380" s="1"/>
      <c r="H3380" s="1"/>
    </row>
    <row r="3381" spans="2:8" x14ac:dyDescent="0.25">
      <c r="B3381" s="1"/>
      <c r="C3381" s="1"/>
      <c r="D3381" s="1"/>
      <c r="E3381" s="1"/>
      <c r="F3381" s="1"/>
      <c r="H3381" s="1"/>
    </row>
    <row r="3382" spans="2:8" x14ac:dyDescent="0.25">
      <c r="B3382" s="1"/>
      <c r="C3382" s="1"/>
      <c r="D3382" s="1"/>
      <c r="E3382" s="1"/>
      <c r="F3382" s="1"/>
      <c r="H3382" s="1"/>
    </row>
    <row r="3383" spans="2:8" x14ac:dyDescent="0.25">
      <c r="B3383" s="1"/>
      <c r="C3383" s="1"/>
      <c r="D3383" s="1"/>
      <c r="E3383" s="1"/>
      <c r="F3383" s="1"/>
      <c r="H3383" s="1"/>
    </row>
    <row r="3384" spans="2:8" x14ac:dyDescent="0.25">
      <c r="B3384" s="1"/>
      <c r="C3384" s="1"/>
      <c r="D3384" s="1"/>
      <c r="E3384" s="1"/>
      <c r="F3384" s="1"/>
      <c r="H3384" s="1"/>
    </row>
    <row r="3385" spans="2:8" x14ac:dyDescent="0.25">
      <c r="B3385" s="1"/>
      <c r="C3385" s="1"/>
      <c r="D3385" s="1"/>
      <c r="E3385" s="1"/>
      <c r="F3385" s="1"/>
      <c r="H3385" s="1"/>
    </row>
    <row r="3386" spans="2:8" x14ac:dyDescent="0.25">
      <c r="B3386" s="1"/>
      <c r="C3386" s="1"/>
      <c r="D3386" s="1"/>
      <c r="E3386" s="1"/>
      <c r="F3386" s="1"/>
      <c r="H3386" s="1"/>
    </row>
    <row r="3387" spans="2:8" x14ac:dyDescent="0.25">
      <c r="B3387" s="1"/>
      <c r="C3387" s="1"/>
      <c r="D3387" s="1"/>
      <c r="E3387" s="1"/>
      <c r="F3387" s="1"/>
      <c r="H3387" s="1"/>
    </row>
    <row r="3388" spans="2:8" x14ac:dyDescent="0.25">
      <c r="B3388" s="1"/>
      <c r="C3388" s="1"/>
      <c r="D3388" s="1"/>
      <c r="E3388" s="1"/>
      <c r="F3388" s="1"/>
      <c r="H3388" s="1"/>
    </row>
    <row r="3389" spans="2:8" x14ac:dyDescent="0.25">
      <c r="B3389" s="1"/>
      <c r="C3389" s="1"/>
      <c r="D3389" s="1"/>
      <c r="E3389" s="1"/>
      <c r="F3389" s="1"/>
      <c r="H3389" s="1"/>
    </row>
    <row r="3390" spans="2:8" x14ac:dyDescent="0.25">
      <c r="B3390" s="1"/>
      <c r="C3390" s="1"/>
      <c r="D3390" s="1"/>
      <c r="E3390" s="1"/>
      <c r="F3390" s="1"/>
      <c r="H3390" s="1"/>
    </row>
    <row r="3391" spans="2:8" x14ac:dyDescent="0.25">
      <c r="B3391" s="1"/>
      <c r="C3391" s="1"/>
      <c r="D3391" s="1"/>
      <c r="E3391" s="1"/>
      <c r="F3391" s="1"/>
      <c r="H3391" s="1"/>
    </row>
    <row r="3392" spans="2:8" x14ac:dyDescent="0.25">
      <c r="B3392" s="1"/>
      <c r="C3392" s="1"/>
      <c r="D3392" s="1"/>
      <c r="E3392" s="1"/>
      <c r="F3392" s="1"/>
      <c r="H3392" s="1"/>
    </row>
    <row r="3393" spans="2:8" x14ac:dyDescent="0.25">
      <c r="B3393" s="1"/>
      <c r="C3393" s="1"/>
      <c r="D3393" s="1"/>
      <c r="E3393" s="1"/>
      <c r="F3393" s="1"/>
      <c r="H3393" s="1"/>
    </row>
    <row r="3394" spans="2:8" x14ac:dyDescent="0.25">
      <c r="B3394" s="1"/>
      <c r="C3394" s="1"/>
      <c r="D3394" s="1"/>
      <c r="E3394" s="1"/>
      <c r="F3394" s="1"/>
      <c r="H3394" s="1"/>
    </row>
    <row r="3395" spans="2:8" x14ac:dyDescent="0.25">
      <c r="B3395" s="1"/>
      <c r="C3395" s="1"/>
      <c r="D3395" s="1"/>
      <c r="E3395" s="1"/>
      <c r="F3395" s="1"/>
      <c r="H3395" s="1"/>
    </row>
    <row r="3396" spans="2:8" x14ac:dyDescent="0.25">
      <c r="B3396" s="1"/>
      <c r="C3396" s="1"/>
      <c r="D3396" s="1"/>
      <c r="E3396" s="1"/>
      <c r="F3396" s="1"/>
      <c r="H3396" s="1"/>
    </row>
    <row r="3397" spans="2:8" x14ac:dyDescent="0.25">
      <c r="B3397" s="1"/>
      <c r="C3397" s="1"/>
      <c r="D3397" s="1"/>
      <c r="E3397" s="1"/>
      <c r="F3397" s="1"/>
      <c r="H3397" s="1"/>
    </row>
    <row r="3398" spans="2:8" x14ac:dyDescent="0.25">
      <c r="B3398" s="1"/>
      <c r="C3398" s="1"/>
      <c r="D3398" s="1"/>
      <c r="E3398" s="1"/>
      <c r="F3398" s="1"/>
      <c r="H3398" s="1"/>
    </row>
    <row r="3399" spans="2:8" x14ac:dyDescent="0.25">
      <c r="B3399" s="1"/>
      <c r="C3399" s="1"/>
      <c r="D3399" s="1"/>
      <c r="E3399" s="1"/>
      <c r="F3399" s="1"/>
      <c r="H3399" s="1"/>
    </row>
    <row r="3400" spans="2:8" x14ac:dyDescent="0.25">
      <c r="B3400" s="1"/>
      <c r="C3400" s="1"/>
      <c r="D3400" s="1"/>
      <c r="E3400" s="1"/>
      <c r="F3400" s="1"/>
      <c r="H3400" s="1"/>
    </row>
    <row r="3401" spans="2:8" x14ac:dyDescent="0.25">
      <c r="B3401" s="1"/>
      <c r="C3401" s="1"/>
      <c r="D3401" s="1"/>
      <c r="E3401" s="1"/>
      <c r="F3401" s="1"/>
      <c r="H3401" s="1"/>
    </row>
    <row r="3402" spans="2:8" x14ac:dyDescent="0.25">
      <c r="B3402" s="1"/>
      <c r="C3402" s="1"/>
      <c r="D3402" s="1"/>
      <c r="E3402" s="1"/>
      <c r="F3402" s="1"/>
      <c r="H3402" s="1"/>
    </row>
    <row r="3403" spans="2:8" x14ac:dyDescent="0.25">
      <c r="B3403" s="1"/>
      <c r="C3403" s="1"/>
      <c r="D3403" s="1"/>
      <c r="E3403" s="1"/>
      <c r="F3403" s="1"/>
      <c r="H3403" s="1"/>
    </row>
    <row r="3404" spans="2:8" x14ac:dyDescent="0.25">
      <c r="B3404" s="1"/>
      <c r="C3404" s="1"/>
      <c r="D3404" s="1"/>
      <c r="E3404" s="1"/>
      <c r="F3404" s="1"/>
      <c r="H3404" s="1"/>
    </row>
    <row r="3405" spans="2:8" x14ac:dyDescent="0.25">
      <c r="B3405" s="1"/>
      <c r="C3405" s="1"/>
      <c r="D3405" s="1"/>
      <c r="E3405" s="1"/>
      <c r="F3405" s="1"/>
      <c r="H3405" s="1"/>
    </row>
    <row r="3406" spans="2:8" x14ac:dyDescent="0.25">
      <c r="B3406" s="1"/>
      <c r="C3406" s="1"/>
      <c r="D3406" s="1"/>
      <c r="E3406" s="1"/>
      <c r="F3406" s="1"/>
      <c r="H3406" s="1"/>
    </row>
    <row r="3407" spans="2:8" x14ac:dyDescent="0.25">
      <c r="B3407" s="1"/>
      <c r="C3407" s="1"/>
      <c r="D3407" s="1"/>
      <c r="E3407" s="1"/>
      <c r="F3407" s="1"/>
      <c r="H3407" s="1"/>
    </row>
    <row r="3408" spans="2:8" x14ac:dyDescent="0.25">
      <c r="B3408" s="1"/>
      <c r="C3408" s="1"/>
      <c r="D3408" s="1"/>
      <c r="E3408" s="1"/>
      <c r="F3408" s="1"/>
      <c r="H3408" s="1"/>
    </row>
    <row r="3409" spans="2:8" x14ac:dyDescent="0.25">
      <c r="B3409" s="1"/>
      <c r="C3409" s="1"/>
      <c r="D3409" s="1"/>
      <c r="E3409" s="1"/>
      <c r="F3409" s="1"/>
      <c r="H3409" s="1"/>
    </row>
    <row r="3410" spans="2:8" x14ac:dyDescent="0.25">
      <c r="B3410" s="1"/>
      <c r="C3410" s="1"/>
      <c r="D3410" s="1"/>
      <c r="E3410" s="1"/>
      <c r="F3410" s="1"/>
      <c r="H3410" s="1"/>
    </row>
    <row r="3411" spans="2:8" x14ac:dyDescent="0.25">
      <c r="B3411" s="1"/>
      <c r="C3411" s="1"/>
      <c r="D3411" s="1"/>
      <c r="E3411" s="1"/>
      <c r="F3411" s="1"/>
      <c r="H3411" s="1"/>
    </row>
    <row r="3412" spans="2:8" x14ac:dyDescent="0.25">
      <c r="B3412" s="1"/>
      <c r="C3412" s="1"/>
      <c r="D3412" s="1"/>
      <c r="E3412" s="1"/>
      <c r="F3412" s="1"/>
      <c r="H3412" s="1"/>
    </row>
    <row r="3413" spans="2:8" x14ac:dyDescent="0.25">
      <c r="B3413" s="1"/>
      <c r="C3413" s="1"/>
      <c r="D3413" s="1"/>
      <c r="E3413" s="1"/>
      <c r="F3413" s="1"/>
      <c r="H3413" s="1"/>
    </row>
    <row r="3414" spans="2:8" x14ac:dyDescent="0.25">
      <c r="B3414" s="1"/>
      <c r="C3414" s="1"/>
      <c r="D3414" s="1"/>
      <c r="E3414" s="1"/>
      <c r="F3414" s="1"/>
      <c r="H3414" s="1"/>
    </row>
    <row r="3415" spans="2:8" x14ac:dyDescent="0.25">
      <c r="B3415" s="1"/>
      <c r="C3415" s="1"/>
      <c r="D3415" s="1"/>
      <c r="E3415" s="1"/>
      <c r="F3415" s="1"/>
      <c r="H3415" s="1"/>
    </row>
    <row r="3416" spans="2:8" x14ac:dyDescent="0.25">
      <c r="B3416" s="1"/>
      <c r="C3416" s="1"/>
      <c r="D3416" s="1"/>
      <c r="E3416" s="1"/>
      <c r="F3416" s="1"/>
      <c r="H3416" s="1"/>
    </row>
    <row r="3417" spans="2:8" x14ac:dyDescent="0.25">
      <c r="B3417" s="1"/>
      <c r="C3417" s="1"/>
      <c r="D3417" s="1"/>
      <c r="E3417" s="1"/>
      <c r="F3417" s="1"/>
      <c r="H3417" s="1"/>
    </row>
    <row r="3418" spans="2:8" x14ac:dyDescent="0.25">
      <c r="B3418" s="1"/>
      <c r="C3418" s="1"/>
      <c r="D3418" s="1"/>
      <c r="E3418" s="1"/>
      <c r="F3418" s="1"/>
      <c r="H3418" s="1"/>
    </row>
    <row r="3419" spans="2:8" x14ac:dyDescent="0.25">
      <c r="B3419" s="1"/>
      <c r="C3419" s="1"/>
      <c r="D3419" s="1"/>
      <c r="E3419" s="1"/>
      <c r="F3419" s="1"/>
      <c r="H3419" s="1"/>
    </row>
    <row r="3420" spans="2:8" x14ac:dyDescent="0.25">
      <c r="B3420" s="1"/>
      <c r="C3420" s="1"/>
      <c r="D3420" s="1"/>
      <c r="E3420" s="1"/>
      <c r="F3420" s="1"/>
      <c r="H3420" s="1"/>
    </row>
    <row r="3421" spans="2:8" x14ac:dyDescent="0.25">
      <c r="B3421" s="1"/>
      <c r="C3421" s="1"/>
      <c r="D3421" s="1"/>
      <c r="E3421" s="1"/>
      <c r="F3421" s="1"/>
      <c r="H3421" s="1"/>
    </row>
    <row r="3422" spans="2:8" x14ac:dyDescent="0.25">
      <c r="B3422" s="1"/>
      <c r="C3422" s="1"/>
      <c r="D3422" s="1"/>
      <c r="E3422" s="1"/>
      <c r="F3422" s="1"/>
      <c r="H3422" s="1"/>
    </row>
    <row r="3423" spans="2:8" x14ac:dyDescent="0.25">
      <c r="B3423" s="1"/>
      <c r="C3423" s="1"/>
      <c r="D3423" s="1"/>
      <c r="E3423" s="1"/>
      <c r="F3423" s="1"/>
      <c r="H3423" s="1"/>
    </row>
    <row r="3424" spans="2:8" x14ac:dyDescent="0.25">
      <c r="B3424" s="1"/>
      <c r="C3424" s="1"/>
      <c r="D3424" s="1"/>
      <c r="E3424" s="1"/>
      <c r="F3424" s="1"/>
      <c r="H3424" s="1"/>
    </row>
    <row r="3425" spans="2:8" x14ac:dyDescent="0.25">
      <c r="B3425" s="1"/>
      <c r="C3425" s="1"/>
      <c r="D3425" s="1"/>
      <c r="E3425" s="1"/>
      <c r="F3425" s="1"/>
      <c r="H3425" s="1"/>
    </row>
    <row r="3426" spans="2:8" x14ac:dyDescent="0.25">
      <c r="B3426" s="1"/>
      <c r="C3426" s="1"/>
      <c r="D3426" s="1"/>
      <c r="E3426" s="1"/>
      <c r="F3426" s="1"/>
      <c r="H3426" s="1"/>
    </row>
    <row r="3427" spans="2:8" x14ac:dyDescent="0.25">
      <c r="B3427" s="1"/>
      <c r="C3427" s="1"/>
      <c r="D3427" s="1"/>
      <c r="E3427" s="1"/>
      <c r="F3427" s="1"/>
      <c r="H3427" s="1"/>
    </row>
    <row r="3428" spans="2:8" x14ac:dyDescent="0.25">
      <c r="B3428" s="1"/>
      <c r="C3428" s="1"/>
      <c r="D3428" s="1"/>
      <c r="E3428" s="1"/>
      <c r="F3428" s="1"/>
      <c r="H3428" s="1"/>
    </row>
    <row r="3429" spans="2:8" x14ac:dyDescent="0.25">
      <c r="B3429" s="1"/>
      <c r="C3429" s="1"/>
      <c r="D3429" s="1"/>
      <c r="E3429" s="1"/>
      <c r="F3429" s="1"/>
      <c r="H3429" s="1"/>
    </row>
    <row r="3430" spans="2:8" x14ac:dyDescent="0.25">
      <c r="B3430" s="1"/>
      <c r="C3430" s="1"/>
      <c r="D3430" s="1"/>
      <c r="E3430" s="1"/>
      <c r="F3430" s="1"/>
      <c r="H3430" s="1"/>
    </row>
    <row r="3431" spans="2:8" x14ac:dyDescent="0.25">
      <c r="B3431" s="1"/>
      <c r="C3431" s="1"/>
      <c r="D3431" s="1"/>
      <c r="E3431" s="1"/>
      <c r="F3431" s="1"/>
      <c r="H3431" s="1"/>
    </row>
    <row r="3432" spans="2:8" x14ac:dyDescent="0.25">
      <c r="B3432" s="1"/>
      <c r="C3432" s="1"/>
      <c r="D3432" s="1"/>
      <c r="E3432" s="1"/>
      <c r="F3432" s="1"/>
      <c r="H3432" s="1"/>
    </row>
    <row r="3433" spans="2:8" x14ac:dyDescent="0.25">
      <c r="B3433" s="1"/>
      <c r="C3433" s="1"/>
      <c r="D3433" s="1"/>
      <c r="E3433" s="1"/>
      <c r="F3433" s="1"/>
      <c r="H3433" s="1"/>
    </row>
    <row r="3434" spans="2:8" x14ac:dyDescent="0.25">
      <c r="B3434" s="1"/>
      <c r="C3434" s="1"/>
      <c r="D3434" s="1"/>
      <c r="E3434" s="1"/>
      <c r="F3434" s="1"/>
      <c r="H3434" s="1"/>
    </row>
    <row r="3435" spans="2:8" x14ac:dyDescent="0.25">
      <c r="B3435" s="1"/>
      <c r="C3435" s="1"/>
      <c r="D3435" s="1"/>
      <c r="E3435" s="1"/>
      <c r="F3435" s="1"/>
      <c r="H3435" s="1"/>
    </row>
    <row r="3436" spans="2:8" x14ac:dyDescent="0.25">
      <c r="B3436" s="1"/>
      <c r="C3436" s="1"/>
      <c r="D3436" s="1"/>
      <c r="E3436" s="1"/>
      <c r="F3436" s="1"/>
      <c r="H3436" s="1"/>
    </row>
    <row r="3437" spans="2:8" x14ac:dyDescent="0.25">
      <c r="B3437" s="1"/>
      <c r="C3437" s="1"/>
      <c r="D3437" s="1"/>
      <c r="E3437" s="1"/>
      <c r="F3437" s="1"/>
      <c r="H3437" s="1"/>
    </row>
    <row r="3438" spans="2:8" x14ac:dyDescent="0.25">
      <c r="B3438" s="1"/>
      <c r="C3438" s="1"/>
      <c r="D3438" s="1"/>
      <c r="E3438" s="1"/>
      <c r="F3438" s="1"/>
      <c r="H3438" s="1"/>
    </row>
    <row r="3439" spans="2:8" x14ac:dyDescent="0.25">
      <c r="B3439" s="1"/>
      <c r="C3439" s="1"/>
      <c r="D3439" s="1"/>
      <c r="E3439" s="1"/>
      <c r="F3439" s="1"/>
      <c r="H3439" s="1"/>
    </row>
    <row r="3440" spans="2:8" x14ac:dyDescent="0.25">
      <c r="B3440" s="1"/>
      <c r="C3440" s="1"/>
      <c r="D3440" s="1"/>
      <c r="E3440" s="1"/>
      <c r="F3440" s="1"/>
      <c r="H3440" s="1"/>
    </row>
    <row r="3441" spans="2:8" x14ac:dyDescent="0.25">
      <c r="B3441" s="1"/>
      <c r="C3441" s="1"/>
      <c r="D3441" s="1"/>
      <c r="E3441" s="1"/>
      <c r="F3441" s="1"/>
      <c r="H3441" s="1"/>
    </row>
    <row r="3442" spans="2:8" x14ac:dyDescent="0.25">
      <c r="B3442" s="1"/>
      <c r="C3442" s="1"/>
      <c r="D3442" s="1"/>
      <c r="E3442" s="1"/>
      <c r="F3442" s="1"/>
      <c r="H3442" s="1"/>
    </row>
    <row r="3443" spans="2:8" x14ac:dyDescent="0.25">
      <c r="B3443" s="1"/>
      <c r="C3443" s="1"/>
      <c r="D3443" s="1"/>
      <c r="E3443" s="1"/>
      <c r="F3443" s="1"/>
      <c r="H3443" s="1"/>
    </row>
    <row r="3444" spans="2:8" x14ac:dyDescent="0.25">
      <c r="B3444" s="1"/>
      <c r="C3444" s="1"/>
      <c r="D3444" s="1"/>
      <c r="E3444" s="1"/>
      <c r="F3444" s="1"/>
      <c r="H3444" s="1"/>
    </row>
    <row r="3445" spans="2:8" x14ac:dyDescent="0.25">
      <c r="B3445" s="1"/>
      <c r="C3445" s="1"/>
      <c r="D3445" s="1"/>
      <c r="E3445" s="1"/>
      <c r="F3445" s="1"/>
      <c r="H3445" s="1"/>
    </row>
    <row r="3446" spans="2:8" x14ac:dyDescent="0.25">
      <c r="B3446" s="1"/>
      <c r="C3446" s="1"/>
      <c r="D3446" s="1"/>
      <c r="E3446" s="1"/>
      <c r="F3446" s="1"/>
      <c r="H3446" s="1"/>
    </row>
    <row r="3447" spans="2:8" x14ac:dyDescent="0.25">
      <c r="B3447" s="1"/>
      <c r="C3447" s="1"/>
      <c r="D3447" s="1"/>
      <c r="E3447" s="1"/>
      <c r="F3447" s="1"/>
      <c r="H3447" s="1"/>
    </row>
    <row r="3448" spans="2:8" x14ac:dyDescent="0.25">
      <c r="B3448" s="1"/>
      <c r="C3448" s="1"/>
      <c r="D3448" s="1"/>
      <c r="E3448" s="1"/>
      <c r="F3448" s="1"/>
      <c r="H3448" s="1"/>
    </row>
    <row r="3449" spans="2:8" x14ac:dyDescent="0.25">
      <c r="B3449" s="1"/>
      <c r="C3449" s="1"/>
      <c r="D3449" s="1"/>
      <c r="E3449" s="1"/>
      <c r="F3449" s="1"/>
      <c r="H3449" s="1"/>
    </row>
    <row r="3450" spans="2:8" x14ac:dyDescent="0.25">
      <c r="B3450" s="1"/>
      <c r="C3450" s="1"/>
      <c r="D3450" s="1"/>
      <c r="E3450" s="1"/>
      <c r="F3450" s="1"/>
      <c r="H3450" s="1"/>
    </row>
    <row r="3451" spans="2:8" x14ac:dyDescent="0.25">
      <c r="B3451" s="1"/>
      <c r="C3451" s="1"/>
      <c r="D3451" s="1"/>
      <c r="E3451" s="1"/>
      <c r="F3451" s="1"/>
      <c r="H3451" s="1"/>
    </row>
    <row r="3452" spans="2:8" x14ac:dyDescent="0.25">
      <c r="B3452" s="1"/>
      <c r="C3452" s="1"/>
      <c r="D3452" s="1"/>
      <c r="E3452" s="1"/>
      <c r="F3452" s="1"/>
      <c r="H3452" s="1"/>
    </row>
    <row r="3453" spans="2:8" x14ac:dyDescent="0.25">
      <c r="B3453" s="1"/>
      <c r="C3453" s="1"/>
      <c r="D3453" s="1"/>
      <c r="E3453" s="1"/>
      <c r="F3453" s="1"/>
      <c r="H3453" s="1"/>
    </row>
    <row r="3454" spans="2:8" x14ac:dyDescent="0.25">
      <c r="B3454" s="1"/>
      <c r="C3454" s="1"/>
      <c r="D3454" s="1"/>
      <c r="E3454" s="1"/>
      <c r="F3454" s="1"/>
      <c r="H3454" s="1"/>
    </row>
    <row r="3455" spans="2:8" x14ac:dyDescent="0.25">
      <c r="B3455" s="1"/>
      <c r="C3455" s="1"/>
      <c r="D3455" s="1"/>
      <c r="E3455" s="1"/>
      <c r="F3455" s="1"/>
      <c r="H3455" s="1"/>
    </row>
    <row r="3456" spans="2:8" x14ac:dyDescent="0.25">
      <c r="B3456" s="1"/>
      <c r="C3456" s="1"/>
      <c r="D3456" s="1"/>
      <c r="E3456" s="1"/>
      <c r="F3456" s="1"/>
      <c r="H3456" s="1"/>
    </row>
    <row r="3457" spans="2:8" x14ac:dyDescent="0.25">
      <c r="B3457" s="1"/>
      <c r="C3457" s="1"/>
      <c r="D3457" s="1"/>
      <c r="E3457" s="1"/>
      <c r="F3457" s="1"/>
      <c r="H3457" s="1"/>
    </row>
    <row r="3458" spans="2:8" x14ac:dyDescent="0.25">
      <c r="B3458" s="1"/>
      <c r="C3458" s="1"/>
      <c r="D3458" s="1"/>
      <c r="E3458" s="1"/>
      <c r="F3458" s="1"/>
      <c r="H3458" s="1"/>
    </row>
    <row r="3459" spans="2:8" x14ac:dyDescent="0.25">
      <c r="B3459" s="1"/>
      <c r="C3459" s="1"/>
      <c r="D3459" s="1"/>
      <c r="E3459" s="1"/>
      <c r="F3459" s="1"/>
      <c r="H3459" s="1"/>
    </row>
    <row r="3460" spans="2:8" x14ac:dyDescent="0.25">
      <c r="B3460" s="1"/>
      <c r="C3460" s="1"/>
      <c r="D3460" s="1"/>
      <c r="E3460" s="1"/>
      <c r="F3460" s="1"/>
      <c r="H3460" s="1"/>
    </row>
    <row r="3461" spans="2:8" x14ac:dyDescent="0.25">
      <c r="B3461" s="1"/>
      <c r="C3461" s="1"/>
      <c r="D3461" s="1"/>
      <c r="E3461" s="1"/>
      <c r="F3461" s="1"/>
      <c r="H3461" s="1"/>
    </row>
    <row r="3462" spans="2:8" x14ac:dyDescent="0.25">
      <c r="B3462" s="1"/>
      <c r="C3462" s="1"/>
      <c r="D3462" s="1"/>
      <c r="E3462" s="1"/>
      <c r="F3462" s="1"/>
      <c r="H3462" s="1"/>
    </row>
    <row r="3463" spans="2:8" x14ac:dyDescent="0.25">
      <c r="B3463" s="1"/>
      <c r="C3463" s="1"/>
      <c r="D3463" s="1"/>
      <c r="E3463" s="1"/>
      <c r="F3463" s="1"/>
      <c r="H3463" s="1"/>
    </row>
    <row r="3464" spans="2:8" x14ac:dyDescent="0.25">
      <c r="B3464" s="1"/>
      <c r="C3464" s="1"/>
      <c r="D3464" s="1"/>
      <c r="E3464" s="1"/>
      <c r="F3464" s="1"/>
      <c r="H3464" s="1"/>
    </row>
    <row r="3465" spans="2:8" x14ac:dyDescent="0.25">
      <c r="B3465" s="1"/>
      <c r="C3465" s="1"/>
      <c r="D3465" s="1"/>
      <c r="E3465" s="1"/>
      <c r="F3465" s="1"/>
      <c r="H3465" s="1"/>
    </row>
    <row r="3466" spans="2:8" x14ac:dyDescent="0.25">
      <c r="B3466" s="1"/>
      <c r="C3466" s="1"/>
      <c r="D3466" s="1"/>
      <c r="E3466" s="1"/>
      <c r="F3466" s="1"/>
      <c r="H3466" s="1"/>
    </row>
    <row r="3467" spans="2:8" x14ac:dyDescent="0.25">
      <c r="B3467" s="1"/>
      <c r="C3467" s="1"/>
      <c r="D3467" s="1"/>
      <c r="E3467" s="1"/>
      <c r="F3467" s="1"/>
      <c r="H3467" s="1"/>
    </row>
    <row r="3468" spans="2:8" x14ac:dyDescent="0.25">
      <c r="B3468" s="1"/>
      <c r="C3468" s="1"/>
      <c r="D3468" s="1"/>
      <c r="E3468" s="1"/>
      <c r="F3468" s="1"/>
      <c r="H3468" s="1"/>
    </row>
    <row r="3469" spans="2:8" x14ac:dyDescent="0.25">
      <c r="B3469" s="1"/>
      <c r="C3469" s="1"/>
      <c r="D3469" s="1"/>
      <c r="E3469" s="1"/>
      <c r="F3469" s="1"/>
      <c r="H3469" s="1"/>
    </row>
    <row r="3470" spans="2:8" x14ac:dyDescent="0.25">
      <c r="B3470" s="1"/>
      <c r="C3470" s="1"/>
      <c r="D3470" s="1"/>
      <c r="E3470" s="1"/>
      <c r="F3470" s="1"/>
      <c r="H3470" s="1"/>
    </row>
    <row r="3471" spans="2:8" x14ac:dyDescent="0.25">
      <c r="B3471" s="1"/>
      <c r="C3471" s="1"/>
      <c r="D3471" s="1"/>
      <c r="E3471" s="1"/>
      <c r="F3471" s="1"/>
      <c r="H3471" s="1"/>
    </row>
    <row r="3472" spans="2:8" x14ac:dyDescent="0.25">
      <c r="B3472" s="1"/>
      <c r="C3472" s="1"/>
      <c r="D3472" s="1"/>
      <c r="E3472" s="1"/>
      <c r="F3472" s="1"/>
      <c r="H3472" s="1"/>
    </row>
    <row r="3473" spans="2:8" x14ac:dyDescent="0.25">
      <c r="B3473" s="1"/>
      <c r="C3473" s="1"/>
      <c r="D3473" s="1"/>
      <c r="E3473" s="1"/>
      <c r="F3473" s="1"/>
      <c r="H3473" s="1"/>
    </row>
    <row r="3474" spans="2:8" x14ac:dyDescent="0.25">
      <c r="B3474" s="1"/>
      <c r="C3474" s="1"/>
      <c r="D3474" s="1"/>
      <c r="E3474" s="1"/>
      <c r="F3474" s="1"/>
      <c r="H3474" s="1"/>
    </row>
    <row r="3475" spans="2:8" x14ac:dyDescent="0.25">
      <c r="B3475" s="1"/>
      <c r="C3475" s="1"/>
      <c r="D3475" s="1"/>
      <c r="E3475" s="1"/>
      <c r="F3475" s="1"/>
      <c r="H3475" s="1"/>
    </row>
    <row r="3476" spans="2:8" x14ac:dyDescent="0.25">
      <c r="B3476" s="1"/>
      <c r="C3476" s="1"/>
      <c r="D3476" s="1"/>
      <c r="E3476" s="1"/>
      <c r="F3476" s="1"/>
      <c r="H3476" s="1"/>
    </row>
    <row r="3477" spans="2:8" x14ac:dyDescent="0.25">
      <c r="B3477" s="1"/>
      <c r="C3477" s="1"/>
      <c r="D3477" s="1"/>
      <c r="E3477" s="1"/>
      <c r="F3477" s="1"/>
      <c r="H3477" s="1"/>
    </row>
    <row r="3478" spans="2:8" x14ac:dyDescent="0.25">
      <c r="B3478" s="1"/>
      <c r="C3478" s="1"/>
      <c r="D3478" s="1"/>
      <c r="E3478" s="1"/>
      <c r="F3478" s="1"/>
      <c r="H3478" s="1"/>
    </row>
    <row r="3479" spans="2:8" x14ac:dyDescent="0.25">
      <c r="B3479" s="1"/>
      <c r="C3479" s="1"/>
      <c r="D3479" s="1"/>
      <c r="E3479" s="1"/>
      <c r="F3479" s="1"/>
      <c r="H3479" s="1"/>
    </row>
    <row r="3480" spans="2:8" x14ac:dyDescent="0.25">
      <c r="B3480" s="1"/>
      <c r="C3480" s="1"/>
      <c r="D3480" s="1"/>
      <c r="E3480" s="1"/>
      <c r="F3480" s="1"/>
      <c r="H3480" s="1"/>
    </row>
    <row r="3481" spans="2:8" x14ac:dyDescent="0.25">
      <c r="B3481" s="1"/>
      <c r="C3481" s="1"/>
      <c r="D3481" s="1"/>
      <c r="E3481" s="1"/>
      <c r="F3481" s="1"/>
      <c r="H3481" s="1"/>
    </row>
    <row r="3482" spans="2:8" x14ac:dyDescent="0.25">
      <c r="B3482" s="1"/>
      <c r="C3482" s="1"/>
      <c r="D3482" s="1"/>
      <c r="E3482" s="1"/>
      <c r="F3482" s="1"/>
      <c r="H3482" s="1"/>
    </row>
    <row r="3483" spans="2:8" x14ac:dyDescent="0.25">
      <c r="B3483" s="1"/>
      <c r="C3483" s="1"/>
      <c r="D3483" s="1"/>
      <c r="E3483" s="1"/>
      <c r="F3483" s="1"/>
      <c r="H3483" s="1"/>
    </row>
    <row r="3484" spans="2:8" x14ac:dyDescent="0.25">
      <c r="B3484" s="1"/>
      <c r="C3484" s="1"/>
      <c r="D3484" s="1"/>
      <c r="E3484" s="1"/>
      <c r="F3484" s="1"/>
      <c r="H3484" s="1"/>
    </row>
    <row r="3485" spans="2:8" x14ac:dyDescent="0.25">
      <c r="B3485" s="1"/>
      <c r="C3485" s="1"/>
      <c r="D3485" s="1"/>
      <c r="E3485" s="1"/>
      <c r="F3485" s="1"/>
      <c r="H3485" s="1"/>
    </row>
    <row r="3486" spans="2:8" x14ac:dyDescent="0.25">
      <c r="B3486" s="1"/>
      <c r="C3486" s="1"/>
      <c r="D3486" s="1"/>
      <c r="E3486" s="1"/>
      <c r="F3486" s="1"/>
      <c r="H3486" s="1"/>
    </row>
    <row r="3487" spans="2:8" x14ac:dyDescent="0.25">
      <c r="B3487" s="1"/>
      <c r="C3487" s="1"/>
      <c r="D3487" s="1"/>
      <c r="E3487" s="1"/>
      <c r="F3487" s="1"/>
      <c r="H3487" s="1"/>
    </row>
    <row r="3488" spans="2:8" x14ac:dyDescent="0.25">
      <c r="B3488" s="1"/>
      <c r="C3488" s="1"/>
      <c r="D3488" s="1"/>
      <c r="E3488" s="1"/>
      <c r="F3488" s="1"/>
      <c r="H3488" s="1"/>
    </row>
    <row r="3489" spans="2:8" x14ac:dyDescent="0.25">
      <c r="B3489" s="1"/>
      <c r="C3489" s="1"/>
      <c r="D3489" s="1"/>
      <c r="E3489" s="1"/>
      <c r="F3489" s="1"/>
      <c r="H3489" s="1"/>
    </row>
    <row r="3490" spans="2:8" x14ac:dyDescent="0.25">
      <c r="B3490" s="1"/>
      <c r="C3490" s="1"/>
      <c r="D3490" s="1"/>
      <c r="E3490" s="1"/>
      <c r="F3490" s="1"/>
      <c r="H3490" s="1"/>
    </row>
    <row r="3491" spans="2:8" x14ac:dyDescent="0.25">
      <c r="B3491" s="1"/>
      <c r="C3491" s="1"/>
      <c r="D3491" s="1"/>
      <c r="E3491" s="1"/>
      <c r="F3491" s="1"/>
      <c r="H3491" s="1"/>
    </row>
    <row r="3492" spans="2:8" x14ac:dyDescent="0.25">
      <c r="B3492" s="1"/>
      <c r="C3492" s="1"/>
      <c r="D3492" s="1"/>
      <c r="E3492" s="1"/>
      <c r="F3492" s="1"/>
      <c r="H3492" s="1"/>
    </row>
    <row r="3493" spans="2:8" x14ac:dyDescent="0.25">
      <c r="B3493" s="1"/>
      <c r="C3493" s="1"/>
      <c r="D3493" s="1"/>
      <c r="E3493" s="1"/>
      <c r="F3493" s="1"/>
      <c r="H3493" s="1"/>
    </row>
    <row r="3494" spans="2:8" x14ac:dyDescent="0.25">
      <c r="B3494" s="1"/>
      <c r="C3494" s="1"/>
      <c r="D3494" s="1"/>
      <c r="E3494" s="1"/>
      <c r="F3494" s="1"/>
      <c r="H3494" s="1"/>
    </row>
    <row r="3495" spans="2:8" x14ac:dyDescent="0.25">
      <c r="B3495" s="1"/>
      <c r="C3495" s="1"/>
      <c r="D3495" s="1"/>
      <c r="E3495" s="1"/>
      <c r="F3495" s="1"/>
      <c r="H3495" s="1"/>
    </row>
    <row r="3496" spans="2:8" x14ac:dyDescent="0.25">
      <c r="B3496" s="1"/>
      <c r="C3496" s="1"/>
      <c r="D3496" s="1"/>
      <c r="E3496" s="1"/>
      <c r="F3496" s="1"/>
      <c r="H3496" s="1"/>
    </row>
    <row r="3497" spans="2:8" x14ac:dyDescent="0.25">
      <c r="B3497" s="1"/>
      <c r="C3497" s="1"/>
      <c r="D3497" s="1"/>
      <c r="E3497" s="1"/>
      <c r="F3497" s="1"/>
      <c r="H3497" s="1"/>
    </row>
    <row r="3498" spans="2:8" x14ac:dyDescent="0.25">
      <c r="B3498" s="1"/>
      <c r="C3498" s="1"/>
      <c r="D3498" s="1"/>
      <c r="E3498" s="1"/>
      <c r="F3498" s="1"/>
      <c r="H3498" s="1"/>
    </row>
    <row r="3499" spans="2:8" x14ac:dyDescent="0.25">
      <c r="B3499" s="1"/>
      <c r="C3499" s="1"/>
      <c r="D3499" s="1"/>
      <c r="E3499" s="1"/>
      <c r="F3499" s="1"/>
      <c r="H3499" s="1"/>
    </row>
    <row r="3500" spans="2:8" x14ac:dyDescent="0.25">
      <c r="B3500" s="1"/>
      <c r="C3500" s="1"/>
      <c r="D3500" s="1"/>
      <c r="E3500" s="1"/>
      <c r="F3500" s="1"/>
      <c r="H3500" s="1"/>
    </row>
    <row r="3501" spans="2:8" x14ac:dyDescent="0.25">
      <c r="B3501" s="1"/>
      <c r="C3501" s="1"/>
      <c r="D3501" s="1"/>
      <c r="E3501" s="1"/>
      <c r="F3501" s="1"/>
      <c r="H3501" s="1"/>
    </row>
    <row r="3502" spans="2:8" x14ac:dyDescent="0.25">
      <c r="B3502" s="1"/>
      <c r="C3502" s="1"/>
      <c r="D3502" s="1"/>
      <c r="E3502" s="1"/>
      <c r="F3502" s="1"/>
      <c r="H3502" s="1"/>
    </row>
    <row r="3503" spans="2:8" x14ac:dyDescent="0.25">
      <c r="B3503" s="1"/>
      <c r="C3503" s="1"/>
      <c r="D3503" s="1"/>
      <c r="E3503" s="1"/>
      <c r="F3503" s="1"/>
      <c r="H3503" s="1"/>
    </row>
    <row r="3504" spans="2:8" x14ac:dyDescent="0.25">
      <c r="B3504" s="1"/>
      <c r="C3504" s="1"/>
      <c r="D3504" s="1"/>
      <c r="E3504" s="1"/>
      <c r="F3504" s="1"/>
      <c r="H3504" s="1"/>
    </row>
    <row r="3505" spans="2:8" x14ac:dyDescent="0.25">
      <c r="B3505" s="1"/>
      <c r="C3505" s="1"/>
      <c r="D3505" s="1"/>
      <c r="E3505" s="1"/>
      <c r="F3505" s="1"/>
      <c r="H3505" s="1"/>
    </row>
    <row r="3506" spans="2:8" x14ac:dyDescent="0.25">
      <c r="B3506" s="1"/>
      <c r="C3506" s="1"/>
      <c r="D3506" s="1"/>
      <c r="E3506" s="1"/>
      <c r="F3506" s="1"/>
      <c r="H3506" s="1"/>
    </row>
    <row r="3507" spans="2:8" x14ac:dyDescent="0.25">
      <c r="B3507" s="1"/>
      <c r="C3507" s="1"/>
      <c r="D3507" s="1"/>
      <c r="E3507" s="1"/>
      <c r="F3507" s="1"/>
      <c r="H3507" s="1"/>
    </row>
    <row r="3508" spans="2:8" x14ac:dyDescent="0.25">
      <c r="B3508" s="1"/>
      <c r="C3508" s="1"/>
      <c r="D3508" s="1"/>
      <c r="E3508" s="1"/>
      <c r="F3508" s="1"/>
      <c r="H3508" s="1"/>
    </row>
    <row r="3509" spans="2:8" x14ac:dyDescent="0.25">
      <c r="B3509" s="1"/>
      <c r="C3509" s="1"/>
      <c r="D3509" s="1"/>
      <c r="E3509" s="1"/>
      <c r="F3509" s="1"/>
      <c r="H3509" s="1"/>
    </row>
    <row r="3510" spans="2:8" x14ac:dyDescent="0.25">
      <c r="B3510" s="1"/>
      <c r="C3510" s="1"/>
      <c r="D3510" s="1"/>
      <c r="E3510" s="1"/>
      <c r="F3510" s="1"/>
      <c r="H3510" s="1"/>
    </row>
    <row r="3511" spans="2:8" x14ac:dyDescent="0.25">
      <c r="B3511" s="1"/>
      <c r="C3511" s="1"/>
      <c r="D3511" s="1"/>
      <c r="E3511" s="1"/>
      <c r="F3511" s="1"/>
      <c r="H3511" s="1"/>
    </row>
    <row r="3512" spans="2:8" x14ac:dyDescent="0.25">
      <c r="B3512" s="1"/>
      <c r="C3512" s="1"/>
      <c r="D3512" s="1"/>
      <c r="E3512" s="1"/>
      <c r="F3512" s="1"/>
      <c r="H3512" s="1"/>
    </row>
    <row r="3513" spans="2:8" x14ac:dyDescent="0.25">
      <c r="B3513" s="1"/>
      <c r="C3513" s="1"/>
      <c r="D3513" s="1"/>
      <c r="E3513" s="1"/>
      <c r="F3513" s="1"/>
      <c r="H3513" s="1"/>
    </row>
    <row r="3514" spans="2:8" x14ac:dyDescent="0.25">
      <c r="B3514" s="1"/>
      <c r="C3514" s="1"/>
      <c r="D3514" s="1"/>
      <c r="E3514" s="1"/>
      <c r="F3514" s="1"/>
      <c r="H3514" s="1"/>
    </row>
    <row r="3515" spans="2:8" x14ac:dyDescent="0.25">
      <c r="B3515" s="1"/>
      <c r="C3515" s="1"/>
      <c r="D3515" s="1"/>
      <c r="E3515" s="1"/>
      <c r="F3515" s="1"/>
      <c r="H3515" s="1"/>
    </row>
    <row r="3516" spans="2:8" x14ac:dyDescent="0.25">
      <c r="B3516" s="1"/>
      <c r="C3516" s="1"/>
      <c r="D3516" s="1"/>
      <c r="E3516" s="1"/>
      <c r="F3516" s="1"/>
      <c r="H3516" s="1"/>
    </row>
    <row r="3517" spans="2:8" x14ac:dyDescent="0.25">
      <c r="B3517" s="1"/>
      <c r="C3517" s="1"/>
      <c r="D3517" s="1"/>
      <c r="E3517" s="1"/>
      <c r="F3517" s="1"/>
      <c r="H3517" s="1"/>
    </row>
    <row r="3518" spans="2:8" x14ac:dyDescent="0.25">
      <c r="B3518" s="1"/>
      <c r="C3518" s="1"/>
      <c r="D3518" s="1"/>
      <c r="E3518" s="1"/>
      <c r="F3518" s="1"/>
      <c r="H3518" s="1"/>
    </row>
    <row r="3519" spans="2:8" x14ac:dyDescent="0.25">
      <c r="B3519" s="1"/>
      <c r="C3519" s="1"/>
      <c r="D3519" s="1"/>
      <c r="E3519" s="1"/>
      <c r="F3519" s="1"/>
      <c r="H3519" s="1"/>
    </row>
    <row r="3520" spans="2:8" x14ac:dyDescent="0.25">
      <c r="B3520" s="1"/>
      <c r="C3520" s="1"/>
      <c r="D3520" s="1"/>
      <c r="E3520" s="1"/>
      <c r="F3520" s="1"/>
      <c r="H3520" s="1"/>
    </row>
    <row r="3521" spans="2:8" x14ac:dyDescent="0.25">
      <c r="B3521" s="1"/>
      <c r="C3521" s="1"/>
      <c r="D3521" s="1"/>
      <c r="E3521" s="1"/>
      <c r="F3521" s="1"/>
      <c r="H3521" s="1"/>
    </row>
    <row r="3522" spans="2:8" x14ac:dyDescent="0.25">
      <c r="B3522" s="1"/>
      <c r="C3522" s="1"/>
      <c r="D3522" s="1"/>
      <c r="E3522" s="1"/>
      <c r="F3522" s="1"/>
      <c r="H3522" s="1"/>
    </row>
    <row r="3523" spans="2:8" x14ac:dyDescent="0.25">
      <c r="B3523" s="1"/>
      <c r="C3523" s="1"/>
      <c r="D3523" s="1"/>
      <c r="E3523" s="1"/>
      <c r="F3523" s="1"/>
      <c r="H3523" s="1"/>
    </row>
    <row r="3524" spans="2:8" x14ac:dyDescent="0.25">
      <c r="B3524" s="1"/>
      <c r="C3524" s="1"/>
      <c r="D3524" s="1"/>
      <c r="E3524" s="1"/>
      <c r="F3524" s="1"/>
      <c r="H3524" s="1"/>
    </row>
    <row r="3525" spans="2:8" x14ac:dyDescent="0.25">
      <c r="B3525" s="1"/>
      <c r="C3525" s="1"/>
      <c r="D3525" s="1"/>
      <c r="E3525" s="1"/>
      <c r="F3525" s="1"/>
      <c r="H3525" s="1"/>
    </row>
    <row r="3526" spans="2:8" x14ac:dyDescent="0.25">
      <c r="B3526" s="1"/>
      <c r="C3526" s="1"/>
      <c r="D3526" s="1"/>
      <c r="E3526" s="1"/>
      <c r="F3526" s="1"/>
      <c r="H3526" s="1"/>
    </row>
    <row r="3527" spans="2:8" x14ac:dyDescent="0.25">
      <c r="B3527" s="1"/>
      <c r="C3527" s="1"/>
      <c r="D3527" s="1"/>
      <c r="E3527" s="1"/>
      <c r="F3527" s="1"/>
      <c r="H3527" s="1"/>
    </row>
    <row r="3528" spans="2:8" x14ac:dyDescent="0.25">
      <c r="B3528" s="1"/>
      <c r="C3528" s="1"/>
      <c r="D3528" s="1"/>
      <c r="E3528" s="1"/>
      <c r="F3528" s="1"/>
      <c r="H3528" s="1"/>
    </row>
    <row r="3529" spans="2:8" x14ac:dyDescent="0.25">
      <c r="B3529" s="1"/>
      <c r="C3529" s="1"/>
      <c r="D3529" s="1"/>
      <c r="E3529" s="1"/>
      <c r="F3529" s="1"/>
      <c r="H3529" s="1"/>
    </row>
    <row r="3530" spans="2:8" x14ac:dyDescent="0.25">
      <c r="B3530" s="1"/>
      <c r="C3530" s="1"/>
      <c r="D3530" s="1"/>
      <c r="E3530" s="1"/>
      <c r="F3530" s="1"/>
      <c r="H3530" s="1"/>
    </row>
    <row r="3531" spans="2:8" x14ac:dyDescent="0.25">
      <c r="B3531" s="1"/>
      <c r="C3531" s="1"/>
      <c r="D3531" s="1"/>
      <c r="E3531" s="1"/>
      <c r="F3531" s="1"/>
      <c r="H3531" s="1"/>
    </row>
    <row r="3532" spans="2:8" x14ac:dyDescent="0.25">
      <c r="B3532" s="1"/>
      <c r="C3532" s="1"/>
      <c r="D3532" s="1"/>
      <c r="E3532" s="1"/>
      <c r="F3532" s="1"/>
      <c r="H3532" s="1"/>
    </row>
    <row r="3533" spans="2:8" x14ac:dyDescent="0.25">
      <c r="B3533" s="1"/>
      <c r="C3533" s="1"/>
      <c r="D3533" s="1"/>
      <c r="E3533" s="1"/>
      <c r="F3533" s="1"/>
      <c r="H3533" s="1"/>
    </row>
    <row r="3534" spans="2:8" x14ac:dyDescent="0.25">
      <c r="B3534" s="1"/>
      <c r="C3534" s="1"/>
      <c r="D3534" s="1"/>
      <c r="E3534" s="1"/>
      <c r="F3534" s="1"/>
      <c r="H3534" s="1"/>
    </row>
    <row r="3535" spans="2:8" x14ac:dyDescent="0.25">
      <c r="B3535" s="1"/>
      <c r="C3535" s="1"/>
      <c r="D3535" s="1"/>
      <c r="E3535" s="1"/>
      <c r="F3535" s="1"/>
      <c r="H3535" s="1"/>
    </row>
    <row r="3536" spans="2:8" x14ac:dyDescent="0.25">
      <c r="B3536" s="1"/>
      <c r="C3536" s="1"/>
      <c r="D3536" s="1"/>
      <c r="E3536" s="1"/>
      <c r="F3536" s="1"/>
      <c r="H3536" s="1"/>
    </row>
    <row r="3537" spans="2:8" x14ac:dyDescent="0.25">
      <c r="B3537" s="1"/>
      <c r="C3537" s="1"/>
      <c r="D3537" s="1"/>
      <c r="E3537" s="1"/>
      <c r="F3537" s="1"/>
      <c r="H3537" s="1"/>
    </row>
    <row r="3538" spans="2:8" x14ac:dyDescent="0.25">
      <c r="B3538" s="1"/>
      <c r="C3538" s="1"/>
      <c r="D3538" s="1"/>
      <c r="E3538" s="1"/>
      <c r="F3538" s="1"/>
      <c r="H3538" s="1"/>
    </row>
    <row r="3539" spans="2:8" x14ac:dyDescent="0.25">
      <c r="B3539" s="1"/>
      <c r="C3539" s="1"/>
      <c r="D3539" s="1"/>
      <c r="E3539" s="1"/>
      <c r="F3539" s="1"/>
      <c r="H3539" s="1"/>
    </row>
    <row r="3540" spans="2:8" x14ac:dyDescent="0.25">
      <c r="B3540" s="1"/>
      <c r="C3540" s="1"/>
      <c r="D3540" s="1"/>
      <c r="E3540" s="1"/>
      <c r="F3540" s="1"/>
      <c r="H3540" s="1"/>
    </row>
    <row r="3541" spans="2:8" x14ac:dyDescent="0.25">
      <c r="B3541" s="1"/>
      <c r="C3541" s="1"/>
      <c r="D3541" s="1"/>
      <c r="E3541" s="1"/>
      <c r="F3541" s="1"/>
      <c r="H3541" s="1"/>
    </row>
    <row r="3542" spans="2:8" x14ac:dyDescent="0.25">
      <c r="B3542" s="1"/>
      <c r="C3542" s="1"/>
      <c r="D3542" s="1"/>
      <c r="E3542" s="1"/>
      <c r="F3542" s="1"/>
      <c r="H3542" s="1"/>
    </row>
    <row r="3543" spans="2:8" x14ac:dyDescent="0.25">
      <c r="B3543" s="1"/>
      <c r="C3543" s="1"/>
      <c r="D3543" s="1"/>
      <c r="E3543" s="1"/>
      <c r="F3543" s="1"/>
      <c r="H3543" s="1"/>
    </row>
    <row r="3544" spans="2:8" x14ac:dyDescent="0.25">
      <c r="B3544" s="1"/>
      <c r="C3544" s="1"/>
      <c r="D3544" s="1"/>
      <c r="E3544" s="1"/>
      <c r="F3544" s="1"/>
      <c r="H3544" s="1"/>
    </row>
    <row r="3545" spans="2:8" x14ac:dyDescent="0.25">
      <c r="B3545" s="1"/>
      <c r="C3545" s="1"/>
      <c r="D3545" s="1"/>
      <c r="E3545" s="1"/>
      <c r="F3545" s="1"/>
      <c r="H3545" s="1"/>
    </row>
    <row r="3546" spans="2:8" x14ac:dyDescent="0.25">
      <c r="B3546" s="1"/>
      <c r="C3546" s="1"/>
      <c r="D3546" s="1"/>
      <c r="E3546" s="1"/>
      <c r="F3546" s="1"/>
      <c r="H3546" s="1"/>
    </row>
    <row r="3547" spans="2:8" x14ac:dyDescent="0.25">
      <c r="B3547" s="1"/>
      <c r="C3547" s="1"/>
      <c r="D3547" s="1"/>
      <c r="E3547" s="1"/>
      <c r="F3547" s="1"/>
      <c r="H3547" s="1"/>
    </row>
    <row r="3548" spans="2:8" x14ac:dyDescent="0.25">
      <c r="B3548" s="1"/>
      <c r="C3548" s="1"/>
      <c r="D3548" s="1"/>
      <c r="E3548" s="1"/>
      <c r="F3548" s="1"/>
      <c r="H3548" s="1"/>
    </row>
    <row r="3549" spans="2:8" x14ac:dyDescent="0.25">
      <c r="B3549" s="1"/>
      <c r="C3549" s="1"/>
      <c r="D3549" s="1"/>
      <c r="E3549" s="1"/>
      <c r="F3549" s="1"/>
      <c r="H3549" s="1"/>
    </row>
    <row r="3550" spans="2:8" x14ac:dyDescent="0.25">
      <c r="B3550" s="1"/>
      <c r="C3550" s="1"/>
      <c r="D3550" s="1"/>
      <c r="E3550" s="1"/>
      <c r="F3550" s="1"/>
      <c r="H3550" s="1"/>
    </row>
    <row r="3551" spans="2:8" x14ac:dyDescent="0.25">
      <c r="B3551" s="1"/>
      <c r="C3551" s="1"/>
      <c r="D3551" s="1"/>
      <c r="E3551" s="1"/>
      <c r="F3551" s="1"/>
      <c r="H3551" s="1"/>
    </row>
    <row r="3552" spans="2:8" x14ac:dyDescent="0.25">
      <c r="B3552" s="1"/>
      <c r="C3552" s="1"/>
      <c r="D3552" s="1"/>
      <c r="E3552" s="1"/>
      <c r="F3552" s="1"/>
      <c r="H3552" s="1"/>
    </row>
    <row r="3553" spans="2:8" x14ac:dyDescent="0.25">
      <c r="B3553" s="1"/>
      <c r="C3553" s="1"/>
      <c r="D3553" s="1"/>
      <c r="E3553" s="1"/>
      <c r="F3553" s="1"/>
      <c r="H3553" s="1"/>
    </row>
    <row r="3554" spans="2:8" x14ac:dyDescent="0.25">
      <c r="B3554" s="1"/>
      <c r="C3554" s="1"/>
      <c r="D3554" s="1"/>
      <c r="E3554" s="1"/>
      <c r="F3554" s="1"/>
      <c r="H3554" s="1"/>
    </row>
    <row r="3555" spans="2:8" x14ac:dyDescent="0.25">
      <c r="B3555" s="1"/>
      <c r="C3555" s="1"/>
      <c r="D3555" s="1"/>
      <c r="E3555" s="1"/>
      <c r="F3555" s="1"/>
      <c r="H3555" s="1"/>
    </row>
    <row r="3556" spans="2:8" x14ac:dyDescent="0.25">
      <c r="B3556" s="1"/>
      <c r="C3556" s="1"/>
      <c r="D3556" s="1"/>
      <c r="E3556" s="1"/>
      <c r="F3556" s="1"/>
      <c r="H3556" s="1"/>
    </row>
    <row r="3557" spans="2:8" x14ac:dyDescent="0.25">
      <c r="B3557" s="1"/>
      <c r="C3557" s="1"/>
      <c r="D3557" s="1"/>
      <c r="E3557" s="1"/>
      <c r="F3557" s="1"/>
      <c r="H3557" s="1"/>
    </row>
    <row r="3558" spans="2:8" x14ac:dyDescent="0.25">
      <c r="B3558" s="1"/>
      <c r="C3558" s="1"/>
      <c r="D3558" s="1"/>
      <c r="E3558" s="1"/>
      <c r="F3558" s="1"/>
      <c r="H3558" s="1"/>
    </row>
    <row r="3559" spans="2:8" x14ac:dyDescent="0.25">
      <c r="B3559" s="1"/>
      <c r="C3559" s="1"/>
      <c r="D3559" s="1"/>
      <c r="E3559" s="1"/>
      <c r="F3559" s="1"/>
      <c r="H3559" s="1"/>
    </row>
    <row r="3560" spans="2:8" x14ac:dyDescent="0.25">
      <c r="B3560" s="1"/>
      <c r="C3560" s="1"/>
      <c r="D3560" s="1"/>
      <c r="E3560" s="1"/>
      <c r="F3560" s="1"/>
      <c r="H3560" s="1"/>
    </row>
    <row r="3561" spans="2:8" x14ac:dyDescent="0.25">
      <c r="B3561" s="1"/>
      <c r="C3561" s="1"/>
      <c r="D3561" s="1"/>
      <c r="E3561" s="1"/>
      <c r="F3561" s="1"/>
      <c r="H3561" s="1"/>
    </row>
    <row r="3562" spans="2:8" x14ac:dyDescent="0.25">
      <c r="B3562" s="1"/>
      <c r="C3562" s="1"/>
      <c r="D3562" s="1"/>
      <c r="E3562" s="1"/>
      <c r="F3562" s="1"/>
      <c r="H3562" s="1"/>
    </row>
    <row r="3563" spans="2:8" x14ac:dyDescent="0.25">
      <c r="B3563" s="1"/>
      <c r="C3563" s="1"/>
      <c r="D3563" s="1"/>
      <c r="E3563" s="1"/>
      <c r="F3563" s="1"/>
      <c r="H3563" s="1"/>
    </row>
    <row r="3564" spans="2:8" x14ac:dyDescent="0.25">
      <c r="B3564" s="1"/>
      <c r="C3564" s="1"/>
      <c r="D3564" s="1"/>
      <c r="E3564" s="1"/>
      <c r="F3564" s="1"/>
      <c r="H3564" s="1"/>
    </row>
    <row r="3565" spans="2:8" x14ac:dyDescent="0.25">
      <c r="B3565" s="1"/>
      <c r="C3565" s="1"/>
      <c r="D3565" s="1"/>
      <c r="E3565" s="1"/>
      <c r="F3565" s="1"/>
      <c r="H3565" s="1"/>
    </row>
    <row r="3566" spans="2:8" x14ac:dyDescent="0.25">
      <c r="B3566" s="1"/>
      <c r="C3566" s="1"/>
      <c r="D3566" s="1"/>
      <c r="E3566" s="1"/>
      <c r="F3566" s="1"/>
      <c r="H3566" s="1"/>
    </row>
    <row r="3567" spans="2:8" x14ac:dyDescent="0.25">
      <c r="B3567" s="1"/>
      <c r="C3567" s="1"/>
      <c r="D3567" s="1"/>
      <c r="E3567" s="1"/>
      <c r="F3567" s="1"/>
      <c r="H3567" s="1"/>
    </row>
    <row r="3568" spans="2:8" x14ac:dyDescent="0.25">
      <c r="B3568" s="1"/>
      <c r="C3568" s="1"/>
      <c r="D3568" s="1"/>
      <c r="E3568" s="1"/>
      <c r="F3568" s="1"/>
      <c r="H3568" s="1"/>
    </row>
    <row r="3569" spans="2:8" x14ac:dyDescent="0.25">
      <c r="B3569" s="1"/>
      <c r="C3569" s="1"/>
      <c r="D3569" s="1"/>
      <c r="E3569" s="1"/>
      <c r="F3569" s="1"/>
      <c r="H3569" s="1"/>
    </row>
    <row r="3570" spans="2:8" x14ac:dyDescent="0.25">
      <c r="B3570" s="1"/>
      <c r="C3570" s="1"/>
      <c r="D3570" s="1"/>
      <c r="E3570" s="1"/>
      <c r="F3570" s="1"/>
      <c r="H3570" s="1"/>
    </row>
    <row r="3571" spans="2:8" x14ac:dyDescent="0.25">
      <c r="B3571" s="1"/>
      <c r="C3571" s="1"/>
      <c r="D3571" s="1"/>
      <c r="E3571" s="1"/>
      <c r="F3571" s="1"/>
      <c r="H3571" s="1"/>
    </row>
    <row r="3572" spans="2:8" x14ac:dyDescent="0.25">
      <c r="B3572" s="1"/>
      <c r="C3572" s="1"/>
      <c r="D3572" s="1"/>
      <c r="E3572" s="1"/>
      <c r="F3572" s="1"/>
      <c r="H3572" s="1"/>
    </row>
    <row r="3573" spans="2:8" x14ac:dyDescent="0.25">
      <c r="B3573" s="1"/>
      <c r="C3573" s="1"/>
      <c r="D3573" s="1"/>
      <c r="E3573" s="1"/>
      <c r="F3573" s="1"/>
      <c r="H3573" s="1"/>
    </row>
    <row r="3574" spans="2:8" x14ac:dyDescent="0.25">
      <c r="B3574" s="1"/>
      <c r="C3574" s="1"/>
      <c r="D3574" s="1"/>
      <c r="E3574" s="1"/>
      <c r="F3574" s="1"/>
      <c r="H3574" s="1"/>
    </row>
    <row r="3575" spans="2:8" x14ac:dyDescent="0.25">
      <c r="B3575" s="1"/>
      <c r="C3575" s="1"/>
      <c r="D3575" s="1"/>
      <c r="E3575" s="1"/>
      <c r="F3575" s="1"/>
      <c r="H3575" s="1"/>
    </row>
    <row r="3576" spans="2:8" x14ac:dyDescent="0.25">
      <c r="B3576" s="1"/>
      <c r="C3576" s="1"/>
      <c r="D3576" s="1"/>
      <c r="E3576" s="1"/>
      <c r="F3576" s="1"/>
      <c r="H3576" s="1"/>
    </row>
    <row r="3577" spans="2:8" x14ac:dyDescent="0.25">
      <c r="B3577" s="1"/>
      <c r="C3577" s="1"/>
      <c r="D3577" s="1"/>
      <c r="E3577" s="1"/>
      <c r="F3577" s="1"/>
      <c r="H3577" s="1"/>
    </row>
    <row r="3578" spans="2:8" x14ac:dyDescent="0.25">
      <c r="B3578" s="1"/>
      <c r="C3578" s="1"/>
      <c r="D3578" s="1"/>
      <c r="E3578" s="1"/>
      <c r="F3578" s="1"/>
      <c r="H3578" s="1"/>
    </row>
    <row r="3579" spans="2:8" x14ac:dyDescent="0.25">
      <c r="B3579" s="1"/>
      <c r="C3579" s="1"/>
      <c r="D3579" s="1"/>
      <c r="E3579" s="1"/>
      <c r="F3579" s="1"/>
      <c r="H3579" s="1"/>
    </row>
    <row r="3580" spans="2:8" x14ac:dyDescent="0.25">
      <c r="B3580" s="1"/>
      <c r="C3580" s="1"/>
      <c r="D3580" s="1"/>
      <c r="E3580" s="1"/>
      <c r="F3580" s="1"/>
      <c r="H3580" s="1"/>
    </row>
    <row r="3581" spans="2:8" x14ac:dyDescent="0.25">
      <c r="B3581" s="1"/>
      <c r="C3581" s="1"/>
      <c r="D3581" s="1"/>
      <c r="E3581" s="1"/>
      <c r="F3581" s="1"/>
      <c r="H3581" s="1"/>
    </row>
    <row r="3582" spans="2:8" x14ac:dyDescent="0.25">
      <c r="B3582" s="1"/>
      <c r="C3582" s="1"/>
      <c r="D3582" s="1"/>
      <c r="E3582" s="1"/>
      <c r="F3582" s="1"/>
      <c r="H3582" s="1"/>
    </row>
    <row r="3583" spans="2:8" x14ac:dyDescent="0.25">
      <c r="B3583" s="1"/>
      <c r="C3583" s="1"/>
      <c r="D3583" s="1"/>
      <c r="E3583" s="1"/>
      <c r="F3583" s="1"/>
      <c r="H3583" s="1"/>
    </row>
    <row r="3584" spans="2:8" x14ac:dyDescent="0.25">
      <c r="B3584" s="1"/>
      <c r="C3584" s="1"/>
      <c r="D3584" s="1"/>
      <c r="E3584" s="1"/>
      <c r="F3584" s="1"/>
      <c r="H3584" s="1"/>
    </row>
    <row r="3585" spans="2:8" x14ac:dyDescent="0.25">
      <c r="B3585" s="1"/>
      <c r="C3585" s="1"/>
      <c r="D3585" s="1"/>
      <c r="E3585" s="1"/>
      <c r="F3585" s="1"/>
      <c r="H3585" s="1"/>
    </row>
    <row r="3586" spans="2:8" x14ac:dyDescent="0.25">
      <c r="B3586" s="1"/>
      <c r="C3586" s="1"/>
      <c r="D3586" s="1"/>
      <c r="E3586" s="1"/>
      <c r="F3586" s="1"/>
      <c r="H3586" s="1"/>
    </row>
    <row r="3587" spans="2:8" x14ac:dyDescent="0.25">
      <c r="B3587" s="1"/>
      <c r="C3587" s="1"/>
      <c r="D3587" s="1"/>
      <c r="E3587" s="1"/>
      <c r="F3587" s="1"/>
      <c r="H3587" s="1"/>
    </row>
    <row r="3588" spans="2:8" x14ac:dyDescent="0.25">
      <c r="B3588" s="1"/>
      <c r="C3588" s="1"/>
      <c r="D3588" s="1"/>
      <c r="E3588" s="1"/>
      <c r="F3588" s="1"/>
      <c r="H3588" s="1"/>
    </row>
    <row r="3589" spans="2:8" x14ac:dyDescent="0.25">
      <c r="B3589" s="1"/>
      <c r="C3589" s="1"/>
      <c r="D3589" s="1"/>
      <c r="E3589" s="1"/>
      <c r="F3589" s="1"/>
      <c r="H3589" s="1"/>
    </row>
    <row r="3590" spans="2:8" x14ac:dyDescent="0.25">
      <c r="B3590" s="1"/>
      <c r="C3590" s="1"/>
      <c r="D3590" s="1"/>
      <c r="E3590" s="1"/>
      <c r="F3590" s="1"/>
      <c r="H3590" s="1"/>
    </row>
    <row r="3591" spans="2:8" x14ac:dyDescent="0.25">
      <c r="B3591" s="1"/>
      <c r="C3591" s="1"/>
      <c r="D3591" s="1"/>
      <c r="E3591" s="1"/>
      <c r="F3591" s="1"/>
      <c r="H3591" s="1"/>
    </row>
    <row r="3592" spans="2:8" x14ac:dyDescent="0.25">
      <c r="B3592" s="1"/>
      <c r="C3592" s="1"/>
      <c r="D3592" s="1"/>
      <c r="E3592" s="1"/>
      <c r="F3592" s="1"/>
      <c r="H3592" s="1"/>
    </row>
    <row r="3593" spans="2:8" x14ac:dyDescent="0.25">
      <c r="B3593" s="1"/>
      <c r="C3593" s="1"/>
      <c r="D3593" s="1"/>
      <c r="E3593" s="1"/>
      <c r="F3593" s="1"/>
      <c r="H3593" s="1"/>
    </row>
    <row r="3594" spans="2:8" x14ac:dyDescent="0.25">
      <c r="B3594" s="1"/>
      <c r="C3594" s="1"/>
      <c r="D3594" s="1"/>
      <c r="E3594" s="1"/>
      <c r="F3594" s="1"/>
      <c r="H3594" s="1"/>
    </row>
    <row r="3595" spans="2:8" x14ac:dyDescent="0.25">
      <c r="B3595" s="1"/>
      <c r="C3595" s="1"/>
      <c r="D3595" s="1"/>
      <c r="E3595" s="1"/>
      <c r="F3595" s="1"/>
      <c r="H3595" s="1"/>
    </row>
    <row r="3596" spans="2:8" x14ac:dyDescent="0.25">
      <c r="B3596" s="1"/>
      <c r="C3596" s="1"/>
      <c r="D3596" s="1"/>
      <c r="E3596" s="1"/>
      <c r="F3596" s="1"/>
      <c r="H3596" s="1"/>
    </row>
    <row r="3597" spans="2:8" x14ac:dyDescent="0.25">
      <c r="B3597" s="1"/>
      <c r="C3597" s="1"/>
      <c r="D3597" s="1"/>
      <c r="E3597" s="1"/>
      <c r="F3597" s="1"/>
      <c r="H3597" s="1"/>
    </row>
    <row r="3598" spans="2:8" x14ac:dyDescent="0.25">
      <c r="B3598" s="1"/>
      <c r="C3598" s="1"/>
      <c r="D3598" s="1"/>
      <c r="E3598" s="1"/>
      <c r="F3598" s="1"/>
      <c r="H3598" s="1"/>
    </row>
    <row r="3599" spans="2:8" x14ac:dyDescent="0.25">
      <c r="B3599" s="1"/>
      <c r="C3599" s="1"/>
      <c r="D3599" s="1"/>
      <c r="E3599" s="1"/>
      <c r="F3599" s="1"/>
      <c r="H3599" s="1"/>
    </row>
    <row r="3600" spans="2:8" x14ac:dyDescent="0.25">
      <c r="B3600" s="1"/>
      <c r="C3600" s="1"/>
      <c r="D3600" s="1"/>
      <c r="E3600" s="1"/>
      <c r="F3600" s="1"/>
      <c r="H3600" s="1"/>
    </row>
    <row r="3601" spans="2:8" x14ac:dyDescent="0.25">
      <c r="B3601" s="1"/>
      <c r="C3601" s="1"/>
      <c r="D3601" s="1"/>
      <c r="E3601" s="1"/>
      <c r="F3601" s="1"/>
      <c r="H3601" s="1"/>
    </row>
    <row r="3602" spans="2:8" x14ac:dyDescent="0.25">
      <c r="B3602" s="1"/>
      <c r="C3602" s="1"/>
      <c r="D3602" s="1"/>
      <c r="E3602" s="1"/>
      <c r="F3602" s="1"/>
      <c r="H3602" s="1"/>
    </row>
    <row r="3603" spans="2:8" x14ac:dyDescent="0.25">
      <c r="B3603" s="1"/>
      <c r="C3603" s="1"/>
      <c r="D3603" s="1"/>
      <c r="E3603" s="1"/>
      <c r="F3603" s="1"/>
      <c r="H3603" s="1"/>
    </row>
    <row r="3604" spans="2:8" x14ac:dyDescent="0.25">
      <c r="B3604" s="1"/>
      <c r="C3604" s="1"/>
      <c r="D3604" s="1"/>
      <c r="E3604" s="1"/>
      <c r="F3604" s="1"/>
      <c r="H3604" s="1"/>
    </row>
    <row r="3605" spans="2:8" x14ac:dyDescent="0.25">
      <c r="B3605" s="1"/>
      <c r="C3605" s="1"/>
      <c r="D3605" s="1"/>
      <c r="E3605" s="1"/>
      <c r="F3605" s="1"/>
      <c r="H3605" s="1"/>
    </row>
    <row r="3606" spans="2:8" x14ac:dyDescent="0.25">
      <c r="B3606" s="1"/>
      <c r="C3606" s="1"/>
      <c r="D3606" s="1"/>
      <c r="E3606" s="1"/>
      <c r="F3606" s="1"/>
      <c r="H3606" s="1"/>
    </row>
    <row r="3607" spans="2:8" x14ac:dyDescent="0.25">
      <c r="B3607" s="1"/>
      <c r="C3607" s="1"/>
      <c r="D3607" s="1"/>
      <c r="E3607" s="1"/>
      <c r="F3607" s="1"/>
      <c r="H3607" s="1"/>
    </row>
    <row r="3608" spans="2:8" x14ac:dyDescent="0.25">
      <c r="B3608" s="1"/>
      <c r="C3608" s="1"/>
      <c r="D3608" s="1"/>
      <c r="E3608" s="1"/>
      <c r="F3608" s="1"/>
      <c r="H3608" s="1"/>
    </row>
    <row r="3609" spans="2:8" x14ac:dyDescent="0.25">
      <c r="B3609" s="1"/>
      <c r="C3609" s="1"/>
      <c r="D3609" s="1"/>
      <c r="E3609" s="1"/>
      <c r="F3609" s="1"/>
      <c r="H3609" s="1"/>
    </row>
    <row r="3610" spans="2:8" x14ac:dyDescent="0.25">
      <c r="B3610" s="1"/>
      <c r="C3610" s="1"/>
      <c r="D3610" s="1"/>
      <c r="E3610" s="1"/>
      <c r="F3610" s="1"/>
      <c r="H3610" s="1"/>
    </row>
    <row r="3611" spans="2:8" x14ac:dyDescent="0.25">
      <c r="B3611" s="1"/>
      <c r="C3611" s="1"/>
      <c r="D3611" s="1"/>
      <c r="E3611" s="1"/>
      <c r="F3611" s="1"/>
      <c r="H3611" s="1"/>
    </row>
    <row r="3612" spans="2:8" x14ac:dyDescent="0.25">
      <c r="B3612" s="1"/>
      <c r="C3612" s="1"/>
      <c r="D3612" s="1"/>
      <c r="E3612" s="1"/>
      <c r="F3612" s="1"/>
      <c r="H3612" s="1"/>
    </row>
    <row r="3613" spans="2:8" x14ac:dyDescent="0.25">
      <c r="B3613" s="1"/>
      <c r="C3613" s="1"/>
      <c r="D3613" s="1"/>
      <c r="E3613" s="1"/>
      <c r="F3613" s="1"/>
      <c r="H3613" s="1"/>
    </row>
    <row r="3614" spans="2:8" x14ac:dyDescent="0.25">
      <c r="B3614" s="1"/>
      <c r="C3614" s="1"/>
      <c r="D3614" s="1"/>
      <c r="E3614" s="1"/>
      <c r="F3614" s="1"/>
      <c r="H3614" s="1"/>
    </row>
    <row r="3615" spans="2:8" x14ac:dyDescent="0.25">
      <c r="B3615" s="1"/>
      <c r="C3615" s="1"/>
      <c r="D3615" s="1"/>
      <c r="E3615" s="1"/>
      <c r="F3615" s="1"/>
      <c r="H3615" s="1"/>
    </row>
    <row r="3616" spans="2:8" x14ac:dyDescent="0.25">
      <c r="B3616" s="1"/>
      <c r="C3616" s="1"/>
      <c r="D3616" s="1"/>
      <c r="E3616" s="1"/>
      <c r="F3616" s="1"/>
      <c r="H3616" s="1"/>
    </row>
    <row r="3617" spans="2:8" x14ac:dyDescent="0.25">
      <c r="B3617" s="1"/>
      <c r="C3617" s="1"/>
      <c r="D3617" s="1"/>
      <c r="E3617" s="1"/>
      <c r="F3617" s="1"/>
      <c r="H3617" s="1"/>
    </row>
    <row r="3618" spans="2:8" x14ac:dyDescent="0.25">
      <c r="B3618" s="1"/>
      <c r="C3618" s="1"/>
      <c r="D3618" s="1"/>
      <c r="E3618" s="1"/>
      <c r="F3618" s="1"/>
      <c r="H3618" s="1"/>
    </row>
    <row r="3619" spans="2:8" x14ac:dyDescent="0.25">
      <c r="B3619" s="1"/>
      <c r="C3619" s="1"/>
      <c r="D3619" s="1"/>
      <c r="E3619" s="1"/>
      <c r="F3619" s="1"/>
      <c r="H3619" s="1"/>
    </row>
    <row r="3620" spans="2:8" x14ac:dyDescent="0.25">
      <c r="B3620" s="1"/>
      <c r="C3620" s="1"/>
      <c r="D3620" s="1"/>
      <c r="E3620" s="1"/>
      <c r="F3620" s="1"/>
      <c r="H3620" s="1"/>
    </row>
    <row r="3621" spans="2:8" x14ac:dyDescent="0.25">
      <c r="B3621" s="1"/>
      <c r="C3621" s="1"/>
      <c r="D3621" s="1"/>
      <c r="E3621" s="1"/>
      <c r="F3621" s="1"/>
      <c r="H3621" s="1"/>
    </row>
    <row r="3622" spans="2:8" x14ac:dyDescent="0.25">
      <c r="B3622" s="1"/>
      <c r="C3622" s="1"/>
      <c r="D3622" s="1"/>
      <c r="E3622" s="1"/>
      <c r="F3622" s="1"/>
      <c r="H3622" s="1"/>
    </row>
    <row r="3623" spans="2:8" x14ac:dyDescent="0.25">
      <c r="B3623" s="1"/>
      <c r="C3623" s="1"/>
      <c r="D3623" s="1"/>
      <c r="E3623" s="1"/>
      <c r="F3623" s="1"/>
      <c r="H3623" s="1"/>
    </row>
    <row r="3624" spans="2:8" x14ac:dyDescent="0.25">
      <c r="B3624" s="1"/>
      <c r="C3624" s="1"/>
      <c r="D3624" s="1"/>
      <c r="E3624" s="1"/>
      <c r="F3624" s="1"/>
      <c r="H3624" s="1"/>
    </row>
    <row r="3625" spans="2:8" x14ac:dyDescent="0.25">
      <c r="B3625" s="1"/>
      <c r="C3625" s="1"/>
      <c r="D3625" s="1"/>
      <c r="E3625" s="1"/>
      <c r="F3625" s="1"/>
      <c r="H3625" s="1"/>
    </row>
    <row r="3626" spans="2:8" x14ac:dyDescent="0.25">
      <c r="B3626" s="1"/>
      <c r="C3626" s="1"/>
      <c r="D3626" s="1"/>
      <c r="E3626" s="1"/>
      <c r="F3626" s="1"/>
      <c r="H3626" s="1"/>
    </row>
    <row r="3627" spans="2:8" x14ac:dyDescent="0.25">
      <c r="B3627" s="1"/>
      <c r="C3627" s="1"/>
      <c r="D3627" s="1"/>
      <c r="E3627" s="1"/>
      <c r="F3627" s="1"/>
      <c r="H3627" s="1"/>
    </row>
    <row r="3628" spans="2:8" x14ac:dyDescent="0.25">
      <c r="B3628" s="1"/>
      <c r="C3628" s="1"/>
      <c r="D3628" s="1"/>
      <c r="E3628" s="1"/>
      <c r="F3628" s="1"/>
      <c r="H3628" s="1"/>
    </row>
    <row r="3629" spans="2:8" x14ac:dyDescent="0.25">
      <c r="B3629" s="1"/>
      <c r="C3629" s="1"/>
      <c r="D3629" s="1"/>
      <c r="E3629" s="1"/>
      <c r="F3629" s="1"/>
      <c r="H3629" s="1"/>
    </row>
    <row r="3630" spans="2:8" x14ac:dyDescent="0.25">
      <c r="B3630" s="1"/>
      <c r="C3630" s="1"/>
      <c r="D3630" s="1"/>
      <c r="E3630" s="1"/>
      <c r="F3630" s="1"/>
      <c r="H3630" s="1"/>
    </row>
    <row r="3631" spans="2:8" x14ac:dyDescent="0.25">
      <c r="B3631" s="1"/>
      <c r="C3631" s="1"/>
      <c r="D3631" s="1"/>
      <c r="E3631" s="1"/>
      <c r="F3631" s="1"/>
      <c r="H3631" s="1"/>
    </row>
    <row r="3632" spans="2:8" x14ac:dyDescent="0.25">
      <c r="B3632" s="1"/>
      <c r="C3632" s="1"/>
      <c r="D3632" s="1"/>
      <c r="E3632" s="1"/>
      <c r="F3632" s="1"/>
      <c r="H3632" s="1"/>
    </row>
    <row r="3633" spans="2:8" x14ac:dyDescent="0.25">
      <c r="B3633" s="1"/>
      <c r="C3633" s="1"/>
      <c r="D3633" s="1"/>
      <c r="E3633" s="1"/>
      <c r="F3633" s="1"/>
      <c r="H3633" s="1"/>
    </row>
    <row r="3634" spans="2:8" x14ac:dyDescent="0.25">
      <c r="B3634" s="1"/>
      <c r="C3634" s="1"/>
      <c r="D3634" s="1"/>
      <c r="E3634" s="1"/>
      <c r="F3634" s="1"/>
      <c r="H3634" s="1"/>
    </row>
    <row r="3635" spans="2:8" x14ac:dyDescent="0.25">
      <c r="B3635" s="1"/>
      <c r="C3635" s="1"/>
      <c r="D3635" s="1"/>
      <c r="E3635" s="1"/>
      <c r="F3635" s="1"/>
      <c r="H3635" s="1"/>
    </row>
    <row r="3636" spans="2:8" x14ac:dyDescent="0.25">
      <c r="B3636" s="1"/>
      <c r="C3636" s="1"/>
      <c r="D3636" s="1"/>
      <c r="E3636" s="1"/>
      <c r="F3636" s="1"/>
      <c r="H3636" s="1"/>
    </row>
    <row r="3637" spans="2:8" x14ac:dyDescent="0.25">
      <c r="B3637" s="1"/>
      <c r="C3637" s="1"/>
      <c r="D3637" s="1"/>
      <c r="E3637" s="1"/>
      <c r="F3637" s="1"/>
      <c r="H3637" s="1"/>
    </row>
    <row r="3638" spans="2:8" x14ac:dyDescent="0.25">
      <c r="B3638" s="1"/>
      <c r="C3638" s="1"/>
      <c r="D3638" s="1"/>
      <c r="E3638" s="1"/>
      <c r="F3638" s="1"/>
      <c r="H3638" s="1"/>
    </row>
    <row r="3639" spans="2:8" x14ac:dyDescent="0.25">
      <c r="B3639" s="1"/>
      <c r="C3639" s="1"/>
      <c r="D3639" s="1"/>
      <c r="E3639" s="1"/>
      <c r="F3639" s="1"/>
      <c r="H3639" s="1"/>
    </row>
    <row r="3640" spans="2:8" x14ac:dyDescent="0.25">
      <c r="B3640" s="1"/>
      <c r="C3640" s="1"/>
      <c r="D3640" s="1"/>
      <c r="E3640" s="1"/>
      <c r="F3640" s="1"/>
      <c r="H3640" s="1"/>
    </row>
    <row r="3641" spans="2:8" x14ac:dyDescent="0.25">
      <c r="B3641" s="1"/>
      <c r="C3641" s="1"/>
      <c r="D3641" s="1"/>
      <c r="E3641" s="1"/>
      <c r="F3641" s="1"/>
      <c r="H3641" s="1"/>
    </row>
    <row r="3642" spans="2:8" x14ac:dyDescent="0.25">
      <c r="B3642" s="1"/>
      <c r="C3642" s="1"/>
      <c r="D3642" s="1"/>
      <c r="E3642" s="1"/>
      <c r="F3642" s="1"/>
      <c r="H3642" s="1"/>
    </row>
    <row r="3643" spans="2:8" x14ac:dyDescent="0.25">
      <c r="B3643" s="1"/>
      <c r="C3643" s="1"/>
      <c r="D3643" s="1"/>
      <c r="E3643" s="1"/>
      <c r="F3643" s="1"/>
      <c r="H3643" s="1"/>
    </row>
    <row r="3644" spans="2:8" x14ac:dyDescent="0.25">
      <c r="B3644" s="1"/>
      <c r="C3644" s="1"/>
      <c r="D3644" s="1"/>
      <c r="E3644" s="1"/>
      <c r="F3644" s="1"/>
      <c r="H3644" s="1"/>
    </row>
    <row r="3645" spans="2:8" x14ac:dyDescent="0.25">
      <c r="B3645" s="1"/>
      <c r="C3645" s="1"/>
      <c r="D3645" s="1"/>
      <c r="E3645" s="1"/>
      <c r="F3645" s="1"/>
      <c r="H3645" s="1"/>
    </row>
    <row r="3646" spans="2:8" x14ac:dyDescent="0.25">
      <c r="B3646" s="1"/>
      <c r="C3646" s="1"/>
      <c r="D3646" s="1"/>
      <c r="E3646" s="1"/>
      <c r="F3646" s="1"/>
      <c r="H3646" s="1"/>
    </row>
    <row r="3647" spans="2:8" x14ac:dyDescent="0.25">
      <c r="B3647" s="1"/>
      <c r="C3647" s="1"/>
      <c r="D3647" s="1"/>
      <c r="E3647" s="1"/>
      <c r="F3647" s="1"/>
      <c r="H3647" s="1"/>
    </row>
    <row r="3648" spans="2:8" x14ac:dyDescent="0.25">
      <c r="B3648" s="1"/>
      <c r="C3648" s="1"/>
      <c r="D3648" s="1"/>
      <c r="E3648" s="1"/>
      <c r="F3648" s="1"/>
      <c r="H3648" s="1"/>
    </row>
    <row r="3649" spans="2:8" x14ac:dyDescent="0.25">
      <c r="B3649" s="1"/>
      <c r="C3649" s="1"/>
      <c r="D3649" s="1"/>
      <c r="E3649" s="1"/>
      <c r="F3649" s="1"/>
      <c r="H3649" s="1"/>
    </row>
    <row r="3650" spans="2:8" x14ac:dyDescent="0.25">
      <c r="B3650" s="1"/>
      <c r="C3650" s="1"/>
      <c r="D3650" s="1"/>
      <c r="E3650" s="1"/>
      <c r="F3650" s="1"/>
      <c r="H3650" s="1"/>
    </row>
    <row r="3651" spans="2:8" x14ac:dyDescent="0.25">
      <c r="B3651" s="1"/>
      <c r="C3651" s="1"/>
      <c r="D3651" s="1"/>
      <c r="E3651" s="1"/>
      <c r="F3651" s="1"/>
      <c r="H3651" s="1"/>
    </row>
    <row r="3652" spans="2:8" x14ac:dyDescent="0.25">
      <c r="B3652" s="1"/>
      <c r="C3652" s="1"/>
      <c r="D3652" s="1"/>
      <c r="E3652" s="1"/>
      <c r="F3652" s="1"/>
      <c r="H3652" s="1"/>
    </row>
    <row r="3653" spans="2:8" x14ac:dyDescent="0.25">
      <c r="B3653" s="1"/>
      <c r="C3653" s="1"/>
      <c r="D3653" s="1"/>
      <c r="E3653" s="1"/>
      <c r="F3653" s="1"/>
      <c r="H3653" s="1"/>
    </row>
    <row r="3654" spans="2:8" x14ac:dyDescent="0.25">
      <c r="B3654" s="1"/>
      <c r="C3654" s="1"/>
      <c r="D3654" s="1"/>
      <c r="E3654" s="1"/>
      <c r="F3654" s="1"/>
      <c r="H3654" s="1"/>
    </row>
    <row r="3655" spans="2:8" x14ac:dyDescent="0.25">
      <c r="B3655" s="1"/>
      <c r="C3655" s="1"/>
      <c r="D3655" s="1"/>
      <c r="E3655" s="1"/>
      <c r="F3655" s="1"/>
      <c r="H3655" s="1"/>
    </row>
    <row r="3656" spans="2:8" x14ac:dyDescent="0.25">
      <c r="B3656" s="1"/>
      <c r="C3656" s="1"/>
      <c r="D3656" s="1"/>
      <c r="E3656" s="1"/>
      <c r="F3656" s="1"/>
      <c r="H3656" s="1"/>
    </row>
    <row r="3657" spans="2:8" x14ac:dyDescent="0.25">
      <c r="B3657" s="1"/>
      <c r="C3657" s="1"/>
      <c r="D3657" s="1"/>
      <c r="E3657" s="1"/>
      <c r="F3657" s="1"/>
      <c r="H3657" s="1"/>
    </row>
    <row r="3658" spans="2:8" x14ac:dyDescent="0.25">
      <c r="B3658" s="1"/>
      <c r="C3658" s="1"/>
      <c r="D3658" s="1"/>
      <c r="E3658" s="1"/>
      <c r="F3658" s="1"/>
      <c r="H3658" s="1"/>
    </row>
    <row r="3659" spans="2:8" x14ac:dyDescent="0.25">
      <c r="B3659" s="1"/>
      <c r="C3659" s="1"/>
      <c r="D3659" s="1"/>
      <c r="E3659" s="1"/>
      <c r="F3659" s="1"/>
      <c r="H3659" s="1"/>
    </row>
    <row r="3660" spans="2:8" x14ac:dyDescent="0.25">
      <c r="B3660" s="1"/>
      <c r="C3660" s="1"/>
      <c r="D3660" s="1"/>
      <c r="E3660" s="1"/>
      <c r="F3660" s="1"/>
      <c r="H3660" s="1"/>
    </row>
    <row r="3661" spans="2:8" x14ac:dyDescent="0.25">
      <c r="B3661" s="1"/>
      <c r="C3661" s="1"/>
      <c r="D3661" s="1"/>
      <c r="E3661" s="1"/>
      <c r="F3661" s="1"/>
      <c r="H3661" s="1"/>
    </row>
    <row r="3662" spans="2:8" x14ac:dyDescent="0.25">
      <c r="B3662" s="1"/>
      <c r="C3662" s="1"/>
      <c r="D3662" s="1"/>
      <c r="E3662" s="1"/>
      <c r="F3662" s="1"/>
      <c r="H3662" s="1"/>
    </row>
    <row r="3663" spans="2:8" x14ac:dyDescent="0.25">
      <c r="B3663" s="1"/>
      <c r="C3663" s="1"/>
      <c r="D3663" s="1"/>
      <c r="E3663" s="1"/>
      <c r="F3663" s="1"/>
      <c r="H3663" s="1"/>
    </row>
    <row r="3664" spans="2:8" x14ac:dyDescent="0.25">
      <c r="B3664" s="1"/>
      <c r="C3664" s="1"/>
      <c r="D3664" s="1"/>
      <c r="E3664" s="1"/>
      <c r="F3664" s="1"/>
      <c r="H3664" s="1"/>
    </row>
    <row r="3665" spans="2:8" x14ac:dyDescent="0.25">
      <c r="B3665" s="1"/>
      <c r="C3665" s="1"/>
      <c r="D3665" s="1"/>
      <c r="E3665" s="1"/>
      <c r="F3665" s="1"/>
      <c r="H3665" s="1"/>
    </row>
    <row r="3666" spans="2:8" x14ac:dyDescent="0.25">
      <c r="B3666" s="1"/>
      <c r="C3666" s="1"/>
      <c r="D3666" s="1"/>
      <c r="E3666" s="1"/>
      <c r="F3666" s="1"/>
      <c r="H3666" s="1"/>
    </row>
    <row r="3667" spans="2:8" x14ac:dyDescent="0.25">
      <c r="B3667" s="1"/>
      <c r="C3667" s="1"/>
      <c r="D3667" s="1"/>
      <c r="E3667" s="1"/>
      <c r="F3667" s="1"/>
      <c r="H3667" s="1"/>
    </row>
    <row r="3668" spans="2:8" x14ac:dyDescent="0.25">
      <c r="B3668" s="1"/>
      <c r="C3668" s="1"/>
      <c r="D3668" s="1"/>
      <c r="E3668" s="1"/>
      <c r="F3668" s="1"/>
      <c r="H3668" s="1"/>
    </row>
    <row r="3669" spans="2:8" x14ac:dyDescent="0.25">
      <c r="B3669" s="1"/>
      <c r="C3669" s="1"/>
      <c r="D3669" s="1"/>
      <c r="E3669" s="1"/>
      <c r="F3669" s="1"/>
      <c r="H3669" s="1"/>
    </row>
    <row r="3670" spans="2:8" x14ac:dyDescent="0.25">
      <c r="B3670" s="1"/>
      <c r="C3670" s="1"/>
      <c r="D3670" s="1"/>
      <c r="E3670" s="1"/>
      <c r="F3670" s="1"/>
      <c r="H3670" s="1"/>
    </row>
    <row r="3671" spans="2:8" x14ac:dyDescent="0.25">
      <c r="B3671" s="1"/>
      <c r="C3671" s="1"/>
      <c r="D3671" s="1"/>
      <c r="E3671" s="1"/>
      <c r="F3671" s="1"/>
      <c r="H3671" s="1"/>
    </row>
    <row r="3672" spans="2:8" x14ac:dyDescent="0.25">
      <c r="B3672" s="1"/>
      <c r="C3672" s="1"/>
      <c r="D3672" s="1"/>
      <c r="E3672" s="1"/>
      <c r="F3672" s="1"/>
      <c r="H3672" s="1"/>
    </row>
    <row r="3673" spans="2:8" x14ac:dyDescent="0.25">
      <c r="B3673" s="1"/>
      <c r="C3673" s="1"/>
      <c r="D3673" s="1"/>
      <c r="E3673" s="1"/>
      <c r="F3673" s="1"/>
      <c r="H3673" s="1"/>
    </row>
    <row r="3674" spans="2:8" x14ac:dyDescent="0.25">
      <c r="B3674" s="1"/>
      <c r="C3674" s="1"/>
      <c r="D3674" s="1"/>
      <c r="E3674" s="1"/>
      <c r="F3674" s="1"/>
      <c r="H3674" s="1"/>
    </row>
    <row r="3675" spans="2:8" x14ac:dyDescent="0.25">
      <c r="B3675" s="1"/>
      <c r="C3675" s="1"/>
      <c r="D3675" s="1"/>
      <c r="E3675" s="1"/>
      <c r="F3675" s="1"/>
      <c r="H3675" s="1"/>
    </row>
    <row r="3676" spans="2:8" x14ac:dyDescent="0.25">
      <c r="B3676" s="1"/>
      <c r="C3676" s="1"/>
      <c r="D3676" s="1"/>
      <c r="E3676" s="1"/>
      <c r="F3676" s="1"/>
      <c r="H3676" s="1"/>
    </row>
    <row r="3677" spans="2:8" x14ac:dyDescent="0.25">
      <c r="B3677" s="1"/>
      <c r="C3677" s="1"/>
      <c r="D3677" s="1"/>
      <c r="E3677" s="1"/>
      <c r="F3677" s="1"/>
      <c r="H3677" s="1"/>
    </row>
    <row r="3678" spans="2:8" x14ac:dyDescent="0.25">
      <c r="B3678" s="1"/>
      <c r="C3678" s="1"/>
      <c r="D3678" s="1"/>
      <c r="E3678" s="1"/>
      <c r="F3678" s="1"/>
      <c r="H3678" s="1"/>
    </row>
    <row r="3679" spans="2:8" x14ac:dyDescent="0.25">
      <c r="B3679" s="1"/>
      <c r="C3679" s="1"/>
      <c r="D3679" s="1"/>
      <c r="E3679" s="1"/>
      <c r="F3679" s="1"/>
      <c r="H3679" s="1"/>
    </row>
    <row r="3680" spans="2:8" x14ac:dyDescent="0.25">
      <c r="B3680" s="1"/>
      <c r="C3680" s="1"/>
      <c r="D3680" s="1"/>
      <c r="E3680" s="1"/>
      <c r="F3680" s="1"/>
      <c r="H3680" s="1"/>
    </row>
    <row r="3681" spans="2:8" x14ac:dyDescent="0.25">
      <c r="B3681" s="1"/>
      <c r="C3681" s="1"/>
      <c r="D3681" s="1"/>
      <c r="E3681" s="1"/>
      <c r="F3681" s="1"/>
      <c r="H3681" s="1"/>
    </row>
    <row r="3682" spans="2:8" x14ac:dyDescent="0.25">
      <c r="B3682" s="1"/>
      <c r="C3682" s="1"/>
      <c r="D3682" s="1"/>
      <c r="E3682" s="1"/>
      <c r="F3682" s="1"/>
      <c r="H3682" s="1"/>
    </row>
    <row r="3683" spans="2:8" x14ac:dyDescent="0.25">
      <c r="B3683" s="1"/>
      <c r="C3683" s="1"/>
      <c r="D3683" s="1"/>
      <c r="E3683" s="1"/>
      <c r="F3683" s="1"/>
      <c r="H3683" s="1"/>
    </row>
    <row r="3684" spans="2:8" x14ac:dyDescent="0.25">
      <c r="B3684" s="1"/>
      <c r="C3684" s="1"/>
      <c r="D3684" s="1"/>
      <c r="E3684" s="1"/>
      <c r="F3684" s="1"/>
      <c r="H3684" s="1"/>
    </row>
    <row r="3685" spans="2:8" x14ac:dyDescent="0.25">
      <c r="B3685" s="1"/>
      <c r="C3685" s="1"/>
      <c r="D3685" s="1"/>
      <c r="E3685" s="1"/>
      <c r="F3685" s="1"/>
      <c r="H3685" s="1"/>
    </row>
    <row r="3686" spans="2:8" x14ac:dyDescent="0.25">
      <c r="B3686" s="1"/>
      <c r="C3686" s="1"/>
      <c r="D3686" s="1"/>
      <c r="E3686" s="1"/>
      <c r="F3686" s="1"/>
      <c r="H3686" s="1"/>
    </row>
    <row r="3687" spans="2:8" x14ac:dyDescent="0.25">
      <c r="B3687" s="1"/>
      <c r="C3687" s="1"/>
      <c r="D3687" s="1"/>
      <c r="E3687" s="1"/>
      <c r="F3687" s="1"/>
      <c r="H3687" s="1"/>
    </row>
    <row r="3688" spans="2:8" x14ac:dyDescent="0.25">
      <c r="B3688" s="1"/>
      <c r="C3688" s="1"/>
      <c r="D3688" s="1"/>
      <c r="E3688" s="1"/>
      <c r="F3688" s="1"/>
      <c r="H3688" s="1"/>
    </row>
    <row r="3689" spans="2:8" x14ac:dyDescent="0.25">
      <c r="B3689" s="1"/>
      <c r="C3689" s="1"/>
      <c r="D3689" s="1"/>
      <c r="E3689" s="1"/>
      <c r="F3689" s="1"/>
      <c r="H3689" s="1"/>
    </row>
    <row r="3690" spans="2:8" x14ac:dyDescent="0.25">
      <c r="B3690" s="1"/>
      <c r="C3690" s="1"/>
      <c r="D3690" s="1"/>
      <c r="E3690" s="1"/>
      <c r="F3690" s="1"/>
      <c r="H3690" s="1"/>
    </row>
    <row r="3691" spans="2:8" x14ac:dyDescent="0.25">
      <c r="B3691" s="1"/>
      <c r="C3691" s="1"/>
      <c r="D3691" s="1"/>
      <c r="E3691" s="1"/>
      <c r="F3691" s="1"/>
      <c r="H3691" s="1"/>
    </row>
    <row r="3692" spans="2:8" x14ac:dyDescent="0.25">
      <c r="B3692" s="1"/>
      <c r="C3692" s="1"/>
      <c r="D3692" s="1"/>
      <c r="E3692" s="1"/>
      <c r="F3692" s="1"/>
      <c r="H3692" s="1"/>
    </row>
    <row r="3693" spans="2:8" x14ac:dyDescent="0.25">
      <c r="B3693" s="1"/>
      <c r="C3693" s="1"/>
      <c r="D3693" s="1"/>
      <c r="E3693" s="1"/>
      <c r="F3693" s="1"/>
      <c r="H3693" s="1"/>
    </row>
    <row r="3694" spans="2:8" x14ac:dyDescent="0.25">
      <c r="B3694" s="1"/>
      <c r="C3694" s="1"/>
      <c r="D3694" s="1"/>
      <c r="E3694" s="1"/>
      <c r="F3694" s="1"/>
      <c r="H3694" s="1"/>
    </row>
    <row r="3695" spans="2:8" x14ac:dyDescent="0.25">
      <c r="B3695" s="1"/>
      <c r="C3695" s="1"/>
      <c r="D3695" s="1"/>
      <c r="E3695" s="1"/>
      <c r="F3695" s="1"/>
      <c r="H3695" s="1"/>
    </row>
    <row r="3696" spans="2:8" x14ac:dyDescent="0.25">
      <c r="B3696" s="1"/>
      <c r="C3696" s="1"/>
      <c r="D3696" s="1"/>
      <c r="E3696" s="1"/>
      <c r="F3696" s="1"/>
      <c r="H3696" s="1"/>
    </row>
    <row r="3697" spans="2:8" x14ac:dyDescent="0.25">
      <c r="B3697" s="1"/>
      <c r="C3697" s="1"/>
      <c r="D3697" s="1"/>
      <c r="E3697" s="1"/>
      <c r="F3697" s="1"/>
      <c r="H3697" s="1"/>
    </row>
    <row r="3698" spans="2:8" x14ac:dyDescent="0.25">
      <c r="B3698" s="1"/>
      <c r="C3698" s="1"/>
      <c r="D3698" s="1"/>
      <c r="E3698" s="1"/>
      <c r="F3698" s="1"/>
      <c r="H3698" s="1"/>
    </row>
    <row r="3699" spans="2:8" x14ac:dyDescent="0.25">
      <c r="B3699" s="1"/>
      <c r="C3699" s="1"/>
      <c r="D3699" s="1"/>
      <c r="E3699" s="1"/>
      <c r="F3699" s="1"/>
      <c r="H3699" s="1"/>
    </row>
    <row r="3700" spans="2:8" x14ac:dyDescent="0.25">
      <c r="B3700" s="1"/>
      <c r="C3700" s="1"/>
      <c r="D3700" s="1"/>
      <c r="E3700" s="1"/>
      <c r="F3700" s="1"/>
      <c r="H3700" s="1"/>
    </row>
    <row r="3701" spans="2:8" x14ac:dyDescent="0.25">
      <c r="B3701" s="1"/>
      <c r="C3701" s="1"/>
      <c r="D3701" s="1"/>
      <c r="E3701" s="1"/>
      <c r="F3701" s="1"/>
      <c r="H3701" s="1"/>
    </row>
    <row r="3702" spans="2:8" x14ac:dyDescent="0.25">
      <c r="B3702" s="1"/>
      <c r="C3702" s="1"/>
      <c r="D3702" s="1"/>
      <c r="E3702" s="1"/>
      <c r="F3702" s="1"/>
      <c r="H3702" s="1"/>
    </row>
    <row r="3703" spans="2:8" x14ac:dyDescent="0.25">
      <c r="B3703" s="1"/>
      <c r="C3703" s="1"/>
      <c r="D3703" s="1"/>
      <c r="E3703" s="1"/>
      <c r="F3703" s="1"/>
      <c r="H3703" s="1"/>
    </row>
    <row r="3704" spans="2:8" x14ac:dyDescent="0.25">
      <c r="B3704" s="1"/>
      <c r="C3704" s="1"/>
      <c r="D3704" s="1"/>
      <c r="E3704" s="1"/>
      <c r="F3704" s="1"/>
      <c r="H3704" s="1"/>
    </row>
    <row r="3705" spans="2:8" x14ac:dyDescent="0.25">
      <c r="B3705" s="1"/>
      <c r="C3705" s="1"/>
      <c r="D3705" s="1"/>
      <c r="E3705" s="1"/>
      <c r="F3705" s="1"/>
      <c r="H3705" s="1"/>
    </row>
    <row r="3706" spans="2:8" x14ac:dyDescent="0.25">
      <c r="B3706" s="1"/>
      <c r="C3706" s="1"/>
      <c r="D3706" s="1"/>
      <c r="E3706" s="1"/>
      <c r="F3706" s="1"/>
      <c r="H3706" s="1"/>
    </row>
    <row r="3707" spans="2:8" x14ac:dyDescent="0.25">
      <c r="B3707" s="1"/>
      <c r="C3707" s="1"/>
      <c r="D3707" s="1"/>
      <c r="E3707" s="1"/>
      <c r="F3707" s="1"/>
      <c r="H3707" s="1"/>
    </row>
    <row r="3708" spans="2:8" x14ac:dyDescent="0.25">
      <c r="B3708" s="1"/>
      <c r="C3708" s="1"/>
      <c r="D3708" s="1"/>
      <c r="E3708" s="1"/>
      <c r="F3708" s="1"/>
      <c r="H3708" s="1"/>
    </row>
    <row r="3709" spans="2:8" x14ac:dyDescent="0.25">
      <c r="B3709" s="1"/>
      <c r="C3709" s="1"/>
      <c r="D3709" s="1"/>
      <c r="E3709" s="1"/>
      <c r="F3709" s="1"/>
      <c r="H3709" s="1"/>
    </row>
    <row r="3710" spans="2:8" x14ac:dyDescent="0.25">
      <c r="B3710" s="1"/>
      <c r="C3710" s="1"/>
      <c r="D3710" s="1"/>
      <c r="E3710" s="1"/>
      <c r="F3710" s="1"/>
      <c r="H3710" s="1"/>
    </row>
    <row r="3711" spans="2:8" x14ac:dyDescent="0.25">
      <c r="B3711" s="1"/>
      <c r="C3711" s="1"/>
      <c r="D3711" s="1"/>
      <c r="E3711" s="1"/>
      <c r="F3711" s="1"/>
      <c r="H3711" s="1"/>
    </row>
    <row r="3712" spans="2:8" x14ac:dyDescent="0.25">
      <c r="B3712" s="1"/>
      <c r="C3712" s="1"/>
      <c r="D3712" s="1"/>
      <c r="E3712" s="1"/>
      <c r="F3712" s="1"/>
      <c r="H3712" s="1"/>
    </row>
    <row r="3713" spans="2:8" x14ac:dyDescent="0.25">
      <c r="B3713" s="1"/>
      <c r="C3713" s="1"/>
      <c r="D3713" s="1"/>
      <c r="E3713" s="1"/>
      <c r="F3713" s="1"/>
      <c r="H3713" s="1"/>
    </row>
    <row r="3714" spans="2:8" x14ac:dyDescent="0.25">
      <c r="B3714" s="1"/>
      <c r="C3714" s="1"/>
      <c r="D3714" s="1"/>
      <c r="E3714" s="1"/>
      <c r="F3714" s="1"/>
      <c r="H3714" s="1"/>
    </row>
    <row r="3715" spans="2:8" x14ac:dyDescent="0.25">
      <c r="B3715" s="1"/>
      <c r="C3715" s="1"/>
      <c r="D3715" s="1"/>
      <c r="E3715" s="1"/>
      <c r="F3715" s="1"/>
      <c r="H3715" s="1"/>
    </row>
    <row r="3716" spans="2:8" x14ac:dyDescent="0.25">
      <c r="B3716" s="1"/>
      <c r="C3716" s="1"/>
      <c r="D3716" s="1"/>
      <c r="E3716" s="1"/>
      <c r="F3716" s="1"/>
      <c r="H3716" s="1"/>
    </row>
    <row r="3717" spans="2:8" x14ac:dyDescent="0.25">
      <c r="B3717" s="1"/>
      <c r="C3717" s="1"/>
      <c r="D3717" s="1"/>
      <c r="E3717" s="1"/>
      <c r="F3717" s="1"/>
      <c r="H3717" s="1"/>
    </row>
    <row r="3718" spans="2:8" x14ac:dyDescent="0.25">
      <c r="B3718" s="1"/>
      <c r="C3718" s="1"/>
      <c r="D3718" s="1"/>
      <c r="E3718" s="1"/>
      <c r="F3718" s="1"/>
      <c r="H3718" s="1"/>
    </row>
    <row r="3719" spans="2:8" x14ac:dyDescent="0.25">
      <c r="B3719" s="1"/>
      <c r="C3719" s="1"/>
      <c r="D3719" s="1"/>
      <c r="E3719" s="1"/>
      <c r="F3719" s="1"/>
      <c r="H3719" s="1"/>
    </row>
    <row r="3720" spans="2:8" x14ac:dyDescent="0.25">
      <c r="B3720" s="1"/>
      <c r="C3720" s="1"/>
      <c r="D3720" s="1"/>
      <c r="E3720" s="1"/>
      <c r="F3720" s="1"/>
      <c r="H3720" s="1"/>
    </row>
    <row r="3721" spans="2:8" x14ac:dyDescent="0.25">
      <c r="B3721" s="1"/>
      <c r="C3721" s="1"/>
      <c r="D3721" s="1"/>
      <c r="E3721" s="1"/>
      <c r="F3721" s="1"/>
      <c r="H3721" s="1"/>
    </row>
    <row r="3722" spans="2:8" x14ac:dyDescent="0.25">
      <c r="B3722" s="1"/>
      <c r="C3722" s="1"/>
      <c r="D3722" s="1"/>
      <c r="E3722" s="1"/>
      <c r="F3722" s="1"/>
      <c r="H3722" s="1"/>
    </row>
    <row r="3723" spans="2:8" x14ac:dyDescent="0.25">
      <c r="B3723" s="1"/>
      <c r="C3723" s="1"/>
      <c r="D3723" s="1"/>
      <c r="E3723" s="1"/>
      <c r="F3723" s="1"/>
      <c r="H3723" s="1"/>
    </row>
    <row r="3724" spans="2:8" x14ac:dyDescent="0.25">
      <c r="B3724" s="1"/>
      <c r="C3724" s="1"/>
      <c r="D3724" s="1"/>
      <c r="E3724" s="1"/>
      <c r="F3724" s="1"/>
      <c r="H3724" s="1"/>
    </row>
    <row r="3725" spans="2:8" x14ac:dyDescent="0.25">
      <c r="B3725" s="1"/>
      <c r="C3725" s="1"/>
      <c r="D3725" s="1"/>
      <c r="E3725" s="1"/>
      <c r="F3725" s="1"/>
      <c r="H3725" s="1"/>
    </row>
    <row r="3726" spans="2:8" x14ac:dyDescent="0.25">
      <c r="B3726" s="1"/>
      <c r="C3726" s="1"/>
      <c r="D3726" s="1"/>
      <c r="E3726" s="1"/>
      <c r="F3726" s="1"/>
      <c r="H3726" s="1"/>
    </row>
    <row r="3727" spans="2:8" x14ac:dyDescent="0.25">
      <c r="B3727" s="1"/>
      <c r="C3727" s="1"/>
      <c r="D3727" s="1"/>
      <c r="E3727" s="1"/>
      <c r="F3727" s="1"/>
      <c r="H3727" s="1"/>
    </row>
    <row r="3728" spans="2:8" x14ac:dyDescent="0.25">
      <c r="B3728" s="1"/>
      <c r="C3728" s="1"/>
      <c r="D3728" s="1"/>
      <c r="E3728" s="1"/>
      <c r="F3728" s="1"/>
      <c r="H3728" s="1"/>
    </row>
    <row r="3729" spans="2:8" x14ac:dyDescent="0.25">
      <c r="B3729" s="1"/>
      <c r="C3729" s="1"/>
      <c r="D3729" s="1"/>
      <c r="E3729" s="1"/>
      <c r="F3729" s="1"/>
      <c r="H3729" s="1"/>
    </row>
    <row r="3730" spans="2:8" x14ac:dyDescent="0.25">
      <c r="B3730" s="1"/>
      <c r="C3730" s="1"/>
      <c r="D3730" s="1"/>
      <c r="E3730" s="1"/>
      <c r="F3730" s="1"/>
      <c r="H3730" s="1"/>
    </row>
    <row r="3731" spans="2:8" x14ac:dyDescent="0.25">
      <c r="B3731" s="1"/>
      <c r="C3731" s="1"/>
      <c r="D3731" s="1"/>
      <c r="E3731" s="1"/>
      <c r="F3731" s="1"/>
      <c r="H3731" s="1"/>
    </row>
    <row r="3732" spans="2:8" x14ac:dyDescent="0.25">
      <c r="B3732" s="1"/>
      <c r="C3732" s="1"/>
      <c r="D3732" s="1"/>
      <c r="E3732" s="1"/>
      <c r="F3732" s="1"/>
      <c r="H3732" s="1"/>
    </row>
    <row r="3733" spans="2:8" x14ac:dyDescent="0.25">
      <c r="B3733" s="1"/>
      <c r="C3733" s="1"/>
      <c r="D3733" s="1"/>
      <c r="E3733" s="1"/>
      <c r="F3733" s="1"/>
      <c r="H3733" s="1"/>
    </row>
    <row r="3734" spans="2:8" x14ac:dyDescent="0.25">
      <c r="B3734" s="1"/>
      <c r="C3734" s="1"/>
      <c r="D3734" s="1"/>
      <c r="E3734" s="1"/>
      <c r="F3734" s="1"/>
      <c r="H3734" s="1"/>
    </row>
    <row r="3735" spans="2:8" x14ac:dyDescent="0.25">
      <c r="B3735" s="1"/>
      <c r="C3735" s="1"/>
      <c r="D3735" s="1"/>
      <c r="E3735" s="1"/>
      <c r="F3735" s="1"/>
      <c r="H3735" s="1"/>
    </row>
    <row r="3736" spans="2:8" x14ac:dyDescent="0.25">
      <c r="B3736" s="1"/>
      <c r="C3736" s="1"/>
      <c r="D3736" s="1"/>
      <c r="E3736" s="1"/>
      <c r="F3736" s="1"/>
      <c r="H3736" s="1"/>
    </row>
    <row r="3737" spans="2:8" x14ac:dyDescent="0.25">
      <c r="B3737" s="1"/>
      <c r="C3737" s="1"/>
      <c r="D3737" s="1"/>
      <c r="E3737" s="1"/>
      <c r="F3737" s="1"/>
      <c r="H3737" s="1"/>
    </row>
    <row r="3738" spans="2:8" x14ac:dyDescent="0.25">
      <c r="B3738" s="1"/>
      <c r="C3738" s="1"/>
      <c r="D3738" s="1"/>
      <c r="E3738" s="1"/>
      <c r="F3738" s="1"/>
      <c r="H3738" s="1"/>
    </row>
    <row r="3739" spans="2:8" x14ac:dyDescent="0.25">
      <c r="B3739" s="1"/>
      <c r="C3739" s="1"/>
      <c r="D3739" s="1"/>
      <c r="E3739" s="1"/>
      <c r="F3739" s="1"/>
      <c r="H3739" s="1"/>
    </row>
    <row r="3740" spans="2:8" x14ac:dyDescent="0.25">
      <c r="B3740" s="1"/>
      <c r="C3740" s="1"/>
      <c r="D3740" s="1"/>
      <c r="E3740" s="1"/>
      <c r="F3740" s="1"/>
      <c r="H3740" s="1"/>
    </row>
    <row r="3741" spans="2:8" x14ac:dyDescent="0.25">
      <c r="B3741" s="1"/>
      <c r="C3741" s="1"/>
      <c r="D3741" s="1"/>
      <c r="E3741" s="1"/>
      <c r="F3741" s="1"/>
      <c r="H3741" s="1"/>
    </row>
    <row r="3742" spans="2:8" x14ac:dyDescent="0.25">
      <c r="B3742" s="1"/>
      <c r="C3742" s="1"/>
      <c r="D3742" s="1"/>
      <c r="E3742" s="1"/>
      <c r="F3742" s="1"/>
      <c r="H3742" s="1"/>
    </row>
    <row r="3743" spans="2:8" x14ac:dyDescent="0.25">
      <c r="B3743" s="1"/>
      <c r="C3743" s="1"/>
      <c r="D3743" s="1"/>
      <c r="E3743" s="1"/>
      <c r="F3743" s="1"/>
      <c r="H3743" s="1"/>
    </row>
    <row r="3744" spans="2:8" x14ac:dyDescent="0.25">
      <c r="B3744" s="1"/>
      <c r="C3744" s="1"/>
      <c r="D3744" s="1"/>
      <c r="E3744" s="1"/>
      <c r="F3744" s="1"/>
      <c r="H3744" s="1"/>
    </row>
    <row r="3745" spans="2:8" x14ac:dyDescent="0.25">
      <c r="B3745" s="1"/>
      <c r="C3745" s="1"/>
      <c r="D3745" s="1"/>
      <c r="E3745" s="1"/>
      <c r="F3745" s="1"/>
      <c r="H3745" s="1"/>
    </row>
    <row r="3746" spans="2:8" x14ac:dyDescent="0.25">
      <c r="B3746" s="1"/>
      <c r="C3746" s="1"/>
      <c r="D3746" s="1"/>
      <c r="E3746" s="1"/>
      <c r="F3746" s="1"/>
      <c r="H3746" s="1"/>
    </row>
    <row r="3747" spans="2:8" x14ac:dyDescent="0.25">
      <c r="B3747" s="1"/>
      <c r="C3747" s="1"/>
      <c r="D3747" s="1"/>
      <c r="E3747" s="1"/>
      <c r="F3747" s="1"/>
      <c r="H3747" s="1"/>
    </row>
    <row r="3748" spans="2:8" x14ac:dyDescent="0.25">
      <c r="B3748" s="1"/>
      <c r="C3748" s="1"/>
      <c r="D3748" s="1"/>
      <c r="E3748" s="1"/>
      <c r="F3748" s="1"/>
      <c r="H3748" s="1"/>
    </row>
    <row r="3749" spans="2:8" x14ac:dyDescent="0.25">
      <c r="B3749" s="1"/>
      <c r="C3749" s="1"/>
      <c r="D3749" s="1"/>
      <c r="E3749" s="1"/>
      <c r="F3749" s="1"/>
      <c r="H3749" s="1"/>
    </row>
    <row r="3750" spans="2:8" x14ac:dyDescent="0.25">
      <c r="B3750" s="1"/>
      <c r="C3750" s="1"/>
      <c r="D3750" s="1"/>
      <c r="E3750" s="1"/>
      <c r="F3750" s="1"/>
      <c r="H3750" s="1"/>
    </row>
    <row r="3751" spans="2:8" x14ac:dyDescent="0.25">
      <c r="B3751" s="1"/>
      <c r="C3751" s="1"/>
      <c r="D3751" s="1"/>
      <c r="E3751" s="1"/>
      <c r="F3751" s="1"/>
      <c r="H3751" s="1"/>
    </row>
    <row r="3752" spans="2:8" x14ac:dyDescent="0.25">
      <c r="B3752" s="1"/>
      <c r="C3752" s="1"/>
      <c r="D3752" s="1"/>
      <c r="E3752" s="1"/>
      <c r="F3752" s="1"/>
      <c r="H3752" s="1"/>
    </row>
    <row r="3753" spans="2:8" x14ac:dyDescent="0.25">
      <c r="B3753" s="1"/>
      <c r="C3753" s="1"/>
      <c r="D3753" s="1"/>
      <c r="E3753" s="1"/>
      <c r="F3753" s="1"/>
      <c r="H3753" s="1"/>
    </row>
    <row r="3754" spans="2:8" x14ac:dyDescent="0.25">
      <c r="B3754" s="1"/>
      <c r="C3754" s="1"/>
      <c r="D3754" s="1"/>
      <c r="E3754" s="1"/>
      <c r="F3754" s="1"/>
      <c r="H3754" s="1"/>
    </row>
    <row r="3755" spans="2:8" x14ac:dyDescent="0.25">
      <c r="B3755" s="1"/>
      <c r="C3755" s="1"/>
      <c r="D3755" s="1"/>
      <c r="E3755" s="1"/>
      <c r="F3755" s="1"/>
      <c r="H3755" s="1"/>
    </row>
    <row r="3756" spans="2:8" x14ac:dyDescent="0.25">
      <c r="B3756" s="1"/>
      <c r="C3756" s="1"/>
      <c r="D3756" s="1"/>
      <c r="E3756" s="1"/>
      <c r="F3756" s="1"/>
      <c r="H3756" s="1"/>
    </row>
    <row r="3757" spans="2:8" x14ac:dyDescent="0.25">
      <c r="B3757" s="1"/>
      <c r="C3757" s="1"/>
      <c r="D3757" s="1"/>
      <c r="E3757" s="1"/>
      <c r="F3757" s="1"/>
      <c r="H3757" s="1"/>
    </row>
    <row r="3758" spans="2:8" x14ac:dyDescent="0.25">
      <c r="B3758" s="1"/>
      <c r="C3758" s="1"/>
      <c r="D3758" s="1"/>
      <c r="E3758" s="1"/>
      <c r="F3758" s="1"/>
      <c r="H3758" s="1"/>
    </row>
    <row r="3759" spans="2:8" x14ac:dyDescent="0.25">
      <c r="B3759" s="1"/>
      <c r="C3759" s="1"/>
      <c r="D3759" s="1"/>
      <c r="E3759" s="1"/>
      <c r="F3759" s="1"/>
      <c r="H3759" s="1"/>
    </row>
    <row r="3760" spans="2:8" x14ac:dyDescent="0.25">
      <c r="B3760" s="1"/>
      <c r="C3760" s="1"/>
      <c r="D3760" s="1"/>
      <c r="E3760" s="1"/>
      <c r="F3760" s="1"/>
      <c r="H3760" s="1"/>
    </row>
    <row r="3761" spans="2:8" x14ac:dyDescent="0.25">
      <c r="B3761" s="1"/>
      <c r="C3761" s="1"/>
      <c r="D3761" s="1"/>
      <c r="E3761" s="1"/>
      <c r="F3761" s="1"/>
      <c r="H3761" s="1"/>
    </row>
    <row r="3762" spans="2:8" x14ac:dyDescent="0.25">
      <c r="B3762" s="1"/>
      <c r="C3762" s="1"/>
      <c r="D3762" s="1"/>
      <c r="E3762" s="1"/>
      <c r="F3762" s="1"/>
      <c r="H3762" s="1"/>
    </row>
    <row r="3763" spans="2:8" x14ac:dyDescent="0.25">
      <c r="B3763" s="1"/>
      <c r="C3763" s="1"/>
      <c r="D3763" s="1"/>
      <c r="E3763" s="1"/>
      <c r="F3763" s="1"/>
      <c r="H3763" s="1"/>
    </row>
    <row r="3764" spans="2:8" x14ac:dyDescent="0.25">
      <c r="B3764" s="1"/>
      <c r="C3764" s="1"/>
      <c r="D3764" s="1"/>
      <c r="E3764" s="1"/>
      <c r="F3764" s="1"/>
      <c r="H3764" s="1"/>
    </row>
    <row r="3765" spans="2:8" x14ac:dyDescent="0.25">
      <c r="B3765" s="1"/>
      <c r="C3765" s="1"/>
      <c r="D3765" s="1"/>
      <c r="E3765" s="1"/>
      <c r="F3765" s="1"/>
      <c r="H3765" s="1"/>
    </row>
    <row r="3766" spans="2:8" x14ac:dyDescent="0.25">
      <c r="B3766" s="1"/>
      <c r="C3766" s="1"/>
      <c r="D3766" s="1"/>
      <c r="E3766" s="1"/>
      <c r="F3766" s="1"/>
      <c r="H3766" s="1"/>
    </row>
    <row r="3767" spans="2:8" x14ac:dyDescent="0.25">
      <c r="B3767" s="1"/>
      <c r="C3767" s="1"/>
      <c r="D3767" s="1"/>
      <c r="E3767" s="1"/>
      <c r="F3767" s="1"/>
      <c r="H3767" s="1"/>
    </row>
    <row r="3768" spans="2:8" x14ac:dyDescent="0.25">
      <c r="B3768" s="1"/>
      <c r="C3768" s="1"/>
      <c r="D3768" s="1"/>
      <c r="E3768" s="1"/>
      <c r="F3768" s="1"/>
      <c r="H3768" s="1"/>
    </row>
    <row r="3769" spans="2:8" x14ac:dyDescent="0.25">
      <c r="B3769" s="1"/>
      <c r="C3769" s="1"/>
      <c r="D3769" s="1"/>
      <c r="E3769" s="1"/>
      <c r="F3769" s="1"/>
      <c r="H3769" s="1"/>
    </row>
    <row r="3770" spans="2:8" x14ac:dyDescent="0.25">
      <c r="B3770" s="1"/>
      <c r="C3770" s="1"/>
      <c r="D3770" s="1"/>
      <c r="E3770" s="1"/>
      <c r="F3770" s="1"/>
      <c r="H3770" s="1"/>
    </row>
    <row r="3771" spans="2:8" x14ac:dyDescent="0.25">
      <c r="B3771" s="1"/>
      <c r="C3771" s="1"/>
      <c r="D3771" s="1"/>
      <c r="E3771" s="1"/>
      <c r="F3771" s="1"/>
      <c r="H3771" s="1"/>
    </row>
    <row r="3772" spans="2:8" x14ac:dyDescent="0.25">
      <c r="B3772" s="1"/>
      <c r="C3772" s="1"/>
      <c r="D3772" s="1"/>
      <c r="E3772" s="1"/>
      <c r="F3772" s="1"/>
      <c r="H3772" s="1"/>
    </row>
    <row r="3773" spans="2:8" x14ac:dyDescent="0.25">
      <c r="B3773" s="1"/>
      <c r="C3773" s="1"/>
      <c r="D3773" s="1"/>
      <c r="E3773" s="1"/>
      <c r="F3773" s="1"/>
      <c r="H3773" s="1"/>
    </row>
    <row r="3774" spans="2:8" x14ac:dyDescent="0.25">
      <c r="B3774" s="1"/>
      <c r="C3774" s="1"/>
      <c r="D3774" s="1"/>
      <c r="E3774" s="1"/>
      <c r="F3774" s="1"/>
      <c r="H3774" s="1"/>
    </row>
    <row r="3775" spans="2:8" x14ac:dyDescent="0.25">
      <c r="B3775" s="1"/>
      <c r="C3775" s="1"/>
      <c r="D3775" s="1"/>
      <c r="E3775" s="1"/>
      <c r="F3775" s="1"/>
      <c r="H3775" s="1"/>
    </row>
    <row r="3776" spans="2:8" x14ac:dyDescent="0.25">
      <c r="B3776" s="1"/>
      <c r="C3776" s="1"/>
      <c r="D3776" s="1"/>
      <c r="E3776" s="1"/>
      <c r="F3776" s="1"/>
      <c r="H3776" s="1"/>
    </row>
    <row r="3777" spans="2:8" x14ac:dyDescent="0.25">
      <c r="B3777" s="1"/>
      <c r="C3777" s="1"/>
      <c r="D3777" s="1"/>
      <c r="E3777" s="1"/>
      <c r="F3777" s="1"/>
      <c r="H3777" s="1"/>
    </row>
    <row r="3778" spans="2:8" x14ac:dyDescent="0.25">
      <c r="B3778" s="1"/>
      <c r="C3778" s="1"/>
      <c r="D3778" s="1"/>
      <c r="E3778" s="1"/>
      <c r="F3778" s="1"/>
      <c r="H3778" s="1"/>
    </row>
    <row r="3779" spans="2:8" x14ac:dyDescent="0.25">
      <c r="B3779" s="1"/>
      <c r="C3779" s="1"/>
      <c r="D3779" s="1"/>
      <c r="E3779" s="1"/>
      <c r="F3779" s="1"/>
      <c r="H3779" s="1"/>
    </row>
    <row r="3780" spans="2:8" x14ac:dyDescent="0.25">
      <c r="B3780" s="1"/>
      <c r="C3780" s="1"/>
      <c r="D3780" s="1"/>
      <c r="E3780" s="1"/>
      <c r="F3780" s="1"/>
      <c r="H3780" s="1"/>
    </row>
    <row r="3781" spans="2:8" x14ac:dyDescent="0.25">
      <c r="B3781" s="1"/>
      <c r="C3781" s="1"/>
      <c r="D3781" s="1"/>
      <c r="E3781" s="1"/>
      <c r="F3781" s="1"/>
      <c r="H3781" s="1"/>
    </row>
    <row r="3782" spans="2:8" x14ac:dyDescent="0.25">
      <c r="B3782" s="1"/>
      <c r="C3782" s="1"/>
      <c r="D3782" s="1"/>
      <c r="E3782" s="1"/>
      <c r="F3782" s="1"/>
      <c r="H3782" s="1"/>
    </row>
    <row r="3783" spans="2:8" x14ac:dyDescent="0.25">
      <c r="B3783" s="1"/>
      <c r="C3783" s="1"/>
      <c r="D3783" s="1"/>
      <c r="E3783" s="1"/>
      <c r="F3783" s="1"/>
      <c r="H3783" s="1"/>
    </row>
    <row r="3784" spans="2:8" x14ac:dyDescent="0.25">
      <c r="B3784" s="1"/>
      <c r="C3784" s="1"/>
      <c r="D3784" s="1"/>
      <c r="E3784" s="1"/>
      <c r="F3784" s="1"/>
      <c r="H3784" s="1"/>
    </row>
    <row r="3785" spans="2:8" x14ac:dyDescent="0.25">
      <c r="B3785" s="1"/>
      <c r="C3785" s="1"/>
      <c r="D3785" s="1"/>
      <c r="E3785" s="1"/>
      <c r="F3785" s="1"/>
      <c r="H3785" s="1"/>
    </row>
    <row r="3786" spans="2:8" x14ac:dyDescent="0.25">
      <c r="B3786" s="1"/>
      <c r="C3786" s="1"/>
      <c r="D3786" s="1"/>
      <c r="E3786" s="1"/>
      <c r="F3786" s="1"/>
      <c r="H3786" s="1"/>
    </row>
    <row r="3787" spans="2:8" x14ac:dyDescent="0.25">
      <c r="B3787" s="1"/>
      <c r="C3787" s="1"/>
      <c r="D3787" s="1"/>
      <c r="E3787" s="1"/>
      <c r="F3787" s="1"/>
      <c r="H3787" s="1"/>
    </row>
    <row r="3788" spans="2:8" x14ac:dyDescent="0.25">
      <c r="B3788" s="1"/>
      <c r="C3788" s="1"/>
      <c r="D3788" s="1"/>
      <c r="E3788" s="1"/>
      <c r="F3788" s="1"/>
      <c r="H3788" s="1"/>
    </row>
    <row r="3789" spans="2:8" x14ac:dyDescent="0.25">
      <c r="B3789" s="1"/>
      <c r="C3789" s="1"/>
      <c r="D3789" s="1"/>
      <c r="E3789" s="1"/>
      <c r="F3789" s="1"/>
      <c r="H3789" s="1"/>
    </row>
    <row r="3790" spans="2:8" x14ac:dyDescent="0.25">
      <c r="B3790" s="1"/>
      <c r="C3790" s="1"/>
      <c r="D3790" s="1"/>
      <c r="E3790" s="1"/>
      <c r="F3790" s="1"/>
      <c r="H3790" s="1"/>
    </row>
    <row r="3791" spans="2:8" x14ac:dyDescent="0.25">
      <c r="B3791" s="1"/>
      <c r="C3791" s="1"/>
      <c r="D3791" s="1"/>
      <c r="E3791" s="1"/>
      <c r="F3791" s="1"/>
      <c r="H3791" s="1"/>
    </row>
    <row r="3792" spans="2:8" x14ac:dyDescent="0.25">
      <c r="B3792" s="1"/>
      <c r="C3792" s="1"/>
      <c r="D3792" s="1"/>
      <c r="E3792" s="1"/>
      <c r="F3792" s="1"/>
      <c r="H3792" s="1"/>
    </row>
    <row r="3793" spans="2:8" x14ac:dyDescent="0.25">
      <c r="B3793" s="1"/>
      <c r="C3793" s="1"/>
      <c r="D3793" s="1"/>
      <c r="E3793" s="1"/>
      <c r="F3793" s="1"/>
      <c r="H3793" s="1"/>
    </row>
    <row r="3794" spans="2:8" x14ac:dyDescent="0.25">
      <c r="B3794" s="1"/>
      <c r="C3794" s="1"/>
      <c r="D3794" s="1"/>
      <c r="E3794" s="1"/>
      <c r="F3794" s="1"/>
      <c r="H3794" s="1"/>
    </row>
    <row r="3795" spans="2:8" x14ac:dyDescent="0.25">
      <c r="B3795" s="1"/>
      <c r="C3795" s="1"/>
      <c r="D3795" s="1"/>
      <c r="E3795" s="1"/>
      <c r="F3795" s="1"/>
      <c r="H3795" s="1"/>
    </row>
    <row r="3796" spans="2:8" x14ac:dyDescent="0.25">
      <c r="B3796" s="1"/>
      <c r="C3796" s="1"/>
      <c r="D3796" s="1"/>
      <c r="E3796" s="1"/>
      <c r="F3796" s="1"/>
      <c r="H3796" s="1"/>
    </row>
    <row r="3797" spans="2:8" x14ac:dyDescent="0.25">
      <c r="B3797" s="1"/>
      <c r="C3797" s="1"/>
      <c r="D3797" s="1"/>
      <c r="E3797" s="1"/>
      <c r="F3797" s="1"/>
      <c r="H3797" s="1"/>
    </row>
    <row r="3798" spans="2:8" x14ac:dyDescent="0.25">
      <c r="B3798" s="1"/>
      <c r="C3798" s="1"/>
      <c r="D3798" s="1"/>
      <c r="E3798" s="1"/>
      <c r="F3798" s="1"/>
      <c r="H3798" s="1"/>
    </row>
    <row r="3799" spans="2:8" x14ac:dyDescent="0.25">
      <c r="B3799" s="1"/>
      <c r="C3799" s="1"/>
      <c r="D3799" s="1"/>
      <c r="E3799" s="1"/>
      <c r="F3799" s="1"/>
      <c r="H3799" s="1"/>
    </row>
    <row r="3800" spans="2:8" x14ac:dyDescent="0.25">
      <c r="B3800" s="1"/>
      <c r="C3800" s="1"/>
      <c r="D3800" s="1"/>
      <c r="E3800" s="1"/>
      <c r="F3800" s="1"/>
      <c r="H3800" s="1"/>
    </row>
    <row r="3801" spans="2:8" x14ac:dyDescent="0.25">
      <c r="B3801" s="1"/>
      <c r="C3801" s="1"/>
      <c r="D3801" s="1"/>
      <c r="E3801" s="1"/>
      <c r="F3801" s="1"/>
      <c r="H3801" s="1"/>
    </row>
    <row r="3802" spans="2:8" x14ac:dyDescent="0.25">
      <c r="B3802" s="1"/>
      <c r="C3802" s="1"/>
      <c r="D3802" s="1"/>
      <c r="E3802" s="1"/>
      <c r="F3802" s="1"/>
      <c r="H3802" s="1"/>
    </row>
    <row r="3803" spans="2:8" x14ac:dyDescent="0.25">
      <c r="B3803" s="1"/>
      <c r="C3803" s="1"/>
      <c r="D3803" s="1"/>
      <c r="E3803" s="1"/>
      <c r="F3803" s="1"/>
      <c r="H3803" s="1"/>
    </row>
    <row r="3804" spans="2:8" x14ac:dyDescent="0.25">
      <c r="B3804" s="1"/>
      <c r="C3804" s="1"/>
      <c r="D3804" s="1"/>
      <c r="E3804" s="1"/>
      <c r="F3804" s="1"/>
      <c r="H3804" s="1"/>
    </row>
    <row r="3805" spans="2:8" x14ac:dyDescent="0.25">
      <c r="B3805" s="1"/>
      <c r="C3805" s="1"/>
      <c r="D3805" s="1"/>
      <c r="E3805" s="1"/>
      <c r="F3805" s="1"/>
      <c r="H3805" s="1"/>
    </row>
    <row r="3806" spans="2:8" x14ac:dyDescent="0.25">
      <c r="B3806" s="1"/>
      <c r="C3806" s="1"/>
      <c r="D3806" s="1"/>
      <c r="E3806" s="1"/>
      <c r="F3806" s="1"/>
      <c r="H3806" s="1"/>
    </row>
    <row r="3807" spans="2:8" x14ac:dyDescent="0.25">
      <c r="B3807" s="1"/>
      <c r="C3807" s="1"/>
      <c r="D3807" s="1"/>
      <c r="E3807" s="1"/>
      <c r="F3807" s="1"/>
      <c r="H3807" s="1"/>
    </row>
    <row r="3808" spans="2:8" x14ac:dyDescent="0.25">
      <c r="B3808" s="1"/>
      <c r="C3808" s="1"/>
      <c r="D3808" s="1"/>
      <c r="E3808" s="1"/>
      <c r="F3808" s="1"/>
      <c r="H3808" s="1"/>
    </row>
    <row r="3809" spans="2:8" x14ac:dyDescent="0.25">
      <c r="B3809" s="1"/>
      <c r="C3809" s="1"/>
      <c r="D3809" s="1"/>
      <c r="E3809" s="1"/>
      <c r="F3809" s="1"/>
      <c r="H3809" s="1"/>
    </row>
    <row r="3810" spans="2:8" x14ac:dyDescent="0.25">
      <c r="B3810" s="1"/>
      <c r="C3810" s="1"/>
      <c r="D3810" s="1"/>
      <c r="E3810" s="1"/>
      <c r="F3810" s="1"/>
      <c r="H3810" s="1"/>
    </row>
    <row r="3811" spans="2:8" x14ac:dyDescent="0.25">
      <c r="B3811" s="1"/>
      <c r="C3811" s="1"/>
      <c r="D3811" s="1"/>
      <c r="E3811" s="1"/>
      <c r="F3811" s="1"/>
      <c r="H3811" s="1"/>
    </row>
    <row r="3812" spans="2:8" x14ac:dyDescent="0.25">
      <c r="B3812" s="1"/>
      <c r="C3812" s="1"/>
      <c r="D3812" s="1"/>
      <c r="E3812" s="1"/>
      <c r="F3812" s="1"/>
      <c r="H3812" s="1"/>
    </row>
    <row r="3813" spans="2:8" x14ac:dyDescent="0.25">
      <c r="B3813" s="1"/>
      <c r="C3813" s="1"/>
      <c r="D3813" s="1"/>
      <c r="E3813" s="1"/>
      <c r="F3813" s="1"/>
      <c r="H3813" s="1"/>
    </row>
    <row r="3814" spans="2:8" x14ac:dyDescent="0.25">
      <c r="B3814" s="1"/>
      <c r="C3814" s="1"/>
      <c r="D3814" s="1"/>
      <c r="E3814" s="1"/>
      <c r="F3814" s="1"/>
      <c r="H3814" s="1"/>
    </row>
    <row r="3815" spans="2:8" x14ac:dyDescent="0.25">
      <c r="B3815" s="1"/>
      <c r="C3815" s="1"/>
      <c r="D3815" s="1"/>
      <c r="E3815" s="1"/>
      <c r="F3815" s="1"/>
      <c r="H3815" s="1"/>
    </row>
    <row r="3816" spans="2:8" x14ac:dyDescent="0.25">
      <c r="B3816" s="1"/>
      <c r="C3816" s="1"/>
      <c r="D3816" s="1"/>
      <c r="E3816" s="1"/>
      <c r="F3816" s="1"/>
      <c r="H3816" s="1"/>
    </row>
    <row r="3817" spans="2:8" x14ac:dyDescent="0.25">
      <c r="B3817" s="1"/>
      <c r="C3817" s="1"/>
      <c r="D3817" s="1"/>
      <c r="E3817" s="1"/>
      <c r="F3817" s="1"/>
      <c r="H3817" s="1"/>
    </row>
    <row r="3818" spans="2:8" x14ac:dyDescent="0.25">
      <c r="B3818" s="1"/>
      <c r="C3818" s="1"/>
      <c r="D3818" s="1"/>
      <c r="E3818" s="1"/>
      <c r="F3818" s="1"/>
      <c r="H3818" s="1"/>
    </row>
    <row r="3819" spans="2:8" x14ac:dyDescent="0.25">
      <c r="B3819" s="1"/>
      <c r="C3819" s="1"/>
      <c r="D3819" s="1"/>
      <c r="E3819" s="1"/>
      <c r="F3819" s="1"/>
      <c r="H3819" s="1"/>
    </row>
    <row r="3820" spans="2:8" x14ac:dyDescent="0.25">
      <c r="B3820" s="1"/>
      <c r="C3820" s="1"/>
      <c r="D3820" s="1"/>
      <c r="E3820" s="1"/>
      <c r="F3820" s="1"/>
      <c r="H3820" s="1"/>
    </row>
    <row r="3821" spans="2:8" x14ac:dyDescent="0.25">
      <c r="B3821" s="1"/>
      <c r="C3821" s="1"/>
      <c r="D3821" s="1"/>
      <c r="E3821" s="1"/>
      <c r="F3821" s="1"/>
      <c r="H3821" s="1"/>
    </row>
    <row r="3822" spans="2:8" x14ac:dyDescent="0.25">
      <c r="B3822" s="1"/>
      <c r="C3822" s="1"/>
      <c r="D3822" s="1"/>
      <c r="E3822" s="1"/>
      <c r="F3822" s="1"/>
      <c r="H3822" s="1"/>
    </row>
    <row r="3823" spans="2:8" x14ac:dyDescent="0.25">
      <c r="B3823" s="1"/>
      <c r="C3823" s="1"/>
      <c r="D3823" s="1"/>
      <c r="E3823" s="1"/>
      <c r="F3823" s="1"/>
      <c r="H3823" s="1"/>
    </row>
    <row r="3824" spans="2:8" x14ac:dyDescent="0.25">
      <c r="B3824" s="1"/>
      <c r="C3824" s="1"/>
      <c r="D3824" s="1"/>
      <c r="E3824" s="1"/>
      <c r="F3824" s="1"/>
      <c r="H3824" s="1"/>
    </row>
    <row r="3825" spans="2:8" x14ac:dyDescent="0.25">
      <c r="B3825" s="1"/>
      <c r="C3825" s="1"/>
      <c r="D3825" s="1"/>
      <c r="E3825" s="1"/>
      <c r="F3825" s="1"/>
      <c r="H3825" s="1"/>
    </row>
    <row r="3826" spans="2:8" x14ac:dyDescent="0.25">
      <c r="B3826" s="1"/>
      <c r="C3826" s="1"/>
      <c r="D3826" s="1"/>
      <c r="E3826" s="1"/>
      <c r="F3826" s="1"/>
      <c r="H3826" s="1"/>
    </row>
    <row r="3827" spans="2:8" x14ac:dyDescent="0.25">
      <c r="B3827" s="1"/>
      <c r="C3827" s="1"/>
      <c r="D3827" s="1"/>
      <c r="E3827" s="1"/>
      <c r="F3827" s="1"/>
      <c r="H3827" s="1"/>
    </row>
    <row r="3828" spans="2:8" x14ac:dyDescent="0.25">
      <c r="B3828" s="1"/>
      <c r="C3828" s="1"/>
      <c r="D3828" s="1"/>
      <c r="E3828" s="1"/>
      <c r="F3828" s="1"/>
      <c r="H3828" s="1"/>
    </row>
    <row r="3829" spans="2:8" x14ac:dyDescent="0.25">
      <c r="B3829" s="1"/>
      <c r="C3829" s="1"/>
      <c r="D3829" s="1"/>
      <c r="E3829" s="1"/>
      <c r="F3829" s="1"/>
      <c r="H3829" s="1"/>
    </row>
    <row r="3830" spans="2:8" x14ac:dyDescent="0.25">
      <c r="B3830" s="1"/>
      <c r="C3830" s="1"/>
      <c r="D3830" s="1"/>
      <c r="E3830" s="1"/>
      <c r="F3830" s="1"/>
      <c r="H3830" s="1"/>
    </row>
    <row r="3831" spans="2:8" x14ac:dyDescent="0.25">
      <c r="B3831" s="1"/>
      <c r="C3831" s="1"/>
      <c r="D3831" s="1"/>
      <c r="E3831" s="1"/>
      <c r="F3831" s="1"/>
      <c r="H3831" s="1"/>
    </row>
    <row r="3832" spans="2:8" x14ac:dyDescent="0.25">
      <c r="B3832" s="1"/>
      <c r="C3832" s="1"/>
      <c r="D3832" s="1"/>
      <c r="E3832" s="1"/>
      <c r="F3832" s="1"/>
      <c r="H3832" s="1"/>
    </row>
    <row r="3833" spans="2:8" x14ac:dyDescent="0.25">
      <c r="B3833" s="1"/>
      <c r="C3833" s="1"/>
      <c r="D3833" s="1"/>
      <c r="E3833" s="1"/>
      <c r="F3833" s="1"/>
      <c r="H3833" s="1"/>
    </row>
    <row r="3834" spans="2:8" x14ac:dyDescent="0.25">
      <c r="B3834" s="1"/>
      <c r="C3834" s="1"/>
      <c r="D3834" s="1"/>
      <c r="E3834" s="1"/>
      <c r="F3834" s="1"/>
      <c r="H3834" s="1"/>
    </row>
    <row r="3835" spans="2:8" x14ac:dyDescent="0.25">
      <c r="B3835" s="1"/>
      <c r="C3835" s="1"/>
      <c r="D3835" s="1"/>
      <c r="E3835" s="1"/>
      <c r="F3835" s="1"/>
      <c r="H3835" s="1"/>
    </row>
    <row r="3836" spans="2:8" x14ac:dyDescent="0.25">
      <c r="B3836" s="1"/>
      <c r="C3836" s="1"/>
      <c r="D3836" s="1"/>
      <c r="E3836" s="1"/>
      <c r="F3836" s="1"/>
      <c r="H3836" s="1"/>
    </row>
    <row r="3837" spans="2:8" x14ac:dyDescent="0.25">
      <c r="B3837" s="1"/>
      <c r="C3837" s="1"/>
      <c r="D3837" s="1"/>
      <c r="E3837" s="1"/>
      <c r="F3837" s="1"/>
      <c r="H3837" s="1"/>
    </row>
    <row r="3838" spans="2:8" x14ac:dyDescent="0.25">
      <c r="B3838" s="1"/>
      <c r="C3838" s="1"/>
      <c r="D3838" s="1"/>
      <c r="E3838" s="1"/>
      <c r="F3838" s="1"/>
      <c r="H3838" s="1"/>
    </row>
    <row r="3839" spans="2:8" x14ac:dyDescent="0.25">
      <c r="B3839" s="1"/>
      <c r="C3839" s="1"/>
      <c r="D3839" s="1"/>
      <c r="E3839" s="1"/>
      <c r="F3839" s="1"/>
      <c r="H3839" s="1"/>
    </row>
    <row r="3840" spans="2:8" x14ac:dyDescent="0.25">
      <c r="B3840" s="1"/>
      <c r="C3840" s="1"/>
      <c r="D3840" s="1"/>
      <c r="E3840" s="1"/>
      <c r="F3840" s="1"/>
      <c r="H3840" s="1"/>
    </row>
    <row r="3841" spans="2:8" x14ac:dyDescent="0.25">
      <c r="B3841" s="1"/>
      <c r="C3841" s="1"/>
      <c r="D3841" s="1"/>
      <c r="E3841" s="1"/>
      <c r="F3841" s="1"/>
      <c r="H3841" s="1"/>
    </row>
    <row r="3842" spans="2:8" x14ac:dyDescent="0.25">
      <c r="B3842" s="1"/>
      <c r="C3842" s="1"/>
      <c r="D3842" s="1"/>
      <c r="E3842" s="1"/>
      <c r="F3842" s="1"/>
      <c r="H3842" s="1"/>
    </row>
    <row r="3843" spans="2:8" x14ac:dyDescent="0.25">
      <c r="B3843" s="1"/>
      <c r="C3843" s="1"/>
      <c r="D3843" s="1"/>
      <c r="E3843" s="1"/>
      <c r="F3843" s="1"/>
      <c r="H3843" s="1"/>
    </row>
    <row r="3844" spans="2:8" x14ac:dyDescent="0.25">
      <c r="B3844" s="1"/>
      <c r="C3844" s="1"/>
      <c r="D3844" s="1"/>
      <c r="E3844" s="1"/>
      <c r="F3844" s="1"/>
      <c r="H3844" s="1"/>
    </row>
    <row r="3845" spans="2:8" x14ac:dyDescent="0.25">
      <c r="B3845" s="1"/>
      <c r="C3845" s="1"/>
      <c r="D3845" s="1"/>
      <c r="E3845" s="1"/>
      <c r="F3845" s="1"/>
      <c r="H3845" s="1"/>
    </row>
    <row r="3846" spans="2:8" x14ac:dyDescent="0.25">
      <c r="B3846" s="1"/>
      <c r="C3846" s="1"/>
      <c r="D3846" s="1"/>
      <c r="E3846" s="1"/>
      <c r="F3846" s="1"/>
      <c r="H3846" s="1"/>
    </row>
    <row r="3847" spans="2:8" x14ac:dyDescent="0.25">
      <c r="B3847" s="1"/>
      <c r="C3847" s="1"/>
      <c r="D3847" s="1"/>
      <c r="E3847" s="1"/>
      <c r="F3847" s="1"/>
      <c r="H3847" s="1"/>
    </row>
    <row r="3848" spans="2:8" x14ac:dyDescent="0.25">
      <c r="B3848" s="1"/>
      <c r="C3848" s="1"/>
      <c r="D3848" s="1"/>
      <c r="E3848" s="1"/>
      <c r="F3848" s="1"/>
      <c r="H3848" s="1"/>
    </row>
    <row r="3849" spans="2:8" x14ac:dyDescent="0.25">
      <c r="B3849" s="1"/>
      <c r="C3849" s="1"/>
      <c r="D3849" s="1"/>
      <c r="E3849" s="1"/>
      <c r="F3849" s="1"/>
      <c r="H3849" s="1"/>
    </row>
    <row r="3850" spans="2:8" x14ac:dyDescent="0.25">
      <c r="B3850" s="1"/>
      <c r="C3850" s="1"/>
      <c r="D3850" s="1"/>
      <c r="E3850" s="1"/>
      <c r="F3850" s="1"/>
      <c r="H3850" s="1"/>
    </row>
    <row r="3851" spans="2:8" x14ac:dyDescent="0.25">
      <c r="B3851" s="1"/>
      <c r="C3851" s="1"/>
      <c r="D3851" s="1"/>
      <c r="E3851" s="1"/>
      <c r="F3851" s="1"/>
      <c r="H3851" s="1"/>
    </row>
    <row r="3852" spans="2:8" x14ac:dyDescent="0.25">
      <c r="B3852" s="1"/>
      <c r="C3852" s="1"/>
      <c r="D3852" s="1"/>
      <c r="E3852" s="1"/>
      <c r="F3852" s="1"/>
      <c r="H3852" s="1"/>
    </row>
    <row r="3853" spans="2:8" x14ac:dyDescent="0.25">
      <c r="B3853" s="1"/>
      <c r="C3853" s="1"/>
      <c r="D3853" s="1"/>
      <c r="E3853" s="1"/>
      <c r="F3853" s="1"/>
      <c r="H3853" s="1"/>
    </row>
    <row r="3854" spans="2:8" x14ac:dyDescent="0.25">
      <c r="B3854" s="1"/>
      <c r="C3854" s="1"/>
      <c r="D3854" s="1"/>
      <c r="E3854" s="1"/>
      <c r="F3854" s="1"/>
      <c r="H3854" s="1"/>
    </row>
    <row r="3855" spans="2:8" x14ac:dyDescent="0.25">
      <c r="B3855" s="1"/>
      <c r="C3855" s="1"/>
      <c r="D3855" s="1"/>
      <c r="E3855" s="1"/>
      <c r="F3855" s="1"/>
      <c r="H3855" s="1"/>
    </row>
    <row r="3856" spans="2:8" x14ac:dyDescent="0.25">
      <c r="B3856" s="1"/>
      <c r="C3856" s="1"/>
      <c r="D3856" s="1"/>
      <c r="E3856" s="1"/>
      <c r="F3856" s="1"/>
      <c r="H3856" s="1"/>
    </row>
    <row r="3857" spans="2:8" x14ac:dyDescent="0.25">
      <c r="B3857" s="1"/>
      <c r="C3857" s="1"/>
      <c r="D3857" s="1"/>
      <c r="E3857" s="1"/>
      <c r="F3857" s="1"/>
      <c r="H3857" s="1"/>
    </row>
    <row r="3858" spans="2:8" x14ac:dyDescent="0.25">
      <c r="B3858" s="1"/>
      <c r="C3858" s="1"/>
      <c r="D3858" s="1"/>
      <c r="E3858" s="1"/>
      <c r="F3858" s="1"/>
      <c r="H3858" s="1"/>
    </row>
    <row r="3859" spans="2:8" x14ac:dyDescent="0.25">
      <c r="B3859" s="1"/>
      <c r="C3859" s="1"/>
      <c r="D3859" s="1"/>
      <c r="E3859" s="1"/>
      <c r="F3859" s="1"/>
      <c r="H3859" s="1"/>
    </row>
    <row r="3860" spans="2:8" x14ac:dyDescent="0.25">
      <c r="B3860" s="1"/>
      <c r="C3860" s="1"/>
      <c r="D3860" s="1"/>
      <c r="E3860" s="1"/>
      <c r="F3860" s="1"/>
      <c r="H3860" s="1"/>
    </row>
    <row r="3861" spans="2:8" x14ac:dyDescent="0.25">
      <c r="B3861" s="1"/>
      <c r="C3861" s="1"/>
      <c r="D3861" s="1"/>
      <c r="E3861" s="1"/>
      <c r="F3861" s="1"/>
      <c r="H3861" s="1"/>
    </row>
    <row r="3862" spans="2:8" x14ac:dyDescent="0.25">
      <c r="B3862" s="1"/>
      <c r="C3862" s="1"/>
      <c r="D3862" s="1"/>
      <c r="E3862" s="1"/>
      <c r="F3862" s="1"/>
      <c r="H3862" s="1"/>
    </row>
    <row r="3863" spans="2:8" x14ac:dyDescent="0.25">
      <c r="B3863" s="1"/>
      <c r="C3863" s="1"/>
      <c r="D3863" s="1"/>
      <c r="E3863" s="1"/>
      <c r="F3863" s="1"/>
      <c r="H3863" s="1"/>
    </row>
    <row r="3864" spans="2:8" x14ac:dyDescent="0.25">
      <c r="B3864" s="1"/>
      <c r="C3864" s="1"/>
      <c r="D3864" s="1"/>
      <c r="E3864" s="1"/>
      <c r="F3864" s="1"/>
      <c r="H3864" s="1"/>
    </row>
    <row r="3865" spans="2:8" x14ac:dyDescent="0.25">
      <c r="B3865" s="1"/>
      <c r="C3865" s="1"/>
      <c r="D3865" s="1"/>
      <c r="E3865" s="1"/>
      <c r="F3865" s="1"/>
      <c r="H3865" s="1"/>
    </row>
    <row r="3866" spans="2:8" x14ac:dyDescent="0.25">
      <c r="B3866" s="1"/>
      <c r="C3866" s="1"/>
      <c r="D3866" s="1"/>
      <c r="E3866" s="1"/>
      <c r="F3866" s="1"/>
      <c r="H3866" s="1"/>
    </row>
    <row r="3867" spans="2:8" x14ac:dyDescent="0.25">
      <c r="B3867" s="1"/>
      <c r="C3867" s="1"/>
      <c r="D3867" s="1"/>
      <c r="E3867" s="1"/>
      <c r="F3867" s="1"/>
      <c r="H3867" s="1"/>
    </row>
    <row r="3868" spans="2:8" x14ac:dyDescent="0.25">
      <c r="B3868" s="1"/>
      <c r="C3868" s="1"/>
      <c r="D3868" s="1"/>
      <c r="E3868" s="1"/>
      <c r="F3868" s="1"/>
      <c r="H3868" s="1"/>
    </row>
    <row r="3869" spans="2:8" x14ac:dyDescent="0.25">
      <c r="B3869" s="1"/>
      <c r="C3869" s="1"/>
      <c r="D3869" s="1"/>
      <c r="E3869" s="1"/>
      <c r="F3869" s="1"/>
      <c r="H3869" s="1"/>
    </row>
    <row r="3870" spans="2:8" x14ac:dyDescent="0.25">
      <c r="B3870" s="1"/>
      <c r="C3870" s="1"/>
      <c r="D3870" s="1"/>
      <c r="E3870" s="1"/>
      <c r="F3870" s="1"/>
      <c r="H3870" s="1"/>
    </row>
    <row r="3871" spans="2:8" x14ac:dyDescent="0.25">
      <c r="B3871" s="1"/>
      <c r="C3871" s="1"/>
      <c r="D3871" s="1"/>
      <c r="E3871" s="1"/>
      <c r="F3871" s="1"/>
      <c r="H3871" s="1"/>
    </row>
    <row r="3872" spans="2:8" x14ac:dyDescent="0.25">
      <c r="B3872" s="1"/>
      <c r="C3872" s="1"/>
      <c r="D3872" s="1"/>
      <c r="E3872" s="1"/>
      <c r="F3872" s="1"/>
      <c r="H3872" s="1"/>
    </row>
    <row r="3873" spans="2:8" x14ac:dyDescent="0.25">
      <c r="B3873" s="1"/>
      <c r="C3873" s="1"/>
      <c r="D3873" s="1"/>
      <c r="E3873" s="1"/>
      <c r="F3873" s="1"/>
      <c r="H3873" s="1"/>
    </row>
    <row r="3874" spans="2:8" x14ac:dyDescent="0.25">
      <c r="B3874" s="1"/>
      <c r="C3874" s="1"/>
      <c r="D3874" s="1"/>
      <c r="E3874" s="1"/>
      <c r="F3874" s="1"/>
      <c r="H3874" s="1"/>
    </row>
    <row r="3875" spans="2:8" x14ac:dyDescent="0.25">
      <c r="B3875" s="1"/>
      <c r="C3875" s="1"/>
      <c r="D3875" s="1"/>
      <c r="E3875" s="1"/>
      <c r="F3875" s="1"/>
      <c r="H3875" s="1"/>
    </row>
    <row r="3876" spans="2:8" x14ac:dyDescent="0.25">
      <c r="B3876" s="1"/>
      <c r="C3876" s="1"/>
      <c r="D3876" s="1"/>
      <c r="E3876" s="1"/>
      <c r="F3876" s="1"/>
      <c r="H3876" s="1"/>
    </row>
    <row r="3877" spans="2:8" x14ac:dyDescent="0.25">
      <c r="B3877" s="1"/>
      <c r="C3877" s="1"/>
      <c r="D3877" s="1"/>
      <c r="E3877" s="1"/>
      <c r="F3877" s="1"/>
      <c r="H3877" s="1"/>
    </row>
    <row r="3878" spans="2:8" x14ac:dyDescent="0.25">
      <c r="B3878" s="1"/>
      <c r="C3878" s="1"/>
      <c r="D3878" s="1"/>
      <c r="E3878" s="1"/>
      <c r="F3878" s="1"/>
      <c r="H3878" s="1"/>
    </row>
    <row r="3879" spans="2:8" x14ac:dyDescent="0.25">
      <c r="B3879" s="1"/>
      <c r="C3879" s="1"/>
      <c r="D3879" s="1"/>
      <c r="E3879" s="1"/>
      <c r="F3879" s="1"/>
      <c r="H3879" s="1"/>
    </row>
    <row r="3880" spans="2:8" x14ac:dyDescent="0.25">
      <c r="B3880" s="1"/>
      <c r="C3880" s="1"/>
      <c r="D3880" s="1"/>
      <c r="E3880" s="1"/>
      <c r="F3880" s="1"/>
      <c r="H3880" s="1"/>
    </row>
    <row r="3881" spans="2:8" x14ac:dyDescent="0.25">
      <c r="B3881" s="1"/>
      <c r="C3881" s="1"/>
      <c r="D3881" s="1"/>
      <c r="E3881" s="1"/>
      <c r="F3881" s="1"/>
      <c r="H3881" s="1"/>
    </row>
    <row r="3882" spans="2:8" x14ac:dyDescent="0.25">
      <c r="B3882" s="1"/>
      <c r="C3882" s="1"/>
      <c r="D3882" s="1"/>
      <c r="E3882" s="1"/>
      <c r="F3882" s="1"/>
      <c r="H3882" s="1"/>
    </row>
    <row r="3883" spans="2:8" x14ac:dyDescent="0.25">
      <c r="B3883" s="1"/>
      <c r="C3883" s="1"/>
      <c r="D3883" s="1"/>
      <c r="E3883" s="1"/>
      <c r="F3883" s="1"/>
      <c r="H3883" s="1"/>
    </row>
    <row r="3884" spans="2:8" x14ac:dyDescent="0.25">
      <c r="B3884" s="1"/>
      <c r="C3884" s="1"/>
      <c r="D3884" s="1"/>
      <c r="E3884" s="1"/>
      <c r="F3884" s="1"/>
      <c r="H3884" s="1"/>
    </row>
    <row r="3885" spans="2:8" x14ac:dyDescent="0.25">
      <c r="B3885" s="1"/>
      <c r="C3885" s="1"/>
      <c r="D3885" s="1"/>
      <c r="E3885" s="1"/>
      <c r="F3885" s="1"/>
      <c r="H3885" s="1"/>
    </row>
    <row r="3886" spans="2:8" x14ac:dyDescent="0.25">
      <c r="B3886" s="1"/>
      <c r="C3886" s="1"/>
      <c r="D3886" s="1"/>
      <c r="E3886" s="1"/>
      <c r="F3886" s="1"/>
      <c r="H3886" s="1"/>
    </row>
    <row r="3887" spans="2:8" x14ac:dyDescent="0.25">
      <c r="B3887" s="1"/>
      <c r="C3887" s="1"/>
      <c r="D3887" s="1"/>
      <c r="E3887" s="1"/>
      <c r="F3887" s="1"/>
      <c r="H3887" s="1"/>
    </row>
    <row r="3888" spans="2:8" x14ac:dyDescent="0.25">
      <c r="B3888" s="1"/>
      <c r="C3888" s="1"/>
      <c r="D3888" s="1"/>
      <c r="E3888" s="1"/>
      <c r="F3888" s="1"/>
      <c r="H3888" s="1"/>
    </row>
    <row r="3889" spans="2:8" x14ac:dyDescent="0.25">
      <c r="B3889" s="1"/>
      <c r="C3889" s="1"/>
      <c r="D3889" s="1"/>
      <c r="E3889" s="1"/>
      <c r="F3889" s="1"/>
      <c r="H3889" s="1"/>
    </row>
    <row r="3890" spans="2:8" x14ac:dyDescent="0.25">
      <c r="B3890" s="1"/>
      <c r="C3890" s="1"/>
      <c r="D3890" s="1"/>
      <c r="E3890" s="1"/>
      <c r="F3890" s="1"/>
      <c r="H3890" s="1"/>
    </row>
    <row r="3891" spans="2:8" x14ac:dyDescent="0.25">
      <c r="B3891" s="1"/>
      <c r="C3891" s="1"/>
      <c r="D3891" s="1"/>
      <c r="E3891" s="1"/>
      <c r="F3891" s="1"/>
      <c r="H3891" s="1"/>
    </row>
    <row r="3892" spans="2:8" x14ac:dyDescent="0.25">
      <c r="B3892" s="1"/>
      <c r="C3892" s="1"/>
      <c r="D3892" s="1"/>
      <c r="E3892" s="1"/>
      <c r="F3892" s="1"/>
      <c r="H3892" s="1"/>
    </row>
    <row r="3893" spans="2:8" x14ac:dyDescent="0.25">
      <c r="B3893" s="1"/>
      <c r="C3893" s="1"/>
      <c r="D3893" s="1"/>
      <c r="E3893" s="1"/>
      <c r="F3893" s="1"/>
      <c r="H3893" s="1"/>
    </row>
    <row r="3894" spans="2:8" x14ac:dyDescent="0.25">
      <c r="B3894" s="1"/>
      <c r="C3894" s="1"/>
      <c r="D3894" s="1"/>
      <c r="E3894" s="1"/>
      <c r="F3894" s="1"/>
      <c r="H3894" s="1"/>
    </row>
    <row r="3895" spans="2:8" x14ac:dyDescent="0.25">
      <c r="B3895" s="1"/>
      <c r="C3895" s="1"/>
      <c r="D3895" s="1"/>
      <c r="E3895" s="1"/>
      <c r="F3895" s="1"/>
      <c r="H3895" s="1"/>
    </row>
    <row r="3896" spans="2:8" x14ac:dyDescent="0.25">
      <c r="B3896" s="1"/>
      <c r="C3896" s="1"/>
      <c r="D3896" s="1"/>
      <c r="E3896" s="1"/>
      <c r="F3896" s="1"/>
      <c r="H3896" s="1"/>
    </row>
    <row r="3897" spans="2:8" x14ac:dyDescent="0.25">
      <c r="B3897" s="1"/>
      <c r="C3897" s="1"/>
      <c r="D3897" s="1"/>
      <c r="E3897" s="1"/>
      <c r="F3897" s="1"/>
      <c r="H3897" s="1"/>
    </row>
    <row r="3898" spans="2:8" x14ac:dyDescent="0.25">
      <c r="B3898" s="1"/>
      <c r="C3898" s="1"/>
      <c r="D3898" s="1"/>
      <c r="E3898" s="1"/>
      <c r="F3898" s="1"/>
      <c r="H3898" s="1"/>
    </row>
    <row r="3899" spans="2:8" x14ac:dyDescent="0.25">
      <c r="B3899" s="1"/>
      <c r="C3899" s="1"/>
      <c r="D3899" s="1"/>
      <c r="E3899" s="1"/>
      <c r="F3899" s="1"/>
      <c r="H3899" s="1"/>
    </row>
    <row r="3900" spans="2:8" x14ac:dyDescent="0.25">
      <c r="B3900" s="1"/>
      <c r="C3900" s="1"/>
      <c r="D3900" s="1"/>
      <c r="E3900" s="1"/>
      <c r="F3900" s="1"/>
      <c r="H3900" s="1"/>
    </row>
    <row r="3901" spans="2:8" x14ac:dyDescent="0.25">
      <c r="B3901" s="1"/>
      <c r="C3901" s="1"/>
      <c r="D3901" s="1"/>
      <c r="E3901" s="1"/>
      <c r="F3901" s="1"/>
      <c r="H3901" s="1"/>
    </row>
    <row r="3902" spans="2:8" x14ac:dyDescent="0.25">
      <c r="B3902" s="1"/>
      <c r="C3902" s="1"/>
      <c r="D3902" s="1"/>
      <c r="E3902" s="1"/>
      <c r="F3902" s="1"/>
      <c r="H3902" s="1"/>
    </row>
    <row r="3903" spans="2:8" x14ac:dyDescent="0.25">
      <c r="B3903" s="1"/>
      <c r="C3903" s="1"/>
      <c r="D3903" s="1"/>
      <c r="E3903" s="1"/>
      <c r="F3903" s="1"/>
      <c r="H3903" s="1"/>
    </row>
    <row r="3904" spans="2:8" x14ac:dyDescent="0.25">
      <c r="B3904" s="1"/>
      <c r="C3904" s="1"/>
      <c r="D3904" s="1"/>
      <c r="E3904" s="1"/>
      <c r="F3904" s="1"/>
      <c r="H3904" s="1"/>
    </row>
    <row r="3905" spans="2:8" x14ac:dyDescent="0.25">
      <c r="B3905" s="1"/>
      <c r="C3905" s="1"/>
      <c r="D3905" s="1"/>
      <c r="E3905" s="1"/>
      <c r="F3905" s="1"/>
      <c r="H3905" s="1"/>
    </row>
    <row r="3906" spans="2:8" x14ac:dyDescent="0.25">
      <c r="B3906" s="1"/>
      <c r="C3906" s="1"/>
      <c r="D3906" s="1"/>
      <c r="E3906" s="1"/>
      <c r="F3906" s="1"/>
      <c r="H3906" s="1"/>
    </row>
    <row r="3907" spans="2:8" x14ac:dyDescent="0.25">
      <c r="B3907" s="1"/>
      <c r="C3907" s="1"/>
      <c r="D3907" s="1"/>
      <c r="E3907" s="1"/>
      <c r="F3907" s="1"/>
      <c r="H3907" s="1"/>
    </row>
    <row r="3908" spans="2:8" x14ac:dyDescent="0.25">
      <c r="B3908" s="1"/>
      <c r="C3908" s="1"/>
      <c r="D3908" s="1"/>
      <c r="E3908" s="1"/>
      <c r="F3908" s="1"/>
      <c r="H3908" s="1"/>
    </row>
    <row r="3909" spans="2:8" x14ac:dyDescent="0.25">
      <c r="B3909" s="1"/>
      <c r="C3909" s="1"/>
      <c r="D3909" s="1"/>
      <c r="E3909" s="1"/>
      <c r="F3909" s="1"/>
      <c r="H3909" s="1"/>
    </row>
    <row r="3910" spans="2:8" x14ac:dyDescent="0.25">
      <c r="B3910" s="1"/>
      <c r="C3910" s="1"/>
      <c r="D3910" s="1"/>
      <c r="E3910" s="1"/>
      <c r="F3910" s="1"/>
      <c r="H3910" s="1"/>
    </row>
    <row r="3911" spans="2:8" x14ac:dyDescent="0.25">
      <c r="B3911" s="1"/>
      <c r="C3911" s="1"/>
      <c r="D3911" s="1"/>
      <c r="E3911" s="1"/>
      <c r="F3911" s="1"/>
      <c r="H3911" s="1"/>
    </row>
    <row r="3912" spans="2:8" x14ac:dyDescent="0.25">
      <c r="B3912" s="1"/>
      <c r="C3912" s="1"/>
      <c r="D3912" s="1"/>
      <c r="E3912" s="1"/>
      <c r="F3912" s="1"/>
      <c r="H3912" s="1"/>
    </row>
    <row r="3913" spans="2:8" x14ac:dyDescent="0.25">
      <c r="B3913" s="1"/>
      <c r="C3913" s="1"/>
      <c r="D3913" s="1"/>
      <c r="E3913" s="1"/>
      <c r="F3913" s="1"/>
      <c r="H3913" s="1"/>
    </row>
    <row r="3914" spans="2:8" x14ac:dyDescent="0.25">
      <c r="B3914" s="1"/>
      <c r="C3914" s="1"/>
      <c r="D3914" s="1"/>
      <c r="E3914" s="1"/>
      <c r="F3914" s="1"/>
      <c r="H3914" s="1"/>
    </row>
    <row r="3915" spans="2:8" x14ac:dyDescent="0.25">
      <c r="B3915" s="1"/>
      <c r="C3915" s="1"/>
      <c r="D3915" s="1"/>
      <c r="E3915" s="1"/>
      <c r="F3915" s="1"/>
      <c r="H3915" s="1"/>
    </row>
    <row r="3916" spans="2:8" x14ac:dyDescent="0.25">
      <c r="B3916" s="1"/>
      <c r="C3916" s="1"/>
      <c r="D3916" s="1"/>
      <c r="E3916" s="1"/>
      <c r="F3916" s="1"/>
      <c r="H3916" s="1"/>
    </row>
    <row r="3917" spans="2:8" x14ac:dyDescent="0.25">
      <c r="B3917" s="1"/>
      <c r="C3917" s="1"/>
      <c r="D3917" s="1"/>
      <c r="E3917" s="1"/>
      <c r="F3917" s="1"/>
      <c r="H3917" s="1"/>
    </row>
    <row r="3918" spans="2:8" x14ac:dyDescent="0.25">
      <c r="B3918" s="1"/>
      <c r="C3918" s="1"/>
      <c r="D3918" s="1"/>
      <c r="E3918" s="1"/>
      <c r="F3918" s="1"/>
      <c r="H3918" s="1"/>
    </row>
    <row r="3919" spans="2:8" x14ac:dyDescent="0.25">
      <c r="B3919" s="1"/>
      <c r="C3919" s="1"/>
      <c r="D3919" s="1"/>
      <c r="E3919" s="1"/>
      <c r="F3919" s="1"/>
      <c r="H3919" s="1"/>
    </row>
    <row r="3920" spans="2:8" x14ac:dyDescent="0.25">
      <c r="B3920" s="1"/>
      <c r="C3920" s="1"/>
      <c r="D3920" s="1"/>
      <c r="E3920" s="1"/>
      <c r="F3920" s="1"/>
      <c r="H3920" s="1"/>
    </row>
    <row r="3921" spans="2:8" x14ac:dyDescent="0.25">
      <c r="B3921" s="1"/>
      <c r="C3921" s="1"/>
      <c r="D3921" s="1"/>
      <c r="E3921" s="1"/>
      <c r="F3921" s="1"/>
      <c r="H3921" s="1"/>
    </row>
    <row r="3922" spans="2:8" x14ac:dyDescent="0.25">
      <c r="B3922" s="1"/>
      <c r="C3922" s="1"/>
      <c r="D3922" s="1"/>
      <c r="E3922" s="1"/>
      <c r="F3922" s="1"/>
      <c r="H3922" s="1"/>
    </row>
    <row r="3923" spans="2:8" x14ac:dyDescent="0.25">
      <c r="B3923" s="1"/>
      <c r="C3923" s="1"/>
      <c r="D3923" s="1"/>
      <c r="E3923" s="1"/>
      <c r="F3923" s="1"/>
      <c r="H3923" s="1"/>
    </row>
    <row r="3924" spans="2:8" x14ac:dyDescent="0.25">
      <c r="B3924" s="1"/>
      <c r="C3924" s="1"/>
      <c r="D3924" s="1"/>
      <c r="E3924" s="1"/>
      <c r="F3924" s="1"/>
      <c r="H3924" s="1"/>
    </row>
    <row r="3925" spans="2:8" x14ac:dyDescent="0.25">
      <c r="B3925" s="1"/>
      <c r="C3925" s="1"/>
      <c r="D3925" s="1"/>
      <c r="E3925" s="1"/>
      <c r="F3925" s="1"/>
      <c r="H3925" s="1"/>
    </row>
    <row r="3926" spans="2:8" x14ac:dyDescent="0.25">
      <c r="B3926" s="1"/>
      <c r="C3926" s="1"/>
      <c r="D3926" s="1"/>
      <c r="E3926" s="1"/>
      <c r="F3926" s="1"/>
      <c r="H3926" s="1"/>
    </row>
    <row r="3927" spans="2:8" x14ac:dyDescent="0.25">
      <c r="B3927" s="1"/>
      <c r="C3927" s="1"/>
      <c r="D3927" s="1"/>
      <c r="E3927" s="1"/>
      <c r="F3927" s="1"/>
      <c r="H3927" s="1"/>
    </row>
    <row r="3928" spans="2:8" x14ac:dyDescent="0.25">
      <c r="B3928" s="1"/>
      <c r="C3928" s="1"/>
      <c r="D3928" s="1"/>
      <c r="E3928" s="1"/>
      <c r="F3928" s="1"/>
      <c r="H3928" s="1"/>
    </row>
    <row r="3929" spans="2:8" x14ac:dyDescent="0.25">
      <c r="B3929" s="1"/>
      <c r="C3929" s="1"/>
      <c r="D3929" s="1"/>
      <c r="E3929" s="1"/>
      <c r="F3929" s="1"/>
      <c r="H3929" s="1"/>
    </row>
    <row r="3930" spans="2:8" x14ac:dyDescent="0.25">
      <c r="B3930" s="1"/>
      <c r="C3930" s="1"/>
      <c r="D3930" s="1"/>
      <c r="E3930" s="1"/>
      <c r="F3930" s="1"/>
      <c r="H3930" s="1"/>
    </row>
    <row r="3931" spans="2:8" x14ac:dyDescent="0.25">
      <c r="B3931" s="1"/>
      <c r="C3931" s="1"/>
      <c r="D3931" s="1"/>
      <c r="E3931" s="1"/>
      <c r="F3931" s="1"/>
      <c r="H3931" s="1"/>
    </row>
    <row r="3932" spans="2:8" x14ac:dyDescent="0.25">
      <c r="B3932" s="1"/>
      <c r="C3932" s="1"/>
      <c r="D3932" s="1"/>
      <c r="E3932" s="1"/>
      <c r="F3932" s="1"/>
      <c r="H3932" s="1"/>
    </row>
    <row r="3933" spans="2:8" x14ac:dyDescent="0.25">
      <c r="B3933" s="1"/>
      <c r="C3933" s="1"/>
      <c r="D3933" s="1"/>
      <c r="E3933" s="1"/>
      <c r="F3933" s="1"/>
      <c r="H3933" s="1"/>
    </row>
    <row r="3934" spans="2:8" x14ac:dyDescent="0.25">
      <c r="B3934" s="1"/>
      <c r="C3934" s="1"/>
      <c r="D3934" s="1"/>
      <c r="E3934" s="1"/>
      <c r="F3934" s="1"/>
      <c r="H3934" s="1"/>
    </row>
    <row r="3935" spans="2:8" x14ac:dyDescent="0.25">
      <c r="B3935" s="1"/>
      <c r="C3935" s="1"/>
      <c r="D3935" s="1"/>
      <c r="E3935" s="1"/>
      <c r="F3935" s="1"/>
      <c r="H3935" s="1"/>
    </row>
    <row r="3936" spans="2:8" x14ac:dyDescent="0.25">
      <c r="B3936" s="1"/>
      <c r="C3936" s="1"/>
      <c r="D3936" s="1"/>
      <c r="E3936" s="1"/>
      <c r="F3936" s="1"/>
      <c r="H3936" s="1"/>
    </row>
    <row r="3937" spans="2:8" x14ac:dyDescent="0.25">
      <c r="B3937" s="1"/>
      <c r="C3937" s="1"/>
      <c r="D3937" s="1"/>
      <c r="E3937" s="1"/>
      <c r="F3937" s="1"/>
      <c r="H3937" s="1"/>
    </row>
    <row r="3938" spans="2:8" x14ac:dyDescent="0.25">
      <c r="B3938" s="1"/>
      <c r="C3938" s="1"/>
      <c r="D3938" s="1"/>
      <c r="E3938" s="1"/>
      <c r="F3938" s="1"/>
      <c r="H3938" s="1"/>
    </row>
    <row r="3939" spans="2:8" x14ac:dyDescent="0.25">
      <c r="B3939" s="1"/>
      <c r="C3939" s="1"/>
      <c r="D3939" s="1"/>
      <c r="E3939" s="1"/>
      <c r="F3939" s="1"/>
      <c r="H3939" s="1"/>
    </row>
    <row r="3940" spans="2:8" x14ac:dyDescent="0.25">
      <c r="B3940" s="1"/>
      <c r="C3940" s="1"/>
      <c r="D3940" s="1"/>
      <c r="E3940" s="1"/>
      <c r="F3940" s="1"/>
      <c r="H3940" s="1"/>
    </row>
    <row r="3941" spans="2:8" x14ac:dyDescent="0.25">
      <c r="B3941" s="1"/>
      <c r="C3941" s="1"/>
      <c r="D3941" s="1"/>
      <c r="E3941" s="1"/>
      <c r="F3941" s="1"/>
      <c r="H3941" s="1"/>
    </row>
    <row r="3942" spans="2:8" x14ac:dyDescent="0.25">
      <c r="B3942" s="1"/>
      <c r="C3942" s="1"/>
      <c r="D3942" s="1"/>
      <c r="E3942" s="1"/>
      <c r="F3942" s="1"/>
      <c r="H3942" s="1"/>
    </row>
    <row r="3943" spans="2:8" x14ac:dyDescent="0.25">
      <c r="B3943" s="1"/>
      <c r="C3943" s="1"/>
      <c r="D3943" s="1"/>
      <c r="E3943" s="1"/>
      <c r="F3943" s="1"/>
      <c r="H3943" s="1"/>
    </row>
    <row r="3944" spans="2:8" x14ac:dyDescent="0.25">
      <c r="B3944" s="1"/>
      <c r="C3944" s="1"/>
      <c r="D3944" s="1"/>
      <c r="E3944" s="1"/>
      <c r="F3944" s="1"/>
      <c r="H3944" s="1"/>
    </row>
    <row r="3945" spans="2:8" x14ac:dyDescent="0.25">
      <c r="B3945" s="1"/>
      <c r="C3945" s="1"/>
      <c r="D3945" s="1"/>
      <c r="E3945" s="1"/>
      <c r="F3945" s="1"/>
      <c r="H3945" s="1"/>
    </row>
    <row r="3946" spans="2:8" x14ac:dyDescent="0.25">
      <c r="B3946" s="1"/>
      <c r="C3946" s="1"/>
      <c r="D3946" s="1"/>
      <c r="E3946" s="1"/>
      <c r="F3946" s="1"/>
      <c r="H3946" s="1"/>
    </row>
    <row r="3947" spans="2:8" x14ac:dyDescent="0.25">
      <c r="B3947" s="1"/>
      <c r="C3947" s="1"/>
      <c r="D3947" s="1"/>
      <c r="E3947" s="1"/>
      <c r="F3947" s="1"/>
      <c r="H3947" s="1"/>
    </row>
    <row r="3948" spans="2:8" x14ac:dyDescent="0.25">
      <c r="B3948" s="1"/>
      <c r="C3948" s="1"/>
      <c r="D3948" s="1"/>
      <c r="E3948" s="1"/>
      <c r="F3948" s="1"/>
      <c r="H3948" s="1"/>
    </row>
    <row r="3949" spans="2:8" x14ac:dyDescent="0.25">
      <c r="B3949" s="1"/>
      <c r="C3949" s="1"/>
      <c r="D3949" s="1"/>
      <c r="E3949" s="1"/>
      <c r="F3949" s="1"/>
      <c r="H3949" s="1"/>
    </row>
    <row r="3950" spans="2:8" x14ac:dyDescent="0.25">
      <c r="B3950" s="1"/>
      <c r="C3950" s="1"/>
      <c r="D3950" s="1"/>
      <c r="E3950" s="1"/>
      <c r="F3950" s="1"/>
      <c r="H3950" s="1"/>
    </row>
    <row r="3951" spans="2:8" x14ac:dyDescent="0.25">
      <c r="B3951" s="1"/>
      <c r="C3951" s="1"/>
      <c r="D3951" s="1"/>
      <c r="E3951" s="1"/>
      <c r="F3951" s="1"/>
      <c r="H3951" s="1"/>
    </row>
    <row r="3952" spans="2:8" x14ac:dyDescent="0.25">
      <c r="B3952" s="1"/>
      <c r="C3952" s="1"/>
      <c r="D3952" s="1"/>
      <c r="E3952" s="1"/>
      <c r="F3952" s="1"/>
      <c r="H3952" s="1"/>
    </row>
    <row r="3953" spans="2:8" x14ac:dyDescent="0.25">
      <c r="B3953" s="1"/>
      <c r="C3953" s="1"/>
      <c r="D3953" s="1"/>
      <c r="E3953" s="1"/>
      <c r="F3953" s="1"/>
      <c r="H3953" s="1"/>
    </row>
    <row r="3954" spans="2:8" x14ac:dyDescent="0.25">
      <c r="B3954" s="1"/>
      <c r="C3954" s="1"/>
      <c r="D3954" s="1"/>
      <c r="E3954" s="1"/>
      <c r="F3954" s="1"/>
      <c r="H3954" s="1"/>
    </row>
    <row r="3955" spans="2:8" x14ac:dyDescent="0.25">
      <c r="B3955" s="1"/>
      <c r="C3955" s="1"/>
      <c r="D3955" s="1"/>
      <c r="E3955" s="1"/>
      <c r="F3955" s="1"/>
      <c r="H3955" s="1"/>
    </row>
    <row r="3956" spans="2:8" x14ac:dyDescent="0.25">
      <c r="B3956" s="1"/>
      <c r="C3956" s="1"/>
      <c r="D3956" s="1"/>
      <c r="E3956" s="1"/>
      <c r="F3956" s="1"/>
      <c r="H3956" s="1"/>
    </row>
    <row r="3957" spans="2:8" x14ac:dyDescent="0.25">
      <c r="B3957" s="1"/>
      <c r="C3957" s="1"/>
      <c r="D3957" s="1"/>
      <c r="E3957" s="1"/>
      <c r="F3957" s="1"/>
      <c r="H3957" s="1"/>
    </row>
    <row r="3958" spans="2:8" x14ac:dyDescent="0.25">
      <c r="B3958" s="1"/>
      <c r="C3958" s="1"/>
      <c r="D3958" s="1"/>
      <c r="E3958" s="1"/>
      <c r="F3958" s="1"/>
      <c r="H3958" s="1"/>
    </row>
    <row r="3959" spans="2:8" x14ac:dyDescent="0.25">
      <c r="B3959" s="1"/>
      <c r="C3959" s="1"/>
      <c r="D3959" s="1"/>
      <c r="E3959" s="1"/>
      <c r="F3959" s="1"/>
      <c r="H3959" s="1"/>
    </row>
    <row r="3960" spans="2:8" x14ac:dyDescent="0.25">
      <c r="B3960" s="1"/>
      <c r="C3960" s="1"/>
      <c r="D3960" s="1"/>
      <c r="E3960" s="1"/>
      <c r="F3960" s="1"/>
      <c r="H3960" s="1"/>
    </row>
    <row r="3961" spans="2:8" x14ac:dyDescent="0.25">
      <c r="B3961" s="1"/>
      <c r="C3961" s="1"/>
      <c r="D3961" s="1"/>
      <c r="E3961" s="1"/>
      <c r="F3961" s="1"/>
      <c r="H3961" s="1"/>
    </row>
    <row r="3962" spans="2:8" x14ac:dyDescent="0.25">
      <c r="B3962" s="1"/>
      <c r="C3962" s="1"/>
      <c r="D3962" s="1"/>
      <c r="E3962" s="1"/>
      <c r="F3962" s="1"/>
      <c r="H3962" s="1"/>
    </row>
    <row r="3963" spans="2:8" x14ac:dyDescent="0.25">
      <c r="B3963" s="1"/>
      <c r="C3963" s="1"/>
      <c r="D3963" s="1"/>
      <c r="E3963" s="1"/>
      <c r="F3963" s="1"/>
      <c r="H3963" s="1"/>
    </row>
    <row r="3964" spans="2:8" x14ac:dyDescent="0.25">
      <c r="B3964" s="1"/>
      <c r="C3964" s="1"/>
      <c r="D3964" s="1"/>
      <c r="E3964" s="1"/>
      <c r="F3964" s="1"/>
      <c r="H3964" s="1"/>
    </row>
    <row r="3965" spans="2:8" x14ac:dyDescent="0.25">
      <c r="B3965" s="1"/>
      <c r="C3965" s="1"/>
      <c r="D3965" s="1"/>
      <c r="E3965" s="1"/>
      <c r="F3965" s="1"/>
      <c r="H3965" s="1"/>
    </row>
    <row r="3966" spans="2:8" x14ac:dyDescent="0.25">
      <c r="B3966" s="1"/>
      <c r="C3966" s="1"/>
      <c r="D3966" s="1"/>
      <c r="E3966" s="1"/>
      <c r="F3966" s="1"/>
      <c r="H3966" s="1"/>
    </row>
    <row r="3967" spans="2:8" x14ac:dyDescent="0.25">
      <c r="B3967" s="1"/>
      <c r="C3967" s="1"/>
      <c r="D3967" s="1"/>
      <c r="E3967" s="1"/>
      <c r="F3967" s="1"/>
      <c r="H3967" s="1"/>
    </row>
    <row r="3968" spans="2:8" x14ac:dyDescent="0.25">
      <c r="B3968" s="1"/>
      <c r="C3968" s="1"/>
      <c r="D3968" s="1"/>
      <c r="E3968" s="1"/>
      <c r="F3968" s="1"/>
      <c r="H3968" s="1"/>
    </row>
    <row r="3969" spans="2:8" x14ac:dyDescent="0.25">
      <c r="B3969" s="1"/>
      <c r="C3969" s="1"/>
      <c r="D3969" s="1"/>
      <c r="E3969" s="1"/>
      <c r="F3969" s="1"/>
      <c r="H3969" s="1"/>
    </row>
    <row r="3970" spans="2:8" x14ac:dyDescent="0.25">
      <c r="B3970" s="1"/>
      <c r="C3970" s="1"/>
      <c r="D3970" s="1"/>
      <c r="E3970" s="1"/>
      <c r="F3970" s="1"/>
      <c r="H3970" s="1"/>
    </row>
    <row r="3971" spans="2:8" x14ac:dyDescent="0.25">
      <c r="B3971" s="1"/>
      <c r="C3971" s="1"/>
      <c r="D3971" s="1"/>
      <c r="E3971" s="1"/>
      <c r="F3971" s="1"/>
      <c r="H3971" s="1"/>
    </row>
    <row r="3972" spans="2:8" x14ac:dyDescent="0.25">
      <c r="B3972" s="1"/>
      <c r="C3972" s="1"/>
      <c r="D3972" s="1"/>
      <c r="E3972" s="1"/>
      <c r="F3972" s="1"/>
      <c r="H3972" s="1"/>
    </row>
    <row r="3973" spans="2:8" x14ac:dyDescent="0.25">
      <c r="B3973" s="1"/>
      <c r="C3973" s="1"/>
      <c r="D3973" s="1"/>
      <c r="E3973" s="1"/>
      <c r="F3973" s="1"/>
      <c r="H3973" s="1"/>
    </row>
    <row r="3974" spans="2:8" x14ac:dyDescent="0.25">
      <c r="B3974" s="1"/>
      <c r="C3974" s="1"/>
      <c r="D3974" s="1"/>
      <c r="E3974" s="1"/>
      <c r="F3974" s="1"/>
      <c r="H3974" s="1"/>
    </row>
    <row r="3975" spans="2:8" x14ac:dyDescent="0.25">
      <c r="B3975" s="1"/>
      <c r="C3975" s="1"/>
      <c r="D3975" s="1"/>
      <c r="E3975" s="1"/>
      <c r="F3975" s="1"/>
      <c r="H3975" s="1"/>
    </row>
    <row r="3976" spans="2:8" x14ac:dyDescent="0.25">
      <c r="B3976" s="1"/>
      <c r="C3976" s="1"/>
      <c r="D3976" s="1"/>
      <c r="E3976" s="1"/>
      <c r="F3976" s="1"/>
      <c r="H3976" s="1"/>
    </row>
    <row r="3977" spans="2:8" x14ac:dyDescent="0.25">
      <c r="B3977" s="1"/>
      <c r="C3977" s="1"/>
      <c r="D3977" s="1"/>
      <c r="E3977" s="1"/>
      <c r="F3977" s="1"/>
      <c r="H3977" s="1"/>
    </row>
    <row r="3978" spans="2:8" x14ac:dyDescent="0.25">
      <c r="B3978" s="1"/>
      <c r="C3978" s="1"/>
      <c r="D3978" s="1"/>
      <c r="E3978" s="1"/>
      <c r="F3978" s="1"/>
      <c r="H3978" s="1"/>
    </row>
    <row r="3979" spans="2:8" x14ac:dyDescent="0.25">
      <c r="B3979" s="1"/>
      <c r="C3979" s="1"/>
      <c r="D3979" s="1"/>
      <c r="E3979" s="1"/>
      <c r="F3979" s="1"/>
      <c r="H3979" s="1"/>
    </row>
    <row r="3980" spans="2:8" x14ac:dyDescent="0.25">
      <c r="B3980" s="1"/>
      <c r="C3980" s="1"/>
      <c r="D3980" s="1"/>
      <c r="E3980" s="1"/>
      <c r="F3980" s="1"/>
      <c r="H3980" s="1"/>
    </row>
    <row r="3981" spans="2:8" x14ac:dyDescent="0.25">
      <c r="B3981" s="1"/>
      <c r="C3981" s="1"/>
      <c r="D3981" s="1"/>
      <c r="E3981" s="1"/>
      <c r="F3981" s="1"/>
      <c r="H3981" s="1"/>
    </row>
    <row r="3982" spans="2:8" x14ac:dyDescent="0.25">
      <c r="B3982" s="1"/>
      <c r="C3982" s="1"/>
      <c r="D3982" s="1"/>
      <c r="E3982" s="1"/>
      <c r="F3982" s="1"/>
      <c r="H3982" s="1"/>
    </row>
    <row r="3983" spans="2:8" x14ac:dyDescent="0.25">
      <c r="B3983" s="1"/>
      <c r="C3983" s="1"/>
      <c r="D3983" s="1"/>
      <c r="E3983" s="1"/>
      <c r="F3983" s="1"/>
      <c r="H3983" s="1"/>
    </row>
    <row r="3984" spans="2:8" x14ac:dyDescent="0.25">
      <c r="B3984" s="1"/>
      <c r="C3984" s="1"/>
      <c r="D3984" s="1"/>
      <c r="E3984" s="1"/>
      <c r="F3984" s="1"/>
      <c r="H3984" s="1"/>
    </row>
    <row r="3985" spans="2:8" x14ac:dyDescent="0.25">
      <c r="B3985" s="1"/>
      <c r="C3985" s="1"/>
      <c r="D3985" s="1"/>
      <c r="E3985" s="1"/>
      <c r="F3985" s="1"/>
      <c r="H3985" s="1"/>
    </row>
    <row r="3986" spans="2:8" x14ac:dyDescent="0.25">
      <c r="B3986" s="1"/>
      <c r="C3986" s="1"/>
      <c r="D3986" s="1"/>
      <c r="E3986" s="1"/>
      <c r="F3986" s="1"/>
      <c r="H3986" s="1"/>
    </row>
    <row r="3987" spans="2:8" x14ac:dyDescent="0.25">
      <c r="B3987" s="1"/>
      <c r="C3987" s="1"/>
      <c r="D3987" s="1"/>
      <c r="E3987" s="1"/>
      <c r="F3987" s="1"/>
      <c r="H3987" s="1"/>
    </row>
    <row r="3988" spans="2:8" x14ac:dyDescent="0.25">
      <c r="B3988" s="1"/>
      <c r="C3988" s="1"/>
      <c r="D3988" s="1"/>
      <c r="E3988" s="1"/>
      <c r="F3988" s="1"/>
      <c r="H3988" s="1"/>
    </row>
    <row r="3989" spans="2:8" x14ac:dyDescent="0.25">
      <c r="B3989" s="1"/>
      <c r="C3989" s="1"/>
      <c r="D3989" s="1"/>
      <c r="E3989" s="1"/>
      <c r="F3989" s="1"/>
      <c r="H3989" s="1"/>
    </row>
    <row r="3990" spans="2:8" x14ac:dyDescent="0.25">
      <c r="B3990" s="1"/>
      <c r="C3990" s="1"/>
      <c r="D3990" s="1"/>
      <c r="E3990" s="1"/>
      <c r="F3990" s="1"/>
      <c r="H3990" s="1"/>
    </row>
    <row r="3991" spans="2:8" x14ac:dyDescent="0.25">
      <c r="B3991" s="1"/>
      <c r="C3991" s="1"/>
      <c r="D3991" s="1"/>
      <c r="E3991" s="1"/>
      <c r="F3991" s="1"/>
      <c r="H3991" s="1"/>
    </row>
    <row r="3992" spans="2:8" x14ac:dyDescent="0.25">
      <c r="B3992" s="1"/>
      <c r="C3992" s="1"/>
      <c r="D3992" s="1"/>
      <c r="E3992" s="1"/>
      <c r="F3992" s="1"/>
      <c r="H3992" s="1"/>
    </row>
    <row r="3993" spans="2:8" x14ac:dyDescent="0.25">
      <c r="B3993" s="1"/>
      <c r="C3993" s="1"/>
      <c r="D3993" s="1"/>
      <c r="E3993" s="1"/>
      <c r="F3993" s="1"/>
      <c r="H3993" s="1"/>
    </row>
    <row r="3994" spans="2:8" x14ac:dyDescent="0.25">
      <c r="B3994" s="1"/>
      <c r="C3994" s="1"/>
      <c r="D3994" s="1"/>
      <c r="E3994" s="1"/>
      <c r="F3994" s="1"/>
      <c r="H3994" s="1"/>
    </row>
    <row r="3995" spans="2:8" x14ac:dyDescent="0.25">
      <c r="B3995" s="1"/>
      <c r="C3995" s="1"/>
      <c r="D3995" s="1"/>
      <c r="E3995" s="1"/>
      <c r="F3995" s="1"/>
      <c r="H3995" s="1"/>
    </row>
    <row r="3996" spans="2:8" x14ac:dyDescent="0.25">
      <c r="B3996" s="1"/>
      <c r="C3996" s="1"/>
      <c r="D3996" s="1"/>
      <c r="E3996" s="1"/>
      <c r="F3996" s="1"/>
      <c r="H3996" s="1"/>
    </row>
    <row r="3997" spans="2:8" x14ac:dyDescent="0.25">
      <c r="B3997" s="1"/>
      <c r="C3997" s="1"/>
      <c r="D3997" s="1"/>
      <c r="E3997" s="1"/>
      <c r="F3997" s="1"/>
      <c r="H3997" s="1"/>
    </row>
    <row r="3998" spans="2:8" x14ac:dyDescent="0.25">
      <c r="B3998" s="1"/>
      <c r="C3998" s="1"/>
      <c r="D3998" s="1"/>
      <c r="E3998" s="1"/>
      <c r="F3998" s="1"/>
      <c r="H3998" s="1"/>
    </row>
    <row r="3999" spans="2:8" x14ac:dyDescent="0.25">
      <c r="B3999" s="1"/>
      <c r="C3999" s="1"/>
      <c r="D3999" s="1"/>
      <c r="E3999" s="1"/>
      <c r="F3999" s="1"/>
      <c r="H3999" s="1"/>
    </row>
    <row r="4000" spans="2:8" x14ac:dyDescent="0.25">
      <c r="B4000" s="1"/>
      <c r="C4000" s="1"/>
      <c r="D4000" s="1"/>
      <c r="E4000" s="1"/>
      <c r="F4000" s="1"/>
      <c r="H4000" s="1"/>
    </row>
    <row r="4001" spans="2:8" x14ac:dyDescent="0.25">
      <c r="B4001" s="1"/>
      <c r="C4001" s="1"/>
      <c r="D4001" s="1"/>
      <c r="E4001" s="1"/>
      <c r="F4001" s="1"/>
      <c r="H4001" s="1"/>
    </row>
    <row r="4002" spans="2:8" x14ac:dyDescent="0.25">
      <c r="B4002" s="1"/>
      <c r="C4002" s="1"/>
      <c r="D4002" s="1"/>
      <c r="E4002" s="1"/>
      <c r="F4002" s="1"/>
      <c r="H4002" s="1"/>
    </row>
    <row r="4003" spans="2:8" x14ac:dyDescent="0.25">
      <c r="B4003" s="1"/>
      <c r="C4003" s="1"/>
      <c r="D4003" s="1"/>
      <c r="E4003" s="1"/>
      <c r="F4003" s="1"/>
      <c r="H4003" s="1"/>
    </row>
    <row r="4004" spans="2:8" x14ac:dyDescent="0.25">
      <c r="B4004" s="1"/>
      <c r="C4004" s="1"/>
      <c r="D4004" s="1"/>
      <c r="E4004" s="1"/>
      <c r="F4004" s="1"/>
      <c r="H4004" s="1"/>
    </row>
    <row r="4005" spans="2:8" x14ac:dyDescent="0.25">
      <c r="B4005" s="1"/>
      <c r="C4005" s="1"/>
      <c r="D4005" s="1"/>
      <c r="E4005" s="1"/>
      <c r="F4005" s="1"/>
      <c r="H4005" s="1"/>
    </row>
    <row r="4006" spans="2:8" x14ac:dyDescent="0.25">
      <c r="B4006" s="1"/>
      <c r="C4006" s="1"/>
      <c r="D4006" s="1"/>
      <c r="E4006" s="1"/>
      <c r="F4006" s="1"/>
      <c r="H4006" s="1"/>
    </row>
    <row r="4007" spans="2:8" x14ac:dyDescent="0.25">
      <c r="B4007" s="1"/>
      <c r="C4007" s="1"/>
      <c r="D4007" s="1"/>
      <c r="E4007" s="1"/>
      <c r="F4007" s="1"/>
      <c r="H4007" s="1"/>
    </row>
    <row r="4008" spans="2:8" x14ac:dyDescent="0.25">
      <c r="B4008" s="1"/>
      <c r="C4008" s="1"/>
      <c r="D4008" s="1"/>
      <c r="E4008" s="1"/>
      <c r="F4008" s="1"/>
      <c r="H4008" s="1"/>
    </row>
    <row r="4009" spans="2:8" x14ac:dyDescent="0.25">
      <c r="B4009" s="1"/>
      <c r="C4009" s="1"/>
      <c r="D4009" s="1"/>
      <c r="E4009" s="1"/>
      <c r="F4009" s="1"/>
      <c r="H4009" s="1"/>
    </row>
    <row r="4010" spans="2:8" x14ac:dyDescent="0.25">
      <c r="B4010" s="1"/>
      <c r="C4010" s="1"/>
      <c r="D4010" s="1"/>
      <c r="E4010" s="1"/>
      <c r="F4010" s="1"/>
      <c r="H4010" s="1"/>
    </row>
    <row r="4011" spans="2:8" x14ac:dyDescent="0.25">
      <c r="B4011" s="1"/>
      <c r="C4011" s="1"/>
      <c r="D4011" s="1"/>
      <c r="E4011" s="1"/>
      <c r="F4011" s="1"/>
      <c r="H4011" s="1"/>
    </row>
    <row r="4012" spans="2:8" x14ac:dyDescent="0.25">
      <c r="B4012" s="1"/>
      <c r="C4012" s="1"/>
      <c r="D4012" s="1"/>
      <c r="E4012" s="1"/>
      <c r="F4012" s="1"/>
      <c r="H4012" s="1"/>
    </row>
    <row r="4013" spans="2:8" x14ac:dyDescent="0.25">
      <c r="B4013" s="1"/>
      <c r="C4013" s="1"/>
      <c r="D4013" s="1"/>
      <c r="E4013" s="1"/>
      <c r="F4013" s="1"/>
      <c r="H4013" s="1"/>
    </row>
    <row r="4014" spans="2:8" x14ac:dyDescent="0.25">
      <c r="B4014" s="1"/>
      <c r="C4014" s="1"/>
      <c r="D4014" s="1"/>
      <c r="E4014" s="1"/>
      <c r="F4014" s="1"/>
      <c r="H4014" s="1"/>
    </row>
    <row r="4015" spans="2:8" x14ac:dyDescent="0.25">
      <c r="B4015" s="1"/>
      <c r="C4015" s="1"/>
      <c r="D4015" s="1"/>
      <c r="E4015" s="1"/>
      <c r="F4015" s="1"/>
      <c r="H4015" s="1"/>
    </row>
    <row r="4016" spans="2:8" x14ac:dyDescent="0.25">
      <c r="B4016" s="1"/>
      <c r="C4016" s="1"/>
      <c r="D4016" s="1"/>
      <c r="E4016" s="1"/>
      <c r="F4016" s="1"/>
      <c r="H4016" s="1"/>
    </row>
    <row r="4017" spans="2:8" x14ac:dyDescent="0.25">
      <c r="B4017" s="1"/>
      <c r="C4017" s="1"/>
      <c r="D4017" s="1"/>
      <c r="E4017" s="1"/>
      <c r="F4017" s="1"/>
      <c r="H4017" s="1"/>
    </row>
    <row r="4018" spans="2:8" x14ac:dyDescent="0.25">
      <c r="B4018" s="1"/>
      <c r="C4018" s="1"/>
      <c r="D4018" s="1"/>
      <c r="E4018" s="1"/>
      <c r="F4018" s="1"/>
      <c r="H4018" s="1"/>
    </row>
    <row r="4019" spans="2:8" x14ac:dyDescent="0.25">
      <c r="B4019" s="1"/>
      <c r="C4019" s="1"/>
      <c r="D4019" s="1"/>
      <c r="E4019" s="1"/>
      <c r="F4019" s="1"/>
      <c r="H4019" s="1"/>
    </row>
    <row r="4020" spans="2:8" x14ac:dyDescent="0.25">
      <c r="B4020" s="1"/>
      <c r="C4020" s="1"/>
      <c r="D4020" s="1"/>
      <c r="E4020" s="1"/>
      <c r="F4020" s="1"/>
      <c r="H4020" s="1"/>
    </row>
    <row r="4021" spans="2:8" x14ac:dyDescent="0.25">
      <c r="B4021" s="1"/>
      <c r="C4021" s="1"/>
      <c r="D4021" s="1"/>
      <c r="E4021" s="1"/>
      <c r="F4021" s="1"/>
      <c r="H4021" s="1"/>
    </row>
    <row r="4022" spans="2:8" x14ac:dyDescent="0.25">
      <c r="B4022" s="1"/>
      <c r="C4022" s="1"/>
      <c r="D4022" s="1"/>
      <c r="E4022" s="1"/>
      <c r="F4022" s="1"/>
      <c r="H4022" s="1"/>
    </row>
    <row r="4023" spans="2:8" x14ac:dyDescent="0.25">
      <c r="B4023" s="1"/>
      <c r="C4023" s="1"/>
      <c r="D4023" s="1"/>
      <c r="E4023" s="1"/>
      <c r="F4023" s="1"/>
      <c r="H4023" s="1"/>
    </row>
    <row r="4024" spans="2:8" x14ac:dyDescent="0.25">
      <c r="B4024" s="1"/>
      <c r="C4024" s="1"/>
      <c r="D4024" s="1"/>
      <c r="E4024" s="1"/>
      <c r="F4024" s="1"/>
      <c r="H4024" s="1"/>
    </row>
    <row r="4025" spans="2:8" x14ac:dyDescent="0.25">
      <c r="B4025" s="1"/>
      <c r="C4025" s="1"/>
      <c r="D4025" s="1"/>
      <c r="E4025" s="1"/>
      <c r="F4025" s="1"/>
      <c r="H4025" s="1"/>
    </row>
    <row r="4026" spans="2:8" x14ac:dyDescent="0.25">
      <c r="B4026" s="1"/>
      <c r="C4026" s="1"/>
      <c r="D4026" s="1"/>
      <c r="E4026" s="1"/>
      <c r="F4026" s="1"/>
      <c r="H4026" s="1"/>
    </row>
    <row r="4027" spans="2:8" x14ac:dyDescent="0.25">
      <c r="B4027" s="1"/>
      <c r="C4027" s="1"/>
      <c r="D4027" s="1"/>
      <c r="E4027" s="1"/>
      <c r="F4027" s="1"/>
      <c r="H4027" s="1"/>
    </row>
    <row r="4028" spans="2:8" x14ac:dyDescent="0.25">
      <c r="B4028" s="1"/>
      <c r="C4028" s="1"/>
      <c r="D4028" s="1"/>
      <c r="E4028" s="1"/>
      <c r="F4028" s="1"/>
      <c r="H4028" s="1"/>
    </row>
    <row r="4029" spans="2:8" x14ac:dyDescent="0.25">
      <c r="B4029" s="1"/>
      <c r="C4029" s="1"/>
      <c r="D4029" s="1"/>
      <c r="E4029" s="1"/>
      <c r="F4029" s="1"/>
      <c r="H4029" s="1"/>
    </row>
    <row r="4030" spans="2:8" x14ac:dyDescent="0.25">
      <c r="B4030" s="1"/>
      <c r="C4030" s="1"/>
      <c r="D4030" s="1"/>
      <c r="E4030" s="1"/>
      <c r="F4030" s="1"/>
      <c r="H4030" s="1"/>
    </row>
    <row r="4031" spans="2:8" x14ac:dyDescent="0.25">
      <c r="B4031" s="1"/>
      <c r="C4031" s="1"/>
      <c r="D4031" s="1"/>
      <c r="E4031" s="1"/>
      <c r="F4031" s="1"/>
      <c r="H4031" s="1"/>
    </row>
    <row r="4032" spans="2:8" x14ac:dyDescent="0.25">
      <c r="B4032" s="1"/>
      <c r="C4032" s="1"/>
      <c r="D4032" s="1"/>
      <c r="E4032" s="1"/>
      <c r="F4032" s="1"/>
      <c r="H4032" s="1"/>
    </row>
    <row r="4033" spans="2:8" x14ac:dyDescent="0.25">
      <c r="B4033" s="1"/>
      <c r="C4033" s="1"/>
      <c r="D4033" s="1"/>
      <c r="E4033" s="1"/>
      <c r="F4033" s="1"/>
      <c r="H4033" s="1"/>
    </row>
    <row r="4034" spans="2:8" x14ac:dyDescent="0.25">
      <c r="B4034" s="1"/>
      <c r="C4034" s="1"/>
      <c r="D4034" s="1"/>
      <c r="E4034" s="1"/>
      <c r="F4034" s="1"/>
      <c r="H4034" s="1"/>
    </row>
    <row r="4035" spans="2:8" x14ac:dyDescent="0.25">
      <c r="B4035" s="1"/>
      <c r="C4035" s="1"/>
      <c r="D4035" s="1"/>
      <c r="E4035" s="1"/>
      <c r="F4035" s="1"/>
      <c r="H4035" s="1"/>
    </row>
    <row r="4036" spans="2:8" x14ac:dyDescent="0.25">
      <c r="B4036" s="1"/>
      <c r="C4036" s="1"/>
      <c r="D4036" s="1"/>
      <c r="E4036" s="1"/>
      <c r="F4036" s="1"/>
      <c r="H4036" s="1"/>
    </row>
    <row r="4037" spans="2:8" x14ac:dyDescent="0.25">
      <c r="B4037" s="1"/>
      <c r="C4037" s="1"/>
      <c r="D4037" s="1"/>
      <c r="E4037" s="1"/>
      <c r="F4037" s="1"/>
      <c r="H4037" s="1"/>
    </row>
    <row r="4038" spans="2:8" x14ac:dyDescent="0.25">
      <c r="B4038" s="1"/>
      <c r="C4038" s="1"/>
      <c r="D4038" s="1"/>
      <c r="E4038" s="1"/>
      <c r="F4038" s="1"/>
      <c r="H4038" s="1"/>
    </row>
    <row r="4039" spans="2:8" x14ac:dyDescent="0.25">
      <c r="B4039" s="1"/>
      <c r="C4039" s="1"/>
      <c r="D4039" s="1"/>
      <c r="E4039" s="1"/>
      <c r="F4039" s="1"/>
      <c r="H4039" s="1"/>
    </row>
    <row r="4040" spans="2:8" x14ac:dyDescent="0.25">
      <c r="B4040" s="1"/>
      <c r="C4040" s="1"/>
      <c r="D4040" s="1"/>
      <c r="E4040" s="1"/>
      <c r="F4040" s="1"/>
      <c r="H4040" s="1"/>
    </row>
    <row r="4041" spans="2:8" x14ac:dyDescent="0.25">
      <c r="B4041" s="1"/>
      <c r="C4041" s="1"/>
      <c r="D4041" s="1"/>
      <c r="E4041" s="1"/>
      <c r="F4041" s="1"/>
      <c r="H4041" s="1"/>
    </row>
    <row r="4042" spans="2:8" x14ac:dyDescent="0.25">
      <c r="B4042" s="1"/>
      <c r="C4042" s="1"/>
      <c r="D4042" s="1"/>
      <c r="E4042" s="1"/>
      <c r="F4042" s="1"/>
      <c r="H4042" s="1"/>
    </row>
    <row r="4043" spans="2:8" x14ac:dyDescent="0.25">
      <c r="B4043" s="1"/>
      <c r="C4043" s="1"/>
      <c r="D4043" s="1"/>
      <c r="E4043" s="1"/>
      <c r="F4043" s="1"/>
      <c r="H4043" s="1"/>
    </row>
    <row r="4044" spans="2:8" x14ac:dyDescent="0.25">
      <c r="B4044" s="1"/>
      <c r="C4044" s="1"/>
      <c r="D4044" s="1"/>
      <c r="E4044" s="1"/>
      <c r="F4044" s="1"/>
      <c r="H4044" s="1"/>
    </row>
    <row r="4045" spans="2:8" x14ac:dyDescent="0.25">
      <c r="B4045" s="1"/>
      <c r="C4045" s="1"/>
      <c r="D4045" s="1"/>
      <c r="E4045" s="1"/>
      <c r="F4045" s="1"/>
      <c r="H4045" s="1"/>
    </row>
    <row r="4046" spans="2:8" x14ac:dyDescent="0.25">
      <c r="B4046" s="1"/>
      <c r="C4046" s="1"/>
      <c r="D4046" s="1"/>
      <c r="E4046" s="1"/>
      <c r="F4046" s="1"/>
      <c r="H4046" s="1"/>
    </row>
    <row r="4047" spans="2:8" x14ac:dyDescent="0.25">
      <c r="B4047" s="1"/>
      <c r="C4047" s="1"/>
      <c r="D4047" s="1"/>
      <c r="E4047" s="1"/>
      <c r="F4047" s="1"/>
      <c r="H4047" s="1"/>
    </row>
    <row r="4048" spans="2:8" x14ac:dyDescent="0.25">
      <c r="B4048" s="1"/>
      <c r="C4048" s="1"/>
      <c r="D4048" s="1"/>
      <c r="E4048" s="1"/>
      <c r="F4048" s="1"/>
      <c r="H4048" s="1"/>
    </row>
    <row r="4049" spans="2:8" x14ac:dyDescent="0.25">
      <c r="B4049" s="1"/>
      <c r="C4049" s="1"/>
      <c r="D4049" s="1"/>
      <c r="E4049" s="1"/>
      <c r="F4049" s="1"/>
      <c r="H4049" s="1"/>
    </row>
    <row r="4050" spans="2:8" x14ac:dyDescent="0.25">
      <c r="B4050" s="1"/>
      <c r="C4050" s="1"/>
      <c r="D4050" s="1"/>
      <c r="E4050" s="1"/>
      <c r="F4050" s="1"/>
      <c r="H4050" s="1"/>
    </row>
    <row r="4051" spans="2:8" x14ac:dyDescent="0.25">
      <c r="B4051" s="1"/>
      <c r="C4051" s="1"/>
      <c r="D4051" s="1"/>
      <c r="E4051" s="1"/>
      <c r="F4051" s="1"/>
      <c r="H4051" s="1"/>
    </row>
    <row r="4052" spans="2:8" x14ac:dyDescent="0.25">
      <c r="B4052" s="1"/>
      <c r="C4052" s="1"/>
      <c r="D4052" s="1"/>
      <c r="E4052" s="1"/>
      <c r="F4052" s="1"/>
      <c r="H4052" s="1"/>
    </row>
    <row r="4053" spans="2:8" x14ac:dyDescent="0.25">
      <c r="B4053" s="1"/>
      <c r="C4053" s="1"/>
      <c r="D4053" s="1"/>
      <c r="E4053" s="1"/>
      <c r="F4053" s="1"/>
      <c r="H4053" s="1"/>
    </row>
    <row r="4054" spans="2:8" x14ac:dyDescent="0.25">
      <c r="B4054" s="1"/>
      <c r="C4054" s="1"/>
      <c r="D4054" s="1"/>
      <c r="E4054" s="1"/>
      <c r="F4054" s="1"/>
      <c r="H4054" s="1"/>
    </row>
    <row r="4055" spans="2:8" x14ac:dyDescent="0.25">
      <c r="B4055" s="1"/>
      <c r="C4055" s="1"/>
      <c r="D4055" s="1"/>
      <c r="E4055" s="1"/>
      <c r="F4055" s="1"/>
      <c r="H4055" s="1"/>
    </row>
    <row r="4056" spans="2:8" x14ac:dyDescent="0.25">
      <c r="B4056" s="1"/>
      <c r="C4056" s="1"/>
      <c r="D4056" s="1"/>
      <c r="E4056" s="1"/>
      <c r="F4056" s="1"/>
      <c r="H4056" s="1"/>
    </row>
    <row r="4057" spans="2:8" x14ac:dyDescent="0.25">
      <c r="B4057" s="1"/>
      <c r="C4057" s="1"/>
      <c r="D4057" s="1"/>
      <c r="E4057" s="1"/>
      <c r="F4057" s="1"/>
      <c r="H4057" s="1"/>
    </row>
    <row r="4058" spans="2:8" x14ac:dyDescent="0.25">
      <c r="B4058" s="1"/>
      <c r="C4058" s="1"/>
      <c r="D4058" s="1"/>
      <c r="E4058" s="1"/>
      <c r="F4058" s="1"/>
      <c r="H4058" s="1"/>
    </row>
    <row r="4059" spans="2:8" x14ac:dyDescent="0.25">
      <c r="B4059" s="1"/>
      <c r="C4059" s="1"/>
      <c r="D4059" s="1"/>
      <c r="E4059" s="1"/>
      <c r="F4059" s="1"/>
      <c r="H4059" s="1"/>
    </row>
    <row r="4060" spans="2:8" x14ac:dyDescent="0.25">
      <c r="B4060" s="1"/>
      <c r="C4060" s="1"/>
      <c r="D4060" s="1"/>
      <c r="E4060" s="1"/>
      <c r="F4060" s="1"/>
      <c r="H4060" s="1"/>
    </row>
    <row r="4061" spans="2:8" x14ac:dyDescent="0.25">
      <c r="B4061" s="1"/>
      <c r="C4061" s="1"/>
      <c r="D4061" s="1"/>
      <c r="E4061" s="1"/>
      <c r="F4061" s="1"/>
      <c r="H4061" s="1"/>
    </row>
    <row r="4062" spans="2:8" x14ac:dyDescent="0.25">
      <c r="B4062" s="1"/>
      <c r="C4062" s="1"/>
      <c r="D4062" s="1"/>
      <c r="E4062" s="1"/>
      <c r="F4062" s="1"/>
      <c r="H4062" s="1"/>
    </row>
    <row r="4063" spans="2:8" x14ac:dyDescent="0.25">
      <c r="B4063" s="1"/>
      <c r="C4063" s="1"/>
      <c r="D4063" s="1"/>
      <c r="E4063" s="1"/>
      <c r="F4063" s="1"/>
      <c r="H4063" s="1"/>
    </row>
    <row r="4064" spans="2:8" x14ac:dyDescent="0.25">
      <c r="B4064" s="1"/>
      <c r="C4064" s="1"/>
      <c r="D4064" s="1"/>
      <c r="E4064" s="1"/>
      <c r="F4064" s="1"/>
      <c r="H4064" s="1"/>
    </row>
    <row r="4065" spans="2:8" x14ac:dyDescent="0.25">
      <c r="B4065" s="1"/>
      <c r="C4065" s="1"/>
      <c r="D4065" s="1"/>
      <c r="E4065" s="1"/>
      <c r="F4065" s="1"/>
      <c r="H4065" s="1"/>
    </row>
    <row r="4066" spans="2:8" x14ac:dyDescent="0.25">
      <c r="B4066" s="1"/>
      <c r="C4066" s="1"/>
      <c r="D4066" s="1"/>
      <c r="E4066" s="1"/>
      <c r="F4066" s="1"/>
      <c r="H4066" s="1"/>
    </row>
    <row r="4067" spans="2:8" x14ac:dyDescent="0.25">
      <c r="B4067" s="1"/>
      <c r="C4067" s="1"/>
      <c r="D4067" s="1"/>
      <c r="E4067" s="1"/>
      <c r="F4067" s="1"/>
      <c r="H4067" s="1"/>
    </row>
    <row r="4068" spans="2:8" x14ac:dyDescent="0.25">
      <c r="B4068" s="1"/>
      <c r="C4068" s="1"/>
      <c r="D4068" s="1"/>
      <c r="E4068" s="1"/>
      <c r="F4068" s="1"/>
      <c r="H4068" s="1"/>
    </row>
    <row r="4069" spans="2:8" x14ac:dyDescent="0.25">
      <c r="B4069" s="1"/>
      <c r="C4069" s="1"/>
      <c r="D4069" s="1"/>
      <c r="E4069" s="1"/>
      <c r="F4069" s="1"/>
      <c r="H4069" s="1"/>
    </row>
    <row r="4070" spans="2:8" x14ac:dyDescent="0.25">
      <c r="B4070" s="1"/>
      <c r="C4070" s="1"/>
      <c r="D4070" s="1"/>
      <c r="E4070" s="1"/>
      <c r="F4070" s="1"/>
      <c r="H4070" s="1"/>
    </row>
    <row r="4071" spans="2:8" x14ac:dyDescent="0.25">
      <c r="B4071" s="1"/>
      <c r="C4071" s="1"/>
      <c r="D4071" s="1"/>
      <c r="E4071" s="1"/>
      <c r="F4071" s="1"/>
      <c r="H4071" s="1"/>
    </row>
    <row r="4072" spans="2:8" x14ac:dyDescent="0.25">
      <c r="B4072" s="1"/>
      <c r="C4072" s="1"/>
      <c r="D4072" s="1"/>
      <c r="E4072" s="1"/>
      <c r="F4072" s="1"/>
      <c r="H4072" s="1"/>
    </row>
    <row r="4073" spans="2:8" x14ac:dyDescent="0.25">
      <c r="B4073" s="1"/>
      <c r="C4073" s="1"/>
      <c r="D4073" s="1"/>
      <c r="E4073" s="1"/>
      <c r="F4073" s="1"/>
      <c r="H4073" s="1"/>
    </row>
    <row r="4074" spans="2:8" x14ac:dyDescent="0.25">
      <c r="B4074" s="1"/>
      <c r="C4074" s="1"/>
      <c r="D4074" s="1"/>
      <c r="E4074" s="1"/>
      <c r="F4074" s="1"/>
      <c r="H4074" s="1"/>
    </row>
    <row r="4075" spans="2:8" x14ac:dyDescent="0.25">
      <c r="B4075" s="1"/>
      <c r="C4075" s="1"/>
      <c r="D4075" s="1"/>
      <c r="E4075" s="1"/>
      <c r="F4075" s="1"/>
      <c r="H4075" s="1"/>
    </row>
    <row r="4076" spans="2:8" x14ac:dyDescent="0.25">
      <c r="B4076" s="1"/>
      <c r="C4076" s="1"/>
      <c r="D4076" s="1"/>
      <c r="E4076" s="1"/>
      <c r="F4076" s="1"/>
      <c r="H4076" s="1"/>
    </row>
    <row r="4077" spans="2:8" x14ac:dyDescent="0.25">
      <c r="B4077" s="1"/>
      <c r="C4077" s="1"/>
      <c r="D4077" s="1"/>
      <c r="E4077" s="1"/>
      <c r="F4077" s="1"/>
      <c r="H4077" s="1"/>
    </row>
    <row r="4078" spans="2:8" x14ac:dyDescent="0.25">
      <c r="B4078" s="1"/>
      <c r="C4078" s="1"/>
      <c r="D4078" s="1"/>
      <c r="E4078" s="1"/>
      <c r="F4078" s="1"/>
      <c r="H4078" s="1"/>
    </row>
    <row r="4079" spans="2:8" x14ac:dyDescent="0.25">
      <c r="B4079" s="1"/>
      <c r="C4079" s="1"/>
      <c r="D4079" s="1"/>
      <c r="E4079" s="1"/>
      <c r="F4079" s="1"/>
      <c r="H4079" s="1"/>
    </row>
    <row r="4080" spans="2:8" x14ac:dyDescent="0.25">
      <c r="B4080" s="1"/>
      <c r="C4080" s="1"/>
      <c r="D4080" s="1"/>
      <c r="E4080" s="1"/>
      <c r="F4080" s="1"/>
      <c r="H4080" s="1"/>
    </row>
    <row r="4081" spans="2:8" x14ac:dyDescent="0.25">
      <c r="B4081" s="1"/>
      <c r="C4081" s="1"/>
      <c r="D4081" s="1"/>
      <c r="E4081" s="1"/>
      <c r="F4081" s="1"/>
      <c r="H4081" s="1"/>
    </row>
    <row r="4082" spans="2:8" x14ac:dyDescent="0.25">
      <c r="B4082" s="1"/>
      <c r="C4082" s="1"/>
      <c r="D4082" s="1"/>
      <c r="E4082" s="1"/>
      <c r="F4082" s="1"/>
      <c r="H4082" s="1"/>
    </row>
    <row r="4083" spans="2:8" x14ac:dyDescent="0.25">
      <c r="B4083" s="1"/>
      <c r="C4083" s="1"/>
      <c r="D4083" s="1"/>
      <c r="E4083" s="1"/>
      <c r="F4083" s="1"/>
      <c r="H4083" s="1"/>
    </row>
    <row r="4084" spans="2:8" x14ac:dyDescent="0.25">
      <c r="B4084" s="1"/>
      <c r="C4084" s="1"/>
      <c r="D4084" s="1"/>
      <c r="E4084" s="1"/>
      <c r="F4084" s="1"/>
      <c r="H4084" s="1"/>
    </row>
    <row r="4085" spans="2:8" x14ac:dyDescent="0.25">
      <c r="B4085" s="1"/>
      <c r="C4085" s="1"/>
      <c r="D4085" s="1"/>
      <c r="E4085" s="1"/>
      <c r="F4085" s="1"/>
      <c r="H4085" s="1"/>
    </row>
    <row r="4086" spans="2:8" x14ac:dyDescent="0.25">
      <c r="B4086" s="1"/>
      <c r="C4086" s="1"/>
      <c r="D4086" s="1"/>
      <c r="E4086" s="1"/>
      <c r="F4086" s="1"/>
      <c r="H4086" s="1"/>
    </row>
    <row r="4087" spans="2:8" x14ac:dyDescent="0.25">
      <c r="B4087" s="1"/>
      <c r="C4087" s="1"/>
      <c r="D4087" s="1"/>
      <c r="E4087" s="1"/>
      <c r="F4087" s="1"/>
      <c r="H4087" s="1"/>
    </row>
    <row r="4088" spans="2:8" x14ac:dyDescent="0.25">
      <c r="B4088" s="1"/>
      <c r="C4088" s="1"/>
      <c r="D4088" s="1"/>
      <c r="E4088" s="1"/>
      <c r="F4088" s="1"/>
      <c r="H4088" s="1"/>
    </row>
    <row r="4089" spans="2:8" x14ac:dyDescent="0.25">
      <c r="B4089" s="1"/>
      <c r="C4089" s="1"/>
      <c r="D4089" s="1"/>
      <c r="E4089" s="1"/>
      <c r="F4089" s="1"/>
      <c r="H4089" s="1"/>
    </row>
    <row r="4090" spans="2:8" x14ac:dyDescent="0.25">
      <c r="B4090" s="1"/>
      <c r="C4090" s="1"/>
      <c r="D4090" s="1"/>
      <c r="E4090" s="1"/>
      <c r="F4090" s="1"/>
      <c r="H4090" s="1"/>
    </row>
    <row r="4091" spans="2:8" x14ac:dyDescent="0.25">
      <c r="B4091" s="1"/>
      <c r="C4091" s="1"/>
      <c r="D4091" s="1"/>
      <c r="E4091" s="1"/>
      <c r="F4091" s="1"/>
      <c r="H4091" s="1"/>
    </row>
    <row r="4092" spans="2:8" x14ac:dyDescent="0.25">
      <c r="B4092" s="1"/>
      <c r="C4092" s="1"/>
      <c r="D4092" s="1"/>
      <c r="E4092" s="1"/>
      <c r="F4092" s="1"/>
      <c r="H4092" s="1"/>
    </row>
    <row r="4093" spans="2:8" x14ac:dyDescent="0.25">
      <c r="B4093" s="1"/>
      <c r="C4093" s="1"/>
      <c r="D4093" s="1"/>
      <c r="E4093" s="1"/>
      <c r="F4093" s="1"/>
      <c r="H4093" s="1"/>
    </row>
    <row r="4094" spans="2:8" x14ac:dyDescent="0.25">
      <c r="B4094" s="1"/>
      <c r="C4094" s="1"/>
      <c r="D4094" s="1"/>
      <c r="E4094" s="1"/>
      <c r="F4094" s="1"/>
      <c r="H4094" s="1"/>
    </row>
    <row r="4095" spans="2:8" x14ac:dyDescent="0.25">
      <c r="B4095" s="1"/>
      <c r="C4095" s="1"/>
      <c r="D4095" s="1"/>
      <c r="E4095" s="1"/>
      <c r="F4095" s="1"/>
      <c r="H4095" s="1"/>
    </row>
    <row r="4096" spans="2:8" x14ac:dyDescent="0.25">
      <c r="B4096" s="1"/>
      <c r="C4096" s="1"/>
      <c r="D4096" s="1"/>
      <c r="E4096" s="1"/>
      <c r="F4096" s="1"/>
      <c r="H4096" s="1"/>
    </row>
    <row r="4097" spans="2:8" x14ac:dyDescent="0.25">
      <c r="B4097" s="1"/>
      <c r="C4097" s="1"/>
      <c r="D4097" s="1"/>
      <c r="E4097" s="1"/>
      <c r="F4097" s="1"/>
      <c r="H4097" s="1"/>
    </row>
    <row r="4098" spans="2:8" x14ac:dyDescent="0.25">
      <c r="B4098" s="1"/>
      <c r="C4098" s="1"/>
      <c r="D4098" s="1"/>
      <c r="E4098" s="1"/>
      <c r="F4098" s="1"/>
      <c r="H4098" s="1"/>
    </row>
    <row r="4099" spans="2:8" x14ac:dyDescent="0.25">
      <c r="B4099" s="1"/>
      <c r="C4099" s="1"/>
      <c r="D4099" s="1"/>
      <c r="E4099" s="1"/>
      <c r="F4099" s="1"/>
      <c r="H4099" s="1"/>
    </row>
    <row r="4100" spans="2:8" x14ac:dyDescent="0.25">
      <c r="B4100" s="1"/>
      <c r="C4100" s="1"/>
      <c r="D4100" s="1"/>
      <c r="E4100" s="1"/>
      <c r="F4100" s="1"/>
      <c r="H4100" s="1"/>
    </row>
    <row r="4101" spans="2:8" x14ac:dyDescent="0.25">
      <c r="B4101" s="1"/>
      <c r="C4101" s="1"/>
      <c r="D4101" s="1"/>
      <c r="E4101" s="1"/>
      <c r="F4101" s="1"/>
      <c r="H4101" s="1"/>
    </row>
    <row r="4102" spans="2:8" x14ac:dyDescent="0.25">
      <c r="B4102" s="1"/>
      <c r="C4102" s="1"/>
      <c r="D4102" s="1"/>
      <c r="E4102" s="1"/>
      <c r="F4102" s="1"/>
      <c r="H4102" s="1"/>
    </row>
    <row r="4103" spans="2:8" x14ac:dyDescent="0.25">
      <c r="B4103" s="1"/>
      <c r="C4103" s="1"/>
      <c r="D4103" s="1"/>
      <c r="E4103" s="1"/>
      <c r="F4103" s="1"/>
      <c r="H4103" s="1"/>
    </row>
    <row r="4104" spans="2:8" x14ac:dyDescent="0.25">
      <c r="B4104" s="1"/>
      <c r="C4104" s="1"/>
      <c r="D4104" s="1"/>
      <c r="E4104" s="1"/>
      <c r="F4104" s="1"/>
      <c r="H4104" s="1"/>
    </row>
    <row r="4105" spans="2:8" x14ac:dyDescent="0.25">
      <c r="B4105" s="1"/>
      <c r="C4105" s="1"/>
      <c r="D4105" s="1"/>
      <c r="E4105" s="1"/>
      <c r="F4105" s="1"/>
      <c r="H4105" s="1"/>
    </row>
    <row r="4106" spans="2:8" x14ac:dyDescent="0.25">
      <c r="B4106" s="1"/>
      <c r="C4106" s="1"/>
      <c r="D4106" s="1"/>
      <c r="E4106" s="1"/>
      <c r="F4106" s="1"/>
      <c r="H4106" s="1"/>
    </row>
    <row r="4107" spans="2:8" x14ac:dyDescent="0.25">
      <c r="B4107" s="1"/>
      <c r="C4107" s="1"/>
      <c r="D4107" s="1"/>
      <c r="E4107" s="1"/>
      <c r="F4107" s="1"/>
      <c r="H4107" s="1"/>
    </row>
    <row r="4108" spans="2:8" x14ac:dyDescent="0.25">
      <c r="B4108" s="1"/>
      <c r="C4108" s="1"/>
      <c r="D4108" s="1"/>
      <c r="E4108" s="1"/>
      <c r="F4108" s="1"/>
      <c r="H4108" s="1"/>
    </row>
    <row r="4109" spans="2:8" x14ac:dyDescent="0.25">
      <c r="B4109" s="1"/>
      <c r="C4109" s="1"/>
      <c r="D4109" s="1"/>
      <c r="E4109" s="1"/>
      <c r="F4109" s="1"/>
      <c r="H4109" s="1"/>
    </row>
    <row r="4110" spans="2:8" x14ac:dyDescent="0.25">
      <c r="B4110" s="1"/>
      <c r="C4110" s="1"/>
      <c r="D4110" s="1"/>
      <c r="E4110" s="1"/>
      <c r="F4110" s="1"/>
      <c r="H4110" s="1"/>
    </row>
    <row r="4111" spans="2:8" x14ac:dyDescent="0.25">
      <c r="B4111" s="1"/>
      <c r="C4111" s="1"/>
      <c r="D4111" s="1"/>
      <c r="E4111" s="1"/>
      <c r="F4111" s="1"/>
      <c r="H4111" s="1"/>
    </row>
    <row r="4112" spans="2:8" x14ac:dyDescent="0.25">
      <c r="B4112" s="1"/>
      <c r="C4112" s="1"/>
      <c r="D4112" s="1"/>
      <c r="E4112" s="1"/>
      <c r="F4112" s="1"/>
      <c r="H4112" s="1"/>
    </row>
    <row r="4113" spans="2:8" x14ac:dyDescent="0.25">
      <c r="B4113" s="1"/>
      <c r="C4113" s="1"/>
      <c r="D4113" s="1"/>
      <c r="E4113" s="1"/>
      <c r="F4113" s="1"/>
      <c r="H4113" s="1"/>
    </row>
    <row r="4114" spans="2:8" x14ac:dyDescent="0.25">
      <c r="B4114" s="1"/>
      <c r="C4114" s="1"/>
      <c r="D4114" s="1"/>
      <c r="E4114" s="1"/>
      <c r="F4114" s="1"/>
      <c r="H4114" s="1"/>
    </row>
    <row r="4115" spans="2:8" x14ac:dyDescent="0.25">
      <c r="B4115" s="1"/>
      <c r="C4115" s="1"/>
      <c r="D4115" s="1"/>
      <c r="E4115" s="1"/>
      <c r="F4115" s="1"/>
      <c r="H4115" s="1"/>
    </row>
    <row r="4116" spans="2:8" x14ac:dyDescent="0.25">
      <c r="B4116" s="1"/>
      <c r="C4116" s="1"/>
      <c r="D4116" s="1"/>
      <c r="E4116" s="1"/>
      <c r="F4116" s="1"/>
      <c r="H4116" s="1"/>
    </row>
    <row r="4117" spans="2:8" x14ac:dyDescent="0.25">
      <c r="B4117" s="1"/>
      <c r="C4117" s="1"/>
      <c r="D4117" s="1"/>
      <c r="E4117" s="1"/>
      <c r="F4117" s="1"/>
      <c r="H4117" s="1"/>
    </row>
    <row r="4118" spans="2:8" x14ac:dyDescent="0.25">
      <c r="B4118" s="1"/>
      <c r="C4118" s="1"/>
      <c r="D4118" s="1"/>
      <c r="E4118" s="1"/>
      <c r="F4118" s="1"/>
      <c r="H4118" s="1"/>
    </row>
    <row r="4119" spans="2:8" x14ac:dyDescent="0.25">
      <c r="B4119" s="1"/>
      <c r="C4119" s="1"/>
      <c r="D4119" s="1"/>
      <c r="E4119" s="1"/>
      <c r="F4119" s="1"/>
      <c r="H4119" s="1"/>
    </row>
    <row r="4120" spans="2:8" x14ac:dyDescent="0.25">
      <c r="B4120" s="1"/>
      <c r="C4120" s="1"/>
      <c r="D4120" s="1"/>
      <c r="E4120" s="1"/>
      <c r="F4120" s="1"/>
      <c r="H4120" s="1"/>
    </row>
    <row r="4121" spans="2:8" x14ac:dyDescent="0.25">
      <c r="B4121" s="1"/>
      <c r="C4121" s="1"/>
      <c r="D4121" s="1"/>
      <c r="E4121" s="1"/>
      <c r="F4121" s="1"/>
      <c r="H4121" s="1"/>
    </row>
    <row r="4122" spans="2:8" x14ac:dyDescent="0.25">
      <c r="B4122" s="1"/>
      <c r="C4122" s="1"/>
      <c r="D4122" s="1"/>
      <c r="E4122" s="1"/>
      <c r="F4122" s="1"/>
      <c r="H4122" s="1"/>
    </row>
    <row r="4123" spans="2:8" x14ac:dyDescent="0.25">
      <c r="B4123" s="1"/>
      <c r="C4123" s="1"/>
      <c r="D4123" s="1"/>
      <c r="E4123" s="1"/>
      <c r="F4123" s="1"/>
      <c r="H4123" s="1"/>
    </row>
    <row r="4124" spans="2:8" x14ac:dyDescent="0.25">
      <c r="B4124" s="1"/>
      <c r="C4124" s="1"/>
      <c r="D4124" s="1"/>
      <c r="E4124" s="1"/>
      <c r="F4124" s="1"/>
      <c r="H4124" s="1"/>
    </row>
    <row r="4125" spans="2:8" x14ac:dyDescent="0.25">
      <c r="B4125" s="1"/>
      <c r="C4125" s="1"/>
      <c r="D4125" s="1"/>
      <c r="E4125" s="1"/>
      <c r="F4125" s="1"/>
      <c r="H4125" s="1"/>
    </row>
    <row r="4126" spans="2:8" x14ac:dyDescent="0.25">
      <c r="B4126" s="1"/>
      <c r="C4126" s="1"/>
      <c r="D4126" s="1"/>
      <c r="E4126" s="1"/>
      <c r="F4126" s="1"/>
      <c r="H4126" s="1"/>
    </row>
    <row r="4127" spans="2:8" x14ac:dyDescent="0.25">
      <c r="B4127" s="1"/>
      <c r="C4127" s="1"/>
      <c r="D4127" s="1"/>
      <c r="E4127" s="1"/>
      <c r="F4127" s="1"/>
      <c r="H4127" s="1"/>
    </row>
    <row r="4128" spans="2:8" x14ac:dyDescent="0.25">
      <c r="B4128" s="1"/>
      <c r="C4128" s="1"/>
      <c r="D4128" s="1"/>
      <c r="E4128" s="1"/>
      <c r="F4128" s="1"/>
      <c r="H4128" s="1"/>
    </row>
    <row r="4129" spans="2:8" x14ac:dyDescent="0.25">
      <c r="B4129" s="1"/>
      <c r="C4129" s="1"/>
      <c r="D4129" s="1"/>
      <c r="E4129" s="1"/>
      <c r="F4129" s="1"/>
      <c r="H4129" s="1"/>
    </row>
    <row r="4130" spans="2:8" x14ac:dyDescent="0.25">
      <c r="B4130" s="1"/>
      <c r="C4130" s="1"/>
      <c r="D4130" s="1"/>
      <c r="E4130" s="1"/>
      <c r="F4130" s="1"/>
      <c r="H4130" s="1"/>
    </row>
    <row r="4131" spans="2:8" x14ac:dyDescent="0.25">
      <c r="B4131" s="1"/>
      <c r="C4131" s="1"/>
      <c r="D4131" s="1"/>
      <c r="E4131" s="1"/>
      <c r="F4131" s="1"/>
      <c r="H4131" s="1"/>
    </row>
    <row r="4132" spans="2:8" x14ac:dyDescent="0.25">
      <c r="B4132" s="1"/>
      <c r="C4132" s="1"/>
      <c r="D4132" s="1"/>
      <c r="E4132" s="1"/>
      <c r="F4132" s="1"/>
      <c r="H4132" s="1"/>
    </row>
    <row r="4133" spans="2:8" x14ac:dyDescent="0.25">
      <c r="B4133" s="1"/>
      <c r="C4133" s="1"/>
      <c r="D4133" s="1"/>
      <c r="E4133" s="1"/>
      <c r="F4133" s="1"/>
      <c r="H4133" s="1"/>
    </row>
    <row r="4134" spans="2:8" x14ac:dyDescent="0.25">
      <c r="B4134" s="1"/>
      <c r="C4134" s="1"/>
      <c r="D4134" s="1"/>
      <c r="E4134" s="1"/>
      <c r="F4134" s="1"/>
      <c r="H4134" s="1"/>
    </row>
    <row r="4135" spans="2:8" x14ac:dyDescent="0.25">
      <c r="B4135" s="1"/>
      <c r="C4135" s="1"/>
      <c r="D4135" s="1"/>
      <c r="E4135" s="1"/>
      <c r="F4135" s="1"/>
      <c r="H4135" s="1"/>
    </row>
    <row r="4136" spans="2:8" x14ac:dyDescent="0.25">
      <c r="B4136" s="1"/>
      <c r="C4136" s="1"/>
      <c r="D4136" s="1"/>
      <c r="E4136" s="1"/>
      <c r="F4136" s="1"/>
      <c r="H4136" s="1"/>
    </row>
    <row r="4137" spans="2:8" x14ac:dyDescent="0.25">
      <c r="B4137" s="1"/>
      <c r="C4137" s="1"/>
      <c r="D4137" s="1"/>
      <c r="E4137" s="1"/>
      <c r="F4137" s="1"/>
      <c r="H4137" s="1"/>
    </row>
    <row r="4138" spans="2:8" x14ac:dyDescent="0.25">
      <c r="B4138" s="1"/>
      <c r="C4138" s="1"/>
      <c r="D4138" s="1"/>
      <c r="E4138" s="1"/>
      <c r="F4138" s="1"/>
      <c r="H4138" s="1"/>
    </row>
    <row r="4139" spans="2:8" x14ac:dyDescent="0.25">
      <c r="B4139" s="1"/>
      <c r="C4139" s="1"/>
      <c r="D4139" s="1"/>
      <c r="E4139" s="1"/>
      <c r="F4139" s="1"/>
      <c r="H4139" s="1"/>
    </row>
    <row r="4140" spans="2:8" x14ac:dyDescent="0.25">
      <c r="B4140" s="1"/>
      <c r="C4140" s="1"/>
      <c r="D4140" s="1"/>
      <c r="E4140" s="1"/>
      <c r="F4140" s="1"/>
      <c r="H4140" s="1"/>
    </row>
    <row r="4141" spans="2:8" x14ac:dyDescent="0.25">
      <c r="B4141" s="1"/>
      <c r="C4141" s="1"/>
      <c r="D4141" s="1"/>
      <c r="E4141" s="1"/>
      <c r="F4141" s="1"/>
      <c r="H4141" s="1"/>
    </row>
    <row r="4142" spans="2:8" x14ac:dyDescent="0.25">
      <c r="B4142" s="1"/>
      <c r="C4142" s="1"/>
      <c r="D4142" s="1"/>
      <c r="E4142" s="1"/>
      <c r="F4142" s="1"/>
      <c r="H4142" s="1"/>
    </row>
    <row r="4143" spans="2:8" x14ac:dyDescent="0.25">
      <c r="B4143" s="1"/>
      <c r="C4143" s="1"/>
      <c r="D4143" s="1"/>
      <c r="E4143" s="1"/>
      <c r="F4143" s="1"/>
      <c r="H4143" s="1"/>
    </row>
    <row r="4144" spans="2:8" x14ac:dyDescent="0.25">
      <c r="B4144" s="1"/>
      <c r="C4144" s="1"/>
      <c r="D4144" s="1"/>
      <c r="E4144" s="1"/>
      <c r="F4144" s="1"/>
      <c r="H4144" s="1"/>
    </row>
    <row r="4145" spans="2:8" x14ac:dyDescent="0.25">
      <c r="B4145" s="1"/>
      <c r="C4145" s="1"/>
      <c r="D4145" s="1"/>
      <c r="E4145" s="1"/>
      <c r="F4145" s="1"/>
      <c r="H4145" s="1"/>
    </row>
    <row r="4146" spans="2:8" x14ac:dyDescent="0.25">
      <c r="B4146" s="1"/>
      <c r="C4146" s="1"/>
      <c r="D4146" s="1"/>
      <c r="E4146" s="1"/>
      <c r="F4146" s="1"/>
      <c r="H4146" s="1"/>
    </row>
    <row r="4147" spans="2:8" x14ac:dyDescent="0.25">
      <c r="B4147" s="1"/>
      <c r="C4147" s="1"/>
      <c r="D4147" s="1"/>
      <c r="E4147" s="1"/>
      <c r="F4147" s="1"/>
      <c r="H4147" s="1"/>
    </row>
    <row r="4148" spans="2:8" x14ac:dyDescent="0.25">
      <c r="B4148" s="1"/>
      <c r="C4148" s="1"/>
      <c r="D4148" s="1"/>
      <c r="E4148" s="1"/>
      <c r="F4148" s="1"/>
      <c r="H4148" s="1"/>
    </row>
    <row r="4149" spans="2:8" x14ac:dyDescent="0.25">
      <c r="B4149" s="1"/>
      <c r="C4149" s="1"/>
      <c r="D4149" s="1"/>
      <c r="E4149" s="1"/>
      <c r="F4149" s="1"/>
      <c r="H4149" s="1"/>
    </row>
    <row r="4150" spans="2:8" x14ac:dyDescent="0.25">
      <c r="B4150" s="1"/>
      <c r="C4150" s="1"/>
      <c r="D4150" s="1"/>
      <c r="E4150" s="1"/>
      <c r="F4150" s="1"/>
      <c r="H4150" s="1"/>
    </row>
    <row r="4151" spans="2:8" x14ac:dyDescent="0.25">
      <c r="B4151" s="1"/>
      <c r="C4151" s="1"/>
      <c r="D4151" s="1"/>
      <c r="E4151" s="1"/>
      <c r="F4151" s="1"/>
      <c r="H4151" s="1"/>
    </row>
    <row r="4152" spans="2:8" x14ac:dyDescent="0.25">
      <c r="B4152" s="1"/>
      <c r="C4152" s="1"/>
      <c r="D4152" s="1"/>
      <c r="E4152" s="1"/>
      <c r="F4152" s="1"/>
      <c r="H4152" s="1"/>
    </row>
    <row r="4153" spans="2:8" x14ac:dyDescent="0.25">
      <c r="B4153" s="1"/>
      <c r="C4153" s="1"/>
      <c r="D4153" s="1"/>
      <c r="E4153" s="1"/>
      <c r="F4153" s="1"/>
      <c r="H4153" s="1"/>
    </row>
    <row r="4154" spans="2:8" x14ac:dyDescent="0.25">
      <c r="B4154" s="1"/>
      <c r="C4154" s="1"/>
      <c r="D4154" s="1"/>
      <c r="E4154" s="1"/>
      <c r="F4154" s="1"/>
      <c r="H4154" s="1"/>
    </row>
    <row r="4155" spans="2:8" x14ac:dyDescent="0.25">
      <c r="B4155" s="1"/>
      <c r="C4155" s="1"/>
      <c r="D4155" s="1"/>
      <c r="E4155" s="1"/>
      <c r="F4155" s="1"/>
      <c r="H4155" s="1"/>
    </row>
    <row r="4156" spans="2:8" x14ac:dyDescent="0.25">
      <c r="B4156" s="1"/>
      <c r="C4156" s="1"/>
      <c r="D4156" s="1"/>
      <c r="E4156" s="1"/>
      <c r="F4156" s="1"/>
      <c r="H4156" s="1"/>
    </row>
    <row r="4157" spans="2:8" x14ac:dyDescent="0.25">
      <c r="B4157" s="1"/>
      <c r="C4157" s="1"/>
      <c r="D4157" s="1"/>
      <c r="E4157" s="1"/>
      <c r="F4157" s="1"/>
      <c r="H4157" s="1"/>
    </row>
    <row r="4158" spans="2:8" x14ac:dyDescent="0.25">
      <c r="B4158" s="1"/>
      <c r="C4158" s="1"/>
      <c r="D4158" s="1"/>
      <c r="E4158" s="1"/>
      <c r="F4158" s="1"/>
      <c r="H4158" s="1"/>
    </row>
    <row r="4159" spans="2:8" x14ac:dyDescent="0.25">
      <c r="B4159" s="1"/>
      <c r="C4159" s="1"/>
      <c r="D4159" s="1"/>
      <c r="E4159" s="1"/>
      <c r="F4159" s="1"/>
      <c r="H4159" s="1"/>
    </row>
    <row r="4160" spans="2:8" x14ac:dyDescent="0.25">
      <c r="B4160" s="1"/>
      <c r="C4160" s="1"/>
      <c r="D4160" s="1"/>
      <c r="E4160" s="1"/>
      <c r="F4160" s="1"/>
      <c r="H4160" s="1"/>
    </row>
    <row r="4161" spans="2:8" x14ac:dyDescent="0.25">
      <c r="B4161" s="1"/>
      <c r="C4161" s="1"/>
      <c r="D4161" s="1"/>
      <c r="E4161" s="1"/>
      <c r="F4161" s="1"/>
      <c r="H4161" s="1"/>
    </row>
    <row r="4162" spans="2:8" x14ac:dyDescent="0.25">
      <c r="B4162" s="1"/>
      <c r="C4162" s="1"/>
      <c r="D4162" s="1"/>
      <c r="E4162" s="1"/>
      <c r="F4162" s="1"/>
      <c r="H4162" s="1"/>
    </row>
    <row r="4163" spans="2:8" x14ac:dyDescent="0.25">
      <c r="B4163" s="1"/>
      <c r="C4163" s="1"/>
      <c r="D4163" s="1"/>
      <c r="E4163" s="1"/>
      <c r="F4163" s="1"/>
      <c r="H4163" s="1"/>
    </row>
    <row r="4164" spans="2:8" x14ac:dyDescent="0.25">
      <c r="B4164" s="1"/>
      <c r="C4164" s="1"/>
      <c r="D4164" s="1"/>
      <c r="E4164" s="1"/>
      <c r="F4164" s="1"/>
      <c r="H4164" s="1"/>
    </row>
    <row r="4165" spans="2:8" x14ac:dyDescent="0.25">
      <c r="B4165" s="1"/>
      <c r="C4165" s="1"/>
      <c r="D4165" s="1"/>
      <c r="E4165" s="1"/>
      <c r="F4165" s="1"/>
      <c r="H4165" s="1"/>
    </row>
    <row r="4166" spans="2:8" x14ac:dyDescent="0.25">
      <c r="B4166" s="1"/>
      <c r="C4166" s="1"/>
      <c r="D4166" s="1"/>
      <c r="E4166" s="1"/>
      <c r="F4166" s="1"/>
      <c r="H4166" s="1"/>
    </row>
    <row r="4167" spans="2:8" x14ac:dyDescent="0.25">
      <c r="B4167" s="1"/>
      <c r="C4167" s="1"/>
      <c r="D4167" s="1"/>
      <c r="E4167" s="1"/>
      <c r="F4167" s="1"/>
      <c r="H4167" s="1"/>
    </row>
    <row r="4168" spans="2:8" x14ac:dyDescent="0.25">
      <c r="B4168" s="1"/>
      <c r="C4168" s="1"/>
      <c r="D4168" s="1"/>
      <c r="E4168" s="1"/>
      <c r="F4168" s="1"/>
      <c r="H4168" s="1"/>
    </row>
    <row r="4169" spans="2:8" x14ac:dyDescent="0.25">
      <c r="B4169" s="1"/>
      <c r="C4169" s="1"/>
      <c r="D4169" s="1"/>
      <c r="E4169" s="1"/>
      <c r="F4169" s="1"/>
      <c r="H4169" s="1"/>
    </row>
    <row r="4170" spans="2:8" x14ac:dyDescent="0.25">
      <c r="B4170" s="1"/>
      <c r="C4170" s="1"/>
      <c r="D4170" s="1"/>
      <c r="E4170" s="1"/>
      <c r="F4170" s="1"/>
      <c r="H4170" s="1"/>
    </row>
    <row r="4171" spans="2:8" x14ac:dyDescent="0.25">
      <c r="B4171" s="1"/>
      <c r="C4171" s="1"/>
      <c r="D4171" s="1"/>
      <c r="E4171" s="1"/>
      <c r="F4171" s="1"/>
      <c r="H4171" s="1"/>
    </row>
    <row r="4172" spans="2:8" x14ac:dyDescent="0.25">
      <c r="B4172" s="1"/>
      <c r="C4172" s="1"/>
      <c r="D4172" s="1"/>
      <c r="E4172" s="1"/>
      <c r="F4172" s="1"/>
      <c r="H4172" s="1"/>
    </row>
    <row r="4173" spans="2:8" x14ac:dyDescent="0.25">
      <c r="B4173" s="1"/>
      <c r="C4173" s="1"/>
      <c r="D4173" s="1"/>
      <c r="E4173" s="1"/>
      <c r="F4173" s="1"/>
      <c r="H4173" s="1"/>
    </row>
    <row r="4174" spans="2:8" x14ac:dyDescent="0.25">
      <c r="B4174" s="1"/>
      <c r="C4174" s="1"/>
      <c r="D4174" s="1"/>
      <c r="E4174" s="1"/>
      <c r="F4174" s="1"/>
      <c r="H4174" s="1"/>
    </row>
    <row r="4175" spans="2:8" x14ac:dyDescent="0.25">
      <c r="B4175" s="1"/>
      <c r="C4175" s="1"/>
      <c r="D4175" s="1"/>
      <c r="E4175" s="1"/>
      <c r="F4175" s="1"/>
      <c r="H4175" s="1"/>
    </row>
    <row r="4176" spans="2:8" x14ac:dyDescent="0.25">
      <c r="B4176" s="1"/>
      <c r="C4176" s="1"/>
      <c r="D4176" s="1"/>
      <c r="E4176" s="1"/>
      <c r="F4176" s="1"/>
      <c r="H4176" s="1"/>
    </row>
    <row r="4177" spans="2:8" x14ac:dyDescent="0.25">
      <c r="B4177" s="1"/>
      <c r="C4177" s="1"/>
      <c r="D4177" s="1"/>
      <c r="E4177" s="1"/>
      <c r="F4177" s="1"/>
      <c r="H4177" s="1"/>
    </row>
    <row r="4178" spans="2:8" x14ac:dyDescent="0.25">
      <c r="B4178" s="1"/>
      <c r="C4178" s="1"/>
      <c r="D4178" s="1"/>
      <c r="E4178" s="1"/>
      <c r="F4178" s="1"/>
      <c r="H4178" s="1"/>
    </row>
    <row r="4179" spans="2:8" x14ac:dyDescent="0.25">
      <c r="B4179" s="1"/>
      <c r="C4179" s="1"/>
      <c r="D4179" s="1"/>
      <c r="E4179" s="1"/>
      <c r="F4179" s="1"/>
      <c r="H4179" s="1"/>
    </row>
    <row r="4180" spans="2:8" x14ac:dyDescent="0.25">
      <c r="B4180" s="1"/>
      <c r="C4180" s="1"/>
      <c r="D4180" s="1"/>
      <c r="E4180" s="1"/>
      <c r="F4180" s="1"/>
      <c r="H4180" s="1"/>
    </row>
    <row r="4181" spans="2:8" x14ac:dyDescent="0.25">
      <c r="B4181" s="1"/>
      <c r="C4181" s="1"/>
      <c r="D4181" s="1"/>
      <c r="E4181" s="1"/>
      <c r="F4181" s="1"/>
      <c r="H4181" s="1"/>
    </row>
    <row r="4182" spans="2:8" x14ac:dyDescent="0.25">
      <c r="B4182" s="1"/>
      <c r="C4182" s="1"/>
      <c r="D4182" s="1"/>
      <c r="E4182" s="1"/>
      <c r="F4182" s="1"/>
      <c r="H4182" s="1"/>
    </row>
    <row r="4183" spans="2:8" x14ac:dyDescent="0.25">
      <c r="B4183" s="1"/>
      <c r="C4183" s="1"/>
      <c r="D4183" s="1"/>
      <c r="E4183" s="1"/>
      <c r="F4183" s="1"/>
      <c r="H4183" s="1"/>
    </row>
    <row r="4184" spans="2:8" x14ac:dyDescent="0.25">
      <c r="B4184" s="1"/>
      <c r="C4184" s="1"/>
      <c r="D4184" s="1"/>
      <c r="E4184" s="1"/>
      <c r="F4184" s="1"/>
      <c r="H4184" s="1"/>
    </row>
    <row r="4185" spans="2:8" x14ac:dyDescent="0.25">
      <c r="B4185" s="1"/>
      <c r="C4185" s="1"/>
      <c r="D4185" s="1"/>
      <c r="E4185" s="1"/>
      <c r="F4185" s="1"/>
      <c r="H4185" s="1"/>
    </row>
    <row r="4186" spans="2:8" x14ac:dyDescent="0.25">
      <c r="B4186" s="1"/>
      <c r="C4186" s="1"/>
      <c r="D4186" s="1"/>
      <c r="E4186" s="1"/>
      <c r="F4186" s="1"/>
      <c r="H4186" s="1"/>
    </row>
    <row r="4187" spans="2:8" x14ac:dyDescent="0.25">
      <c r="B4187" s="1"/>
      <c r="C4187" s="1"/>
      <c r="D4187" s="1"/>
      <c r="E4187" s="1"/>
      <c r="F4187" s="1"/>
      <c r="H4187" s="1"/>
    </row>
    <row r="4188" spans="2:8" x14ac:dyDescent="0.25">
      <c r="B4188" s="1"/>
      <c r="C4188" s="1"/>
      <c r="D4188" s="1"/>
      <c r="E4188" s="1"/>
      <c r="F4188" s="1"/>
      <c r="H4188" s="1"/>
    </row>
    <row r="4189" spans="2:8" x14ac:dyDescent="0.25">
      <c r="B4189" s="1"/>
      <c r="C4189" s="1"/>
      <c r="D4189" s="1"/>
      <c r="E4189" s="1"/>
      <c r="F4189" s="1"/>
      <c r="H4189" s="1"/>
    </row>
    <row r="4190" spans="2:8" x14ac:dyDescent="0.25">
      <c r="B4190" s="1"/>
      <c r="C4190" s="1"/>
      <c r="D4190" s="1"/>
      <c r="E4190" s="1"/>
      <c r="F4190" s="1"/>
      <c r="H4190" s="1"/>
    </row>
    <row r="4191" spans="2:8" x14ac:dyDescent="0.25">
      <c r="B4191" s="1"/>
      <c r="C4191" s="1"/>
      <c r="D4191" s="1"/>
      <c r="E4191" s="1"/>
      <c r="F4191" s="1"/>
      <c r="H4191" s="1"/>
    </row>
    <row r="4192" spans="2:8" x14ac:dyDescent="0.25">
      <c r="B4192" s="1"/>
      <c r="C4192" s="1"/>
      <c r="D4192" s="1"/>
      <c r="E4192" s="1"/>
      <c r="F4192" s="1"/>
      <c r="H4192" s="1"/>
    </row>
    <row r="4193" spans="2:8" x14ac:dyDescent="0.25">
      <c r="B4193" s="1"/>
      <c r="C4193" s="1"/>
      <c r="D4193" s="1"/>
      <c r="E4193" s="1"/>
      <c r="F4193" s="1"/>
      <c r="H4193" s="1"/>
    </row>
    <row r="4194" spans="2:8" x14ac:dyDescent="0.25">
      <c r="B4194" s="1"/>
      <c r="C4194" s="1"/>
      <c r="D4194" s="1"/>
      <c r="E4194" s="1"/>
      <c r="F4194" s="1"/>
      <c r="H4194" s="1"/>
    </row>
    <row r="4195" spans="2:8" x14ac:dyDescent="0.25">
      <c r="B4195" s="1"/>
      <c r="C4195" s="1"/>
      <c r="D4195" s="1"/>
      <c r="E4195" s="1"/>
      <c r="F4195" s="1"/>
      <c r="H4195" s="1"/>
    </row>
    <row r="4196" spans="2:8" x14ac:dyDescent="0.25">
      <c r="B4196" s="1"/>
      <c r="C4196" s="1"/>
      <c r="D4196" s="1"/>
      <c r="E4196" s="1"/>
      <c r="F4196" s="1"/>
      <c r="H4196" s="1"/>
    </row>
    <row r="4197" spans="2:8" x14ac:dyDescent="0.25">
      <c r="B4197" s="1"/>
      <c r="C4197" s="1"/>
      <c r="D4197" s="1"/>
      <c r="E4197" s="1"/>
      <c r="F4197" s="1"/>
      <c r="H4197" s="1"/>
    </row>
    <row r="4198" spans="2:8" x14ac:dyDescent="0.25">
      <c r="B4198" s="1"/>
      <c r="C4198" s="1"/>
      <c r="D4198" s="1"/>
      <c r="E4198" s="1"/>
      <c r="F4198" s="1"/>
      <c r="H4198" s="1"/>
    </row>
    <row r="4199" spans="2:8" x14ac:dyDescent="0.25">
      <c r="B4199" s="1"/>
      <c r="C4199" s="1"/>
      <c r="D4199" s="1"/>
      <c r="E4199" s="1"/>
      <c r="F4199" s="1"/>
      <c r="H4199" s="1"/>
    </row>
    <row r="4200" spans="2:8" x14ac:dyDescent="0.25">
      <c r="B4200" s="1"/>
      <c r="C4200" s="1"/>
      <c r="D4200" s="1"/>
      <c r="E4200" s="1"/>
      <c r="F4200" s="1"/>
      <c r="H4200" s="1"/>
    </row>
    <row r="4201" spans="2:8" x14ac:dyDescent="0.25">
      <c r="B4201" s="1"/>
      <c r="C4201" s="1"/>
      <c r="D4201" s="1"/>
      <c r="E4201" s="1"/>
      <c r="F4201" s="1"/>
      <c r="H4201" s="1"/>
    </row>
    <row r="4202" spans="2:8" x14ac:dyDescent="0.25">
      <c r="B4202" s="1"/>
      <c r="C4202" s="1"/>
      <c r="D4202" s="1"/>
      <c r="E4202" s="1"/>
      <c r="F4202" s="1"/>
      <c r="H4202" s="1"/>
    </row>
    <row r="4203" spans="2:8" x14ac:dyDescent="0.25">
      <c r="B4203" s="1"/>
      <c r="C4203" s="1"/>
      <c r="D4203" s="1"/>
      <c r="E4203" s="1"/>
      <c r="F4203" s="1"/>
      <c r="H4203" s="1"/>
    </row>
    <row r="4204" spans="2:8" x14ac:dyDescent="0.25">
      <c r="B4204" s="1"/>
      <c r="C4204" s="1"/>
      <c r="D4204" s="1"/>
      <c r="E4204" s="1"/>
      <c r="F4204" s="1"/>
      <c r="H4204" s="1"/>
    </row>
    <row r="4205" spans="2:8" x14ac:dyDescent="0.25">
      <c r="B4205" s="1"/>
      <c r="C4205" s="1"/>
      <c r="D4205" s="1"/>
      <c r="E4205" s="1"/>
      <c r="F4205" s="1"/>
      <c r="H4205" s="1"/>
    </row>
    <row r="4206" spans="2:8" x14ac:dyDescent="0.25">
      <c r="B4206" s="1"/>
      <c r="C4206" s="1"/>
      <c r="D4206" s="1"/>
      <c r="E4206" s="1"/>
      <c r="F4206" s="1"/>
      <c r="H4206" s="1"/>
    </row>
    <row r="4207" spans="2:8" x14ac:dyDescent="0.25">
      <c r="B4207" s="1"/>
      <c r="C4207" s="1"/>
      <c r="D4207" s="1"/>
      <c r="E4207" s="1"/>
      <c r="F4207" s="1"/>
      <c r="H4207" s="1"/>
    </row>
    <row r="4208" spans="2:8" x14ac:dyDescent="0.25">
      <c r="B4208" s="1"/>
      <c r="C4208" s="1"/>
      <c r="D4208" s="1"/>
      <c r="E4208" s="1"/>
      <c r="F4208" s="1"/>
      <c r="H4208" s="1"/>
    </row>
    <row r="4209" spans="2:8" x14ac:dyDescent="0.25">
      <c r="B4209" s="1"/>
      <c r="C4209" s="1"/>
      <c r="D4209" s="1"/>
      <c r="E4209" s="1"/>
      <c r="F4209" s="1"/>
      <c r="H4209" s="1"/>
    </row>
    <row r="4210" spans="2:8" x14ac:dyDescent="0.25">
      <c r="B4210" s="1"/>
      <c r="C4210" s="1"/>
      <c r="D4210" s="1"/>
      <c r="E4210" s="1"/>
      <c r="F4210" s="1"/>
      <c r="H4210" s="1"/>
    </row>
    <row r="4211" spans="2:8" x14ac:dyDescent="0.25">
      <c r="B4211" s="1"/>
      <c r="C4211" s="1"/>
      <c r="D4211" s="1"/>
      <c r="E4211" s="1"/>
      <c r="F4211" s="1"/>
      <c r="H4211" s="1"/>
    </row>
    <row r="4212" spans="2:8" x14ac:dyDescent="0.25">
      <c r="B4212" s="1"/>
      <c r="C4212" s="1"/>
      <c r="D4212" s="1"/>
      <c r="E4212" s="1"/>
      <c r="F4212" s="1"/>
      <c r="H4212" s="1"/>
    </row>
    <row r="4213" spans="2:8" x14ac:dyDescent="0.25">
      <c r="B4213" s="1"/>
      <c r="C4213" s="1"/>
      <c r="D4213" s="1"/>
      <c r="E4213" s="1"/>
      <c r="F4213" s="1"/>
      <c r="H4213" s="1"/>
    </row>
    <row r="4214" spans="2:8" x14ac:dyDescent="0.25">
      <c r="B4214" s="1"/>
      <c r="C4214" s="1"/>
      <c r="D4214" s="1"/>
      <c r="E4214" s="1"/>
      <c r="F4214" s="1"/>
      <c r="H4214" s="1"/>
    </row>
    <row r="4215" spans="2:8" x14ac:dyDescent="0.25">
      <c r="B4215" s="1"/>
      <c r="C4215" s="1"/>
      <c r="D4215" s="1"/>
      <c r="E4215" s="1"/>
      <c r="F4215" s="1"/>
      <c r="H4215" s="1"/>
    </row>
    <row r="4216" spans="2:8" x14ac:dyDescent="0.25">
      <c r="B4216" s="1"/>
      <c r="C4216" s="1"/>
      <c r="D4216" s="1"/>
      <c r="E4216" s="1"/>
      <c r="F4216" s="1"/>
      <c r="H4216" s="1"/>
    </row>
    <row r="4217" spans="2:8" x14ac:dyDescent="0.25">
      <c r="B4217" s="1"/>
      <c r="C4217" s="1"/>
      <c r="D4217" s="1"/>
      <c r="E4217" s="1"/>
      <c r="F4217" s="1"/>
      <c r="H4217" s="1"/>
    </row>
    <row r="4218" spans="2:8" x14ac:dyDescent="0.25">
      <c r="B4218" s="1"/>
      <c r="C4218" s="1"/>
      <c r="D4218" s="1"/>
      <c r="E4218" s="1"/>
      <c r="F4218" s="1"/>
      <c r="H4218" s="1"/>
    </row>
    <row r="4219" spans="2:8" x14ac:dyDescent="0.25">
      <c r="B4219" s="1"/>
      <c r="C4219" s="1"/>
      <c r="D4219" s="1"/>
      <c r="E4219" s="1"/>
      <c r="F4219" s="1"/>
      <c r="H4219" s="1"/>
    </row>
    <row r="4220" spans="2:8" x14ac:dyDescent="0.25">
      <c r="B4220" s="1"/>
      <c r="C4220" s="1"/>
      <c r="D4220" s="1"/>
      <c r="E4220" s="1"/>
      <c r="F4220" s="1"/>
      <c r="H4220" s="1"/>
    </row>
    <row r="4221" spans="2:8" x14ac:dyDescent="0.25">
      <c r="B4221" s="1"/>
      <c r="C4221" s="1"/>
      <c r="D4221" s="1"/>
      <c r="E4221" s="1"/>
      <c r="F4221" s="1"/>
      <c r="H4221" s="1"/>
    </row>
    <row r="4222" spans="2:8" x14ac:dyDescent="0.25">
      <c r="B4222" s="1"/>
      <c r="C4222" s="1"/>
      <c r="D4222" s="1"/>
      <c r="E4222" s="1"/>
      <c r="F4222" s="1"/>
      <c r="H4222" s="1"/>
    </row>
    <row r="4223" spans="2:8" x14ac:dyDescent="0.25">
      <c r="B4223" s="1"/>
      <c r="C4223" s="1"/>
      <c r="D4223" s="1"/>
      <c r="E4223" s="1"/>
      <c r="F4223" s="1"/>
      <c r="H4223" s="1"/>
    </row>
    <row r="4224" spans="2:8" x14ac:dyDescent="0.25">
      <c r="B4224" s="1"/>
      <c r="C4224" s="1"/>
      <c r="D4224" s="1"/>
      <c r="E4224" s="1"/>
      <c r="F4224" s="1"/>
      <c r="H4224" s="1"/>
    </row>
    <row r="4225" spans="2:8" x14ac:dyDescent="0.25">
      <c r="B4225" s="1"/>
      <c r="C4225" s="1"/>
      <c r="D4225" s="1"/>
      <c r="E4225" s="1"/>
      <c r="F4225" s="1"/>
      <c r="H4225" s="1"/>
    </row>
    <row r="4226" spans="2:8" x14ac:dyDescent="0.25">
      <c r="B4226" s="1"/>
      <c r="C4226" s="1"/>
      <c r="D4226" s="1"/>
      <c r="E4226" s="1"/>
      <c r="F4226" s="1"/>
      <c r="H4226" s="1"/>
    </row>
    <row r="4227" spans="2:8" x14ac:dyDescent="0.25">
      <c r="B4227" s="1"/>
      <c r="C4227" s="1"/>
      <c r="D4227" s="1"/>
      <c r="E4227" s="1"/>
      <c r="F4227" s="1"/>
      <c r="H4227" s="1"/>
    </row>
    <row r="4228" spans="2:8" x14ac:dyDescent="0.25">
      <c r="B4228" s="1"/>
      <c r="C4228" s="1"/>
      <c r="D4228" s="1"/>
      <c r="E4228" s="1"/>
      <c r="F4228" s="1"/>
      <c r="H4228" s="1"/>
    </row>
    <row r="4229" spans="2:8" x14ac:dyDescent="0.25">
      <c r="B4229" s="1"/>
      <c r="C4229" s="1"/>
      <c r="D4229" s="1"/>
      <c r="E4229" s="1"/>
      <c r="F4229" s="1"/>
      <c r="H4229" s="1"/>
    </row>
    <row r="4230" spans="2:8" x14ac:dyDescent="0.25">
      <c r="B4230" s="1"/>
      <c r="C4230" s="1"/>
      <c r="D4230" s="1"/>
      <c r="E4230" s="1"/>
      <c r="F4230" s="1"/>
      <c r="H4230" s="1"/>
    </row>
    <row r="4231" spans="2:8" x14ac:dyDescent="0.25">
      <c r="B4231" s="1"/>
      <c r="C4231" s="1"/>
      <c r="D4231" s="1"/>
      <c r="E4231" s="1"/>
      <c r="F4231" s="1"/>
      <c r="H4231" s="1"/>
    </row>
    <row r="4232" spans="2:8" x14ac:dyDescent="0.25">
      <c r="B4232" s="1"/>
      <c r="C4232" s="1"/>
      <c r="D4232" s="1"/>
      <c r="E4232" s="1"/>
      <c r="F4232" s="1"/>
      <c r="H4232" s="1"/>
    </row>
    <row r="4233" spans="2:8" x14ac:dyDescent="0.25">
      <c r="B4233" s="1"/>
      <c r="C4233" s="1"/>
      <c r="D4233" s="1"/>
      <c r="E4233" s="1"/>
      <c r="F4233" s="1"/>
      <c r="H4233" s="1"/>
    </row>
    <row r="4234" spans="2:8" x14ac:dyDescent="0.25">
      <c r="B4234" s="1"/>
      <c r="C4234" s="1"/>
      <c r="D4234" s="1"/>
      <c r="E4234" s="1"/>
      <c r="F4234" s="1"/>
      <c r="H4234" s="1"/>
    </row>
    <row r="4235" spans="2:8" x14ac:dyDescent="0.25">
      <c r="B4235" s="1"/>
      <c r="C4235" s="1"/>
      <c r="D4235" s="1"/>
      <c r="E4235" s="1"/>
      <c r="F4235" s="1"/>
      <c r="H4235" s="1"/>
    </row>
    <row r="4236" spans="2:8" x14ac:dyDescent="0.25">
      <c r="B4236" s="1"/>
      <c r="C4236" s="1"/>
      <c r="D4236" s="1"/>
      <c r="E4236" s="1"/>
      <c r="F4236" s="1"/>
      <c r="H4236" s="1"/>
    </row>
    <row r="4237" spans="2:8" x14ac:dyDescent="0.25">
      <c r="B4237" s="1"/>
      <c r="C4237" s="1"/>
      <c r="D4237" s="1"/>
      <c r="E4237" s="1"/>
      <c r="F4237" s="1"/>
      <c r="H4237" s="1"/>
    </row>
    <row r="4238" spans="2:8" x14ac:dyDescent="0.25">
      <c r="B4238" s="1"/>
      <c r="C4238" s="1"/>
      <c r="D4238" s="1"/>
      <c r="E4238" s="1"/>
      <c r="F4238" s="1"/>
      <c r="H4238" s="1"/>
    </row>
    <row r="4239" spans="2:8" x14ac:dyDescent="0.25">
      <c r="B4239" s="1"/>
      <c r="C4239" s="1"/>
      <c r="D4239" s="1"/>
      <c r="E4239" s="1"/>
      <c r="F4239" s="1"/>
      <c r="H4239" s="1"/>
    </row>
    <row r="4240" spans="2:8" x14ac:dyDescent="0.25">
      <c r="B4240" s="1"/>
      <c r="C4240" s="1"/>
      <c r="D4240" s="1"/>
      <c r="E4240" s="1"/>
      <c r="F4240" s="1"/>
      <c r="H4240" s="1"/>
    </row>
    <row r="4241" spans="2:8" x14ac:dyDescent="0.25">
      <c r="B4241" s="1"/>
      <c r="C4241" s="1"/>
      <c r="D4241" s="1"/>
      <c r="E4241" s="1"/>
      <c r="F4241" s="1"/>
      <c r="H4241" s="1"/>
    </row>
    <row r="4242" spans="2:8" x14ac:dyDescent="0.25">
      <c r="B4242" s="1"/>
      <c r="C4242" s="1"/>
      <c r="D4242" s="1"/>
      <c r="E4242" s="1"/>
      <c r="F4242" s="1"/>
      <c r="H4242" s="1"/>
    </row>
    <row r="4243" spans="2:8" x14ac:dyDescent="0.25">
      <c r="B4243" s="1"/>
      <c r="C4243" s="1"/>
      <c r="D4243" s="1"/>
      <c r="E4243" s="1"/>
      <c r="F4243" s="1"/>
      <c r="H4243" s="1"/>
    </row>
    <row r="4244" spans="2:8" x14ac:dyDescent="0.25">
      <c r="B4244" s="1"/>
      <c r="C4244" s="1"/>
      <c r="D4244" s="1"/>
      <c r="E4244" s="1"/>
      <c r="F4244" s="1"/>
      <c r="H4244" s="1"/>
    </row>
    <row r="4245" spans="2:8" x14ac:dyDescent="0.25">
      <c r="B4245" s="1"/>
      <c r="C4245" s="1"/>
      <c r="D4245" s="1"/>
      <c r="E4245" s="1"/>
      <c r="F4245" s="1"/>
      <c r="H4245" s="1"/>
    </row>
    <row r="4246" spans="2:8" x14ac:dyDescent="0.25">
      <c r="B4246" s="1"/>
      <c r="C4246" s="1"/>
      <c r="D4246" s="1"/>
      <c r="E4246" s="1"/>
      <c r="F4246" s="1"/>
      <c r="H4246" s="1"/>
    </row>
    <row r="4247" spans="2:8" x14ac:dyDescent="0.25">
      <c r="B4247" s="1"/>
      <c r="C4247" s="1"/>
      <c r="D4247" s="1"/>
      <c r="E4247" s="1"/>
      <c r="F4247" s="1"/>
      <c r="H4247" s="1"/>
    </row>
    <row r="4248" spans="2:8" x14ac:dyDescent="0.25">
      <c r="B4248" s="1"/>
      <c r="C4248" s="1"/>
      <c r="D4248" s="1"/>
      <c r="E4248" s="1"/>
      <c r="F4248" s="1"/>
      <c r="H4248" s="1"/>
    </row>
    <row r="4249" spans="2:8" x14ac:dyDescent="0.25">
      <c r="B4249" s="1"/>
      <c r="C4249" s="1"/>
      <c r="D4249" s="1"/>
      <c r="E4249" s="1"/>
      <c r="F4249" s="1"/>
      <c r="H4249" s="1"/>
    </row>
    <row r="4250" spans="2:8" x14ac:dyDescent="0.25">
      <c r="B4250" s="1"/>
      <c r="C4250" s="1"/>
      <c r="D4250" s="1"/>
      <c r="E4250" s="1"/>
      <c r="F4250" s="1"/>
      <c r="H4250" s="1"/>
    </row>
    <row r="4251" spans="2:8" x14ac:dyDescent="0.25">
      <c r="B4251" s="1"/>
      <c r="C4251" s="1"/>
      <c r="D4251" s="1"/>
      <c r="E4251" s="1"/>
      <c r="F4251" s="1"/>
      <c r="H4251" s="1"/>
    </row>
    <row r="4252" spans="2:8" x14ac:dyDescent="0.25">
      <c r="B4252" s="1"/>
      <c r="C4252" s="1"/>
      <c r="D4252" s="1"/>
      <c r="E4252" s="1"/>
      <c r="F4252" s="1"/>
      <c r="H4252" s="1"/>
    </row>
    <row r="4253" spans="2:8" x14ac:dyDescent="0.25">
      <c r="B4253" s="1"/>
      <c r="C4253" s="1"/>
      <c r="D4253" s="1"/>
      <c r="E4253" s="1"/>
      <c r="F4253" s="1"/>
      <c r="H4253" s="1"/>
    </row>
    <row r="4254" spans="2:8" x14ac:dyDescent="0.25">
      <c r="B4254" s="1"/>
      <c r="C4254" s="1"/>
      <c r="D4254" s="1"/>
      <c r="E4254" s="1"/>
      <c r="F4254" s="1"/>
      <c r="H4254" s="1"/>
    </row>
    <row r="4255" spans="2:8" x14ac:dyDescent="0.25">
      <c r="B4255" s="1"/>
      <c r="C4255" s="1"/>
      <c r="D4255" s="1"/>
      <c r="E4255" s="1"/>
      <c r="F4255" s="1"/>
      <c r="H4255" s="1"/>
    </row>
    <row r="4256" spans="2:8" x14ac:dyDescent="0.25">
      <c r="B4256" s="1"/>
      <c r="C4256" s="1"/>
      <c r="D4256" s="1"/>
      <c r="E4256" s="1"/>
      <c r="F4256" s="1"/>
      <c r="H4256" s="1"/>
    </row>
    <row r="4257" spans="2:8" x14ac:dyDescent="0.25">
      <c r="B4257" s="1"/>
      <c r="C4257" s="1"/>
      <c r="D4257" s="1"/>
      <c r="E4257" s="1"/>
      <c r="F4257" s="1"/>
      <c r="H4257" s="1"/>
    </row>
    <row r="4258" spans="2:8" x14ac:dyDescent="0.25">
      <c r="B4258" s="1"/>
      <c r="C4258" s="1"/>
      <c r="D4258" s="1"/>
      <c r="E4258" s="1"/>
      <c r="F4258" s="1"/>
      <c r="H4258" s="1"/>
    </row>
    <row r="4259" spans="2:8" x14ac:dyDescent="0.25">
      <c r="B4259" s="1"/>
      <c r="C4259" s="1"/>
      <c r="D4259" s="1"/>
      <c r="E4259" s="1"/>
      <c r="F4259" s="1"/>
      <c r="H4259" s="1"/>
    </row>
    <row r="4260" spans="2:8" x14ac:dyDescent="0.25">
      <c r="B4260" s="1"/>
      <c r="C4260" s="1"/>
      <c r="D4260" s="1"/>
      <c r="E4260" s="1"/>
      <c r="F4260" s="1"/>
      <c r="H4260" s="1"/>
    </row>
    <row r="4261" spans="2:8" x14ac:dyDescent="0.25">
      <c r="B4261" s="1"/>
      <c r="C4261" s="1"/>
      <c r="D4261" s="1"/>
      <c r="E4261" s="1"/>
      <c r="F4261" s="1"/>
      <c r="H4261" s="1"/>
    </row>
    <row r="4262" spans="2:8" x14ac:dyDescent="0.25">
      <c r="B4262" s="1"/>
      <c r="C4262" s="1"/>
      <c r="D4262" s="1"/>
      <c r="E4262" s="1"/>
      <c r="F4262" s="1"/>
      <c r="H4262" s="1"/>
    </row>
    <row r="4263" spans="2:8" x14ac:dyDescent="0.25">
      <c r="B4263" s="1"/>
      <c r="C4263" s="1"/>
      <c r="D4263" s="1"/>
      <c r="E4263" s="1"/>
      <c r="F4263" s="1"/>
      <c r="H4263" s="1"/>
    </row>
    <row r="4264" spans="2:8" x14ac:dyDescent="0.25">
      <c r="B4264" s="1"/>
      <c r="C4264" s="1"/>
      <c r="D4264" s="1"/>
      <c r="E4264" s="1"/>
      <c r="F4264" s="1"/>
      <c r="H4264" s="1"/>
    </row>
    <row r="4265" spans="2:8" x14ac:dyDescent="0.25">
      <c r="B4265" s="1"/>
      <c r="C4265" s="1"/>
      <c r="D4265" s="1"/>
      <c r="E4265" s="1"/>
      <c r="F4265" s="1"/>
      <c r="H4265" s="1"/>
    </row>
    <row r="4266" spans="2:8" x14ac:dyDescent="0.25">
      <c r="B4266" s="1"/>
      <c r="C4266" s="1"/>
      <c r="D4266" s="1"/>
      <c r="E4266" s="1"/>
      <c r="F4266" s="1"/>
      <c r="H4266" s="1"/>
    </row>
    <row r="4267" spans="2:8" x14ac:dyDescent="0.25">
      <c r="B4267" s="1"/>
      <c r="C4267" s="1"/>
      <c r="D4267" s="1"/>
      <c r="E4267" s="1"/>
      <c r="F4267" s="1"/>
      <c r="H4267" s="1"/>
    </row>
    <row r="4268" spans="2:8" x14ac:dyDescent="0.25">
      <c r="B4268" s="1"/>
      <c r="C4268" s="1"/>
      <c r="D4268" s="1"/>
      <c r="E4268" s="1"/>
      <c r="F4268" s="1"/>
      <c r="H4268" s="1"/>
    </row>
    <row r="4269" spans="2:8" x14ac:dyDescent="0.25">
      <c r="B4269" s="1"/>
      <c r="C4269" s="1"/>
      <c r="D4269" s="1"/>
      <c r="E4269" s="1"/>
      <c r="F4269" s="1"/>
      <c r="H4269" s="1"/>
    </row>
    <row r="4270" spans="2:8" x14ac:dyDescent="0.25">
      <c r="B4270" s="1"/>
      <c r="C4270" s="1"/>
      <c r="D4270" s="1"/>
      <c r="E4270" s="1"/>
      <c r="F4270" s="1"/>
      <c r="H4270" s="1"/>
    </row>
    <row r="4271" spans="2:8" x14ac:dyDescent="0.25">
      <c r="B4271" s="1"/>
      <c r="C4271" s="1"/>
      <c r="D4271" s="1"/>
      <c r="E4271" s="1"/>
      <c r="F4271" s="1"/>
      <c r="H4271" s="1"/>
    </row>
    <row r="4272" spans="2:8" x14ac:dyDescent="0.25">
      <c r="B4272" s="1"/>
      <c r="C4272" s="1"/>
      <c r="D4272" s="1"/>
      <c r="E4272" s="1"/>
      <c r="F4272" s="1"/>
      <c r="H4272" s="1"/>
    </row>
    <row r="4273" spans="2:8" x14ac:dyDescent="0.25">
      <c r="B4273" s="1"/>
      <c r="C4273" s="1"/>
      <c r="D4273" s="1"/>
      <c r="E4273" s="1"/>
      <c r="F4273" s="1"/>
      <c r="H4273" s="1"/>
    </row>
    <row r="4274" spans="2:8" x14ac:dyDescent="0.25">
      <c r="B4274" s="1"/>
      <c r="C4274" s="1"/>
      <c r="D4274" s="1"/>
      <c r="E4274" s="1"/>
      <c r="F4274" s="1"/>
      <c r="H4274" s="1"/>
    </row>
    <row r="4275" spans="2:8" x14ac:dyDescent="0.25">
      <c r="B4275" s="1"/>
      <c r="C4275" s="1"/>
      <c r="D4275" s="1"/>
      <c r="E4275" s="1"/>
      <c r="F4275" s="1"/>
      <c r="H4275" s="1"/>
    </row>
    <row r="4276" spans="2:8" x14ac:dyDescent="0.25">
      <c r="B4276" s="1"/>
      <c r="C4276" s="1"/>
      <c r="D4276" s="1"/>
      <c r="E4276" s="1"/>
      <c r="F4276" s="1"/>
      <c r="H4276" s="1"/>
    </row>
    <row r="4277" spans="2:8" x14ac:dyDescent="0.25">
      <c r="B4277" s="1"/>
      <c r="C4277" s="1"/>
      <c r="D4277" s="1"/>
      <c r="E4277" s="1"/>
      <c r="F4277" s="1"/>
      <c r="H4277" s="1"/>
    </row>
    <row r="4278" spans="2:8" x14ac:dyDescent="0.25">
      <c r="B4278" s="1"/>
      <c r="C4278" s="1"/>
      <c r="D4278" s="1"/>
      <c r="E4278" s="1"/>
      <c r="F4278" s="1"/>
      <c r="H4278" s="1"/>
    </row>
    <row r="4279" spans="2:8" x14ac:dyDescent="0.25">
      <c r="B4279" s="1"/>
      <c r="C4279" s="1"/>
      <c r="D4279" s="1"/>
      <c r="E4279" s="1"/>
      <c r="F4279" s="1"/>
      <c r="H4279" s="1"/>
    </row>
    <row r="4280" spans="2:8" x14ac:dyDescent="0.25">
      <c r="B4280" s="1"/>
      <c r="C4280" s="1"/>
      <c r="D4280" s="1"/>
      <c r="E4280" s="1"/>
      <c r="F4280" s="1"/>
      <c r="H4280" s="1"/>
    </row>
    <row r="4281" spans="2:8" x14ac:dyDescent="0.25">
      <c r="B4281" s="1"/>
      <c r="C4281" s="1"/>
      <c r="D4281" s="1"/>
      <c r="E4281" s="1"/>
      <c r="F4281" s="1"/>
      <c r="H4281" s="1"/>
    </row>
    <row r="4282" spans="2:8" x14ac:dyDescent="0.25">
      <c r="B4282" s="1"/>
      <c r="C4282" s="1"/>
      <c r="D4282" s="1"/>
      <c r="E4282" s="1"/>
      <c r="F4282" s="1"/>
      <c r="H4282" s="1"/>
    </row>
    <row r="4283" spans="2:8" x14ac:dyDescent="0.25">
      <c r="B4283" s="1"/>
      <c r="C4283" s="1"/>
      <c r="D4283" s="1"/>
      <c r="E4283" s="1"/>
      <c r="F4283" s="1"/>
      <c r="H4283" s="1"/>
    </row>
    <row r="4284" spans="2:8" x14ac:dyDescent="0.25">
      <c r="B4284" s="1"/>
      <c r="C4284" s="1"/>
      <c r="D4284" s="1"/>
      <c r="E4284" s="1"/>
      <c r="F4284" s="1"/>
      <c r="H4284" s="1"/>
    </row>
    <row r="4285" spans="2:8" x14ac:dyDescent="0.25">
      <c r="B4285" s="1"/>
      <c r="C4285" s="1"/>
      <c r="D4285" s="1"/>
      <c r="E4285" s="1"/>
      <c r="F4285" s="1"/>
      <c r="H4285" s="1"/>
    </row>
    <row r="4286" spans="2:8" x14ac:dyDescent="0.25">
      <c r="B4286" s="1"/>
      <c r="C4286" s="1"/>
      <c r="D4286" s="1"/>
      <c r="E4286" s="1"/>
      <c r="F4286" s="1"/>
      <c r="H4286" s="1"/>
    </row>
    <row r="4287" spans="2:8" x14ac:dyDescent="0.25">
      <c r="B4287" s="1"/>
      <c r="C4287" s="1"/>
      <c r="D4287" s="1"/>
      <c r="E4287" s="1"/>
      <c r="F4287" s="1"/>
      <c r="H4287" s="1"/>
    </row>
    <row r="4288" spans="2:8" x14ac:dyDescent="0.25">
      <c r="B4288" s="1"/>
      <c r="C4288" s="1"/>
      <c r="D4288" s="1"/>
      <c r="E4288" s="1"/>
      <c r="F4288" s="1"/>
      <c r="H4288" s="1"/>
    </row>
    <row r="4289" spans="2:8" x14ac:dyDescent="0.25">
      <c r="B4289" s="1"/>
      <c r="C4289" s="1"/>
      <c r="D4289" s="1"/>
      <c r="E4289" s="1"/>
      <c r="F4289" s="1"/>
      <c r="H4289" s="1"/>
    </row>
    <row r="4290" spans="2:8" x14ac:dyDescent="0.25">
      <c r="B4290" s="1"/>
      <c r="C4290" s="1"/>
      <c r="D4290" s="1"/>
      <c r="E4290" s="1"/>
      <c r="F4290" s="1"/>
      <c r="H4290" s="1"/>
    </row>
    <row r="4291" spans="2:8" x14ac:dyDescent="0.25">
      <c r="B4291" s="1"/>
      <c r="C4291" s="1"/>
      <c r="D4291" s="1"/>
      <c r="E4291" s="1"/>
      <c r="F4291" s="1"/>
      <c r="H4291" s="1"/>
    </row>
    <row r="4292" spans="2:8" x14ac:dyDescent="0.25">
      <c r="B4292" s="1"/>
      <c r="C4292" s="1"/>
      <c r="D4292" s="1"/>
      <c r="E4292" s="1"/>
      <c r="F4292" s="1"/>
      <c r="H4292" s="1"/>
    </row>
    <row r="4293" spans="2:8" x14ac:dyDescent="0.25">
      <c r="B4293" s="1"/>
      <c r="C4293" s="1"/>
      <c r="D4293" s="1"/>
      <c r="E4293" s="1"/>
      <c r="F4293" s="1"/>
      <c r="H4293" s="1"/>
    </row>
    <row r="4294" spans="2:8" x14ac:dyDescent="0.25">
      <c r="B4294" s="1"/>
      <c r="C4294" s="1"/>
      <c r="D4294" s="1"/>
      <c r="E4294" s="1"/>
      <c r="F4294" s="1"/>
      <c r="H4294" s="1"/>
    </row>
    <row r="4295" spans="2:8" x14ac:dyDescent="0.25">
      <c r="B4295" s="1"/>
      <c r="C4295" s="1"/>
      <c r="D4295" s="1"/>
      <c r="E4295" s="1"/>
      <c r="F4295" s="1"/>
      <c r="H4295" s="1"/>
    </row>
    <row r="4296" spans="2:8" x14ac:dyDescent="0.25">
      <c r="B4296" s="1"/>
      <c r="C4296" s="1"/>
      <c r="D4296" s="1"/>
      <c r="E4296" s="1"/>
      <c r="F4296" s="1"/>
      <c r="H4296" s="1"/>
    </row>
    <row r="4297" spans="2:8" x14ac:dyDescent="0.25">
      <c r="B4297" s="1"/>
      <c r="C4297" s="1"/>
      <c r="D4297" s="1"/>
      <c r="E4297" s="1"/>
      <c r="F4297" s="1"/>
      <c r="H4297" s="1"/>
    </row>
    <row r="4298" spans="2:8" x14ac:dyDescent="0.25">
      <c r="B4298" s="1"/>
      <c r="C4298" s="1"/>
      <c r="D4298" s="1"/>
      <c r="E4298" s="1"/>
      <c r="F4298" s="1"/>
      <c r="H4298" s="1"/>
    </row>
    <row r="4299" spans="2:8" x14ac:dyDescent="0.25">
      <c r="B4299" s="1"/>
      <c r="C4299" s="1"/>
      <c r="D4299" s="1"/>
      <c r="E4299" s="1"/>
      <c r="F4299" s="1"/>
      <c r="H4299" s="1"/>
    </row>
    <row r="4300" spans="2:8" x14ac:dyDescent="0.25">
      <c r="B4300" s="1"/>
      <c r="C4300" s="1"/>
      <c r="D4300" s="1"/>
      <c r="E4300" s="1"/>
      <c r="F4300" s="1"/>
      <c r="H4300" s="1"/>
    </row>
    <row r="4301" spans="2:8" x14ac:dyDescent="0.25">
      <c r="B4301" s="1"/>
      <c r="C4301" s="1"/>
      <c r="D4301" s="1"/>
      <c r="E4301" s="1"/>
      <c r="F4301" s="1"/>
      <c r="H4301" s="1"/>
    </row>
    <row r="4302" spans="2:8" x14ac:dyDescent="0.25">
      <c r="B4302" s="1"/>
      <c r="C4302" s="1"/>
      <c r="D4302" s="1"/>
      <c r="E4302" s="1"/>
      <c r="F4302" s="1"/>
      <c r="H4302" s="1"/>
    </row>
    <row r="4303" spans="2:8" x14ac:dyDescent="0.25">
      <c r="B4303" s="1"/>
      <c r="C4303" s="1"/>
      <c r="D4303" s="1"/>
      <c r="E4303" s="1"/>
      <c r="F4303" s="1"/>
      <c r="H4303" s="1"/>
    </row>
    <row r="4304" spans="2:8" x14ac:dyDescent="0.25">
      <c r="B4304" s="1"/>
      <c r="C4304" s="1"/>
      <c r="D4304" s="1"/>
      <c r="E4304" s="1"/>
      <c r="F4304" s="1"/>
      <c r="H4304" s="1"/>
    </row>
    <row r="4305" spans="2:8" x14ac:dyDescent="0.25">
      <c r="B4305" s="1"/>
      <c r="C4305" s="1"/>
      <c r="D4305" s="1"/>
      <c r="E4305" s="1"/>
      <c r="F4305" s="1"/>
      <c r="H4305" s="1"/>
    </row>
    <row r="4306" spans="2:8" x14ac:dyDescent="0.25">
      <c r="B4306" s="1"/>
      <c r="C4306" s="1"/>
      <c r="D4306" s="1"/>
      <c r="E4306" s="1"/>
      <c r="F4306" s="1"/>
      <c r="H4306" s="1"/>
    </row>
    <row r="4307" spans="2:8" x14ac:dyDescent="0.25">
      <c r="B4307" s="1"/>
      <c r="C4307" s="1"/>
      <c r="D4307" s="1"/>
      <c r="E4307" s="1"/>
      <c r="F4307" s="1"/>
      <c r="H4307" s="1"/>
    </row>
    <row r="4308" spans="2:8" x14ac:dyDescent="0.25">
      <c r="B4308" s="1"/>
      <c r="C4308" s="1"/>
      <c r="D4308" s="1"/>
      <c r="E4308" s="1"/>
      <c r="F4308" s="1"/>
      <c r="H4308" s="1"/>
    </row>
    <row r="4309" spans="2:8" x14ac:dyDescent="0.25">
      <c r="B4309" s="1"/>
      <c r="C4309" s="1"/>
      <c r="D4309" s="1"/>
      <c r="E4309" s="1"/>
      <c r="F4309" s="1"/>
      <c r="H4309" s="1"/>
    </row>
    <row r="4310" spans="2:8" x14ac:dyDescent="0.25">
      <c r="B4310" s="1"/>
      <c r="C4310" s="1"/>
      <c r="D4310" s="1"/>
      <c r="E4310" s="1"/>
      <c r="F4310" s="1"/>
      <c r="H4310" s="1"/>
    </row>
    <row r="4311" spans="2:8" x14ac:dyDescent="0.25">
      <c r="B4311" s="1"/>
      <c r="C4311" s="1"/>
      <c r="D4311" s="1"/>
      <c r="E4311" s="1"/>
      <c r="F4311" s="1"/>
      <c r="H4311" s="1"/>
    </row>
    <row r="4312" spans="2:8" x14ac:dyDescent="0.25">
      <c r="B4312" s="1"/>
      <c r="C4312" s="1"/>
      <c r="D4312" s="1"/>
      <c r="E4312" s="1"/>
      <c r="F4312" s="1"/>
      <c r="H4312" s="1"/>
    </row>
    <row r="4313" spans="2:8" x14ac:dyDescent="0.25">
      <c r="B4313" s="1"/>
      <c r="C4313" s="1"/>
      <c r="D4313" s="1"/>
      <c r="E4313" s="1"/>
      <c r="F4313" s="1"/>
      <c r="H4313" s="1"/>
    </row>
    <row r="4314" spans="2:8" x14ac:dyDescent="0.25">
      <c r="B4314" s="1"/>
      <c r="C4314" s="1"/>
      <c r="D4314" s="1"/>
      <c r="E4314" s="1"/>
      <c r="F4314" s="1"/>
      <c r="H4314" s="1"/>
    </row>
    <row r="4315" spans="2:8" x14ac:dyDescent="0.25">
      <c r="B4315" s="1"/>
      <c r="C4315" s="1"/>
      <c r="D4315" s="1"/>
      <c r="E4315" s="1"/>
      <c r="F4315" s="1"/>
      <c r="H4315" s="1"/>
    </row>
    <row r="4316" spans="2:8" x14ac:dyDescent="0.25">
      <c r="B4316" s="1"/>
      <c r="C4316" s="1"/>
      <c r="D4316" s="1"/>
      <c r="E4316" s="1"/>
      <c r="F4316" s="1"/>
      <c r="H4316" s="1"/>
    </row>
    <row r="4317" spans="2:8" x14ac:dyDescent="0.25">
      <c r="B4317" s="1"/>
      <c r="C4317" s="1"/>
      <c r="D4317" s="1"/>
      <c r="E4317" s="1"/>
      <c r="F4317" s="1"/>
      <c r="H4317" s="1"/>
    </row>
    <row r="4318" spans="2:8" x14ac:dyDescent="0.25">
      <c r="B4318" s="1"/>
      <c r="C4318" s="1"/>
      <c r="D4318" s="1"/>
      <c r="E4318" s="1"/>
      <c r="F4318" s="1"/>
      <c r="H4318" s="1"/>
    </row>
    <row r="4319" spans="2:8" x14ac:dyDescent="0.25">
      <c r="B4319" s="1"/>
      <c r="C4319" s="1"/>
      <c r="D4319" s="1"/>
      <c r="E4319" s="1"/>
      <c r="F4319" s="1"/>
      <c r="H4319" s="1"/>
    </row>
    <row r="4320" spans="2:8" x14ac:dyDescent="0.25">
      <c r="B4320" s="1"/>
      <c r="C4320" s="1"/>
      <c r="D4320" s="1"/>
      <c r="E4320" s="1"/>
      <c r="F4320" s="1"/>
      <c r="H4320" s="1"/>
    </row>
    <row r="4321" spans="2:8" x14ac:dyDescent="0.25">
      <c r="B4321" s="1"/>
      <c r="C4321" s="1"/>
      <c r="D4321" s="1"/>
      <c r="E4321" s="1"/>
      <c r="F4321" s="1"/>
      <c r="H4321" s="1"/>
    </row>
    <row r="4322" spans="2:8" x14ac:dyDescent="0.25">
      <c r="B4322" s="1"/>
      <c r="C4322" s="1"/>
      <c r="D4322" s="1"/>
      <c r="E4322" s="1"/>
      <c r="F4322" s="1"/>
      <c r="H4322" s="1"/>
    </row>
    <row r="4323" spans="2:8" x14ac:dyDescent="0.25">
      <c r="B4323" s="1"/>
      <c r="C4323" s="1"/>
      <c r="D4323" s="1"/>
      <c r="E4323" s="1"/>
      <c r="F4323" s="1"/>
      <c r="H4323" s="1"/>
    </row>
    <row r="4324" spans="2:8" x14ac:dyDescent="0.25">
      <c r="B4324" s="1"/>
      <c r="C4324" s="1"/>
      <c r="D4324" s="1"/>
      <c r="E4324" s="1"/>
      <c r="F4324" s="1"/>
      <c r="H4324" s="1"/>
    </row>
    <row r="4325" spans="2:8" x14ac:dyDescent="0.25">
      <c r="B4325" s="1"/>
      <c r="C4325" s="1"/>
      <c r="D4325" s="1"/>
      <c r="E4325" s="1"/>
      <c r="F4325" s="1"/>
      <c r="H4325" s="1"/>
    </row>
    <row r="4326" spans="2:8" x14ac:dyDescent="0.25">
      <c r="B4326" s="1"/>
      <c r="C4326" s="1"/>
      <c r="D4326" s="1"/>
      <c r="E4326" s="1"/>
      <c r="F4326" s="1"/>
      <c r="H4326" s="1"/>
    </row>
    <row r="4327" spans="2:8" x14ac:dyDescent="0.25">
      <c r="B4327" s="1"/>
      <c r="C4327" s="1"/>
      <c r="D4327" s="1"/>
      <c r="E4327" s="1"/>
      <c r="F4327" s="1"/>
      <c r="H4327" s="1"/>
    </row>
    <row r="4328" spans="2:8" x14ac:dyDescent="0.25">
      <c r="B4328" s="1"/>
      <c r="C4328" s="1"/>
      <c r="D4328" s="1"/>
      <c r="E4328" s="1"/>
      <c r="F4328" s="1"/>
      <c r="H4328" s="1"/>
    </row>
    <row r="4329" spans="2:8" x14ac:dyDescent="0.25">
      <c r="B4329" s="1"/>
      <c r="C4329" s="1"/>
      <c r="D4329" s="1"/>
      <c r="E4329" s="1"/>
      <c r="F4329" s="1"/>
      <c r="H4329" s="1"/>
    </row>
    <row r="4330" spans="2:8" x14ac:dyDescent="0.25">
      <c r="B4330" s="1"/>
      <c r="C4330" s="1"/>
      <c r="D4330" s="1"/>
      <c r="E4330" s="1"/>
      <c r="F4330" s="1"/>
      <c r="H4330" s="1"/>
    </row>
    <row r="4331" spans="2:8" x14ac:dyDescent="0.25">
      <c r="B4331" s="1"/>
      <c r="C4331" s="1"/>
      <c r="D4331" s="1"/>
      <c r="E4331" s="1"/>
      <c r="F4331" s="1"/>
      <c r="H4331" s="1"/>
    </row>
    <row r="4332" spans="2:8" x14ac:dyDescent="0.25">
      <c r="B4332" s="1"/>
      <c r="C4332" s="1"/>
      <c r="D4332" s="1"/>
      <c r="E4332" s="1"/>
      <c r="F4332" s="1"/>
      <c r="H4332" s="1"/>
    </row>
    <row r="4333" spans="2:8" x14ac:dyDescent="0.25">
      <c r="B4333" s="1"/>
      <c r="C4333" s="1"/>
      <c r="D4333" s="1"/>
      <c r="E4333" s="1"/>
      <c r="F4333" s="1"/>
      <c r="H4333" s="1"/>
    </row>
    <row r="4334" spans="2:8" x14ac:dyDescent="0.25">
      <c r="B4334" s="1"/>
      <c r="C4334" s="1"/>
      <c r="D4334" s="1"/>
      <c r="E4334" s="1"/>
      <c r="F4334" s="1"/>
      <c r="H4334" s="1"/>
    </row>
    <row r="4335" spans="2:8" x14ac:dyDescent="0.25">
      <c r="B4335" s="1"/>
      <c r="C4335" s="1"/>
      <c r="D4335" s="1"/>
      <c r="E4335" s="1"/>
      <c r="F4335" s="1"/>
      <c r="H4335" s="1"/>
    </row>
    <row r="4336" spans="2:8" x14ac:dyDescent="0.25">
      <c r="B4336" s="1"/>
      <c r="C4336" s="1"/>
      <c r="D4336" s="1"/>
      <c r="E4336" s="1"/>
      <c r="F4336" s="1"/>
      <c r="H4336" s="1"/>
    </row>
    <row r="4337" spans="2:8" x14ac:dyDescent="0.25">
      <c r="B4337" s="1"/>
      <c r="C4337" s="1"/>
      <c r="D4337" s="1"/>
      <c r="E4337" s="1"/>
      <c r="F4337" s="1"/>
      <c r="H4337" s="1"/>
    </row>
    <row r="4338" spans="2:8" x14ac:dyDescent="0.25">
      <c r="B4338" s="1"/>
      <c r="C4338" s="1"/>
      <c r="D4338" s="1"/>
      <c r="E4338" s="1"/>
      <c r="F4338" s="1"/>
      <c r="H4338" s="1"/>
    </row>
    <row r="4339" spans="2:8" x14ac:dyDescent="0.25">
      <c r="B4339" s="1"/>
      <c r="C4339" s="1"/>
      <c r="D4339" s="1"/>
      <c r="E4339" s="1"/>
      <c r="F4339" s="1"/>
      <c r="H4339" s="1"/>
    </row>
    <row r="4340" spans="2:8" x14ac:dyDescent="0.25">
      <c r="B4340" s="1"/>
      <c r="C4340" s="1"/>
      <c r="D4340" s="1"/>
      <c r="E4340" s="1"/>
      <c r="F4340" s="1"/>
      <c r="H4340" s="1"/>
    </row>
    <row r="4341" spans="2:8" x14ac:dyDescent="0.25">
      <c r="B4341" s="1"/>
      <c r="C4341" s="1"/>
      <c r="D4341" s="1"/>
      <c r="E4341" s="1"/>
      <c r="F4341" s="1"/>
      <c r="H4341" s="1"/>
    </row>
    <row r="4342" spans="2:8" x14ac:dyDescent="0.25">
      <c r="B4342" s="1"/>
      <c r="C4342" s="1"/>
      <c r="D4342" s="1"/>
      <c r="E4342" s="1"/>
      <c r="F4342" s="1"/>
      <c r="H4342" s="1"/>
    </row>
    <row r="4343" spans="2:8" x14ac:dyDescent="0.25">
      <c r="B4343" s="1"/>
      <c r="C4343" s="1"/>
      <c r="D4343" s="1"/>
      <c r="E4343" s="1"/>
      <c r="F4343" s="1"/>
      <c r="H4343" s="1"/>
    </row>
    <row r="4344" spans="2:8" x14ac:dyDescent="0.25">
      <c r="B4344" s="1"/>
      <c r="C4344" s="1"/>
      <c r="D4344" s="1"/>
      <c r="E4344" s="1"/>
      <c r="F4344" s="1"/>
      <c r="H4344" s="1"/>
    </row>
    <row r="4345" spans="2:8" x14ac:dyDescent="0.25">
      <c r="B4345" s="1"/>
      <c r="C4345" s="1"/>
      <c r="D4345" s="1"/>
      <c r="E4345" s="1"/>
      <c r="F4345" s="1"/>
      <c r="H4345" s="1"/>
    </row>
    <row r="4346" spans="2:8" x14ac:dyDescent="0.25">
      <c r="B4346" s="1"/>
      <c r="C4346" s="1"/>
      <c r="D4346" s="1"/>
      <c r="E4346" s="1"/>
      <c r="F4346" s="1"/>
      <c r="H4346" s="1"/>
    </row>
    <row r="4347" spans="2:8" x14ac:dyDescent="0.25">
      <c r="B4347" s="1"/>
      <c r="C4347" s="1"/>
      <c r="D4347" s="1"/>
      <c r="E4347" s="1"/>
      <c r="F4347" s="1"/>
      <c r="H4347" s="1"/>
    </row>
    <row r="4348" spans="2:8" x14ac:dyDescent="0.25">
      <c r="B4348" s="1"/>
      <c r="C4348" s="1"/>
      <c r="D4348" s="1"/>
      <c r="E4348" s="1"/>
      <c r="F4348" s="1"/>
      <c r="H4348" s="1"/>
    </row>
    <row r="4349" spans="2:8" x14ac:dyDescent="0.25">
      <c r="B4349" s="1"/>
      <c r="C4349" s="1"/>
      <c r="D4349" s="1"/>
      <c r="E4349" s="1"/>
      <c r="F4349" s="1"/>
      <c r="H4349" s="1"/>
    </row>
    <row r="4350" spans="2:8" x14ac:dyDescent="0.25">
      <c r="B4350" s="1"/>
      <c r="C4350" s="1"/>
      <c r="D4350" s="1"/>
      <c r="E4350" s="1"/>
      <c r="F4350" s="1"/>
      <c r="H4350" s="1"/>
    </row>
    <row r="4351" spans="2:8" x14ac:dyDescent="0.25">
      <c r="B4351" s="1"/>
      <c r="C4351" s="1"/>
      <c r="D4351" s="1"/>
      <c r="E4351" s="1"/>
      <c r="F4351" s="1"/>
      <c r="H4351" s="1"/>
    </row>
    <row r="4352" spans="2:8" x14ac:dyDescent="0.25">
      <c r="B4352" s="1"/>
      <c r="C4352" s="1"/>
      <c r="D4352" s="1"/>
      <c r="E4352" s="1"/>
      <c r="F4352" s="1"/>
      <c r="H4352" s="1"/>
    </row>
    <row r="4353" spans="2:8" x14ac:dyDescent="0.25">
      <c r="B4353" s="1"/>
      <c r="C4353" s="1"/>
      <c r="D4353" s="1"/>
      <c r="E4353" s="1"/>
      <c r="F4353" s="1"/>
      <c r="H4353" s="1"/>
    </row>
    <row r="4354" spans="2:8" x14ac:dyDescent="0.25">
      <c r="B4354" s="1"/>
      <c r="C4354" s="1"/>
      <c r="D4354" s="1"/>
      <c r="E4354" s="1"/>
      <c r="F4354" s="1"/>
      <c r="H4354" s="1"/>
    </row>
    <row r="4355" spans="2:8" x14ac:dyDescent="0.25">
      <c r="B4355" s="1"/>
      <c r="C4355" s="1"/>
      <c r="D4355" s="1"/>
      <c r="E4355" s="1"/>
      <c r="F4355" s="1"/>
      <c r="H4355" s="1"/>
    </row>
    <row r="4356" spans="2:8" x14ac:dyDescent="0.25">
      <c r="B4356" s="1"/>
      <c r="C4356" s="1"/>
      <c r="D4356" s="1"/>
      <c r="E4356" s="1"/>
      <c r="F4356" s="1"/>
      <c r="H4356" s="1"/>
    </row>
    <row r="4357" spans="2:8" x14ac:dyDescent="0.25">
      <c r="B4357" s="1"/>
      <c r="C4357" s="1"/>
      <c r="D4357" s="1"/>
      <c r="E4357" s="1"/>
      <c r="F4357" s="1"/>
      <c r="H4357" s="1"/>
    </row>
    <row r="4358" spans="2:8" x14ac:dyDescent="0.25">
      <c r="B4358" s="1"/>
      <c r="C4358" s="1"/>
      <c r="D4358" s="1"/>
      <c r="E4358" s="1"/>
      <c r="F4358" s="1"/>
      <c r="H4358" s="1"/>
    </row>
    <row r="4359" spans="2:8" x14ac:dyDescent="0.25">
      <c r="B4359" s="1"/>
      <c r="C4359" s="1"/>
      <c r="D4359" s="1"/>
      <c r="E4359" s="1"/>
      <c r="F4359" s="1"/>
      <c r="H4359" s="1"/>
    </row>
    <row r="4360" spans="2:8" x14ac:dyDescent="0.25">
      <c r="B4360" s="1"/>
      <c r="C4360" s="1"/>
      <c r="D4360" s="1"/>
      <c r="E4360" s="1"/>
      <c r="F4360" s="1"/>
      <c r="H4360" s="1"/>
    </row>
    <row r="4361" spans="2:8" x14ac:dyDescent="0.25">
      <c r="B4361" s="1"/>
      <c r="C4361" s="1"/>
      <c r="D4361" s="1"/>
      <c r="E4361" s="1"/>
      <c r="F4361" s="1"/>
      <c r="H4361" s="1"/>
    </row>
    <row r="4362" spans="2:8" x14ac:dyDescent="0.25">
      <c r="B4362" s="1"/>
      <c r="C4362" s="1"/>
      <c r="D4362" s="1"/>
      <c r="E4362" s="1"/>
      <c r="F4362" s="1"/>
      <c r="H4362" s="1"/>
    </row>
    <row r="4363" spans="2:8" x14ac:dyDescent="0.25">
      <c r="B4363" s="1"/>
      <c r="C4363" s="1"/>
      <c r="D4363" s="1"/>
      <c r="E4363" s="1"/>
      <c r="F4363" s="1"/>
      <c r="H4363" s="1"/>
    </row>
    <row r="4364" spans="2:8" x14ac:dyDescent="0.25">
      <c r="B4364" s="1"/>
      <c r="C4364" s="1"/>
      <c r="D4364" s="1"/>
      <c r="E4364" s="1"/>
      <c r="F4364" s="1"/>
      <c r="H4364" s="1"/>
    </row>
    <row r="4365" spans="2:8" x14ac:dyDescent="0.25">
      <c r="B4365" s="1"/>
      <c r="C4365" s="1"/>
      <c r="D4365" s="1"/>
      <c r="E4365" s="1"/>
      <c r="F4365" s="1"/>
      <c r="H4365" s="1"/>
    </row>
    <row r="4366" spans="2:8" x14ac:dyDescent="0.25">
      <c r="B4366" s="1"/>
      <c r="C4366" s="1"/>
      <c r="D4366" s="1"/>
      <c r="E4366" s="1"/>
      <c r="F4366" s="1"/>
      <c r="H4366" s="1"/>
    </row>
    <row r="4367" spans="2:8" x14ac:dyDescent="0.25">
      <c r="B4367" s="1"/>
      <c r="C4367" s="1"/>
      <c r="D4367" s="1"/>
      <c r="E4367" s="1"/>
      <c r="F4367" s="1"/>
      <c r="H4367" s="1"/>
    </row>
    <row r="4368" spans="2:8" x14ac:dyDescent="0.25">
      <c r="B4368" s="1"/>
      <c r="C4368" s="1"/>
      <c r="D4368" s="1"/>
      <c r="E4368" s="1"/>
      <c r="F4368" s="1"/>
      <c r="H4368" s="1"/>
    </row>
    <row r="4369" spans="2:8" x14ac:dyDescent="0.25">
      <c r="B4369" s="1"/>
      <c r="C4369" s="1"/>
      <c r="D4369" s="1"/>
      <c r="E4369" s="1"/>
      <c r="F4369" s="1"/>
      <c r="H4369" s="1"/>
    </row>
    <row r="4370" spans="2:8" x14ac:dyDescent="0.25">
      <c r="B4370" s="1"/>
      <c r="C4370" s="1"/>
      <c r="D4370" s="1"/>
      <c r="E4370" s="1"/>
      <c r="F4370" s="1"/>
      <c r="H4370" s="1"/>
    </row>
    <row r="4371" spans="2:8" x14ac:dyDescent="0.25">
      <c r="B4371" s="1"/>
      <c r="C4371" s="1"/>
      <c r="D4371" s="1"/>
      <c r="E4371" s="1"/>
      <c r="F4371" s="1"/>
      <c r="H4371" s="1"/>
    </row>
    <row r="4372" spans="2:8" x14ac:dyDescent="0.25">
      <c r="B4372" s="1"/>
      <c r="C4372" s="1"/>
      <c r="D4372" s="1"/>
      <c r="E4372" s="1"/>
      <c r="F4372" s="1"/>
      <c r="H4372" s="1"/>
    </row>
    <row r="4373" spans="2:8" x14ac:dyDescent="0.25">
      <c r="B4373" s="1"/>
      <c r="C4373" s="1"/>
      <c r="D4373" s="1"/>
      <c r="E4373" s="1"/>
      <c r="F4373" s="1"/>
      <c r="H4373" s="1"/>
    </row>
    <row r="4374" spans="2:8" x14ac:dyDescent="0.25">
      <c r="B4374" s="1"/>
      <c r="C4374" s="1"/>
      <c r="D4374" s="1"/>
      <c r="E4374" s="1"/>
      <c r="F4374" s="1"/>
      <c r="H4374" s="1"/>
    </row>
    <row r="4375" spans="2:8" x14ac:dyDescent="0.25">
      <c r="B4375" s="1"/>
      <c r="C4375" s="1"/>
      <c r="D4375" s="1"/>
      <c r="E4375" s="1"/>
      <c r="F4375" s="1"/>
      <c r="H4375" s="1"/>
    </row>
    <row r="4376" spans="2:8" x14ac:dyDescent="0.25">
      <c r="B4376" s="1"/>
      <c r="C4376" s="1"/>
      <c r="D4376" s="1"/>
      <c r="E4376" s="1"/>
      <c r="F4376" s="1"/>
      <c r="H4376" s="1"/>
    </row>
    <row r="4377" spans="2:8" x14ac:dyDescent="0.25">
      <c r="B4377" s="1"/>
      <c r="C4377" s="1"/>
      <c r="D4377" s="1"/>
      <c r="E4377" s="1"/>
      <c r="F4377" s="1"/>
      <c r="H4377" s="1"/>
    </row>
    <row r="4378" spans="2:8" x14ac:dyDescent="0.25">
      <c r="B4378" s="1"/>
      <c r="C4378" s="1"/>
      <c r="D4378" s="1"/>
      <c r="E4378" s="1"/>
      <c r="F4378" s="1"/>
      <c r="H4378" s="1"/>
    </row>
    <row r="4379" spans="2:8" x14ac:dyDescent="0.25">
      <c r="B4379" s="1"/>
      <c r="C4379" s="1"/>
      <c r="D4379" s="1"/>
      <c r="E4379" s="1"/>
      <c r="F4379" s="1"/>
      <c r="H4379" s="1"/>
    </row>
    <row r="4380" spans="2:8" x14ac:dyDescent="0.25">
      <c r="B4380" s="1"/>
      <c r="C4380" s="1"/>
      <c r="D4380" s="1"/>
      <c r="E4380" s="1"/>
      <c r="F4380" s="1"/>
      <c r="H4380" s="1"/>
    </row>
    <row r="4381" spans="2:8" x14ac:dyDescent="0.25">
      <c r="B4381" s="1"/>
      <c r="C4381" s="1"/>
      <c r="D4381" s="1"/>
      <c r="E4381" s="1"/>
      <c r="F4381" s="1"/>
      <c r="H4381" s="1"/>
    </row>
    <row r="4382" spans="2:8" x14ac:dyDescent="0.25">
      <c r="B4382" s="1"/>
      <c r="C4382" s="1"/>
      <c r="D4382" s="1"/>
      <c r="E4382" s="1"/>
      <c r="F4382" s="1"/>
      <c r="H4382" s="1"/>
    </row>
    <row r="4383" spans="2:8" x14ac:dyDescent="0.25">
      <c r="B4383" s="1"/>
      <c r="C4383" s="1"/>
      <c r="D4383" s="1"/>
      <c r="E4383" s="1"/>
      <c r="F4383" s="1"/>
      <c r="H4383" s="1"/>
    </row>
    <row r="4384" spans="2:8" x14ac:dyDescent="0.25">
      <c r="B4384" s="1"/>
      <c r="C4384" s="1"/>
      <c r="D4384" s="1"/>
      <c r="E4384" s="1"/>
      <c r="F4384" s="1"/>
      <c r="H4384" s="1"/>
    </row>
    <row r="4385" spans="2:8" x14ac:dyDescent="0.25">
      <c r="B4385" s="1"/>
      <c r="C4385" s="1"/>
      <c r="D4385" s="1"/>
      <c r="E4385" s="1"/>
      <c r="F4385" s="1"/>
      <c r="H4385" s="1"/>
    </row>
    <row r="4386" spans="2:8" x14ac:dyDescent="0.25">
      <c r="B4386" s="1"/>
      <c r="C4386" s="1"/>
      <c r="D4386" s="1"/>
      <c r="E4386" s="1"/>
      <c r="F4386" s="1"/>
      <c r="H4386" s="1"/>
    </row>
    <row r="4387" spans="2:8" x14ac:dyDescent="0.25">
      <c r="B4387" s="1"/>
      <c r="C4387" s="1"/>
      <c r="D4387" s="1"/>
      <c r="E4387" s="1"/>
      <c r="F4387" s="1"/>
      <c r="H4387" s="1"/>
    </row>
    <row r="4388" spans="2:8" x14ac:dyDescent="0.25">
      <c r="B4388" s="1"/>
      <c r="C4388" s="1"/>
      <c r="D4388" s="1"/>
      <c r="E4388" s="1"/>
      <c r="F4388" s="1"/>
      <c r="H4388" s="1"/>
    </row>
    <row r="4389" spans="2:8" x14ac:dyDescent="0.25">
      <c r="B4389" s="1"/>
      <c r="C4389" s="1"/>
      <c r="D4389" s="1"/>
      <c r="E4389" s="1"/>
      <c r="F4389" s="1"/>
      <c r="H4389" s="1"/>
    </row>
    <row r="4390" spans="2:8" x14ac:dyDescent="0.25">
      <c r="B4390" s="1"/>
      <c r="C4390" s="1"/>
      <c r="D4390" s="1"/>
      <c r="E4390" s="1"/>
      <c r="F4390" s="1"/>
      <c r="H4390" s="1"/>
    </row>
    <row r="4391" spans="2:8" x14ac:dyDescent="0.25">
      <c r="B4391" s="1"/>
      <c r="C4391" s="1"/>
      <c r="D4391" s="1"/>
      <c r="E4391" s="1"/>
      <c r="F4391" s="1"/>
      <c r="H4391" s="1"/>
    </row>
    <row r="4392" spans="2:8" x14ac:dyDescent="0.25">
      <c r="B4392" s="1"/>
      <c r="C4392" s="1"/>
      <c r="D4392" s="1"/>
      <c r="E4392" s="1"/>
      <c r="F4392" s="1"/>
      <c r="H4392" s="1"/>
    </row>
    <row r="4393" spans="2:8" x14ac:dyDescent="0.25">
      <c r="B4393" s="1"/>
      <c r="C4393" s="1"/>
      <c r="D4393" s="1"/>
      <c r="E4393" s="1"/>
      <c r="F4393" s="1"/>
      <c r="H4393" s="1"/>
    </row>
    <row r="4394" spans="2:8" x14ac:dyDescent="0.25">
      <c r="B4394" s="1"/>
      <c r="C4394" s="1"/>
      <c r="D4394" s="1"/>
      <c r="E4394" s="1"/>
      <c r="F4394" s="1"/>
      <c r="H4394" s="1"/>
    </row>
    <row r="4395" spans="2:8" x14ac:dyDescent="0.25">
      <c r="B4395" s="1"/>
      <c r="C4395" s="1"/>
      <c r="D4395" s="1"/>
      <c r="E4395" s="1"/>
      <c r="F4395" s="1"/>
      <c r="H4395" s="1"/>
    </row>
    <row r="4396" spans="2:8" x14ac:dyDescent="0.25">
      <c r="B4396" s="1"/>
      <c r="C4396" s="1"/>
      <c r="D4396" s="1"/>
      <c r="E4396" s="1"/>
      <c r="F4396" s="1"/>
      <c r="H4396" s="1"/>
    </row>
    <row r="4397" spans="2:8" x14ac:dyDescent="0.25">
      <c r="B4397" s="1"/>
      <c r="C4397" s="1"/>
      <c r="D4397" s="1"/>
      <c r="E4397" s="1"/>
      <c r="F4397" s="1"/>
      <c r="H4397" s="1"/>
    </row>
    <row r="4398" spans="2:8" x14ac:dyDescent="0.25">
      <c r="B4398" s="1"/>
      <c r="C4398" s="1"/>
      <c r="D4398" s="1"/>
      <c r="E4398" s="1"/>
      <c r="F4398" s="1"/>
      <c r="H4398" s="1"/>
    </row>
    <row r="4399" spans="2:8" x14ac:dyDescent="0.25">
      <c r="B4399" s="1"/>
      <c r="C4399" s="1"/>
      <c r="D4399" s="1"/>
      <c r="E4399" s="1"/>
      <c r="F4399" s="1"/>
      <c r="H4399" s="1"/>
    </row>
    <row r="4400" spans="2:8" x14ac:dyDescent="0.25">
      <c r="B4400" s="1"/>
      <c r="C4400" s="1"/>
      <c r="D4400" s="1"/>
      <c r="E4400" s="1"/>
      <c r="F4400" s="1"/>
      <c r="H4400" s="1"/>
    </row>
    <row r="4401" spans="2:8" x14ac:dyDescent="0.25">
      <c r="B4401" s="1"/>
      <c r="C4401" s="1"/>
      <c r="D4401" s="1"/>
      <c r="E4401" s="1"/>
      <c r="F4401" s="1"/>
      <c r="H4401" s="1"/>
    </row>
    <row r="4402" spans="2:8" x14ac:dyDescent="0.25">
      <c r="B4402" s="1"/>
      <c r="C4402" s="1"/>
      <c r="D4402" s="1"/>
      <c r="E4402" s="1"/>
      <c r="F4402" s="1"/>
      <c r="H4402" s="1"/>
    </row>
    <row r="4403" spans="2:8" x14ac:dyDescent="0.25">
      <c r="B4403" s="1"/>
      <c r="C4403" s="1"/>
      <c r="D4403" s="1"/>
      <c r="E4403" s="1"/>
      <c r="F4403" s="1"/>
      <c r="H4403" s="1"/>
    </row>
    <row r="4404" spans="2:8" x14ac:dyDescent="0.25">
      <c r="B4404" s="1"/>
      <c r="C4404" s="1"/>
      <c r="D4404" s="1"/>
      <c r="E4404" s="1"/>
      <c r="F4404" s="1"/>
      <c r="H4404" s="1"/>
    </row>
    <row r="4405" spans="2:8" x14ac:dyDescent="0.25">
      <c r="B4405" s="1"/>
      <c r="C4405" s="1"/>
      <c r="D4405" s="1"/>
      <c r="E4405" s="1"/>
      <c r="F4405" s="1"/>
      <c r="H4405" s="1"/>
    </row>
    <row r="4406" spans="2:8" x14ac:dyDescent="0.25">
      <c r="B4406" s="1"/>
      <c r="C4406" s="1"/>
      <c r="D4406" s="1"/>
      <c r="E4406" s="1"/>
      <c r="F4406" s="1"/>
      <c r="H4406" s="1"/>
    </row>
    <row r="4407" spans="2:8" x14ac:dyDescent="0.25">
      <c r="B4407" s="1"/>
      <c r="C4407" s="1"/>
      <c r="D4407" s="1"/>
      <c r="E4407" s="1"/>
      <c r="F4407" s="1"/>
      <c r="H4407" s="1"/>
    </row>
    <row r="4408" spans="2:8" x14ac:dyDescent="0.25">
      <c r="B4408" s="1"/>
      <c r="C4408" s="1"/>
      <c r="D4408" s="1"/>
      <c r="E4408" s="1"/>
      <c r="F4408" s="1"/>
      <c r="H4408" s="1"/>
    </row>
    <row r="4409" spans="2:8" x14ac:dyDescent="0.25">
      <c r="B4409" s="1"/>
      <c r="C4409" s="1"/>
      <c r="D4409" s="1"/>
      <c r="E4409" s="1"/>
      <c r="F4409" s="1"/>
      <c r="H4409" s="1"/>
    </row>
    <row r="4410" spans="2:8" x14ac:dyDescent="0.25">
      <c r="B4410" s="1"/>
      <c r="C4410" s="1"/>
      <c r="D4410" s="1"/>
      <c r="E4410" s="1"/>
      <c r="F4410" s="1"/>
      <c r="H4410" s="1"/>
    </row>
    <row r="4411" spans="2:8" x14ac:dyDescent="0.25">
      <c r="B4411" s="1"/>
      <c r="C4411" s="1"/>
      <c r="D4411" s="1"/>
      <c r="E4411" s="1"/>
      <c r="F4411" s="1"/>
      <c r="H4411" s="1"/>
    </row>
    <row r="4412" spans="2:8" x14ac:dyDescent="0.25">
      <c r="B4412" s="1"/>
      <c r="C4412" s="1"/>
      <c r="D4412" s="1"/>
      <c r="E4412" s="1"/>
      <c r="F4412" s="1"/>
      <c r="H4412" s="1"/>
    </row>
    <row r="4413" spans="2:8" x14ac:dyDescent="0.25">
      <c r="B4413" s="1"/>
      <c r="C4413" s="1"/>
      <c r="D4413" s="1"/>
      <c r="E4413" s="1"/>
      <c r="F4413" s="1"/>
      <c r="H4413" s="1"/>
    </row>
    <row r="4414" spans="2:8" x14ac:dyDescent="0.25">
      <c r="B4414" s="1"/>
      <c r="C4414" s="1"/>
      <c r="D4414" s="1"/>
      <c r="E4414" s="1"/>
      <c r="F4414" s="1"/>
      <c r="H4414" s="1"/>
    </row>
    <row r="4415" spans="2:8" x14ac:dyDescent="0.25">
      <c r="B4415" s="1"/>
      <c r="C4415" s="1"/>
      <c r="D4415" s="1"/>
      <c r="E4415" s="1"/>
      <c r="F4415" s="1"/>
      <c r="H4415" s="1"/>
    </row>
    <row r="4416" spans="2:8" x14ac:dyDescent="0.25">
      <c r="B4416" s="1"/>
      <c r="C4416" s="1"/>
      <c r="D4416" s="1"/>
      <c r="E4416" s="1"/>
      <c r="F4416" s="1"/>
      <c r="H4416" s="1"/>
    </row>
    <row r="4417" spans="2:8" x14ac:dyDescent="0.25">
      <c r="B4417" s="1"/>
      <c r="C4417" s="1"/>
      <c r="D4417" s="1"/>
      <c r="E4417" s="1"/>
      <c r="F4417" s="1"/>
      <c r="H4417" s="1"/>
    </row>
    <row r="4418" spans="2:8" x14ac:dyDescent="0.25">
      <c r="B4418" s="1"/>
      <c r="C4418" s="1"/>
      <c r="D4418" s="1"/>
      <c r="E4418" s="1"/>
      <c r="F4418" s="1"/>
      <c r="H4418" s="1"/>
    </row>
    <row r="4419" spans="2:8" x14ac:dyDescent="0.25">
      <c r="B4419" s="1"/>
      <c r="C4419" s="1"/>
      <c r="D4419" s="1"/>
      <c r="E4419" s="1"/>
      <c r="F4419" s="1"/>
      <c r="H4419" s="1"/>
    </row>
    <row r="4420" spans="2:8" x14ac:dyDescent="0.25">
      <c r="B4420" s="1"/>
      <c r="C4420" s="1"/>
      <c r="D4420" s="1"/>
      <c r="E4420" s="1"/>
      <c r="F4420" s="1"/>
      <c r="H4420" s="1"/>
    </row>
    <row r="4421" spans="2:8" x14ac:dyDescent="0.25">
      <c r="B4421" s="1"/>
      <c r="C4421" s="1"/>
      <c r="D4421" s="1"/>
      <c r="E4421" s="1"/>
      <c r="F4421" s="1"/>
      <c r="H4421" s="1"/>
    </row>
    <row r="4422" spans="2:8" x14ac:dyDescent="0.25">
      <c r="B4422" s="1"/>
      <c r="C4422" s="1"/>
      <c r="D4422" s="1"/>
      <c r="E4422" s="1"/>
      <c r="F4422" s="1"/>
      <c r="H4422" s="1"/>
    </row>
    <row r="4423" spans="2:8" x14ac:dyDescent="0.25">
      <c r="B4423" s="1"/>
      <c r="C4423" s="1"/>
      <c r="D4423" s="1"/>
      <c r="E4423" s="1"/>
      <c r="F4423" s="1"/>
      <c r="H4423" s="1"/>
    </row>
    <row r="4424" spans="2:8" x14ac:dyDescent="0.25">
      <c r="B4424" s="1"/>
      <c r="C4424" s="1"/>
      <c r="D4424" s="1"/>
      <c r="E4424" s="1"/>
      <c r="F4424" s="1"/>
      <c r="H4424" s="1"/>
    </row>
    <row r="4425" spans="2:8" x14ac:dyDescent="0.25">
      <c r="B4425" s="1"/>
      <c r="C4425" s="1"/>
      <c r="D4425" s="1"/>
      <c r="E4425" s="1"/>
      <c r="F4425" s="1"/>
      <c r="H4425" s="1"/>
    </row>
    <row r="4426" spans="2:8" x14ac:dyDescent="0.25">
      <c r="B4426" s="1"/>
      <c r="C4426" s="1"/>
      <c r="D4426" s="1"/>
      <c r="E4426" s="1"/>
      <c r="F4426" s="1"/>
      <c r="H4426" s="1"/>
    </row>
    <row r="4427" spans="2:8" x14ac:dyDescent="0.25">
      <c r="B4427" s="1"/>
      <c r="C4427" s="1"/>
      <c r="D4427" s="1"/>
      <c r="E4427" s="1"/>
      <c r="F4427" s="1"/>
      <c r="H4427" s="1"/>
    </row>
    <row r="4428" spans="2:8" x14ac:dyDescent="0.25">
      <c r="B4428" s="1"/>
      <c r="C4428" s="1"/>
      <c r="D4428" s="1"/>
      <c r="E4428" s="1"/>
      <c r="F4428" s="1"/>
      <c r="H4428" s="1"/>
    </row>
    <row r="4429" spans="2:8" x14ac:dyDescent="0.25">
      <c r="B4429" s="1"/>
      <c r="C4429" s="1"/>
      <c r="D4429" s="1"/>
      <c r="E4429" s="1"/>
      <c r="F4429" s="1"/>
      <c r="H4429" s="1"/>
    </row>
    <row r="4430" spans="2:8" x14ac:dyDescent="0.25">
      <c r="B4430" s="1"/>
      <c r="C4430" s="1"/>
      <c r="D4430" s="1"/>
      <c r="E4430" s="1"/>
      <c r="F4430" s="1"/>
      <c r="H4430" s="1"/>
    </row>
    <row r="4431" spans="2:8" x14ac:dyDescent="0.25">
      <c r="B4431" s="1"/>
      <c r="C4431" s="1"/>
      <c r="D4431" s="1"/>
      <c r="E4431" s="1"/>
      <c r="F4431" s="1"/>
      <c r="H4431" s="1"/>
    </row>
    <row r="4432" spans="2:8" x14ac:dyDescent="0.25">
      <c r="B4432" s="1"/>
      <c r="C4432" s="1"/>
      <c r="D4432" s="1"/>
      <c r="E4432" s="1"/>
      <c r="F4432" s="1"/>
      <c r="H4432" s="1"/>
    </row>
    <row r="4433" spans="2:8" x14ac:dyDescent="0.25">
      <c r="B4433" s="1"/>
      <c r="C4433" s="1"/>
      <c r="D4433" s="1"/>
      <c r="E4433" s="1"/>
      <c r="F4433" s="1"/>
      <c r="H4433" s="1"/>
    </row>
    <row r="4434" spans="2:8" x14ac:dyDescent="0.25">
      <c r="B4434" s="1"/>
      <c r="C4434" s="1"/>
      <c r="D4434" s="1"/>
      <c r="E4434" s="1"/>
      <c r="F4434" s="1"/>
      <c r="H4434" s="1"/>
    </row>
    <row r="4435" spans="2:8" x14ac:dyDescent="0.25">
      <c r="B4435" s="1"/>
      <c r="C4435" s="1"/>
      <c r="D4435" s="1"/>
      <c r="E4435" s="1"/>
      <c r="F4435" s="1"/>
      <c r="H4435" s="1"/>
    </row>
    <row r="4436" spans="2:8" x14ac:dyDescent="0.25">
      <c r="B4436" s="1"/>
      <c r="C4436" s="1"/>
      <c r="D4436" s="1"/>
      <c r="E4436" s="1"/>
      <c r="F4436" s="1"/>
      <c r="H4436" s="1"/>
    </row>
    <row r="4437" spans="2:8" x14ac:dyDescent="0.25">
      <c r="B4437" s="1"/>
      <c r="C4437" s="1"/>
      <c r="D4437" s="1"/>
      <c r="E4437" s="1"/>
      <c r="F4437" s="1"/>
      <c r="H4437" s="1"/>
    </row>
    <row r="4438" spans="2:8" x14ac:dyDescent="0.25">
      <c r="B4438" s="1"/>
      <c r="C4438" s="1"/>
      <c r="D4438" s="1"/>
      <c r="E4438" s="1"/>
      <c r="F4438" s="1"/>
      <c r="H4438" s="1"/>
    </row>
    <row r="4439" spans="2:8" x14ac:dyDescent="0.25">
      <c r="B4439" s="1"/>
      <c r="C4439" s="1"/>
      <c r="D4439" s="1"/>
      <c r="E4439" s="1"/>
      <c r="F4439" s="1"/>
      <c r="H4439" s="1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4"/>
  <dimension ref="A1:G4439"/>
  <sheetViews>
    <sheetView workbookViewId="0">
      <selection activeCell="A2" sqref="A2:G4439"/>
    </sheetView>
  </sheetViews>
  <sheetFormatPr defaultRowHeight="15" x14ac:dyDescent="0.25"/>
  <cols>
    <col min="1" max="1" width="52.28515625" bestFit="1" customWidth="1"/>
    <col min="2" max="3" width="11.140625" bestFit="1" customWidth="1"/>
    <col min="4" max="4" width="43.5703125" bestFit="1" customWidth="1"/>
    <col min="5" max="5" width="26.42578125" bestFit="1" customWidth="1"/>
    <col min="6" max="6" width="27.85546875" bestFit="1" customWidth="1"/>
    <col min="7" max="7" width="11.1406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/>
      <c r="C2" s="1"/>
      <c r="D2" s="1"/>
      <c r="E2" s="1"/>
      <c r="F2" s="1"/>
    </row>
    <row r="3" spans="1:7" x14ac:dyDescent="0.25">
      <c r="A3" s="1"/>
      <c r="C3" s="1"/>
      <c r="D3" s="1"/>
      <c r="E3" s="1"/>
      <c r="F3" s="1"/>
    </row>
    <row r="4" spans="1:7" x14ac:dyDescent="0.25">
      <c r="A4" s="1"/>
      <c r="C4" s="1"/>
      <c r="D4" s="1"/>
      <c r="E4" s="1"/>
      <c r="F4" s="1"/>
    </row>
    <row r="5" spans="1:7" x14ac:dyDescent="0.25">
      <c r="A5" s="1"/>
      <c r="C5" s="1"/>
      <c r="D5" s="1"/>
      <c r="E5" s="1"/>
      <c r="F5" s="1"/>
    </row>
    <row r="6" spans="1:7" x14ac:dyDescent="0.25">
      <c r="A6" s="1"/>
      <c r="C6" s="1"/>
      <c r="D6" s="1"/>
      <c r="E6" s="1"/>
      <c r="F6" s="1"/>
    </row>
    <row r="7" spans="1:7" x14ac:dyDescent="0.25">
      <c r="A7" s="1"/>
      <c r="C7" s="1"/>
      <c r="D7" s="1"/>
      <c r="E7" s="1"/>
      <c r="F7" s="1"/>
    </row>
    <row r="8" spans="1:7" x14ac:dyDescent="0.25">
      <c r="A8" s="1"/>
      <c r="C8" s="1"/>
      <c r="D8" s="1"/>
      <c r="E8" s="1"/>
      <c r="F8" s="1"/>
    </row>
    <row r="9" spans="1:7" x14ac:dyDescent="0.25">
      <c r="A9" s="1"/>
      <c r="C9" s="1"/>
      <c r="D9" s="1"/>
      <c r="E9" s="1"/>
      <c r="F9" s="1"/>
    </row>
    <row r="10" spans="1:7" x14ac:dyDescent="0.25">
      <c r="A10" s="1"/>
      <c r="C10" s="1"/>
      <c r="D10" s="1"/>
      <c r="E10" s="1"/>
      <c r="F10" s="1"/>
    </row>
    <row r="11" spans="1:7" x14ac:dyDescent="0.25">
      <c r="A11" s="1"/>
      <c r="C11" s="1"/>
      <c r="D11" s="1"/>
      <c r="E11" s="1"/>
      <c r="F11" s="1"/>
    </row>
    <row r="12" spans="1:7" x14ac:dyDescent="0.25">
      <c r="A12" s="1"/>
      <c r="C12" s="1"/>
      <c r="D12" s="1"/>
      <c r="E12" s="1"/>
      <c r="F12" s="1"/>
    </row>
    <row r="13" spans="1:7" x14ac:dyDescent="0.25">
      <c r="A13" s="1"/>
      <c r="C13" s="1"/>
      <c r="D13" s="1"/>
      <c r="E13" s="1"/>
      <c r="F13" s="1"/>
    </row>
    <row r="14" spans="1:7" x14ac:dyDescent="0.25">
      <c r="A14" s="1"/>
      <c r="C14" s="1"/>
      <c r="D14" s="1"/>
      <c r="E14" s="1"/>
      <c r="F14" s="1"/>
    </row>
    <row r="15" spans="1:7" x14ac:dyDescent="0.25">
      <c r="A15" s="1"/>
      <c r="C15" s="1"/>
      <c r="D15" s="1"/>
      <c r="E15" s="1"/>
      <c r="F15" s="1"/>
    </row>
    <row r="16" spans="1:7" x14ac:dyDescent="0.25">
      <c r="A16" s="1"/>
      <c r="C16" s="1"/>
      <c r="D16" s="1"/>
      <c r="E16" s="1"/>
      <c r="F16" s="1"/>
    </row>
    <row r="17" spans="1:6" x14ac:dyDescent="0.25">
      <c r="A17" s="1"/>
      <c r="C17" s="1"/>
      <c r="D17" s="1"/>
      <c r="E17" s="1"/>
      <c r="F17" s="1"/>
    </row>
    <row r="18" spans="1:6" x14ac:dyDescent="0.25">
      <c r="A18" s="1"/>
      <c r="C18" s="1"/>
      <c r="D18" s="1"/>
      <c r="E18" s="1"/>
      <c r="F18" s="1"/>
    </row>
    <row r="19" spans="1:6" x14ac:dyDescent="0.25">
      <c r="A19" s="1"/>
      <c r="C19" s="1"/>
      <c r="D19" s="1"/>
      <c r="E19" s="1"/>
      <c r="F19" s="1"/>
    </row>
    <row r="20" spans="1:6" x14ac:dyDescent="0.25">
      <c r="A20" s="1"/>
      <c r="C20" s="1"/>
      <c r="D20" s="1"/>
      <c r="E20" s="1"/>
      <c r="F20" s="1"/>
    </row>
    <row r="21" spans="1:6" x14ac:dyDescent="0.25">
      <c r="A21" s="1"/>
      <c r="C21" s="1"/>
      <c r="D21" s="1"/>
      <c r="E21" s="1"/>
      <c r="F21" s="1"/>
    </row>
    <row r="22" spans="1:6" x14ac:dyDescent="0.25">
      <c r="A22" s="1"/>
      <c r="C22" s="1"/>
      <c r="D22" s="1"/>
      <c r="E22" s="1"/>
      <c r="F22" s="1"/>
    </row>
    <row r="23" spans="1:6" x14ac:dyDescent="0.25">
      <c r="A23" s="1"/>
      <c r="C23" s="1"/>
      <c r="D23" s="1"/>
      <c r="E23" s="1"/>
      <c r="F23" s="1"/>
    </row>
    <row r="24" spans="1:6" x14ac:dyDescent="0.25">
      <c r="A24" s="1"/>
      <c r="C24" s="1"/>
      <c r="D24" s="1"/>
      <c r="E24" s="1"/>
      <c r="F24" s="1"/>
    </row>
    <row r="25" spans="1:6" x14ac:dyDescent="0.25">
      <c r="A25" s="1"/>
      <c r="C25" s="1"/>
      <c r="D25" s="1"/>
      <c r="E25" s="1"/>
      <c r="F25" s="1"/>
    </row>
    <row r="26" spans="1:6" x14ac:dyDescent="0.25">
      <c r="A26" s="1"/>
      <c r="C26" s="1"/>
      <c r="D26" s="1"/>
      <c r="E26" s="1"/>
      <c r="F26" s="1"/>
    </row>
    <row r="27" spans="1:6" x14ac:dyDescent="0.25">
      <c r="A27" s="1"/>
      <c r="C27" s="1"/>
      <c r="D27" s="1"/>
      <c r="E27" s="1"/>
      <c r="F27" s="1"/>
    </row>
    <row r="28" spans="1:6" x14ac:dyDescent="0.25">
      <c r="A28" s="1"/>
      <c r="C28" s="1"/>
      <c r="D28" s="1"/>
      <c r="E28" s="1"/>
      <c r="F28" s="1"/>
    </row>
    <row r="29" spans="1:6" x14ac:dyDescent="0.25">
      <c r="A29" s="1"/>
      <c r="C29" s="1"/>
      <c r="D29" s="1"/>
      <c r="E29" s="1"/>
      <c r="F29" s="1"/>
    </row>
    <row r="30" spans="1:6" x14ac:dyDescent="0.25">
      <c r="A30" s="1"/>
      <c r="C30" s="1"/>
      <c r="D30" s="1"/>
      <c r="E30" s="1"/>
      <c r="F30" s="1"/>
    </row>
    <row r="31" spans="1:6" x14ac:dyDescent="0.25">
      <c r="A31" s="1"/>
      <c r="C31" s="1"/>
      <c r="D31" s="1"/>
      <c r="E31" s="1"/>
      <c r="F31" s="1"/>
    </row>
    <row r="32" spans="1:6" x14ac:dyDescent="0.25">
      <c r="A32" s="1"/>
      <c r="C32" s="1"/>
      <c r="D32" s="1"/>
      <c r="E32" s="1"/>
      <c r="F32" s="1"/>
    </row>
    <row r="33" spans="1:6" x14ac:dyDescent="0.25">
      <c r="A33" s="1"/>
      <c r="C33" s="1"/>
      <c r="D33" s="1"/>
      <c r="E33" s="1"/>
      <c r="F33" s="1"/>
    </row>
    <row r="34" spans="1:6" x14ac:dyDescent="0.25">
      <c r="A34" s="1"/>
      <c r="C34" s="1"/>
      <c r="D34" s="1"/>
      <c r="E34" s="1"/>
      <c r="F34" s="1"/>
    </row>
    <row r="35" spans="1:6" x14ac:dyDescent="0.25">
      <c r="A35" s="1"/>
      <c r="C35" s="1"/>
      <c r="D35" s="1"/>
      <c r="E35" s="1"/>
      <c r="F35" s="1"/>
    </row>
    <row r="36" spans="1:6" x14ac:dyDescent="0.25">
      <c r="A36" s="1"/>
      <c r="C36" s="1"/>
      <c r="D36" s="1"/>
      <c r="E36" s="1"/>
      <c r="F36" s="1"/>
    </row>
    <row r="37" spans="1:6" x14ac:dyDescent="0.25">
      <c r="A37" s="1"/>
      <c r="C37" s="1"/>
      <c r="D37" s="1"/>
      <c r="E37" s="1"/>
      <c r="F37" s="1"/>
    </row>
    <row r="38" spans="1:6" x14ac:dyDescent="0.25">
      <c r="A38" s="1"/>
      <c r="C38" s="1"/>
      <c r="D38" s="1"/>
      <c r="E38" s="1"/>
      <c r="F38" s="1"/>
    </row>
    <row r="39" spans="1:6" x14ac:dyDescent="0.25">
      <c r="A39" s="1"/>
      <c r="C39" s="1"/>
      <c r="D39" s="1"/>
      <c r="E39" s="1"/>
      <c r="F39" s="1"/>
    </row>
    <row r="40" spans="1:6" x14ac:dyDescent="0.25">
      <c r="A40" s="1"/>
      <c r="C40" s="1"/>
      <c r="D40" s="1"/>
      <c r="E40" s="1"/>
      <c r="F40" s="1"/>
    </row>
    <row r="41" spans="1:6" x14ac:dyDescent="0.25">
      <c r="A41" s="1"/>
      <c r="C41" s="1"/>
      <c r="D41" s="1"/>
      <c r="E41" s="1"/>
      <c r="F41" s="1"/>
    </row>
    <row r="42" spans="1:6" x14ac:dyDescent="0.25">
      <c r="A42" s="1"/>
      <c r="C42" s="1"/>
      <c r="D42" s="1"/>
      <c r="E42" s="1"/>
      <c r="F42" s="1"/>
    </row>
    <row r="43" spans="1:6" x14ac:dyDescent="0.25">
      <c r="A43" s="1"/>
      <c r="C43" s="1"/>
      <c r="D43" s="1"/>
      <c r="E43" s="1"/>
      <c r="F43" s="1"/>
    </row>
    <row r="44" spans="1:6" x14ac:dyDescent="0.25">
      <c r="A44" s="1"/>
      <c r="C44" s="1"/>
      <c r="D44" s="1"/>
      <c r="E44" s="1"/>
      <c r="F44" s="1"/>
    </row>
    <row r="45" spans="1:6" x14ac:dyDescent="0.25">
      <c r="A45" s="1"/>
      <c r="C45" s="1"/>
      <c r="D45" s="1"/>
      <c r="E45" s="1"/>
      <c r="F45" s="1"/>
    </row>
    <row r="46" spans="1:6" x14ac:dyDescent="0.25">
      <c r="A46" s="1"/>
      <c r="C46" s="1"/>
      <c r="D46" s="1"/>
      <c r="E46" s="1"/>
      <c r="F46" s="1"/>
    </row>
    <row r="47" spans="1:6" x14ac:dyDescent="0.25">
      <c r="A47" s="1"/>
      <c r="C47" s="1"/>
      <c r="D47" s="1"/>
      <c r="E47" s="1"/>
      <c r="F47" s="1"/>
    </row>
    <row r="48" spans="1:6" x14ac:dyDescent="0.25">
      <c r="A48" s="1"/>
      <c r="C48" s="1"/>
      <c r="D48" s="1"/>
      <c r="E48" s="1"/>
      <c r="F48" s="1"/>
    </row>
    <row r="49" spans="1:6" x14ac:dyDescent="0.25">
      <c r="A49" s="1"/>
      <c r="C49" s="1"/>
      <c r="D49" s="1"/>
      <c r="E49" s="1"/>
      <c r="F49" s="1"/>
    </row>
    <row r="50" spans="1:6" x14ac:dyDescent="0.25">
      <c r="A50" s="1"/>
      <c r="C50" s="1"/>
      <c r="D50" s="1"/>
      <c r="E50" s="1"/>
      <c r="F50" s="1"/>
    </row>
    <row r="51" spans="1:6" x14ac:dyDescent="0.25">
      <c r="A51" s="1"/>
      <c r="C51" s="1"/>
      <c r="D51" s="1"/>
      <c r="E51" s="1"/>
      <c r="F51" s="1"/>
    </row>
    <row r="52" spans="1:6" x14ac:dyDescent="0.25">
      <c r="A52" s="1"/>
      <c r="C52" s="1"/>
      <c r="D52" s="1"/>
      <c r="E52" s="1"/>
      <c r="F52" s="1"/>
    </row>
    <row r="53" spans="1:6" x14ac:dyDescent="0.25">
      <c r="A53" s="1"/>
      <c r="C53" s="1"/>
      <c r="D53" s="1"/>
      <c r="E53" s="1"/>
      <c r="F53" s="1"/>
    </row>
    <row r="54" spans="1:6" x14ac:dyDescent="0.25">
      <c r="A54" s="1"/>
      <c r="C54" s="1"/>
      <c r="D54" s="1"/>
      <c r="E54" s="1"/>
      <c r="F54" s="1"/>
    </row>
    <row r="55" spans="1:6" x14ac:dyDescent="0.25">
      <c r="A55" s="1"/>
      <c r="C55" s="1"/>
      <c r="D55" s="1"/>
      <c r="E55" s="1"/>
      <c r="F55" s="1"/>
    </row>
    <row r="56" spans="1:6" x14ac:dyDescent="0.25">
      <c r="A56" s="1"/>
      <c r="C56" s="1"/>
      <c r="D56" s="1"/>
      <c r="E56" s="1"/>
      <c r="F56" s="1"/>
    </row>
    <row r="57" spans="1:6" x14ac:dyDescent="0.25">
      <c r="A57" s="1"/>
      <c r="C57" s="1"/>
      <c r="D57" s="1"/>
      <c r="E57" s="1"/>
      <c r="F57" s="1"/>
    </row>
    <row r="58" spans="1:6" x14ac:dyDescent="0.25">
      <c r="A58" s="1"/>
      <c r="C58" s="1"/>
      <c r="D58" s="1"/>
      <c r="E58" s="1"/>
      <c r="F58" s="1"/>
    </row>
    <row r="59" spans="1:6" x14ac:dyDescent="0.25">
      <c r="A59" s="1"/>
      <c r="C59" s="1"/>
      <c r="D59" s="1"/>
      <c r="E59" s="1"/>
      <c r="F59" s="1"/>
    </row>
    <row r="60" spans="1:6" x14ac:dyDescent="0.25">
      <c r="A60" s="1"/>
      <c r="C60" s="1"/>
      <c r="D60" s="1"/>
      <c r="E60" s="1"/>
      <c r="F60" s="1"/>
    </row>
    <row r="61" spans="1:6" x14ac:dyDescent="0.25">
      <c r="A61" s="1"/>
      <c r="C61" s="1"/>
      <c r="D61" s="1"/>
      <c r="E61" s="1"/>
      <c r="F61" s="1"/>
    </row>
    <row r="62" spans="1:6" x14ac:dyDescent="0.25">
      <c r="A62" s="1"/>
      <c r="C62" s="1"/>
      <c r="D62" s="1"/>
      <c r="E62" s="1"/>
      <c r="F62" s="1"/>
    </row>
    <row r="63" spans="1:6" x14ac:dyDescent="0.25">
      <c r="A63" s="1"/>
      <c r="C63" s="1"/>
      <c r="D63" s="1"/>
      <c r="E63" s="1"/>
      <c r="F63" s="1"/>
    </row>
    <row r="64" spans="1:6" x14ac:dyDescent="0.25">
      <c r="A64" s="1"/>
      <c r="C64" s="1"/>
      <c r="D64" s="1"/>
      <c r="E64" s="1"/>
      <c r="F64" s="1"/>
    </row>
    <row r="65" spans="1:6" x14ac:dyDescent="0.25">
      <c r="A65" s="1"/>
      <c r="C65" s="1"/>
      <c r="D65" s="1"/>
      <c r="E65" s="1"/>
      <c r="F65" s="1"/>
    </row>
    <row r="66" spans="1:6" x14ac:dyDescent="0.25">
      <c r="A66" s="1"/>
      <c r="C66" s="1"/>
      <c r="D66" s="1"/>
      <c r="E66" s="1"/>
      <c r="F66" s="1"/>
    </row>
    <row r="67" spans="1:6" x14ac:dyDescent="0.25">
      <c r="A67" s="1"/>
      <c r="C67" s="1"/>
      <c r="D67" s="1"/>
      <c r="E67" s="1"/>
      <c r="F67" s="1"/>
    </row>
    <row r="68" spans="1:6" x14ac:dyDescent="0.25">
      <c r="A68" s="1"/>
      <c r="C68" s="1"/>
      <c r="D68" s="1"/>
      <c r="E68" s="1"/>
      <c r="F68" s="1"/>
    </row>
    <row r="69" spans="1:6" x14ac:dyDescent="0.25">
      <c r="A69" s="1"/>
      <c r="C69" s="1"/>
      <c r="D69" s="1"/>
      <c r="E69" s="1"/>
      <c r="F69" s="1"/>
    </row>
    <row r="70" spans="1:6" x14ac:dyDescent="0.25">
      <c r="A70" s="1"/>
      <c r="C70" s="1"/>
      <c r="D70" s="1"/>
      <c r="E70" s="1"/>
      <c r="F70" s="1"/>
    </row>
    <row r="71" spans="1:6" x14ac:dyDescent="0.25">
      <c r="A71" s="1"/>
      <c r="C71" s="1"/>
      <c r="D71" s="1"/>
      <c r="E71" s="1"/>
      <c r="F71" s="1"/>
    </row>
    <row r="72" spans="1:6" x14ac:dyDescent="0.25">
      <c r="A72" s="1"/>
      <c r="C72" s="1"/>
      <c r="D72" s="1"/>
      <c r="E72" s="1"/>
      <c r="F72" s="1"/>
    </row>
    <row r="73" spans="1:6" x14ac:dyDescent="0.25">
      <c r="A73" s="1"/>
      <c r="C73" s="1"/>
      <c r="D73" s="1"/>
      <c r="E73" s="1"/>
      <c r="F73" s="1"/>
    </row>
    <row r="74" spans="1:6" x14ac:dyDescent="0.25">
      <c r="A74" s="1"/>
      <c r="C74" s="1"/>
      <c r="D74" s="1"/>
      <c r="E74" s="1"/>
      <c r="F74" s="1"/>
    </row>
    <row r="75" spans="1:6" x14ac:dyDescent="0.25">
      <c r="A75" s="1"/>
      <c r="C75" s="1"/>
      <c r="D75" s="1"/>
      <c r="E75" s="1"/>
      <c r="F75" s="1"/>
    </row>
    <row r="76" spans="1:6" x14ac:dyDescent="0.25">
      <c r="A76" s="1"/>
      <c r="C76" s="1"/>
      <c r="D76" s="1"/>
      <c r="E76" s="1"/>
      <c r="F76" s="1"/>
    </row>
    <row r="77" spans="1:6" x14ac:dyDescent="0.25">
      <c r="A77" s="1"/>
      <c r="C77" s="1"/>
      <c r="D77" s="1"/>
      <c r="E77" s="1"/>
      <c r="F77" s="1"/>
    </row>
    <row r="78" spans="1:6" x14ac:dyDescent="0.25">
      <c r="A78" s="1"/>
      <c r="C78" s="1"/>
      <c r="D78" s="1"/>
      <c r="E78" s="1"/>
      <c r="F78" s="1"/>
    </row>
    <row r="79" spans="1:6" x14ac:dyDescent="0.25">
      <c r="A79" s="1"/>
      <c r="C79" s="1"/>
      <c r="D79" s="1"/>
      <c r="E79" s="1"/>
      <c r="F79" s="1"/>
    </row>
    <row r="80" spans="1:6" x14ac:dyDescent="0.25">
      <c r="A80" s="1"/>
      <c r="C80" s="1"/>
      <c r="D80" s="1"/>
      <c r="E80" s="1"/>
      <c r="F80" s="1"/>
    </row>
    <row r="81" spans="1:6" x14ac:dyDescent="0.25">
      <c r="A81" s="1"/>
      <c r="C81" s="1"/>
      <c r="D81" s="1"/>
      <c r="E81" s="1"/>
      <c r="F81" s="1"/>
    </row>
    <row r="82" spans="1:6" x14ac:dyDescent="0.25">
      <c r="A82" s="1"/>
      <c r="C82" s="1"/>
      <c r="D82" s="1"/>
      <c r="E82" s="1"/>
      <c r="F82" s="1"/>
    </row>
    <row r="83" spans="1:6" x14ac:dyDescent="0.25">
      <c r="A83" s="1"/>
      <c r="C83" s="1"/>
      <c r="D83" s="1"/>
      <c r="E83" s="1"/>
      <c r="F83" s="1"/>
    </row>
    <row r="84" spans="1:6" x14ac:dyDescent="0.25">
      <c r="A84" s="1"/>
      <c r="C84" s="1"/>
      <c r="D84" s="1"/>
      <c r="E84" s="1"/>
      <c r="F84" s="1"/>
    </row>
    <row r="85" spans="1:6" x14ac:dyDescent="0.25">
      <c r="A85" s="1"/>
      <c r="C85" s="1"/>
      <c r="D85" s="1"/>
      <c r="E85" s="1"/>
      <c r="F85" s="1"/>
    </row>
    <row r="86" spans="1:6" x14ac:dyDescent="0.25">
      <c r="A86" s="1"/>
      <c r="C86" s="1"/>
      <c r="D86" s="1"/>
      <c r="E86" s="1"/>
      <c r="F86" s="1"/>
    </row>
    <row r="87" spans="1:6" x14ac:dyDescent="0.25">
      <c r="A87" s="1"/>
      <c r="C87" s="1"/>
      <c r="D87" s="1"/>
      <c r="E87" s="1"/>
      <c r="F87" s="1"/>
    </row>
    <row r="88" spans="1:6" x14ac:dyDescent="0.25">
      <c r="A88" s="1"/>
      <c r="C88" s="1"/>
      <c r="D88" s="1"/>
      <c r="E88" s="1"/>
      <c r="F88" s="1"/>
    </row>
    <row r="89" spans="1:6" x14ac:dyDescent="0.25">
      <c r="A89" s="1"/>
      <c r="C89" s="1"/>
      <c r="D89" s="1"/>
      <c r="E89" s="1"/>
      <c r="F89" s="1"/>
    </row>
    <row r="90" spans="1:6" x14ac:dyDescent="0.25">
      <c r="A90" s="1"/>
      <c r="C90" s="1"/>
      <c r="D90" s="1"/>
      <c r="E90" s="1"/>
      <c r="F90" s="1"/>
    </row>
    <row r="91" spans="1:6" x14ac:dyDescent="0.25">
      <c r="A91" s="1"/>
      <c r="C91" s="1"/>
      <c r="D91" s="1"/>
      <c r="E91" s="1"/>
      <c r="F91" s="1"/>
    </row>
    <row r="92" spans="1:6" x14ac:dyDescent="0.25">
      <c r="A92" s="1"/>
      <c r="C92" s="1"/>
      <c r="D92" s="1"/>
      <c r="E92" s="1"/>
      <c r="F92" s="1"/>
    </row>
    <row r="93" spans="1:6" x14ac:dyDescent="0.25">
      <c r="A93" s="1"/>
      <c r="C93" s="1"/>
      <c r="D93" s="1"/>
      <c r="E93" s="1"/>
      <c r="F93" s="1"/>
    </row>
    <row r="94" spans="1:6" x14ac:dyDescent="0.25">
      <c r="A94" s="1"/>
      <c r="C94" s="1"/>
      <c r="D94" s="1"/>
      <c r="E94" s="1"/>
      <c r="F94" s="1"/>
    </row>
    <row r="95" spans="1:6" x14ac:dyDescent="0.25">
      <c r="A95" s="1"/>
      <c r="C95" s="1"/>
      <c r="D95" s="1"/>
      <c r="E95" s="1"/>
      <c r="F95" s="1"/>
    </row>
    <row r="96" spans="1:6" x14ac:dyDescent="0.25">
      <c r="A96" s="1"/>
      <c r="C96" s="1"/>
      <c r="D96" s="1"/>
      <c r="E96" s="1"/>
      <c r="F96" s="1"/>
    </row>
    <row r="97" spans="1:6" x14ac:dyDescent="0.25">
      <c r="A97" s="1"/>
      <c r="C97" s="1"/>
      <c r="D97" s="1"/>
      <c r="E97" s="1"/>
      <c r="F97" s="1"/>
    </row>
    <row r="98" spans="1:6" x14ac:dyDescent="0.25">
      <c r="A98" s="1"/>
      <c r="C98" s="1"/>
      <c r="D98" s="1"/>
      <c r="E98" s="1"/>
      <c r="F98" s="1"/>
    </row>
    <row r="99" spans="1:6" x14ac:dyDescent="0.25">
      <c r="A99" s="1"/>
      <c r="C99" s="1"/>
      <c r="D99" s="1"/>
      <c r="E99" s="1"/>
      <c r="F99" s="1"/>
    </row>
    <row r="100" spans="1:6" x14ac:dyDescent="0.25">
      <c r="A100" s="1"/>
      <c r="C100" s="1"/>
      <c r="D100" s="1"/>
      <c r="E100" s="1"/>
      <c r="F100" s="1"/>
    </row>
    <row r="101" spans="1:6" x14ac:dyDescent="0.25">
      <c r="A101" s="1"/>
      <c r="C101" s="1"/>
      <c r="D101" s="1"/>
      <c r="E101" s="1"/>
      <c r="F101" s="1"/>
    </row>
    <row r="102" spans="1:6" x14ac:dyDescent="0.25">
      <c r="A102" s="1"/>
      <c r="C102" s="1"/>
      <c r="D102" s="1"/>
      <c r="E102" s="1"/>
      <c r="F102" s="1"/>
    </row>
    <row r="103" spans="1:6" x14ac:dyDescent="0.25">
      <c r="A103" s="1"/>
      <c r="C103" s="1"/>
      <c r="D103" s="1"/>
      <c r="E103" s="1"/>
      <c r="F103" s="1"/>
    </row>
    <row r="104" spans="1:6" x14ac:dyDescent="0.25">
      <c r="A104" s="1"/>
      <c r="C104" s="1"/>
      <c r="D104" s="1"/>
      <c r="E104" s="1"/>
      <c r="F104" s="1"/>
    </row>
    <row r="105" spans="1:6" x14ac:dyDescent="0.25">
      <c r="A105" s="1"/>
      <c r="C105" s="1"/>
      <c r="D105" s="1"/>
      <c r="E105" s="1"/>
      <c r="F105" s="1"/>
    </row>
    <row r="106" spans="1:6" x14ac:dyDescent="0.25">
      <c r="A106" s="1"/>
      <c r="C106" s="1"/>
      <c r="D106" s="1"/>
      <c r="E106" s="1"/>
      <c r="F106" s="1"/>
    </row>
    <row r="107" spans="1:6" x14ac:dyDescent="0.25">
      <c r="A107" s="1"/>
      <c r="C107" s="1"/>
      <c r="D107" s="1"/>
      <c r="E107" s="1"/>
      <c r="F107" s="1"/>
    </row>
    <row r="108" spans="1:6" x14ac:dyDescent="0.25">
      <c r="A108" s="1"/>
      <c r="C108" s="1"/>
      <c r="D108" s="1"/>
      <c r="E108" s="1"/>
      <c r="F108" s="1"/>
    </row>
    <row r="109" spans="1:6" x14ac:dyDescent="0.25">
      <c r="A109" s="1"/>
      <c r="C109" s="1"/>
      <c r="D109" s="1"/>
      <c r="E109" s="1"/>
      <c r="F109" s="1"/>
    </row>
    <row r="110" spans="1:6" x14ac:dyDescent="0.25">
      <c r="A110" s="1"/>
      <c r="C110" s="1"/>
      <c r="D110" s="1"/>
      <c r="E110" s="1"/>
      <c r="F110" s="1"/>
    </row>
    <row r="111" spans="1:6" x14ac:dyDescent="0.25">
      <c r="A111" s="1"/>
      <c r="C111" s="1"/>
      <c r="D111" s="1"/>
      <c r="E111" s="1"/>
      <c r="F111" s="1"/>
    </row>
    <row r="112" spans="1:6" x14ac:dyDescent="0.25">
      <c r="A112" s="1"/>
      <c r="C112" s="1"/>
      <c r="D112" s="1"/>
      <c r="E112" s="1"/>
      <c r="F112" s="1"/>
    </row>
    <row r="113" spans="1:6" x14ac:dyDescent="0.25">
      <c r="A113" s="1"/>
      <c r="C113" s="1"/>
      <c r="D113" s="1"/>
      <c r="E113" s="1"/>
      <c r="F113" s="1"/>
    </row>
    <row r="114" spans="1:6" x14ac:dyDescent="0.25">
      <c r="A114" s="1"/>
      <c r="C114" s="1"/>
      <c r="D114" s="1"/>
      <c r="E114" s="1"/>
      <c r="F114" s="1"/>
    </row>
    <row r="115" spans="1:6" x14ac:dyDescent="0.25">
      <c r="A115" s="1"/>
      <c r="C115" s="1"/>
      <c r="D115" s="1"/>
      <c r="E115" s="1"/>
      <c r="F115" s="1"/>
    </row>
    <row r="116" spans="1:6" x14ac:dyDescent="0.25">
      <c r="A116" s="1"/>
      <c r="C116" s="1"/>
      <c r="D116" s="1"/>
      <c r="E116" s="1"/>
      <c r="F116" s="1"/>
    </row>
    <row r="117" spans="1:6" x14ac:dyDescent="0.25">
      <c r="A117" s="1"/>
      <c r="C117" s="1"/>
      <c r="D117" s="1"/>
      <c r="E117" s="1"/>
      <c r="F117" s="1"/>
    </row>
    <row r="118" spans="1:6" x14ac:dyDescent="0.25">
      <c r="A118" s="1"/>
      <c r="C118" s="1"/>
      <c r="D118" s="1"/>
      <c r="E118" s="1"/>
      <c r="F118" s="1"/>
    </row>
    <row r="119" spans="1:6" x14ac:dyDescent="0.25">
      <c r="A119" s="1"/>
      <c r="C119" s="1"/>
      <c r="D119" s="1"/>
      <c r="E119" s="1"/>
      <c r="F119" s="1"/>
    </row>
    <row r="120" spans="1:6" x14ac:dyDescent="0.25">
      <c r="A120" s="1"/>
      <c r="C120" s="1"/>
      <c r="D120" s="1"/>
      <c r="E120" s="1"/>
      <c r="F120" s="1"/>
    </row>
    <row r="121" spans="1:6" x14ac:dyDescent="0.25">
      <c r="A121" s="1"/>
      <c r="C121" s="1"/>
      <c r="D121" s="1"/>
      <c r="E121" s="1"/>
      <c r="F121" s="1"/>
    </row>
    <row r="122" spans="1:6" x14ac:dyDescent="0.25">
      <c r="A122" s="1"/>
      <c r="C122" s="1"/>
      <c r="D122" s="1"/>
      <c r="E122" s="1"/>
      <c r="F122" s="1"/>
    </row>
    <row r="123" spans="1:6" x14ac:dyDescent="0.25">
      <c r="A123" s="1"/>
      <c r="C123" s="1"/>
      <c r="D123" s="1"/>
      <c r="E123" s="1"/>
      <c r="F123" s="1"/>
    </row>
    <row r="124" spans="1:6" x14ac:dyDescent="0.25">
      <c r="A124" s="1"/>
      <c r="C124" s="1"/>
      <c r="D124" s="1"/>
      <c r="E124" s="1"/>
      <c r="F124" s="1"/>
    </row>
    <row r="125" spans="1:6" x14ac:dyDescent="0.25">
      <c r="A125" s="1"/>
      <c r="C125" s="1"/>
      <c r="D125" s="1"/>
      <c r="E125" s="1"/>
      <c r="F125" s="1"/>
    </row>
    <row r="126" spans="1:6" x14ac:dyDescent="0.25">
      <c r="A126" s="1"/>
      <c r="C126" s="1"/>
      <c r="D126" s="1"/>
      <c r="E126" s="1"/>
      <c r="F126" s="1"/>
    </row>
    <row r="127" spans="1:6" x14ac:dyDescent="0.25">
      <c r="A127" s="1"/>
      <c r="C127" s="1"/>
      <c r="D127" s="1"/>
      <c r="E127" s="1"/>
      <c r="F127" s="1"/>
    </row>
    <row r="128" spans="1:6" x14ac:dyDescent="0.25">
      <c r="A128" s="1"/>
      <c r="C128" s="1"/>
      <c r="D128" s="1"/>
      <c r="E128" s="1"/>
      <c r="F128" s="1"/>
    </row>
    <row r="129" spans="1:6" x14ac:dyDescent="0.25">
      <c r="A129" s="1"/>
      <c r="C129" s="1"/>
      <c r="D129" s="1"/>
      <c r="E129" s="1"/>
      <c r="F129" s="1"/>
    </row>
    <row r="130" spans="1:6" x14ac:dyDescent="0.25">
      <c r="A130" s="1"/>
      <c r="C130" s="1"/>
      <c r="D130" s="1"/>
      <c r="E130" s="1"/>
      <c r="F130" s="1"/>
    </row>
    <row r="131" spans="1:6" x14ac:dyDescent="0.25">
      <c r="A131" s="1"/>
      <c r="C131" s="1"/>
      <c r="D131" s="1"/>
      <c r="E131" s="1"/>
      <c r="F131" s="1"/>
    </row>
    <row r="132" spans="1:6" x14ac:dyDescent="0.25">
      <c r="A132" s="1"/>
      <c r="C132" s="1"/>
      <c r="D132" s="1"/>
      <c r="E132" s="1"/>
      <c r="F132" s="1"/>
    </row>
    <row r="133" spans="1:6" x14ac:dyDescent="0.25">
      <c r="A133" s="1"/>
      <c r="C133" s="1"/>
      <c r="D133" s="1"/>
      <c r="E133" s="1"/>
      <c r="F133" s="1"/>
    </row>
    <row r="134" spans="1:6" x14ac:dyDescent="0.25">
      <c r="A134" s="1"/>
      <c r="C134" s="1"/>
      <c r="D134" s="1"/>
      <c r="E134" s="1"/>
      <c r="F134" s="1"/>
    </row>
    <row r="135" spans="1:6" x14ac:dyDescent="0.25">
      <c r="A135" s="1"/>
      <c r="C135" s="1"/>
      <c r="D135" s="1"/>
      <c r="E135" s="1"/>
      <c r="F135" s="1"/>
    </row>
    <row r="136" spans="1:6" x14ac:dyDescent="0.25">
      <c r="A136" s="1"/>
      <c r="C136" s="1"/>
      <c r="D136" s="1"/>
      <c r="E136" s="1"/>
      <c r="F136" s="1"/>
    </row>
    <row r="137" spans="1:6" x14ac:dyDescent="0.25">
      <c r="A137" s="1"/>
      <c r="C137" s="1"/>
      <c r="D137" s="1"/>
      <c r="E137" s="1"/>
      <c r="F137" s="1"/>
    </row>
    <row r="138" spans="1:6" x14ac:dyDescent="0.25">
      <c r="A138" s="1"/>
      <c r="C138" s="1"/>
      <c r="D138" s="1"/>
      <c r="E138" s="1"/>
      <c r="F138" s="1"/>
    </row>
    <row r="139" spans="1:6" x14ac:dyDescent="0.25">
      <c r="A139" s="1"/>
      <c r="C139" s="1"/>
      <c r="D139" s="1"/>
      <c r="E139" s="1"/>
      <c r="F139" s="1"/>
    </row>
    <row r="140" spans="1:6" x14ac:dyDescent="0.25">
      <c r="A140" s="1"/>
      <c r="C140" s="1"/>
      <c r="D140" s="1"/>
      <c r="E140" s="1"/>
      <c r="F140" s="1"/>
    </row>
    <row r="141" spans="1:6" x14ac:dyDescent="0.25">
      <c r="A141" s="1"/>
      <c r="C141" s="1"/>
      <c r="D141" s="1"/>
      <c r="E141" s="1"/>
      <c r="F141" s="1"/>
    </row>
    <row r="142" spans="1:6" x14ac:dyDescent="0.25">
      <c r="A142" s="1"/>
      <c r="C142" s="1"/>
      <c r="D142" s="1"/>
      <c r="E142" s="1"/>
      <c r="F142" s="1"/>
    </row>
    <row r="143" spans="1:6" x14ac:dyDescent="0.25">
      <c r="A143" s="1"/>
      <c r="C143" s="1"/>
      <c r="D143" s="1"/>
      <c r="E143" s="1"/>
      <c r="F143" s="1"/>
    </row>
    <row r="144" spans="1:6" x14ac:dyDescent="0.25">
      <c r="A144" s="1"/>
      <c r="C144" s="1"/>
      <c r="D144" s="1"/>
      <c r="E144" s="1"/>
      <c r="F144" s="1"/>
    </row>
    <row r="145" spans="1:6" x14ac:dyDescent="0.25">
      <c r="A145" s="1"/>
      <c r="C145" s="1"/>
      <c r="D145" s="1"/>
      <c r="E145" s="1"/>
      <c r="F145" s="1"/>
    </row>
    <row r="146" spans="1:6" x14ac:dyDescent="0.25">
      <c r="A146" s="1"/>
      <c r="C146" s="1"/>
      <c r="D146" s="1"/>
      <c r="E146" s="1"/>
      <c r="F146" s="1"/>
    </row>
    <row r="147" spans="1:6" x14ac:dyDescent="0.25">
      <c r="A147" s="1"/>
      <c r="C147" s="1"/>
      <c r="D147" s="1"/>
      <c r="E147" s="1"/>
      <c r="F147" s="1"/>
    </row>
    <row r="148" spans="1:6" x14ac:dyDescent="0.25">
      <c r="A148" s="1"/>
      <c r="C148" s="1"/>
      <c r="D148" s="1"/>
      <c r="E148" s="1"/>
      <c r="F148" s="1"/>
    </row>
    <row r="149" spans="1:6" x14ac:dyDescent="0.25">
      <c r="A149" s="1"/>
      <c r="C149" s="1"/>
      <c r="D149" s="1"/>
      <c r="E149" s="1"/>
      <c r="F149" s="1"/>
    </row>
    <row r="150" spans="1:6" x14ac:dyDescent="0.25">
      <c r="A150" s="1"/>
      <c r="C150" s="1"/>
      <c r="D150" s="1"/>
      <c r="E150" s="1"/>
      <c r="F150" s="1"/>
    </row>
    <row r="151" spans="1:6" x14ac:dyDescent="0.25">
      <c r="A151" s="1"/>
      <c r="C151" s="1"/>
      <c r="D151" s="1"/>
      <c r="E151" s="1"/>
      <c r="F151" s="1"/>
    </row>
    <row r="152" spans="1:6" x14ac:dyDescent="0.25">
      <c r="A152" s="1"/>
      <c r="C152" s="1"/>
      <c r="D152" s="1"/>
      <c r="E152" s="1"/>
      <c r="F152" s="1"/>
    </row>
    <row r="153" spans="1:6" x14ac:dyDescent="0.25">
      <c r="A153" s="1"/>
      <c r="C153" s="1"/>
      <c r="D153" s="1"/>
      <c r="E153" s="1"/>
      <c r="F153" s="1"/>
    </row>
    <row r="154" spans="1:6" x14ac:dyDescent="0.25">
      <c r="A154" s="1"/>
      <c r="C154" s="1"/>
      <c r="D154" s="1"/>
      <c r="E154" s="1"/>
      <c r="F154" s="1"/>
    </row>
    <row r="155" spans="1:6" x14ac:dyDescent="0.25">
      <c r="A155" s="1"/>
      <c r="C155" s="1"/>
      <c r="D155" s="1"/>
      <c r="E155" s="1"/>
      <c r="F155" s="1"/>
    </row>
    <row r="156" spans="1:6" x14ac:dyDescent="0.25">
      <c r="A156" s="1"/>
      <c r="C156" s="1"/>
      <c r="D156" s="1"/>
      <c r="E156" s="1"/>
      <c r="F156" s="1"/>
    </row>
    <row r="157" spans="1:6" x14ac:dyDescent="0.25">
      <c r="A157" s="1"/>
      <c r="C157" s="1"/>
      <c r="D157" s="1"/>
      <c r="E157" s="1"/>
      <c r="F157" s="1"/>
    </row>
    <row r="158" spans="1:6" x14ac:dyDescent="0.25">
      <c r="A158" s="1"/>
      <c r="C158" s="1"/>
      <c r="D158" s="1"/>
      <c r="E158" s="1"/>
      <c r="F158" s="1"/>
    </row>
    <row r="159" spans="1:6" x14ac:dyDescent="0.25">
      <c r="A159" s="1"/>
      <c r="C159" s="1"/>
      <c r="D159" s="1"/>
      <c r="E159" s="1"/>
      <c r="F159" s="1"/>
    </row>
    <row r="160" spans="1:6" x14ac:dyDescent="0.25">
      <c r="A160" s="1"/>
      <c r="C160" s="1"/>
      <c r="D160" s="1"/>
      <c r="E160" s="1"/>
      <c r="F160" s="1"/>
    </row>
    <row r="161" spans="1:6" x14ac:dyDescent="0.25">
      <c r="A161" s="1"/>
      <c r="C161" s="1"/>
      <c r="D161" s="1"/>
      <c r="E161" s="1"/>
      <c r="F161" s="1"/>
    </row>
    <row r="162" spans="1:6" x14ac:dyDescent="0.25">
      <c r="A162" s="1"/>
      <c r="C162" s="1"/>
      <c r="D162" s="1"/>
      <c r="E162" s="1"/>
      <c r="F162" s="1"/>
    </row>
    <row r="163" spans="1:6" x14ac:dyDescent="0.25">
      <c r="A163" s="1"/>
      <c r="C163" s="1"/>
      <c r="D163" s="1"/>
      <c r="E163" s="1"/>
      <c r="F163" s="1"/>
    </row>
    <row r="164" spans="1:6" x14ac:dyDescent="0.25">
      <c r="A164" s="1"/>
      <c r="C164" s="1"/>
      <c r="D164" s="1"/>
      <c r="E164" s="1"/>
      <c r="F164" s="1"/>
    </row>
    <row r="165" spans="1:6" x14ac:dyDescent="0.25">
      <c r="A165" s="1"/>
      <c r="C165" s="1"/>
      <c r="D165" s="1"/>
      <c r="E165" s="1"/>
      <c r="F165" s="1"/>
    </row>
    <row r="166" spans="1:6" x14ac:dyDescent="0.25">
      <c r="A166" s="1"/>
      <c r="C166" s="1"/>
      <c r="D166" s="1"/>
      <c r="E166" s="1"/>
      <c r="F166" s="1"/>
    </row>
    <row r="167" spans="1:6" x14ac:dyDescent="0.25">
      <c r="A167" s="1"/>
      <c r="C167" s="1"/>
      <c r="D167" s="1"/>
      <c r="E167" s="1"/>
      <c r="F167" s="1"/>
    </row>
    <row r="168" spans="1:6" x14ac:dyDescent="0.25">
      <c r="A168" s="1"/>
      <c r="C168" s="1"/>
      <c r="D168" s="1"/>
      <c r="E168" s="1"/>
      <c r="F168" s="1"/>
    </row>
    <row r="169" spans="1:6" x14ac:dyDescent="0.25">
      <c r="A169" s="1"/>
      <c r="C169" s="1"/>
      <c r="D169" s="1"/>
      <c r="E169" s="1"/>
      <c r="F169" s="1"/>
    </row>
    <row r="170" spans="1:6" x14ac:dyDescent="0.25">
      <c r="A170" s="1"/>
      <c r="C170" s="1"/>
      <c r="D170" s="1"/>
      <c r="E170" s="1"/>
      <c r="F170" s="1"/>
    </row>
    <row r="171" spans="1:6" x14ac:dyDescent="0.25">
      <c r="A171" s="1"/>
      <c r="C171" s="1"/>
      <c r="D171" s="1"/>
      <c r="E171" s="1"/>
      <c r="F171" s="1"/>
    </row>
    <row r="172" spans="1:6" x14ac:dyDescent="0.25">
      <c r="A172" s="1"/>
      <c r="C172" s="1"/>
      <c r="D172" s="1"/>
      <c r="E172" s="1"/>
      <c r="F172" s="1"/>
    </row>
    <row r="173" spans="1:6" x14ac:dyDescent="0.25">
      <c r="A173" s="1"/>
      <c r="C173" s="1"/>
      <c r="D173" s="1"/>
      <c r="E173" s="1"/>
      <c r="F173" s="1"/>
    </row>
    <row r="174" spans="1:6" x14ac:dyDescent="0.25">
      <c r="A174" s="1"/>
      <c r="C174" s="1"/>
      <c r="D174" s="1"/>
      <c r="E174" s="1"/>
      <c r="F174" s="1"/>
    </row>
    <row r="175" spans="1:6" x14ac:dyDescent="0.25">
      <c r="A175" s="1"/>
      <c r="C175" s="1"/>
      <c r="D175" s="1"/>
      <c r="E175" s="1"/>
      <c r="F175" s="1"/>
    </row>
    <row r="176" spans="1:6" x14ac:dyDescent="0.25">
      <c r="A176" s="1"/>
      <c r="C176" s="1"/>
      <c r="D176" s="1"/>
      <c r="E176" s="1"/>
      <c r="F176" s="1"/>
    </row>
    <row r="177" spans="1:6" x14ac:dyDescent="0.25">
      <c r="A177" s="1"/>
      <c r="C177" s="1"/>
      <c r="D177" s="1"/>
      <c r="E177" s="1"/>
      <c r="F177" s="1"/>
    </row>
    <row r="178" spans="1:6" x14ac:dyDescent="0.25">
      <c r="A178" s="1"/>
      <c r="C178" s="1"/>
      <c r="D178" s="1"/>
      <c r="E178" s="1"/>
      <c r="F178" s="1"/>
    </row>
    <row r="179" spans="1:6" x14ac:dyDescent="0.25">
      <c r="A179" s="1"/>
      <c r="C179" s="1"/>
      <c r="D179" s="1"/>
      <c r="E179" s="1"/>
      <c r="F179" s="1"/>
    </row>
    <row r="180" spans="1:6" x14ac:dyDescent="0.25">
      <c r="A180" s="1"/>
      <c r="C180" s="1"/>
      <c r="D180" s="1"/>
      <c r="E180" s="1"/>
      <c r="F180" s="1"/>
    </row>
    <row r="181" spans="1:6" x14ac:dyDescent="0.25">
      <c r="A181" s="1"/>
      <c r="C181" s="1"/>
      <c r="D181" s="1"/>
      <c r="E181" s="1"/>
      <c r="F181" s="1"/>
    </row>
    <row r="182" spans="1:6" x14ac:dyDescent="0.25">
      <c r="A182" s="1"/>
      <c r="C182" s="1"/>
      <c r="D182" s="1"/>
      <c r="E182" s="1"/>
      <c r="F182" s="1"/>
    </row>
    <row r="183" spans="1:6" x14ac:dyDescent="0.25">
      <c r="A183" s="1"/>
      <c r="C183" s="1"/>
      <c r="D183" s="1"/>
      <c r="E183" s="1"/>
      <c r="F183" s="1"/>
    </row>
    <row r="184" spans="1:6" x14ac:dyDescent="0.25">
      <c r="A184" s="1"/>
      <c r="C184" s="1"/>
      <c r="D184" s="1"/>
      <c r="E184" s="1"/>
      <c r="F184" s="1"/>
    </row>
    <row r="185" spans="1:6" x14ac:dyDescent="0.25">
      <c r="A185" s="1"/>
      <c r="C185" s="1"/>
      <c r="D185" s="1"/>
      <c r="E185" s="1"/>
      <c r="F185" s="1"/>
    </row>
    <row r="186" spans="1:6" x14ac:dyDescent="0.25">
      <c r="A186" s="1"/>
      <c r="C186" s="1"/>
      <c r="D186" s="1"/>
      <c r="E186" s="1"/>
      <c r="F186" s="1"/>
    </row>
    <row r="187" spans="1:6" x14ac:dyDescent="0.25">
      <c r="A187" s="1"/>
      <c r="C187" s="1"/>
      <c r="D187" s="1"/>
      <c r="E187" s="1"/>
      <c r="F187" s="1"/>
    </row>
    <row r="188" spans="1:6" x14ac:dyDescent="0.25">
      <c r="A188" s="1"/>
      <c r="C188" s="1"/>
      <c r="D188" s="1"/>
      <c r="E188" s="1"/>
      <c r="F188" s="1"/>
    </row>
    <row r="189" spans="1:6" x14ac:dyDescent="0.25">
      <c r="A189" s="1"/>
      <c r="C189" s="1"/>
      <c r="D189" s="1"/>
      <c r="E189" s="1"/>
      <c r="F189" s="1"/>
    </row>
    <row r="190" spans="1:6" x14ac:dyDescent="0.25">
      <c r="A190" s="1"/>
      <c r="C190" s="1"/>
      <c r="D190" s="1"/>
      <c r="E190" s="1"/>
      <c r="F190" s="1"/>
    </row>
    <row r="191" spans="1:6" x14ac:dyDescent="0.25">
      <c r="A191" s="1"/>
      <c r="C191" s="1"/>
      <c r="D191" s="1"/>
      <c r="E191" s="1"/>
      <c r="F191" s="1"/>
    </row>
    <row r="192" spans="1:6" x14ac:dyDescent="0.25">
      <c r="A192" s="1"/>
      <c r="C192" s="1"/>
      <c r="D192" s="1"/>
      <c r="E192" s="1"/>
      <c r="F192" s="1"/>
    </row>
    <row r="193" spans="1:6" x14ac:dyDescent="0.25">
      <c r="A193" s="1"/>
      <c r="C193" s="1"/>
      <c r="D193" s="1"/>
      <c r="E193" s="1"/>
      <c r="F193" s="1"/>
    </row>
    <row r="194" spans="1:6" x14ac:dyDescent="0.25">
      <c r="A194" s="1"/>
      <c r="C194" s="1"/>
      <c r="D194" s="1"/>
      <c r="E194" s="1"/>
      <c r="F194" s="1"/>
    </row>
    <row r="195" spans="1:6" x14ac:dyDescent="0.25">
      <c r="A195" s="1"/>
      <c r="C195" s="1"/>
      <c r="D195" s="1"/>
      <c r="E195" s="1"/>
      <c r="F195" s="1"/>
    </row>
    <row r="196" spans="1:6" x14ac:dyDescent="0.25">
      <c r="A196" s="1"/>
      <c r="C196" s="1"/>
      <c r="D196" s="1"/>
      <c r="E196" s="1"/>
      <c r="F196" s="1"/>
    </row>
    <row r="197" spans="1:6" x14ac:dyDescent="0.25">
      <c r="A197" s="1"/>
      <c r="C197" s="1"/>
      <c r="D197" s="1"/>
      <c r="E197" s="1"/>
      <c r="F197" s="1"/>
    </row>
    <row r="198" spans="1:6" x14ac:dyDescent="0.25">
      <c r="A198" s="1"/>
      <c r="C198" s="1"/>
      <c r="D198" s="1"/>
      <c r="E198" s="1"/>
      <c r="F198" s="1"/>
    </row>
    <row r="199" spans="1:6" x14ac:dyDescent="0.25">
      <c r="A199" s="1"/>
      <c r="C199" s="1"/>
      <c r="D199" s="1"/>
      <c r="E199" s="1"/>
      <c r="F199" s="1"/>
    </row>
    <row r="200" spans="1:6" x14ac:dyDescent="0.25">
      <c r="A200" s="1"/>
      <c r="C200" s="1"/>
      <c r="D200" s="1"/>
      <c r="E200" s="1"/>
      <c r="F200" s="1"/>
    </row>
    <row r="201" spans="1:6" x14ac:dyDescent="0.25">
      <c r="A201" s="1"/>
      <c r="C201" s="1"/>
      <c r="D201" s="1"/>
      <c r="E201" s="1"/>
      <c r="F201" s="1"/>
    </row>
    <row r="202" spans="1:6" x14ac:dyDescent="0.25">
      <c r="A202" s="1"/>
      <c r="C202" s="1"/>
      <c r="D202" s="1"/>
      <c r="E202" s="1"/>
      <c r="F202" s="1"/>
    </row>
    <row r="203" spans="1:6" x14ac:dyDescent="0.25">
      <c r="A203" s="1"/>
      <c r="C203" s="1"/>
      <c r="D203" s="1"/>
      <c r="E203" s="1"/>
      <c r="F203" s="1"/>
    </row>
    <row r="204" spans="1:6" x14ac:dyDescent="0.25">
      <c r="A204" s="1"/>
      <c r="C204" s="1"/>
      <c r="D204" s="1"/>
      <c r="E204" s="1"/>
      <c r="F204" s="1"/>
    </row>
    <row r="205" spans="1:6" x14ac:dyDescent="0.25">
      <c r="A205" s="1"/>
      <c r="C205" s="1"/>
      <c r="D205" s="1"/>
      <c r="E205" s="1"/>
      <c r="F205" s="1"/>
    </row>
    <row r="206" spans="1:6" x14ac:dyDescent="0.25">
      <c r="A206" s="1"/>
      <c r="C206" s="1"/>
      <c r="D206" s="1"/>
      <c r="E206" s="1"/>
      <c r="F206" s="1"/>
    </row>
    <row r="207" spans="1:6" x14ac:dyDescent="0.25">
      <c r="A207" s="1"/>
      <c r="C207" s="1"/>
      <c r="D207" s="1"/>
      <c r="E207" s="1"/>
      <c r="F207" s="1"/>
    </row>
    <row r="208" spans="1:6" x14ac:dyDescent="0.25">
      <c r="A208" s="1"/>
      <c r="C208" s="1"/>
      <c r="D208" s="1"/>
      <c r="E208" s="1"/>
      <c r="F208" s="1"/>
    </row>
    <row r="209" spans="1:6" x14ac:dyDescent="0.25">
      <c r="A209" s="1"/>
      <c r="C209" s="1"/>
      <c r="D209" s="1"/>
      <c r="E209" s="1"/>
      <c r="F209" s="1"/>
    </row>
    <row r="210" spans="1:6" x14ac:dyDescent="0.25">
      <c r="A210" s="1"/>
      <c r="C210" s="1"/>
      <c r="D210" s="1"/>
      <c r="E210" s="1"/>
      <c r="F210" s="1"/>
    </row>
    <row r="211" spans="1:6" x14ac:dyDescent="0.25">
      <c r="A211" s="1"/>
      <c r="C211" s="1"/>
      <c r="D211" s="1"/>
      <c r="E211" s="1"/>
      <c r="F211" s="1"/>
    </row>
    <row r="212" spans="1:6" x14ac:dyDescent="0.25">
      <c r="A212" s="1"/>
      <c r="C212" s="1"/>
      <c r="D212" s="1"/>
      <c r="E212" s="1"/>
      <c r="F212" s="1"/>
    </row>
    <row r="213" spans="1:6" x14ac:dyDescent="0.25">
      <c r="A213" s="1"/>
      <c r="C213" s="1"/>
      <c r="D213" s="1"/>
      <c r="E213" s="1"/>
      <c r="F213" s="1"/>
    </row>
    <row r="214" spans="1:6" x14ac:dyDescent="0.25">
      <c r="A214" s="1"/>
      <c r="C214" s="1"/>
      <c r="D214" s="1"/>
      <c r="E214" s="1"/>
      <c r="F214" s="1"/>
    </row>
    <row r="215" spans="1:6" x14ac:dyDescent="0.25">
      <c r="A215" s="1"/>
      <c r="C215" s="1"/>
      <c r="D215" s="1"/>
      <c r="E215" s="1"/>
      <c r="F215" s="1"/>
    </row>
    <row r="216" spans="1:6" x14ac:dyDescent="0.25">
      <c r="A216" s="1"/>
      <c r="C216" s="1"/>
      <c r="D216" s="1"/>
      <c r="E216" s="1"/>
      <c r="F216" s="1"/>
    </row>
    <row r="217" spans="1:6" x14ac:dyDescent="0.25">
      <c r="A217" s="1"/>
      <c r="C217" s="1"/>
      <c r="D217" s="1"/>
      <c r="E217" s="1"/>
      <c r="F217" s="1"/>
    </row>
    <row r="218" spans="1:6" x14ac:dyDescent="0.25">
      <c r="A218" s="1"/>
      <c r="C218" s="1"/>
      <c r="D218" s="1"/>
      <c r="E218" s="1"/>
      <c r="F218" s="1"/>
    </row>
    <row r="219" spans="1:6" x14ac:dyDescent="0.25">
      <c r="A219" s="1"/>
      <c r="C219" s="1"/>
      <c r="D219" s="1"/>
      <c r="E219" s="1"/>
      <c r="F219" s="1"/>
    </row>
    <row r="220" spans="1:6" x14ac:dyDescent="0.25">
      <c r="A220" s="1"/>
      <c r="C220" s="1"/>
      <c r="D220" s="1"/>
      <c r="E220" s="1"/>
      <c r="F220" s="1"/>
    </row>
    <row r="221" spans="1:6" x14ac:dyDescent="0.25">
      <c r="A221" s="1"/>
      <c r="C221" s="1"/>
      <c r="D221" s="1"/>
      <c r="E221" s="1"/>
      <c r="F221" s="1"/>
    </row>
    <row r="222" spans="1:6" x14ac:dyDescent="0.25">
      <c r="A222" s="1"/>
      <c r="C222" s="1"/>
      <c r="D222" s="1"/>
      <c r="E222" s="1"/>
      <c r="F222" s="1"/>
    </row>
    <row r="223" spans="1:6" x14ac:dyDescent="0.25">
      <c r="A223" s="1"/>
      <c r="C223" s="1"/>
      <c r="D223" s="1"/>
      <c r="E223" s="1"/>
      <c r="F223" s="1"/>
    </row>
    <row r="224" spans="1:6" x14ac:dyDescent="0.25">
      <c r="A224" s="1"/>
      <c r="C224" s="1"/>
      <c r="D224" s="1"/>
      <c r="E224" s="1"/>
      <c r="F224" s="1"/>
    </row>
    <row r="225" spans="1:6" x14ac:dyDescent="0.25">
      <c r="A225" s="1"/>
      <c r="C225" s="1"/>
      <c r="D225" s="1"/>
      <c r="E225" s="1"/>
      <c r="F225" s="1"/>
    </row>
    <row r="226" spans="1:6" x14ac:dyDescent="0.25">
      <c r="A226" s="1"/>
      <c r="C226" s="1"/>
      <c r="D226" s="1"/>
      <c r="E226" s="1"/>
      <c r="F226" s="1"/>
    </row>
    <row r="227" spans="1:6" x14ac:dyDescent="0.25">
      <c r="A227" s="1"/>
      <c r="C227" s="1"/>
      <c r="D227" s="1"/>
      <c r="E227" s="1"/>
      <c r="F227" s="1"/>
    </row>
    <row r="228" spans="1:6" x14ac:dyDescent="0.25">
      <c r="A228" s="1"/>
      <c r="C228" s="1"/>
      <c r="D228" s="1"/>
      <c r="E228" s="1"/>
      <c r="F228" s="1"/>
    </row>
    <row r="229" spans="1:6" x14ac:dyDescent="0.25">
      <c r="A229" s="1"/>
      <c r="C229" s="1"/>
      <c r="D229" s="1"/>
      <c r="E229" s="1"/>
      <c r="F229" s="1"/>
    </row>
    <row r="230" spans="1:6" x14ac:dyDescent="0.25">
      <c r="A230" s="1"/>
      <c r="C230" s="1"/>
      <c r="D230" s="1"/>
      <c r="E230" s="1"/>
      <c r="F230" s="1"/>
    </row>
    <row r="231" spans="1:6" x14ac:dyDescent="0.25">
      <c r="A231" s="1"/>
      <c r="C231" s="1"/>
      <c r="D231" s="1"/>
      <c r="E231" s="1"/>
      <c r="F231" s="1"/>
    </row>
    <row r="232" spans="1:6" x14ac:dyDescent="0.25">
      <c r="A232" s="1"/>
      <c r="C232" s="1"/>
      <c r="D232" s="1"/>
      <c r="E232" s="1"/>
      <c r="F232" s="1"/>
    </row>
    <row r="233" spans="1:6" x14ac:dyDescent="0.25">
      <c r="A233" s="1"/>
      <c r="C233" s="1"/>
      <c r="D233" s="1"/>
      <c r="E233" s="1"/>
      <c r="F233" s="1"/>
    </row>
    <row r="234" spans="1:6" x14ac:dyDescent="0.25">
      <c r="A234" s="1"/>
      <c r="C234" s="1"/>
      <c r="D234" s="1"/>
      <c r="E234" s="1"/>
      <c r="F234" s="1"/>
    </row>
    <row r="235" spans="1:6" x14ac:dyDescent="0.25">
      <c r="A235" s="1"/>
      <c r="C235" s="1"/>
      <c r="D235" s="1"/>
      <c r="E235" s="1"/>
      <c r="F235" s="1"/>
    </row>
    <row r="236" spans="1:6" x14ac:dyDescent="0.25">
      <c r="A236" s="1"/>
      <c r="C236" s="1"/>
      <c r="D236" s="1"/>
      <c r="E236" s="1"/>
      <c r="F236" s="1"/>
    </row>
    <row r="237" spans="1:6" x14ac:dyDescent="0.25">
      <c r="A237" s="1"/>
      <c r="C237" s="1"/>
      <c r="D237" s="1"/>
      <c r="E237" s="1"/>
      <c r="F237" s="1"/>
    </row>
    <row r="238" spans="1:6" x14ac:dyDescent="0.25">
      <c r="A238" s="1"/>
      <c r="C238" s="1"/>
      <c r="D238" s="1"/>
      <c r="E238" s="1"/>
      <c r="F238" s="1"/>
    </row>
    <row r="239" spans="1:6" x14ac:dyDescent="0.25">
      <c r="A239" s="1"/>
      <c r="C239" s="1"/>
      <c r="D239" s="1"/>
      <c r="E239" s="1"/>
      <c r="F239" s="1"/>
    </row>
    <row r="240" spans="1:6" x14ac:dyDescent="0.25">
      <c r="A240" s="1"/>
      <c r="C240" s="1"/>
      <c r="D240" s="1"/>
      <c r="E240" s="1"/>
      <c r="F240" s="1"/>
    </row>
    <row r="241" spans="1:6" x14ac:dyDescent="0.25">
      <c r="A241" s="1"/>
      <c r="C241" s="1"/>
      <c r="D241" s="1"/>
      <c r="E241" s="1"/>
      <c r="F241" s="1"/>
    </row>
    <row r="242" spans="1:6" x14ac:dyDescent="0.25">
      <c r="A242" s="1"/>
      <c r="C242" s="1"/>
      <c r="D242" s="1"/>
      <c r="E242" s="1"/>
      <c r="F242" s="1"/>
    </row>
    <row r="243" spans="1:6" x14ac:dyDescent="0.25">
      <c r="A243" s="1"/>
      <c r="C243" s="1"/>
      <c r="D243" s="1"/>
      <c r="E243" s="1"/>
      <c r="F243" s="1"/>
    </row>
    <row r="244" spans="1:6" x14ac:dyDescent="0.25">
      <c r="A244" s="1"/>
      <c r="C244" s="1"/>
      <c r="D244" s="1"/>
      <c r="E244" s="1"/>
      <c r="F244" s="1"/>
    </row>
    <row r="245" spans="1:6" x14ac:dyDescent="0.25">
      <c r="A245" s="1"/>
      <c r="C245" s="1"/>
      <c r="D245" s="1"/>
      <c r="E245" s="1"/>
      <c r="F245" s="1"/>
    </row>
    <row r="246" spans="1:6" x14ac:dyDescent="0.25">
      <c r="A246" s="1"/>
      <c r="C246" s="1"/>
      <c r="D246" s="1"/>
      <c r="E246" s="1"/>
      <c r="F246" s="1"/>
    </row>
    <row r="247" spans="1:6" x14ac:dyDescent="0.25">
      <c r="A247" s="1"/>
      <c r="C247" s="1"/>
      <c r="D247" s="1"/>
      <c r="E247" s="1"/>
      <c r="F247" s="1"/>
    </row>
    <row r="248" spans="1:6" x14ac:dyDescent="0.25">
      <c r="A248" s="1"/>
      <c r="C248" s="1"/>
      <c r="D248" s="1"/>
      <c r="E248" s="1"/>
      <c r="F248" s="1"/>
    </row>
    <row r="249" spans="1:6" x14ac:dyDescent="0.25">
      <c r="A249" s="1"/>
      <c r="C249" s="1"/>
      <c r="D249" s="1"/>
      <c r="E249" s="1"/>
      <c r="F249" s="1"/>
    </row>
    <row r="250" spans="1:6" x14ac:dyDescent="0.25">
      <c r="A250" s="1"/>
      <c r="C250" s="1"/>
      <c r="D250" s="1"/>
      <c r="E250" s="1"/>
      <c r="F250" s="1"/>
    </row>
    <row r="251" spans="1:6" x14ac:dyDescent="0.25">
      <c r="A251" s="1"/>
      <c r="C251" s="1"/>
      <c r="D251" s="1"/>
      <c r="E251" s="1"/>
      <c r="F251" s="1"/>
    </row>
    <row r="252" spans="1:6" x14ac:dyDescent="0.25">
      <c r="A252" s="1"/>
      <c r="C252" s="1"/>
      <c r="D252" s="1"/>
      <c r="E252" s="1"/>
      <c r="F252" s="1"/>
    </row>
    <row r="253" spans="1:6" x14ac:dyDescent="0.25">
      <c r="A253" s="1"/>
      <c r="C253" s="1"/>
      <c r="D253" s="1"/>
      <c r="E253" s="1"/>
      <c r="F253" s="1"/>
    </row>
    <row r="254" spans="1:6" x14ac:dyDescent="0.25">
      <c r="A254" s="1"/>
      <c r="C254" s="1"/>
      <c r="D254" s="1"/>
      <c r="E254" s="1"/>
      <c r="F254" s="1"/>
    </row>
    <row r="255" spans="1:6" x14ac:dyDescent="0.25">
      <c r="A255" s="1"/>
      <c r="C255" s="1"/>
      <c r="D255" s="1"/>
      <c r="E255" s="1"/>
      <c r="F255" s="1"/>
    </row>
    <row r="256" spans="1:6" x14ac:dyDescent="0.25">
      <c r="A256" s="1"/>
      <c r="C256" s="1"/>
      <c r="D256" s="1"/>
      <c r="E256" s="1"/>
      <c r="F256" s="1"/>
    </row>
    <row r="257" spans="1:6" x14ac:dyDescent="0.25">
      <c r="A257" s="1"/>
      <c r="C257" s="1"/>
      <c r="D257" s="1"/>
      <c r="E257" s="1"/>
      <c r="F257" s="1"/>
    </row>
    <row r="258" spans="1:6" x14ac:dyDescent="0.25">
      <c r="A258" s="1"/>
      <c r="C258" s="1"/>
      <c r="D258" s="1"/>
      <c r="E258" s="1"/>
      <c r="F258" s="1"/>
    </row>
    <row r="259" spans="1:6" x14ac:dyDescent="0.25">
      <c r="A259" s="1"/>
      <c r="C259" s="1"/>
      <c r="D259" s="1"/>
      <c r="E259" s="1"/>
      <c r="F259" s="1"/>
    </row>
    <row r="260" spans="1:6" x14ac:dyDescent="0.25">
      <c r="A260" s="1"/>
      <c r="C260" s="1"/>
      <c r="D260" s="1"/>
      <c r="E260" s="1"/>
      <c r="F260" s="1"/>
    </row>
    <row r="261" spans="1:6" x14ac:dyDescent="0.25">
      <c r="A261" s="1"/>
      <c r="C261" s="1"/>
      <c r="D261" s="1"/>
      <c r="E261" s="1"/>
      <c r="F261" s="1"/>
    </row>
    <row r="262" spans="1:6" x14ac:dyDescent="0.25">
      <c r="A262" s="1"/>
      <c r="C262" s="1"/>
      <c r="D262" s="1"/>
      <c r="E262" s="1"/>
      <c r="F262" s="1"/>
    </row>
    <row r="263" spans="1:6" x14ac:dyDescent="0.25">
      <c r="A263" s="1"/>
      <c r="C263" s="1"/>
      <c r="D263" s="1"/>
      <c r="E263" s="1"/>
      <c r="F263" s="1"/>
    </row>
    <row r="264" spans="1:6" x14ac:dyDescent="0.25">
      <c r="A264" s="1"/>
      <c r="C264" s="1"/>
      <c r="D264" s="1"/>
      <c r="E264" s="1"/>
      <c r="F264" s="1"/>
    </row>
    <row r="265" spans="1:6" x14ac:dyDescent="0.25">
      <c r="A265" s="1"/>
      <c r="C265" s="1"/>
      <c r="D265" s="1"/>
      <c r="E265" s="1"/>
      <c r="F265" s="1"/>
    </row>
    <row r="266" spans="1:6" x14ac:dyDescent="0.25">
      <c r="A266" s="1"/>
      <c r="C266" s="1"/>
      <c r="D266" s="1"/>
      <c r="E266" s="1"/>
      <c r="F266" s="1"/>
    </row>
    <row r="267" spans="1:6" x14ac:dyDescent="0.25">
      <c r="A267" s="1"/>
      <c r="C267" s="1"/>
      <c r="D267" s="1"/>
      <c r="E267" s="1"/>
      <c r="F267" s="1"/>
    </row>
    <row r="268" spans="1:6" x14ac:dyDescent="0.25">
      <c r="A268" s="1"/>
      <c r="C268" s="1"/>
      <c r="D268" s="1"/>
      <c r="E268" s="1"/>
      <c r="F268" s="1"/>
    </row>
    <row r="269" spans="1:6" x14ac:dyDescent="0.25">
      <c r="A269" s="1"/>
      <c r="C269" s="1"/>
      <c r="D269" s="1"/>
      <c r="E269" s="1"/>
      <c r="F269" s="1"/>
    </row>
    <row r="270" spans="1:6" x14ac:dyDescent="0.25">
      <c r="A270" s="1"/>
      <c r="C270" s="1"/>
      <c r="D270" s="1"/>
      <c r="E270" s="1"/>
      <c r="F270" s="1"/>
    </row>
    <row r="271" spans="1:6" x14ac:dyDescent="0.25">
      <c r="A271" s="1"/>
      <c r="C271" s="1"/>
      <c r="D271" s="1"/>
      <c r="E271" s="1"/>
      <c r="F271" s="1"/>
    </row>
    <row r="272" spans="1:6" x14ac:dyDescent="0.25">
      <c r="A272" s="1"/>
      <c r="C272" s="1"/>
      <c r="D272" s="1"/>
      <c r="E272" s="1"/>
      <c r="F272" s="1"/>
    </row>
    <row r="273" spans="1:6" x14ac:dyDescent="0.25">
      <c r="A273" s="1"/>
      <c r="C273" s="1"/>
      <c r="D273" s="1"/>
      <c r="E273" s="1"/>
      <c r="F273" s="1"/>
    </row>
    <row r="274" spans="1:6" x14ac:dyDescent="0.25">
      <c r="A274" s="1"/>
      <c r="C274" s="1"/>
      <c r="D274" s="1"/>
      <c r="E274" s="1"/>
      <c r="F274" s="1"/>
    </row>
    <row r="275" spans="1:6" x14ac:dyDescent="0.25">
      <c r="A275" s="1"/>
      <c r="C275" s="1"/>
      <c r="D275" s="1"/>
      <c r="E275" s="1"/>
      <c r="F275" s="1"/>
    </row>
    <row r="276" spans="1:6" x14ac:dyDescent="0.25">
      <c r="A276" s="1"/>
      <c r="C276" s="1"/>
      <c r="D276" s="1"/>
      <c r="E276" s="1"/>
      <c r="F276" s="1"/>
    </row>
    <row r="277" spans="1:6" x14ac:dyDescent="0.25">
      <c r="A277" s="1"/>
      <c r="C277" s="1"/>
      <c r="D277" s="1"/>
      <c r="E277" s="1"/>
      <c r="F277" s="1"/>
    </row>
    <row r="278" spans="1:6" x14ac:dyDescent="0.25">
      <c r="A278" s="1"/>
      <c r="C278" s="1"/>
      <c r="D278" s="1"/>
      <c r="E278" s="1"/>
      <c r="F278" s="1"/>
    </row>
    <row r="279" spans="1:6" x14ac:dyDescent="0.25">
      <c r="A279" s="1"/>
      <c r="C279" s="1"/>
      <c r="D279" s="1"/>
      <c r="E279" s="1"/>
      <c r="F279" s="1"/>
    </row>
    <row r="280" spans="1:6" x14ac:dyDescent="0.25">
      <c r="A280" s="1"/>
      <c r="C280" s="1"/>
      <c r="D280" s="1"/>
      <c r="E280" s="1"/>
      <c r="F280" s="1"/>
    </row>
    <row r="281" spans="1:6" x14ac:dyDescent="0.25">
      <c r="A281" s="1"/>
      <c r="C281" s="1"/>
      <c r="D281" s="1"/>
      <c r="E281" s="1"/>
      <c r="F281" s="1"/>
    </row>
    <row r="282" spans="1:6" x14ac:dyDescent="0.25">
      <c r="A282" s="1"/>
      <c r="C282" s="1"/>
      <c r="D282" s="1"/>
      <c r="E282" s="1"/>
      <c r="F282" s="1"/>
    </row>
    <row r="283" spans="1:6" x14ac:dyDescent="0.25">
      <c r="A283" s="1"/>
      <c r="C283" s="1"/>
      <c r="D283" s="1"/>
      <c r="E283" s="1"/>
      <c r="F283" s="1"/>
    </row>
    <row r="284" spans="1:6" x14ac:dyDescent="0.25">
      <c r="A284" s="1"/>
      <c r="C284" s="1"/>
      <c r="D284" s="1"/>
      <c r="E284" s="1"/>
      <c r="F284" s="1"/>
    </row>
    <row r="285" spans="1:6" x14ac:dyDescent="0.25">
      <c r="A285" s="1"/>
      <c r="C285" s="1"/>
      <c r="D285" s="1"/>
      <c r="E285" s="1"/>
      <c r="F285" s="1"/>
    </row>
    <row r="286" spans="1:6" x14ac:dyDescent="0.25">
      <c r="A286" s="1"/>
      <c r="C286" s="1"/>
      <c r="D286" s="1"/>
      <c r="E286" s="1"/>
      <c r="F286" s="1"/>
    </row>
    <row r="287" spans="1:6" x14ac:dyDescent="0.25">
      <c r="A287" s="1"/>
      <c r="C287" s="1"/>
      <c r="D287" s="1"/>
      <c r="E287" s="1"/>
      <c r="F287" s="1"/>
    </row>
    <row r="288" spans="1:6" x14ac:dyDescent="0.25">
      <c r="A288" s="1"/>
      <c r="C288" s="1"/>
      <c r="D288" s="1"/>
      <c r="E288" s="1"/>
      <c r="F288" s="1"/>
    </row>
    <row r="289" spans="1:6" x14ac:dyDescent="0.25">
      <c r="A289" s="1"/>
      <c r="C289" s="1"/>
      <c r="D289" s="1"/>
      <c r="E289" s="1"/>
      <c r="F289" s="1"/>
    </row>
    <row r="290" spans="1:6" x14ac:dyDescent="0.25">
      <c r="A290" s="1"/>
      <c r="C290" s="1"/>
      <c r="D290" s="1"/>
      <c r="E290" s="1"/>
      <c r="F290" s="1"/>
    </row>
    <row r="291" spans="1:6" x14ac:dyDescent="0.25">
      <c r="A291" s="1"/>
      <c r="C291" s="1"/>
      <c r="D291" s="1"/>
      <c r="E291" s="1"/>
      <c r="F291" s="1"/>
    </row>
    <row r="292" spans="1:6" x14ac:dyDescent="0.25">
      <c r="A292" s="1"/>
      <c r="C292" s="1"/>
      <c r="D292" s="1"/>
      <c r="E292" s="1"/>
      <c r="F292" s="1"/>
    </row>
    <row r="293" spans="1:6" x14ac:dyDescent="0.25">
      <c r="A293" s="1"/>
      <c r="C293" s="1"/>
      <c r="D293" s="1"/>
      <c r="E293" s="1"/>
      <c r="F293" s="1"/>
    </row>
    <row r="294" spans="1:6" x14ac:dyDescent="0.25">
      <c r="A294" s="1"/>
      <c r="C294" s="1"/>
      <c r="D294" s="1"/>
      <c r="E294" s="1"/>
      <c r="F294" s="1"/>
    </row>
    <row r="295" spans="1:6" x14ac:dyDescent="0.25">
      <c r="A295" s="1"/>
      <c r="C295" s="1"/>
      <c r="D295" s="1"/>
      <c r="E295" s="1"/>
      <c r="F295" s="1"/>
    </row>
    <row r="296" spans="1:6" x14ac:dyDescent="0.25">
      <c r="A296" s="1"/>
      <c r="C296" s="1"/>
      <c r="D296" s="1"/>
      <c r="E296" s="1"/>
      <c r="F296" s="1"/>
    </row>
    <row r="297" spans="1:6" x14ac:dyDescent="0.25">
      <c r="A297" s="1"/>
      <c r="C297" s="1"/>
      <c r="D297" s="1"/>
      <c r="E297" s="1"/>
      <c r="F297" s="1"/>
    </row>
    <row r="298" spans="1:6" x14ac:dyDescent="0.25">
      <c r="A298" s="1"/>
      <c r="C298" s="1"/>
      <c r="D298" s="1"/>
      <c r="E298" s="1"/>
      <c r="F298" s="1"/>
    </row>
    <row r="299" spans="1:6" x14ac:dyDescent="0.25">
      <c r="A299" s="1"/>
      <c r="C299" s="1"/>
      <c r="D299" s="1"/>
      <c r="E299" s="1"/>
      <c r="F299" s="1"/>
    </row>
    <row r="300" spans="1:6" x14ac:dyDescent="0.25">
      <c r="A300" s="1"/>
      <c r="C300" s="1"/>
      <c r="D300" s="1"/>
      <c r="E300" s="1"/>
      <c r="F300" s="1"/>
    </row>
    <row r="301" spans="1:6" x14ac:dyDescent="0.25">
      <c r="A301" s="1"/>
      <c r="C301" s="1"/>
      <c r="D301" s="1"/>
      <c r="E301" s="1"/>
      <c r="F301" s="1"/>
    </row>
    <row r="302" spans="1:6" x14ac:dyDescent="0.25">
      <c r="A302" s="1"/>
      <c r="C302" s="1"/>
      <c r="D302" s="1"/>
      <c r="E302" s="1"/>
      <c r="F302" s="1"/>
    </row>
    <row r="303" spans="1:6" x14ac:dyDescent="0.25">
      <c r="A303" s="1"/>
      <c r="C303" s="1"/>
      <c r="D303" s="1"/>
      <c r="E303" s="1"/>
      <c r="F303" s="1"/>
    </row>
    <row r="304" spans="1:6" x14ac:dyDescent="0.25">
      <c r="A304" s="1"/>
      <c r="C304" s="1"/>
      <c r="D304" s="1"/>
      <c r="E304" s="1"/>
      <c r="F304" s="1"/>
    </row>
    <row r="305" spans="1:6" x14ac:dyDescent="0.25">
      <c r="A305" s="1"/>
      <c r="C305" s="1"/>
      <c r="D305" s="1"/>
      <c r="E305" s="1"/>
      <c r="F305" s="1"/>
    </row>
    <row r="306" spans="1:6" x14ac:dyDescent="0.25">
      <c r="A306" s="1"/>
      <c r="C306" s="1"/>
      <c r="D306" s="1"/>
      <c r="E306" s="1"/>
      <c r="F306" s="1"/>
    </row>
    <row r="307" spans="1:6" x14ac:dyDescent="0.25">
      <c r="A307" s="1"/>
      <c r="C307" s="1"/>
      <c r="D307" s="1"/>
      <c r="E307" s="1"/>
      <c r="F307" s="1"/>
    </row>
    <row r="308" spans="1:6" x14ac:dyDescent="0.25">
      <c r="A308" s="1"/>
      <c r="C308" s="1"/>
      <c r="D308" s="1"/>
      <c r="E308" s="1"/>
      <c r="F308" s="1"/>
    </row>
    <row r="309" spans="1:6" x14ac:dyDescent="0.25">
      <c r="A309" s="1"/>
      <c r="C309" s="1"/>
      <c r="D309" s="1"/>
      <c r="E309" s="1"/>
      <c r="F309" s="1"/>
    </row>
    <row r="310" spans="1:6" x14ac:dyDescent="0.25">
      <c r="A310" s="1"/>
      <c r="C310" s="1"/>
      <c r="D310" s="1"/>
      <c r="E310" s="1"/>
      <c r="F310" s="1"/>
    </row>
    <row r="311" spans="1:6" x14ac:dyDescent="0.25">
      <c r="A311" s="1"/>
      <c r="C311" s="1"/>
      <c r="D311" s="1"/>
      <c r="E311" s="1"/>
      <c r="F311" s="1"/>
    </row>
    <row r="312" spans="1:6" x14ac:dyDescent="0.25">
      <c r="A312" s="1"/>
      <c r="C312" s="1"/>
      <c r="D312" s="1"/>
      <c r="E312" s="1"/>
      <c r="F312" s="1"/>
    </row>
    <row r="313" spans="1:6" x14ac:dyDescent="0.25">
      <c r="A313" s="1"/>
      <c r="C313" s="1"/>
      <c r="D313" s="1"/>
      <c r="E313" s="1"/>
      <c r="F313" s="1"/>
    </row>
    <row r="314" spans="1:6" x14ac:dyDescent="0.25">
      <c r="A314" s="1"/>
      <c r="C314" s="1"/>
      <c r="D314" s="1"/>
      <c r="E314" s="1"/>
      <c r="F314" s="1"/>
    </row>
    <row r="315" spans="1:6" x14ac:dyDescent="0.25">
      <c r="A315" s="1"/>
      <c r="C315" s="1"/>
      <c r="D315" s="1"/>
      <c r="E315" s="1"/>
      <c r="F315" s="1"/>
    </row>
    <row r="316" spans="1:6" x14ac:dyDescent="0.25">
      <c r="A316" s="1"/>
      <c r="C316" s="1"/>
      <c r="D316" s="1"/>
      <c r="E316" s="1"/>
      <c r="F316" s="1"/>
    </row>
    <row r="317" spans="1:6" x14ac:dyDescent="0.25">
      <c r="A317" s="1"/>
      <c r="C317" s="1"/>
      <c r="D317" s="1"/>
      <c r="E317" s="1"/>
      <c r="F317" s="1"/>
    </row>
    <row r="318" spans="1:6" x14ac:dyDescent="0.25">
      <c r="A318" s="1"/>
      <c r="C318" s="1"/>
      <c r="D318" s="1"/>
      <c r="E318" s="1"/>
      <c r="F318" s="1"/>
    </row>
    <row r="319" spans="1:6" x14ac:dyDescent="0.25">
      <c r="A319" s="1"/>
      <c r="C319" s="1"/>
      <c r="D319" s="1"/>
      <c r="E319" s="1"/>
      <c r="F319" s="1"/>
    </row>
    <row r="320" spans="1:6" x14ac:dyDescent="0.25">
      <c r="A320" s="1"/>
      <c r="C320" s="1"/>
      <c r="D320" s="1"/>
      <c r="E320" s="1"/>
      <c r="F320" s="1"/>
    </row>
    <row r="321" spans="1:6" x14ac:dyDescent="0.25">
      <c r="A321" s="1"/>
      <c r="C321" s="1"/>
      <c r="D321" s="1"/>
      <c r="E321" s="1"/>
      <c r="F321" s="1"/>
    </row>
    <row r="322" spans="1:6" x14ac:dyDescent="0.25">
      <c r="A322" s="1"/>
      <c r="C322" s="1"/>
      <c r="D322" s="1"/>
      <c r="E322" s="1"/>
      <c r="F322" s="1"/>
    </row>
    <row r="323" spans="1:6" x14ac:dyDescent="0.25">
      <c r="A323" s="1"/>
      <c r="C323" s="1"/>
      <c r="D323" s="1"/>
      <c r="E323" s="1"/>
      <c r="F323" s="1"/>
    </row>
    <row r="324" spans="1:6" x14ac:dyDescent="0.25">
      <c r="A324" s="1"/>
      <c r="C324" s="1"/>
      <c r="D324" s="1"/>
      <c r="E324" s="1"/>
      <c r="F324" s="1"/>
    </row>
    <row r="325" spans="1:6" x14ac:dyDescent="0.25">
      <c r="A325" s="1"/>
      <c r="C325" s="1"/>
      <c r="D325" s="1"/>
      <c r="E325" s="1"/>
      <c r="F325" s="1"/>
    </row>
    <row r="326" spans="1:6" x14ac:dyDescent="0.25">
      <c r="A326" s="1"/>
      <c r="C326" s="1"/>
      <c r="D326" s="1"/>
      <c r="E326" s="1"/>
      <c r="F326" s="1"/>
    </row>
    <row r="327" spans="1:6" x14ac:dyDescent="0.25">
      <c r="A327" s="1"/>
      <c r="C327" s="1"/>
      <c r="D327" s="1"/>
      <c r="E327" s="1"/>
      <c r="F327" s="1"/>
    </row>
    <row r="328" spans="1:6" x14ac:dyDescent="0.25">
      <c r="A328" s="1"/>
      <c r="C328" s="1"/>
      <c r="D328" s="1"/>
      <c r="E328" s="1"/>
      <c r="F328" s="1"/>
    </row>
    <row r="329" spans="1:6" x14ac:dyDescent="0.25">
      <c r="A329" s="1"/>
      <c r="C329" s="1"/>
      <c r="D329" s="1"/>
      <c r="E329" s="1"/>
      <c r="F329" s="1"/>
    </row>
    <row r="330" spans="1:6" x14ac:dyDescent="0.25">
      <c r="A330" s="1"/>
      <c r="C330" s="1"/>
      <c r="D330" s="1"/>
      <c r="E330" s="1"/>
      <c r="F330" s="1"/>
    </row>
    <row r="331" spans="1:6" x14ac:dyDescent="0.25">
      <c r="A331" s="1"/>
      <c r="C331" s="1"/>
      <c r="D331" s="1"/>
      <c r="E331" s="1"/>
      <c r="F331" s="1"/>
    </row>
    <row r="332" spans="1:6" x14ac:dyDescent="0.25">
      <c r="A332" s="1"/>
      <c r="C332" s="1"/>
      <c r="D332" s="1"/>
      <c r="E332" s="1"/>
      <c r="F332" s="1"/>
    </row>
    <row r="333" spans="1:6" x14ac:dyDescent="0.25">
      <c r="A333" s="1"/>
      <c r="C333" s="1"/>
      <c r="D333" s="1"/>
      <c r="E333" s="1"/>
      <c r="F333" s="1"/>
    </row>
    <row r="334" spans="1:6" x14ac:dyDescent="0.25">
      <c r="A334" s="1"/>
      <c r="C334" s="1"/>
      <c r="D334" s="1"/>
      <c r="E334" s="1"/>
      <c r="F334" s="1"/>
    </row>
    <row r="335" spans="1:6" x14ac:dyDescent="0.25">
      <c r="A335" s="1"/>
      <c r="C335" s="1"/>
      <c r="D335" s="1"/>
      <c r="E335" s="1"/>
      <c r="F335" s="1"/>
    </row>
    <row r="336" spans="1:6" x14ac:dyDescent="0.25">
      <c r="A336" s="1"/>
      <c r="C336" s="1"/>
      <c r="D336" s="1"/>
      <c r="E336" s="1"/>
      <c r="F336" s="1"/>
    </row>
    <row r="337" spans="1:6" x14ac:dyDescent="0.25">
      <c r="A337" s="1"/>
      <c r="C337" s="1"/>
      <c r="D337" s="1"/>
      <c r="E337" s="1"/>
      <c r="F337" s="1"/>
    </row>
    <row r="338" spans="1:6" x14ac:dyDescent="0.25">
      <c r="A338" s="1"/>
      <c r="C338" s="1"/>
      <c r="D338" s="1"/>
      <c r="E338" s="1"/>
      <c r="F338" s="1"/>
    </row>
    <row r="339" spans="1:6" x14ac:dyDescent="0.25">
      <c r="A339" s="1"/>
      <c r="C339" s="1"/>
      <c r="D339" s="1"/>
      <c r="E339" s="1"/>
      <c r="F339" s="1"/>
    </row>
    <row r="340" spans="1:6" x14ac:dyDescent="0.25">
      <c r="A340" s="1"/>
      <c r="C340" s="1"/>
      <c r="D340" s="1"/>
      <c r="E340" s="1"/>
      <c r="F340" s="1"/>
    </row>
    <row r="341" spans="1:6" x14ac:dyDescent="0.25">
      <c r="A341" s="1"/>
      <c r="C341" s="1"/>
      <c r="D341" s="1"/>
      <c r="E341" s="1"/>
      <c r="F341" s="1"/>
    </row>
    <row r="342" spans="1:6" x14ac:dyDescent="0.25">
      <c r="A342" s="1"/>
      <c r="C342" s="1"/>
      <c r="D342" s="1"/>
      <c r="E342" s="1"/>
      <c r="F342" s="1"/>
    </row>
    <row r="343" spans="1:6" x14ac:dyDescent="0.25">
      <c r="A343" s="1"/>
      <c r="C343" s="1"/>
      <c r="D343" s="1"/>
      <c r="E343" s="1"/>
      <c r="F343" s="1"/>
    </row>
    <row r="344" spans="1:6" x14ac:dyDescent="0.25">
      <c r="A344" s="1"/>
      <c r="C344" s="1"/>
      <c r="D344" s="1"/>
      <c r="E344" s="1"/>
      <c r="F344" s="1"/>
    </row>
    <row r="345" spans="1:6" x14ac:dyDescent="0.25">
      <c r="A345" s="1"/>
      <c r="C345" s="1"/>
      <c r="D345" s="1"/>
      <c r="E345" s="1"/>
      <c r="F345" s="1"/>
    </row>
    <row r="346" spans="1:6" x14ac:dyDescent="0.25">
      <c r="A346" s="1"/>
      <c r="C346" s="1"/>
      <c r="D346" s="1"/>
      <c r="E346" s="1"/>
      <c r="F346" s="1"/>
    </row>
    <row r="347" spans="1:6" x14ac:dyDescent="0.25">
      <c r="A347" s="1"/>
      <c r="C347" s="1"/>
      <c r="D347" s="1"/>
      <c r="E347" s="1"/>
      <c r="F347" s="1"/>
    </row>
    <row r="348" spans="1:6" x14ac:dyDescent="0.25">
      <c r="A348" s="1"/>
      <c r="C348" s="1"/>
      <c r="D348" s="1"/>
      <c r="E348" s="1"/>
      <c r="F348" s="1"/>
    </row>
    <row r="349" spans="1:6" x14ac:dyDescent="0.25">
      <c r="A349" s="1"/>
      <c r="C349" s="1"/>
      <c r="D349" s="1"/>
      <c r="E349" s="1"/>
      <c r="F349" s="1"/>
    </row>
    <row r="350" spans="1:6" x14ac:dyDescent="0.25">
      <c r="A350" s="1"/>
      <c r="C350" s="1"/>
      <c r="D350" s="1"/>
      <c r="E350" s="1"/>
      <c r="F350" s="1"/>
    </row>
    <row r="351" spans="1:6" x14ac:dyDescent="0.25">
      <c r="A351" s="1"/>
      <c r="C351" s="1"/>
      <c r="D351" s="1"/>
      <c r="E351" s="1"/>
      <c r="F351" s="1"/>
    </row>
    <row r="352" spans="1:6" x14ac:dyDescent="0.25">
      <c r="A352" s="1"/>
      <c r="C352" s="1"/>
      <c r="D352" s="1"/>
      <c r="E352" s="1"/>
      <c r="F352" s="1"/>
    </row>
    <row r="353" spans="1:6" x14ac:dyDescent="0.25">
      <c r="A353" s="1"/>
      <c r="C353" s="1"/>
      <c r="D353" s="1"/>
      <c r="E353" s="1"/>
      <c r="F353" s="1"/>
    </row>
    <row r="354" spans="1:6" x14ac:dyDescent="0.25">
      <c r="A354" s="1"/>
      <c r="C354" s="1"/>
      <c r="D354" s="1"/>
      <c r="E354" s="1"/>
      <c r="F354" s="1"/>
    </row>
    <row r="355" spans="1:6" x14ac:dyDescent="0.25">
      <c r="A355" s="1"/>
      <c r="C355" s="1"/>
      <c r="D355" s="1"/>
      <c r="E355" s="1"/>
      <c r="F355" s="1"/>
    </row>
    <row r="356" spans="1:6" x14ac:dyDescent="0.25">
      <c r="A356" s="1"/>
      <c r="C356" s="1"/>
      <c r="D356" s="1"/>
      <c r="E356" s="1"/>
      <c r="F356" s="1"/>
    </row>
    <row r="357" spans="1:6" x14ac:dyDescent="0.25">
      <c r="A357" s="1"/>
      <c r="C357" s="1"/>
      <c r="D357" s="1"/>
      <c r="E357" s="1"/>
      <c r="F357" s="1"/>
    </row>
    <row r="358" spans="1:6" x14ac:dyDescent="0.25">
      <c r="A358" s="1"/>
      <c r="C358" s="1"/>
      <c r="D358" s="1"/>
      <c r="E358" s="1"/>
      <c r="F358" s="1"/>
    </row>
    <row r="359" spans="1:6" x14ac:dyDescent="0.25">
      <c r="A359" s="1"/>
      <c r="C359" s="1"/>
      <c r="D359" s="1"/>
      <c r="E359" s="1"/>
      <c r="F359" s="1"/>
    </row>
    <row r="360" spans="1:6" x14ac:dyDescent="0.25">
      <c r="A360" s="1"/>
      <c r="C360" s="1"/>
      <c r="D360" s="1"/>
      <c r="E360" s="1"/>
      <c r="F360" s="1"/>
    </row>
    <row r="361" spans="1:6" x14ac:dyDescent="0.25">
      <c r="A361" s="1"/>
      <c r="C361" s="1"/>
      <c r="D361" s="1"/>
      <c r="E361" s="1"/>
      <c r="F361" s="1"/>
    </row>
    <row r="362" spans="1:6" x14ac:dyDescent="0.25">
      <c r="A362" s="1"/>
      <c r="C362" s="1"/>
      <c r="D362" s="1"/>
      <c r="E362" s="1"/>
      <c r="F362" s="1"/>
    </row>
    <row r="363" spans="1:6" x14ac:dyDescent="0.25">
      <c r="A363" s="1"/>
      <c r="C363" s="1"/>
      <c r="D363" s="1"/>
      <c r="E363" s="1"/>
      <c r="F363" s="1"/>
    </row>
    <row r="364" spans="1:6" x14ac:dyDescent="0.25">
      <c r="A364" s="1"/>
      <c r="C364" s="1"/>
      <c r="D364" s="1"/>
      <c r="E364" s="1"/>
      <c r="F364" s="1"/>
    </row>
    <row r="365" spans="1:6" x14ac:dyDescent="0.25">
      <c r="A365" s="1"/>
      <c r="C365" s="1"/>
      <c r="D365" s="1"/>
      <c r="E365" s="1"/>
      <c r="F365" s="1"/>
    </row>
    <row r="366" spans="1:6" x14ac:dyDescent="0.25">
      <c r="A366" s="1"/>
      <c r="C366" s="1"/>
      <c r="D366" s="1"/>
      <c r="E366" s="1"/>
      <c r="F366" s="1"/>
    </row>
    <row r="367" spans="1:6" x14ac:dyDescent="0.25">
      <c r="A367" s="1"/>
      <c r="C367" s="1"/>
      <c r="D367" s="1"/>
      <c r="E367" s="1"/>
      <c r="F367" s="1"/>
    </row>
    <row r="368" spans="1:6" x14ac:dyDescent="0.25">
      <c r="A368" s="1"/>
      <c r="C368" s="1"/>
      <c r="D368" s="1"/>
      <c r="E368" s="1"/>
      <c r="F368" s="1"/>
    </row>
    <row r="369" spans="1:6" x14ac:dyDescent="0.25">
      <c r="A369" s="1"/>
      <c r="C369" s="1"/>
      <c r="D369" s="1"/>
      <c r="E369" s="1"/>
      <c r="F369" s="1"/>
    </row>
    <row r="370" spans="1:6" x14ac:dyDescent="0.25">
      <c r="A370" s="1"/>
      <c r="C370" s="1"/>
      <c r="D370" s="1"/>
      <c r="E370" s="1"/>
      <c r="F370" s="1"/>
    </row>
    <row r="371" spans="1:6" x14ac:dyDescent="0.25">
      <c r="A371" s="1"/>
      <c r="C371" s="1"/>
      <c r="D371" s="1"/>
      <c r="E371" s="1"/>
      <c r="F371" s="1"/>
    </row>
    <row r="372" spans="1:6" x14ac:dyDescent="0.25">
      <c r="A372" s="1"/>
      <c r="C372" s="1"/>
      <c r="D372" s="1"/>
      <c r="E372" s="1"/>
      <c r="F372" s="1"/>
    </row>
    <row r="373" spans="1:6" x14ac:dyDescent="0.25">
      <c r="A373" s="1"/>
      <c r="C373" s="1"/>
      <c r="D373" s="1"/>
      <c r="E373" s="1"/>
      <c r="F373" s="1"/>
    </row>
    <row r="374" spans="1:6" x14ac:dyDescent="0.25">
      <c r="A374" s="1"/>
      <c r="C374" s="1"/>
      <c r="D374" s="1"/>
      <c r="E374" s="1"/>
      <c r="F374" s="1"/>
    </row>
    <row r="375" spans="1:6" x14ac:dyDescent="0.25">
      <c r="A375" s="1"/>
      <c r="C375" s="1"/>
      <c r="D375" s="1"/>
      <c r="E375" s="1"/>
      <c r="F375" s="1"/>
    </row>
    <row r="376" spans="1:6" x14ac:dyDescent="0.25">
      <c r="A376" s="1"/>
      <c r="C376" s="1"/>
      <c r="D376" s="1"/>
      <c r="E376" s="1"/>
      <c r="F376" s="1"/>
    </row>
    <row r="377" spans="1:6" x14ac:dyDescent="0.25">
      <c r="A377" s="1"/>
      <c r="C377" s="1"/>
      <c r="D377" s="1"/>
      <c r="E377" s="1"/>
      <c r="F377" s="1"/>
    </row>
    <row r="378" spans="1:6" x14ac:dyDescent="0.25">
      <c r="A378" s="1"/>
      <c r="C378" s="1"/>
      <c r="D378" s="1"/>
      <c r="E378" s="1"/>
      <c r="F378" s="1"/>
    </row>
    <row r="379" spans="1:6" x14ac:dyDescent="0.25">
      <c r="A379" s="1"/>
      <c r="C379" s="1"/>
      <c r="D379" s="1"/>
      <c r="E379" s="1"/>
      <c r="F379" s="1"/>
    </row>
    <row r="380" spans="1:6" x14ac:dyDescent="0.25">
      <c r="A380" s="1"/>
      <c r="C380" s="1"/>
      <c r="D380" s="1"/>
      <c r="E380" s="1"/>
      <c r="F380" s="1"/>
    </row>
    <row r="381" spans="1:6" x14ac:dyDescent="0.25">
      <c r="A381" s="1"/>
      <c r="C381" s="1"/>
      <c r="D381" s="1"/>
      <c r="E381" s="1"/>
      <c r="F381" s="1"/>
    </row>
    <row r="382" spans="1:6" x14ac:dyDescent="0.25">
      <c r="A382" s="1"/>
      <c r="C382" s="1"/>
      <c r="D382" s="1"/>
      <c r="E382" s="1"/>
      <c r="F382" s="1"/>
    </row>
    <row r="383" spans="1:6" x14ac:dyDescent="0.25">
      <c r="A383" s="1"/>
      <c r="C383" s="1"/>
      <c r="D383" s="1"/>
      <c r="E383" s="1"/>
      <c r="F383" s="1"/>
    </row>
    <row r="384" spans="1:6" x14ac:dyDescent="0.25">
      <c r="A384" s="1"/>
      <c r="C384" s="1"/>
      <c r="D384" s="1"/>
      <c r="E384" s="1"/>
      <c r="F384" s="1"/>
    </row>
    <row r="385" spans="1:6" x14ac:dyDescent="0.25">
      <c r="A385" s="1"/>
      <c r="C385" s="1"/>
      <c r="D385" s="1"/>
      <c r="E385" s="1"/>
      <c r="F385" s="1"/>
    </row>
    <row r="386" spans="1:6" x14ac:dyDescent="0.25">
      <c r="A386" s="1"/>
      <c r="C386" s="1"/>
      <c r="D386" s="1"/>
      <c r="E386" s="1"/>
      <c r="F386" s="1"/>
    </row>
    <row r="387" spans="1:6" x14ac:dyDescent="0.25">
      <c r="A387" s="1"/>
      <c r="C387" s="1"/>
      <c r="D387" s="1"/>
      <c r="E387" s="1"/>
      <c r="F387" s="1"/>
    </row>
    <row r="388" spans="1:6" x14ac:dyDescent="0.25">
      <c r="A388" s="1"/>
      <c r="C388" s="1"/>
      <c r="D388" s="1"/>
      <c r="E388" s="1"/>
      <c r="F388" s="1"/>
    </row>
    <row r="389" spans="1:6" x14ac:dyDescent="0.25">
      <c r="A389" s="1"/>
      <c r="C389" s="1"/>
      <c r="D389" s="1"/>
      <c r="E389" s="1"/>
      <c r="F389" s="1"/>
    </row>
    <row r="390" spans="1:6" x14ac:dyDescent="0.25">
      <c r="A390" s="1"/>
      <c r="C390" s="1"/>
      <c r="D390" s="1"/>
      <c r="E390" s="1"/>
      <c r="F390" s="1"/>
    </row>
    <row r="391" spans="1:6" x14ac:dyDescent="0.25">
      <c r="A391" s="1"/>
      <c r="C391" s="1"/>
      <c r="D391" s="1"/>
      <c r="E391" s="1"/>
      <c r="F391" s="1"/>
    </row>
    <row r="392" spans="1:6" x14ac:dyDescent="0.25">
      <c r="A392" s="1"/>
      <c r="C392" s="1"/>
      <c r="D392" s="1"/>
      <c r="E392" s="1"/>
      <c r="F392" s="1"/>
    </row>
    <row r="393" spans="1:6" x14ac:dyDescent="0.25">
      <c r="A393" s="1"/>
      <c r="C393" s="1"/>
      <c r="D393" s="1"/>
      <c r="E393" s="1"/>
      <c r="F393" s="1"/>
    </row>
    <row r="394" spans="1:6" x14ac:dyDescent="0.25">
      <c r="A394" s="1"/>
      <c r="C394" s="1"/>
      <c r="D394" s="1"/>
      <c r="E394" s="1"/>
      <c r="F394" s="1"/>
    </row>
    <row r="395" spans="1:6" x14ac:dyDescent="0.25">
      <c r="A395" s="1"/>
      <c r="C395" s="1"/>
      <c r="D395" s="1"/>
      <c r="E395" s="1"/>
      <c r="F395" s="1"/>
    </row>
    <row r="396" spans="1:6" x14ac:dyDescent="0.25">
      <c r="A396" s="1"/>
      <c r="C396" s="1"/>
      <c r="D396" s="1"/>
      <c r="E396" s="1"/>
      <c r="F396" s="1"/>
    </row>
    <row r="397" spans="1:6" x14ac:dyDescent="0.25">
      <c r="A397" s="1"/>
      <c r="C397" s="1"/>
      <c r="D397" s="1"/>
      <c r="E397" s="1"/>
      <c r="F397" s="1"/>
    </row>
    <row r="398" spans="1:6" x14ac:dyDescent="0.25">
      <c r="A398" s="1"/>
      <c r="C398" s="1"/>
      <c r="D398" s="1"/>
      <c r="E398" s="1"/>
      <c r="F398" s="1"/>
    </row>
    <row r="399" spans="1:6" x14ac:dyDescent="0.25">
      <c r="A399" s="1"/>
      <c r="C399" s="1"/>
      <c r="D399" s="1"/>
      <c r="E399" s="1"/>
      <c r="F399" s="1"/>
    </row>
    <row r="400" spans="1:6" x14ac:dyDescent="0.25">
      <c r="A400" s="1"/>
      <c r="C400" s="1"/>
      <c r="D400" s="1"/>
      <c r="E400" s="1"/>
      <c r="F400" s="1"/>
    </row>
    <row r="401" spans="1:6" x14ac:dyDescent="0.25">
      <c r="A401" s="1"/>
      <c r="C401" s="1"/>
      <c r="D401" s="1"/>
      <c r="E401" s="1"/>
      <c r="F401" s="1"/>
    </row>
    <row r="402" spans="1:6" x14ac:dyDescent="0.25">
      <c r="A402" s="1"/>
      <c r="C402" s="1"/>
      <c r="D402" s="1"/>
      <c r="E402" s="1"/>
      <c r="F402" s="1"/>
    </row>
    <row r="403" spans="1:6" x14ac:dyDescent="0.25">
      <c r="A403" s="1"/>
      <c r="C403" s="1"/>
      <c r="D403" s="1"/>
      <c r="E403" s="1"/>
      <c r="F403" s="1"/>
    </row>
    <row r="404" spans="1:6" x14ac:dyDescent="0.25">
      <c r="A404" s="1"/>
      <c r="C404" s="1"/>
      <c r="D404" s="1"/>
      <c r="E404" s="1"/>
      <c r="F404" s="1"/>
    </row>
    <row r="405" spans="1:6" x14ac:dyDescent="0.25">
      <c r="A405" s="1"/>
      <c r="C405" s="1"/>
      <c r="D405" s="1"/>
      <c r="E405" s="1"/>
      <c r="F405" s="1"/>
    </row>
    <row r="406" spans="1:6" x14ac:dyDescent="0.25">
      <c r="A406" s="1"/>
      <c r="C406" s="1"/>
      <c r="D406" s="1"/>
      <c r="E406" s="1"/>
      <c r="F406" s="1"/>
    </row>
    <row r="407" spans="1:6" x14ac:dyDescent="0.25">
      <c r="A407" s="1"/>
      <c r="C407" s="1"/>
      <c r="D407" s="1"/>
      <c r="E407" s="1"/>
      <c r="F407" s="1"/>
    </row>
    <row r="408" spans="1:6" x14ac:dyDescent="0.25">
      <c r="A408" s="1"/>
      <c r="C408" s="1"/>
      <c r="D408" s="1"/>
      <c r="E408" s="1"/>
      <c r="F408" s="1"/>
    </row>
    <row r="409" spans="1:6" x14ac:dyDescent="0.25">
      <c r="A409" s="1"/>
      <c r="C409" s="1"/>
      <c r="D409" s="1"/>
      <c r="E409" s="1"/>
      <c r="F409" s="1"/>
    </row>
    <row r="410" spans="1:6" x14ac:dyDescent="0.25">
      <c r="A410" s="1"/>
      <c r="C410" s="1"/>
      <c r="D410" s="1"/>
      <c r="E410" s="1"/>
      <c r="F410" s="1"/>
    </row>
    <row r="411" spans="1:6" x14ac:dyDescent="0.25">
      <c r="A411" s="1"/>
      <c r="C411" s="1"/>
      <c r="D411" s="1"/>
      <c r="E411" s="1"/>
      <c r="F411" s="1"/>
    </row>
    <row r="412" spans="1:6" x14ac:dyDescent="0.25">
      <c r="A412" s="1"/>
      <c r="C412" s="1"/>
      <c r="D412" s="1"/>
      <c r="E412" s="1"/>
      <c r="F412" s="1"/>
    </row>
    <row r="413" spans="1:6" x14ac:dyDescent="0.25">
      <c r="A413" s="1"/>
      <c r="C413" s="1"/>
      <c r="D413" s="1"/>
      <c r="E413" s="1"/>
      <c r="F413" s="1"/>
    </row>
    <row r="414" spans="1:6" x14ac:dyDescent="0.25">
      <c r="A414" s="1"/>
      <c r="C414" s="1"/>
      <c r="D414" s="1"/>
      <c r="E414" s="1"/>
      <c r="F414" s="1"/>
    </row>
    <row r="415" spans="1:6" x14ac:dyDescent="0.25">
      <c r="A415" s="1"/>
      <c r="C415" s="1"/>
      <c r="D415" s="1"/>
      <c r="E415" s="1"/>
      <c r="F415" s="1"/>
    </row>
    <row r="416" spans="1:6" x14ac:dyDescent="0.25">
      <c r="A416" s="1"/>
      <c r="C416" s="1"/>
      <c r="D416" s="1"/>
      <c r="E416" s="1"/>
      <c r="F416" s="1"/>
    </row>
    <row r="417" spans="1:6" x14ac:dyDescent="0.25">
      <c r="A417" s="1"/>
      <c r="C417" s="1"/>
      <c r="D417" s="1"/>
      <c r="E417" s="1"/>
      <c r="F417" s="1"/>
    </row>
    <row r="418" spans="1:6" x14ac:dyDescent="0.25">
      <c r="A418" s="1"/>
      <c r="C418" s="1"/>
      <c r="D418" s="1"/>
      <c r="E418" s="1"/>
      <c r="F418" s="1"/>
    </row>
    <row r="419" spans="1:6" x14ac:dyDescent="0.25">
      <c r="A419" s="1"/>
      <c r="C419" s="1"/>
      <c r="D419" s="1"/>
      <c r="E419" s="1"/>
      <c r="F419" s="1"/>
    </row>
    <row r="420" spans="1:6" x14ac:dyDescent="0.25">
      <c r="A420" s="1"/>
      <c r="C420" s="1"/>
      <c r="D420" s="1"/>
      <c r="E420" s="1"/>
      <c r="F420" s="1"/>
    </row>
    <row r="421" spans="1:6" x14ac:dyDescent="0.25">
      <c r="A421" s="1"/>
      <c r="C421" s="1"/>
      <c r="D421" s="1"/>
      <c r="E421" s="1"/>
      <c r="F421" s="1"/>
    </row>
    <row r="422" spans="1:6" x14ac:dyDescent="0.25">
      <c r="A422" s="1"/>
      <c r="C422" s="1"/>
      <c r="D422" s="1"/>
      <c r="E422" s="1"/>
      <c r="F422" s="1"/>
    </row>
    <row r="423" spans="1:6" x14ac:dyDescent="0.25">
      <c r="A423" s="1"/>
      <c r="C423" s="1"/>
      <c r="D423" s="1"/>
      <c r="E423" s="1"/>
      <c r="F423" s="1"/>
    </row>
    <row r="424" spans="1:6" x14ac:dyDescent="0.25">
      <c r="A424" s="1"/>
      <c r="C424" s="1"/>
      <c r="D424" s="1"/>
      <c r="E424" s="1"/>
      <c r="F424" s="1"/>
    </row>
    <row r="425" spans="1:6" x14ac:dyDescent="0.25">
      <c r="A425" s="1"/>
      <c r="C425" s="1"/>
      <c r="D425" s="1"/>
      <c r="E425" s="1"/>
      <c r="F425" s="1"/>
    </row>
    <row r="426" spans="1:6" x14ac:dyDescent="0.25">
      <c r="A426" s="1"/>
      <c r="C426" s="1"/>
      <c r="D426" s="1"/>
      <c r="E426" s="1"/>
      <c r="F426" s="1"/>
    </row>
    <row r="427" spans="1:6" x14ac:dyDescent="0.25">
      <c r="A427" s="1"/>
      <c r="C427" s="1"/>
      <c r="D427" s="1"/>
      <c r="E427" s="1"/>
      <c r="F427" s="1"/>
    </row>
    <row r="428" spans="1:6" x14ac:dyDescent="0.25">
      <c r="A428" s="1"/>
      <c r="C428" s="1"/>
      <c r="D428" s="1"/>
      <c r="E428" s="1"/>
      <c r="F428" s="1"/>
    </row>
    <row r="429" spans="1:6" x14ac:dyDescent="0.25">
      <c r="A429" s="1"/>
      <c r="C429" s="1"/>
      <c r="D429" s="1"/>
      <c r="E429" s="1"/>
      <c r="F429" s="1"/>
    </row>
    <row r="430" spans="1:6" x14ac:dyDescent="0.25">
      <c r="A430" s="1"/>
      <c r="C430" s="1"/>
      <c r="D430" s="1"/>
      <c r="E430" s="1"/>
      <c r="F430" s="1"/>
    </row>
    <row r="431" spans="1:6" x14ac:dyDescent="0.25">
      <c r="A431" s="1"/>
      <c r="C431" s="1"/>
      <c r="D431" s="1"/>
      <c r="E431" s="1"/>
      <c r="F431" s="1"/>
    </row>
    <row r="432" spans="1:6" x14ac:dyDescent="0.25">
      <c r="A432" s="1"/>
      <c r="C432" s="1"/>
      <c r="D432" s="1"/>
      <c r="E432" s="1"/>
      <c r="F432" s="1"/>
    </row>
    <row r="433" spans="1:6" x14ac:dyDescent="0.25">
      <c r="A433" s="1"/>
      <c r="C433" s="1"/>
      <c r="D433" s="1"/>
      <c r="E433" s="1"/>
      <c r="F433" s="1"/>
    </row>
    <row r="434" spans="1:6" x14ac:dyDescent="0.25">
      <c r="A434" s="1"/>
      <c r="C434" s="1"/>
      <c r="D434" s="1"/>
      <c r="E434" s="1"/>
      <c r="F434" s="1"/>
    </row>
    <row r="435" spans="1:6" x14ac:dyDescent="0.25">
      <c r="A435" s="1"/>
      <c r="C435" s="1"/>
      <c r="D435" s="1"/>
      <c r="E435" s="1"/>
      <c r="F435" s="1"/>
    </row>
    <row r="436" spans="1:6" x14ac:dyDescent="0.25">
      <c r="A436" s="1"/>
      <c r="C436" s="1"/>
      <c r="D436" s="1"/>
      <c r="E436" s="1"/>
      <c r="F436" s="1"/>
    </row>
    <row r="437" spans="1:6" x14ac:dyDescent="0.25">
      <c r="A437" s="1"/>
      <c r="C437" s="1"/>
      <c r="D437" s="1"/>
      <c r="E437" s="1"/>
      <c r="F437" s="1"/>
    </row>
    <row r="438" spans="1:6" x14ac:dyDescent="0.25">
      <c r="A438" s="1"/>
      <c r="C438" s="1"/>
      <c r="D438" s="1"/>
      <c r="E438" s="1"/>
      <c r="F438" s="1"/>
    </row>
    <row r="439" spans="1:6" x14ac:dyDescent="0.25">
      <c r="A439" s="1"/>
      <c r="C439" s="1"/>
      <c r="D439" s="1"/>
      <c r="E439" s="1"/>
      <c r="F439" s="1"/>
    </row>
    <row r="440" spans="1:6" x14ac:dyDescent="0.25">
      <c r="A440" s="1"/>
      <c r="C440" s="1"/>
      <c r="D440" s="1"/>
      <c r="E440" s="1"/>
      <c r="F440" s="1"/>
    </row>
    <row r="441" spans="1:6" x14ac:dyDescent="0.25">
      <c r="A441" s="1"/>
      <c r="C441" s="1"/>
      <c r="D441" s="1"/>
      <c r="E441" s="1"/>
      <c r="F441" s="1"/>
    </row>
    <row r="442" spans="1:6" x14ac:dyDescent="0.25">
      <c r="A442" s="1"/>
      <c r="C442" s="1"/>
      <c r="D442" s="1"/>
      <c r="E442" s="1"/>
      <c r="F442" s="1"/>
    </row>
    <row r="443" spans="1:6" x14ac:dyDescent="0.25">
      <c r="A443" s="1"/>
      <c r="C443" s="1"/>
      <c r="D443" s="1"/>
      <c r="E443" s="1"/>
      <c r="F443" s="1"/>
    </row>
    <row r="444" spans="1:6" x14ac:dyDescent="0.25">
      <c r="A444" s="1"/>
      <c r="C444" s="1"/>
      <c r="D444" s="1"/>
      <c r="E444" s="1"/>
      <c r="F444" s="1"/>
    </row>
    <row r="445" spans="1:6" x14ac:dyDescent="0.25">
      <c r="A445" s="1"/>
      <c r="C445" s="1"/>
      <c r="D445" s="1"/>
      <c r="E445" s="1"/>
      <c r="F445" s="1"/>
    </row>
    <row r="446" spans="1:6" x14ac:dyDescent="0.25">
      <c r="A446" s="1"/>
      <c r="C446" s="1"/>
      <c r="D446" s="1"/>
      <c r="E446" s="1"/>
      <c r="F446" s="1"/>
    </row>
    <row r="447" spans="1:6" x14ac:dyDescent="0.25">
      <c r="A447" s="1"/>
      <c r="C447" s="1"/>
      <c r="D447" s="1"/>
      <c r="E447" s="1"/>
      <c r="F447" s="1"/>
    </row>
    <row r="448" spans="1:6" x14ac:dyDescent="0.25">
      <c r="A448" s="1"/>
      <c r="C448" s="1"/>
      <c r="D448" s="1"/>
      <c r="E448" s="1"/>
      <c r="F448" s="1"/>
    </row>
    <row r="449" spans="1:6" x14ac:dyDescent="0.25">
      <c r="A449" s="1"/>
      <c r="C449" s="1"/>
      <c r="D449" s="1"/>
      <c r="E449" s="1"/>
      <c r="F449" s="1"/>
    </row>
    <row r="450" spans="1:6" x14ac:dyDescent="0.25">
      <c r="A450" s="1"/>
      <c r="C450" s="1"/>
      <c r="D450" s="1"/>
      <c r="E450" s="1"/>
      <c r="F450" s="1"/>
    </row>
    <row r="451" spans="1:6" x14ac:dyDescent="0.25">
      <c r="A451" s="1"/>
      <c r="C451" s="1"/>
      <c r="D451" s="1"/>
      <c r="E451" s="1"/>
      <c r="F451" s="1"/>
    </row>
    <row r="452" spans="1:6" x14ac:dyDescent="0.25">
      <c r="A452" s="1"/>
      <c r="C452" s="1"/>
      <c r="D452" s="1"/>
      <c r="E452" s="1"/>
      <c r="F452" s="1"/>
    </row>
    <row r="453" spans="1:6" x14ac:dyDescent="0.25">
      <c r="A453" s="1"/>
      <c r="C453" s="1"/>
      <c r="D453" s="1"/>
      <c r="E453" s="1"/>
      <c r="F453" s="1"/>
    </row>
    <row r="454" spans="1:6" x14ac:dyDescent="0.25">
      <c r="A454" s="1"/>
      <c r="C454" s="1"/>
      <c r="D454" s="1"/>
      <c r="E454" s="1"/>
      <c r="F454" s="1"/>
    </row>
    <row r="455" spans="1:6" x14ac:dyDescent="0.25">
      <c r="A455" s="1"/>
      <c r="C455" s="1"/>
      <c r="D455" s="1"/>
      <c r="E455" s="1"/>
      <c r="F455" s="1"/>
    </row>
    <row r="456" spans="1:6" x14ac:dyDescent="0.25">
      <c r="A456" s="1"/>
      <c r="C456" s="1"/>
      <c r="D456" s="1"/>
      <c r="E456" s="1"/>
      <c r="F456" s="1"/>
    </row>
    <row r="457" spans="1:6" x14ac:dyDescent="0.25">
      <c r="A457" s="1"/>
      <c r="C457" s="1"/>
      <c r="D457" s="1"/>
      <c r="E457" s="1"/>
      <c r="F457" s="1"/>
    </row>
    <row r="458" spans="1:6" x14ac:dyDescent="0.25">
      <c r="A458" s="1"/>
      <c r="C458" s="1"/>
      <c r="D458" s="1"/>
      <c r="E458" s="1"/>
      <c r="F458" s="1"/>
    </row>
    <row r="459" spans="1:6" x14ac:dyDescent="0.25">
      <c r="A459" s="1"/>
      <c r="C459" s="1"/>
      <c r="D459" s="1"/>
      <c r="E459" s="1"/>
      <c r="F459" s="1"/>
    </row>
    <row r="460" spans="1:6" x14ac:dyDescent="0.25">
      <c r="A460" s="1"/>
      <c r="C460" s="1"/>
      <c r="D460" s="1"/>
      <c r="E460" s="1"/>
      <c r="F460" s="1"/>
    </row>
    <row r="461" spans="1:6" x14ac:dyDescent="0.25">
      <c r="A461" s="1"/>
      <c r="C461" s="1"/>
      <c r="D461" s="1"/>
      <c r="E461" s="1"/>
      <c r="F461" s="1"/>
    </row>
    <row r="462" spans="1:6" x14ac:dyDescent="0.25">
      <c r="A462" s="1"/>
      <c r="C462" s="1"/>
      <c r="D462" s="1"/>
      <c r="E462" s="1"/>
      <c r="F462" s="1"/>
    </row>
    <row r="463" spans="1:6" x14ac:dyDescent="0.25">
      <c r="A463" s="1"/>
      <c r="C463" s="1"/>
      <c r="D463" s="1"/>
      <c r="E463" s="1"/>
      <c r="F463" s="1"/>
    </row>
    <row r="464" spans="1:6" x14ac:dyDescent="0.25">
      <c r="A464" s="1"/>
      <c r="C464" s="1"/>
      <c r="D464" s="1"/>
      <c r="E464" s="1"/>
      <c r="F464" s="1"/>
    </row>
    <row r="465" spans="1:6" x14ac:dyDescent="0.25">
      <c r="A465" s="1"/>
      <c r="C465" s="1"/>
      <c r="D465" s="1"/>
      <c r="E465" s="1"/>
      <c r="F465" s="1"/>
    </row>
    <row r="466" spans="1:6" x14ac:dyDescent="0.25">
      <c r="A466" s="1"/>
      <c r="C466" s="1"/>
      <c r="D466" s="1"/>
      <c r="E466" s="1"/>
      <c r="F466" s="1"/>
    </row>
    <row r="467" spans="1:6" x14ac:dyDescent="0.25">
      <c r="A467" s="1"/>
      <c r="C467" s="1"/>
      <c r="D467" s="1"/>
      <c r="E467" s="1"/>
      <c r="F467" s="1"/>
    </row>
    <row r="468" spans="1:6" x14ac:dyDescent="0.25">
      <c r="A468" s="1"/>
      <c r="C468" s="1"/>
      <c r="D468" s="1"/>
      <c r="E468" s="1"/>
      <c r="F468" s="1"/>
    </row>
    <row r="469" spans="1:6" x14ac:dyDescent="0.25">
      <c r="A469" s="1"/>
      <c r="C469" s="1"/>
      <c r="D469" s="1"/>
      <c r="E469" s="1"/>
      <c r="F469" s="1"/>
    </row>
    <row r="470" spans="1:6" x14ac:dyDescent="0.25">
      <c r="A470" s="1"/>
      <c r="C470" s="1"/>
      <c r="D470" s="1"/>
      <c r="E470" s="1"/>
      <c r="F470" s="1"/>
    </row>
    <row r="471" spans="1:6" x14ac:dyDescent="0.25">
      <c r="A471" s="1"/>
      <c r="C471" s="1"/>
      <c r="D471" s="1"/>
      <c r="E471" s="1"/>
      <c r="F471" s="1"/>
    </row>
    <row r="472" spans="1:6" x14ac:dyDescent="0.25">
      <c r="A472" s="1"/>
      <c r="C472" s="1"/>
      <c r="D472" s="1"/>
      <c r="E472" s="1"/>
      <c r="F472" s="1"/>
    </row>
    <row r="473" spans="1:6" x14ac:dyDescent="0.25">
      <c r="A473" s="1"/>
      <c r="C473" s="1"/>
      <c r="D473" s="1"/>
      <c r="E473" s="1"/>
      <c r="F473" s="1"/>
    </row>
    <row r="474" spans="1:6" x14ac:dyDescent="0.25">
      <c r="A474" s="1"/>
      <c r="C474" s="1"/>
      <c r="D474" s="1"/>
      <c r="E474" s="1"/>
      <c r="F474" s="1"/>
    </row>
    <row r="475" spans="1:6" x14ac:dyDescent="0.25">
      <c r="A475" s="1"/>
      <c r="C475" s="1"/>
      <c r="D475" s="1"/>
      <c r="E475" s="1"/>
      <c r="F475" s="1"/>
    </row>
    <row r="476" spans="1:6" x14ac:dyDescent="0.25">
      <c r="A476" s="1"/>
      <c r="C476" s="1"/>
      <c r="D476" s="1"/>
      <c r="E476" s="1"/>
      <c r="F476" s="1"/>
    </row>
    <row r="477" spans="1:6" x14ac:dyDescent="0.25">
      <c r="A477" s="1"/>
      <c r="C477" s="1"/>
      <c r="D477" s="1"/>
      <c r="E477" s="1"/>
      <c r="F477" s="1"/>
    </row>
    <row r="478" spans="1:6" x14ac:dyDescent="0.25">
      <c r="A478" s="1"/>
      <c r="C478" s="1"/>
      <c r="D478" s="1"/>
      <c r="E478" s="1"/>
      <c r="F478" s="1"/>
    </row>
    <row r="479" spans="1:6" x14ac:dyDescent="0.25">
      <c r="A479" s="1"/>
      <c r="C479" s="1"/>
      <c r="D479" s="1"/>
      <c r="E479" s="1"/>
      <c r="F479" s="1"/>
    </row>
    <row r="480" spans="1:6" x14ac:dyDescent="0.25">
      <c r="A480" s="1"/>
      <c r="C480" s="1"/>
      <c r="D480" s="1"/>
      <c r="E480" s="1"/>
      <c r="F480" s="1"/>
    </row>
    <row r="481" spans="1:6" x14ac:dyDescent="0.25">
      <c r="A481" s="1"/>
      <c r="C481" s="1"/>
      <c r="D481" s="1"/>
      <c r="E481" s="1"/>
      <c r="F481" s="1"/>
    </row>
    <row r="482" spans="1:6" x14ac:dyDescent="0.25">
      <c r="A482" s="1"/>
      <c r="C482" s="1"/>
      <c r="D482" s="1"/>
      <c r="E482" s="1"/>
      <c r="F482" s="1"/>
    </row>
    <row r="483" spans="1:6" x14ac:dyDescent="0.25">
      <c r="A483" s="1"/>
      <c r="C483" s="1"/>
      <c r="D483" s="1"/>
      <c r="E483" s="1"/>
      <c r="F483" s="1"/>
    </row>
    <row r="484" spans="1:6" x14ac:dyDescent="0.25">
      <c r="A484" s="1"/>
      <c r="C484" s="1"/>
      <c r="D484" s="1"/>
      <c r="E484" s="1"/>
      <c r="F484" s="1"/>
    </row>
    <row r="485" spans="1:6" x14ac:dyDescent="0.25">
      <c r="A485" s="1"/>
      <c r="C485" s="1"/>
      <c r="D485" s="1"/>
      <c r="E485" s="1"/>
      <c r="F485" s="1"/>
    </row>
    <row r="486" spans="1:6" x14ac:dyDescent="0.25">
      <c r="A486" s="1"/>
      <c r="C486" s="1"/>
      <c r="D486" s="1"/>
      <c r="E486" s="1"/>
      <c r="F486" s="1"/>
    </row>
    <row r="487" spans="1:6" x14ac:dyDescent="0.25">
      <c r="A487" s="1"/>
      <c r="C487" s="1"/>
      <c r="D487" s="1"/>
      <c r="E487" s="1"/>
      <c r="F487" s="1"/>
    </row>
    <row r="488" spans="1:6" x14ac:dyDescent="0.25">
      <c r="A488" s="1"/>
      <c r="C488" s="1"/>
      <c r="D488" s="1"/>
      <c r="E488" s="1"/>
      <c r="F488" s="1"/>
    </row>
    <row r="489" spans="1:6" x14ac:dyDescent="0.25">
      <c r="A489" s="1"/>
      <c r="C489" s="1"/>
      <c r="D489" s="1"/>
      <c r="E489" s="1"/>
      <c r="F489" s="1"/>
    </row>
    <row r="490" spans="1:6" x14ac:dyDescent="0.25">
      <c r="A490" s="1"/>
      <c r="C490" s="1"/>
      <c r="D490" s="1"/>
      <c r="E490" s="1"/>
      <c r="F490" s="1"/>
    </row>
    <row r="491" spans="1:6" x14ac:dyDescent="0.25">
      <c r="A491" s="1"/>
      <c r="C491" s="1"/>
      <c r="D491" s="1"/>
      <c r="E491" s="1"/>
      <c r="F491" s="1"/>
    </row>
    <row r="492" spans="1:6" x14ac:dyDescent="0.25">
      <c r="A492" s="1"/>
      <c r="C492" s="1"/>
      <c r="D492" s="1"/>
      <c r="E492" s="1"/>
      <c r="F492" s="1"/>
    </row>
    <row r="493" spans="1:6" x14ac:dyDescent="0.25">
      <c r="A493" s="1"/>
      <c r="C493" s="1"/>
      <c r="D493" s="1"/>
      <c r="E493" s="1"/>
      <c r="F493" s="1"/>
    </row>
    <row r="494" spans="1:6" x14ac:dyDescent="0.25">
      <c r="A494" s="1"/>
      <c r="C494" s="1"/>
      <c r="D494" s="1"/>
      <c r="E494" s="1"/>
      <c r="F494" s="1"/>
    </row>
    <row r="495" spans="1:6" x14ac:dyDescent="0.25">
      <c r="A495" s="1"/>
      <c r="C495" s="1"/>
      <c r="D495" s="1"/>
      <c r="E495" s="1"/>
      <c r="F495" s="1"/>
    </row>
    <row r="496" spans="1:6" x14ac:dyDescent="0.25">
      <c r="A496" s="1"/>
      <c r="C496" s="1"/>
      <c r="D496" s="1"/>
      <c r="E496" s="1"/>
      <c r="F496" s="1"/>
    </row>
    <row r="497" spans="1:6" x14ac:dyDescent="0.25">
      <c r="A497" s="1"/>
      <c r="C497" s="1"/>
      <c r="D497" s="1"/>
      <c r="E497" s="1"/>
      <c r="F497" s="1"/>
    </row>
    <row r="498" spans="1:6" x14ac:dyDescent="0.25">
      <c r="A498" s="1"/>
      <c r="C498" s="1"/>
      <c r="D498" s="1"/>
      <c r="E498" s="1"/>
      <c r="F498" s="1"/>
    </row>
    <row r="499" spans="1:6" x14ac:dyDescent="0.25">
      <c r="A499" s="1"/>
      <c r="C499" s="1"/>
      <c r="D499" s="1"/>
      <c r="E499" s="1"/>
      <c r="F499" s="1"/>
    </row>
    <row r="500" spans="1:6" x14ac:dyDescent="0.25">
      <c r="A500" s="1"/>
      <c r="C500" s="1"/>
      <c r="D500" s="1"/>
      <c r="E500" s="1"/>
      <c r="F500" s="1"/>
    </row>
    <row r="501" spans="1:6" x14ac:dyDescent="0.25">
      <c r="A501" s="1"/>
      <c r="C501" s="1"/>
      <c r="D501" s="1"/>
      <c r="E501" s="1"/>
      <c r="F501" s="1"/>
    </row>
    <row r="502" spans="1:6" x14ac:dyDescent="0.25">
      <c r="A502" s="1"/>
      <c r="C502" s="1"/>
      <c r="D502" s="1"/>
      <c r="E502" s="1"/>
      <c r="F502" s="1"/>
    </row>
    <row r="503" spans="1:6" x14ac:dyDescent="0.25">
      <c r="A503" s="1"/>
      <c r="C503" s="1"/>
      <c r="D503" s="1"/>
      <c r="E503" s="1"/>
      <c r="F503" s="1"/>
    </row>
    <row r="504" spans="1:6" x14ac:dyDescent="0.25">
      <c r="A504" s="1"/>
      <c r="C504" s="1"/>
      <c r="D504" s="1"/>
      <c r="E504" s="1"/>
      <c r="F504" s="1"/>
    </row>
    <row r="505" spans="1:6" x14ac:dyDescent="0.25">
      <c r="A505" s="1"/>
      <c r="C505" s="1"/>
      <c r="D505" s="1"/>
      <c r="E505" s="1"/>
      <c r="F505" s="1"/>
    </row>
    <row r="506" spans="1:6" x14ac:dyDescent="0.25">
      <c r="A506" s="1"/>
      <c r="C506" s="1"/>
      <c r="D506" s="1"/>
      <c r="E506" s="1"/>
      <c r="F506" s="1"/>
    </row>
    <row r="507" spans="1:6" x14ac:dyDescent="0.25">
      <c r="A507" s="1"/>
      <c r="C507" s="1"/>
      <c r="D507" s="1"/>
      <c r="E507" s="1"/>
      <c r="F507" s="1"/>
    </row>
    <row r="508" spans="1:6" x14ac:dyDescent="0.25">
      <c r="A508" s="1"/>
      <c r="C508" s="1"/>
      <c r="D508" s="1"/>
      <c r="E508" s="1"/>
      <c r="F508" s="1"/>
    </row>
    <row r="509" spans="1:6" x14ac:dyDescent="0.25">
      <c r="A509" s="1"/>
      <c r="C509" s="1"/>
      <c r="D509" s="1"/>
      <c r="E509" s="1"/>
      <c r="F509" s="1"/>
    </row>
    <row r="510" spans="1:6" x14ac:dyDescent="0.25">
      <c r="A510" s="1"/>
      <c r="C510" s="1"/>
      <c r="D510" s="1"/>
      <c r="E510" s="1"/>
      <c r="F510" s="1"/>
    </row>
    <row r="511" spans="1:6" x14ac:dyDescent="0.25">
      <c r="A511" s="1"/>
      <c r="C511" s="1"/>
      <c r="D511" s="1"/>
      <c r="E511" s="1"/>
      <c r="F511" s="1"/>
    </row>
    <row r="512" spans="1:6" x14ac:dyDescent="0.25">
      <c r="A512" s="1"/>
      <c r="C512" s="1"/>
      <c r="D512" s="1"/>
      <c r="E512" s="1"/>
      <c r="F512" s="1"/>
    </row>
    <row r="513" spans="1:6" x14ac:dyDescent="0.25">
      <c r="A513" s="1"/>
      <c r="C513" s="1"/>
      <c r="D513" s="1"/>
      <c r="E513" s="1"/>
      <c r="F513" s="1"/>
    </row>
    <row r="514" spans="1:6" x14ac:dyDescent="0.25">
      <c r="A514" s="1"/>
      <c r="C514" s="1"/>
      <c r="D514" s="1"/>
      <c r="E514" s="1"/>
      <c r="F514" s="1"/>
    </row>
    <row r="515" spans="1:6" x14ac:dyDescent="0.25">
      <c r="A515" s="1"/>
      <c r="C515" s="1"/>
      <c r="D515" s="1"/>
      <c r="E515" s="1"/>
      <c r="F515" s="1"/>
    </row>
    <row r="516" spans="1:6" x14ac:dyDescent="0.25">
      <c r="A516" s="1"/>
      <c r="C516" s="1"/>
      <c r="D516" s="1"/>
      <c r="E516" s="1"/>
      <c r="F516" s="1"/>
    </row>
    <row r="517" spans="1:6" x14ac:dyDescent="0.25">
      <c r="A517" s="1"/>
      <c r="C517" s="1"/>
      <c r="D517" s="1"/>
      <c r="E517" s="1"/>
      <c r="F517" s="1"/>
    </row>
    <row r="518" spans="1:6" x14ac:dyDescent="0.25">
      <c r="A518" s="1"/>
      <c r="C518" s="1"/>
      <c r="D518" s="1"/>
      <c r="E518" s="1"/>
      <c r="F518" s="1"/>
    </row>
    <row r="519" spans="1:6" x14ac:dyDescent="0.25">
      <c r="A519" s="1"/>
      <c r="C519" s="1"/>
      <c r="D519" s="1"/>
      <c r="E519" s="1"/>
      <c r="F519" s="1"/>
    </row>
    <row r="520" spans="1:6" x14ac:dyDescent="0.25">
      <c r="A520" s="1"/>
      <c r="C520" s="1"/>
      <c r="D520" s="1"/>
      <c r="E520" s="1"/>
      <c r="F520" s="1"/>
    </row>
    <row r="521" spans="1:6" x14ac:dyDescent="0.25">
      <c r="A521" s="1"/>
      <c r="C521" s="1"/>
      <c r="D521" s="1"/>
      <c r="E521" s="1"/>
      <c r="F521" s="1"/>
    </row>
    <row r="522" spans="1:6" x14ac:dyDescent="0.25">
      <c r="A522" s="1"/>
      <c r="C522" s="1"/>
      <c r="D522" s="1"/>
      <c r="E522" s="1"/>
      <c r="F522" s="1"/>
    </row>
    <row r="523" spans="1:6" x14ac:dyDescent="0.25">
      <c r="A523" s="1"/>
      <c r="C523" s="1"/>
      <c r="D523" s="1"/>
      <c r="E523" s="1"/>
      <c r="F523" s="1"/>
    </row>
    <row r="524" spans="1:6" x14ac:dyDescent="0.25">
      <c r="A524" s="1"/>
      <c r="C524" s="1"/>
      <c r="D524" s="1"/>
      <c r="E524" s="1"/>
      <c r="F524" s="1"/>
    </row>
    <row r="525" spans="1:6" x14ac:dyDescent="0.25">
      <c r="A525" s="1"/>
      <c r="C525" s="1"/>
      <c r="D525" s="1"/>
      <c r="E525" s="1"/>
      <c r="F525" s="1"/>
    </row>
    <row r="526" spans="1:6" x14ac:dyDescent="0.25">
      <c r="A526" s="1"/>
      <c r="C526" s="1"/>
      <c r="D526" s="1"/>
      <c r="E526" s="1"/>
      <c r="F526" s="1"/>
    </row>
    <row r="527" spans="1:6" x14ac:dyDescent="0.25">
      <c r="A527" s="1"/>
      <c r="C527" s="1"/>
      <c r="D527" s="1"/>
      <c r="E527" s="1"/>
      <c r="F527" s="1"/>
    </row>
    <row r="528" spans="1:6" x14ac:dyDescent="0.25">
      <c r="A528" s="1"/>
      <c r="C528" s="1"/>
      <c r="D528" s="1"/>
      <c r="E528" s="1"/>
      <c r="F528" s="1"/>
    </row>
    <row r="529" spans="1:6" x14ac:dyDescent="0.25">
      <c r="A529" s="1"/>
      <c r="C529" s="1"/>
      <c r="D529" s="1"/>
      <c r="E529" s="1"/>
      <c r="F529" s="1"/>
    </row>
    <row r="530" spans="1:6" x14ac:dyDescent="0.25">
      <c r="A530" s="1"/>
      <c r="C530" s="1"/>
      <c r="D530" s="1"/>
      <c r="E530" s="1"/>
      <c r="F530" s="1"/>
    </row>
    <row r="531" spans="1:6" x14ac:dyDescent="0.25">
      <c r="A531" s="1"/>
      <c r="C531" s="1"/>
      <c r="D531" s="1"/>
      <c r="E531" s="1"/>
      <c r="F531" s="1"/>
    </row>
    <row r="532" spans="1:6" x14ac:dyDescent="0.25">
      <c r="A532" s="1"/>
      <c r="C532" s="1"/>
      <c r="D532" s="1"/>
      <c r="E532" s="1"/>
      <c r="F532" s="1"/>
    </row>
    <row r="533" spans="1:6" x14ac:dyDescent="0.25">
      <c r="A533" s="1"/>
      <c r="C533" s="1"/>
      <c r="D533" s="1"/>
      <c r="E533" s="1"/>
      <c r="F533" s="1"/>
    </row>
    <row r="534" spans="1:6" x14ac:dyDescent="0.25">
      <c r="A534" s="1"/>
      <c r="C534" s="1"/>
      <c r="D534" s="1"/>
      <c r="E534" s="1"/>
      <c r="F534" s="1"/>
    </row>
    <row r="535" spans="1:6" x14ac:dyDescent="0.25">
      <c r="A535" s="1"/>
      <c r="C535" s="1"/>
      <c r="D535" s="1"/>
      <c r="E535" s="1"/>
      <c r="F535" s="1"/>
    </row>
    <row r="536" spans="1:6" x14ac:dyDescent="0.25">
      <c r="A536" s="1"/>
      <c r="C536" s="1"/>
      <c r="D536" s="1"/>
      <c r="E536" s="1"/>
      <c r="F536" s="1"/>
    </row>
    <row r="537" spans="1:6" x14ac:dyDescent="0.25">
      <c r="A537" s="1"/>
      <c r="C537" s="1"/>
      <c r="D537" s="1"/>
      <c r="E537" s="1"/>
      <c r="F537" s="1"/>
    </row>
    <row r="538" spans="1:6" x14ac:dyDescent="0.25">
      <c r="A538" s="1"/>
      <c r="C538" s="1"/>
      <c r="D538" s="1"/>
      <c r="E538" s="1"/>
      <c r="F538" s="1"/>
    </row>
    <row r="539" spans="1:6" x14ac:dyDescent="0.25">
      <c r="A539" s="1"/>
      <c r="C539" s="1"/>
      <c r="D539" s="1"/>
      <c r="E539" s="1"/>
      <c r="F539" s="1"/>
    </row>
    <row r="540" spans="1:6" x14ac:dyDescent="0.25">
      <c r="A540" s="1"/>
      <c r="C540" s="1"/>
      <c r="D540" s="1"/>
      <c r="E540" s="1"/>
      <c r="F540" s="1"/>
    </row>
    <row r="541" spans="1:6" x14ac:dyDescent="0.25">
      <c r="A541" s="1"/>
      <c r="C541" s="1"/>
      <c r="D541" s="1"/>
      <c r="E541" s="1"/>
      <c r="F541" s="1"/>
    </row>
    <row r="542" spans="1:6" x14ac:dyDescent="0.25">
      <c r="A542" s="1"/>
      <c r="C542" s="1"/>
      <c r="D542" s="1"/>
      <c r="E542" s="1"/>
      <c r="F542" s="1"/>
    </row>
    <row r="543" spans="1:6" x14ac:dyDescent="0.25">
      <c r="A543" s="1"/>
      <c r="C543" s="1"/>
      <c r="D543" s="1"/>
      <c r="E543" s="1"/>
      <c r="F543" s="1"/>
    </row>
    <row r="544" spans="1:6" x14ac:dyDescent="0.25">
      <c r="A544" s="1"/>
      <c r="C544" s="1"/>
      <c r="D544" s="1"/>
      <c r="E544" s="1"/>
      <c r="F544" s="1"/>
    </row>
    <row r="545" spans="1:6" x14ac:dyDescent="0.25">
      <c r="A545" s="1"/>
      <c r="C545" s="1"/>
      <c r="D545" s="1"/>
      <c r="E545" s="1"/>
      <c r="F545" s="1"/>
    </row>
    <row r="546" spans="1:6" x14ac:dyDescent="0.25">
      <c r="A546" s="1"/>
      <c r="C546" s="1"/>
      <c r="D546" s="1"/>
      <c r="E546" s="1"/>
      <c r="F546" s="1"/>
    </row>
    <row r="547" spans="1:6" x14ac:dyDescent="0.25">
      <c r="A547" s="1"/>
      <c r="C547" s="1"/>
      <c r="D547" s="1"/>
      <c r="E547" s="1"/>
      <c r="F547" s="1"/>
    </row>
    <row r="548" spans="1:6" x14ac:dyDescent="0.25">
      <c r="A548" s="1"/>
      <c r="C548" s="1"/>
      <c r="D548" s="1"/>
      <c r="E548" s="1"/>
      <c r="F548" s="1"/>
    </row>
    <row r="549" spans="1:6" x14ac:dyDescent="0.25">
      <c r="A549" s="1"/>
      <c r="C549" s="1"/>
      <c r="D549" s="1"/>
      <c r="E549" s="1"/>
      <c r="F549" s="1"/>
    </row>
    <row r="550" spans="1:6" x14ac:dyDescent="0.25">
      <c r="A550" s="1"/>
      <c r="C550" s="1"/>
      <c r="D550" s="1"/>
      <c r="E550" s="1"/>
      <c r="F550" s="1"/>
    </row>
    <row r="551" spans="1:6" x14ac:dyDescent="0.25">
      <c r="A551" s="1"/>
      <c r="C551" s="1"/>
      <c r="D551" s="1"/>
      <c r="E551" s="1"/>
      <c r="F551" s="1"/>
    </row>
    <row r="552" spans="1:6" x14ac:dyDescent="0.25">
      <c r="A552" s="1"/>
      <c r="C552" s="1"/>
      <c r="D552" s="1"/>
      <c r="E552" s="1"/>
      <c r="F552" s="1"/>
    </row>
    <row r="553" spans="1:6" x14ac:dyDescent="0.25">
      <c r="A553" s="1"/>
      <c r="C553" s="1"/>
      <c r="D553" s="1"/>
      <c r="E553" s="1"/>
      <c r="F553" s="1"/>
    </row>
    <row r="554" spans="1:6" x14ac:dyDescent="0.25">
      <c r="A554" s="1"/>
      <c r="C554" s="1"/>
      <c r="D554" s="1"/>
      <c r="E554" s="1"/>
      <c r="F554" s="1"/>
    </row>
    <row r="555" spans="1:6" x14ac:dyDescent="0.25">
      <c r="A555" s="1"/>
      <c r="C555" s="1"/>
      <c r="D555" s="1"/>
      <c r="E555" s="1"/>
      <c r="F555" s="1"/>
    </row>
    <row r="556" spans="1:6" x14ac:dyDescent="0.25">
      <c r="A556" s="1"/>
      <c r="C556" s="1"/>
      <c r="D556" s="1"/>
      <c r="E556" s="1"/>
      <c r="F556" s="1"/>
    </row>
    <row r="557" spans="1:6" x14ac:dyDescent="0.25">
      <c r="A557" s="1"/>
      <c r="C557" s="1"/>
      <c r="D557" s="1"/>
      <c r="E557" s="1"/>
      <c r="F557" s="1"/>
    </row>
    <row r="558" spans="1:6" x14ac:dyDescent="0.25">
      <c r="A558" s="1"/>
      <c r="C558" s="1"/>
      <c r="D558" s="1"/>
      <c r="E558" s="1"/>
      <c r="F558" s="1"/>
    </row>
    <row r="559" spans="1:6" x14ac:dyDescent="0.25">
      <c r="A559" s="1"/>
      <c r="C559" s="1"/>
      <c r="D559" s="1"/>
      <c r="E559" s="1"/>
      <c r="F559" s="1"/>
    </row>
    <row r="560" spans="1:6" x14ac:dyDescent="0.25">
      <c r="A560" s="1"/>
      <c r="C560" s="1"/>
      <c r="D560" s="1"/>
      <c r="E560" s="1"/>
      <c r="F560" s="1"/>
    </row>
    <row r="561" spans="1:6" x14ac:dyDescent="0.25">
      <c r="A561" s="1"/>
      <c r="C561" s="1"/>
      <c r="D561" s="1"/>
      <c r="E561" s="1"/>
      <c r="F561" s="1"/>
    </row>
    <row r="562" spans="1:6" x14ac:dyDescent="0.25">
      <c r="A562" s="1"/>
      <c r="C562" s="1"/>
      <c r="D562" s="1"/>
      <c r="E562" s="1"/>
      <c r="F562" s="1"/>
    </row>
    <row r="563" spans="1:6" x14ac:dyDescent="0.25">
      <c r="A563" s="1"/>
      <c r="C563" s="1"/>
      <c r="D563" s="1"/>
      <c r="E563" s="1"/>
      <c r="F563" s="1"/>
    </row>
    <row r="564" spans="1:6" x14ac:dyDescent="0.25">
      <c r="A564" s="1"/>
      <c r="C564" s="1"/>
      <c r="D564" s="1"/>
      <c r="E564" s="1"/>
      <c r="F564" s="1"/>
    </row>
    <row r="565" spans="1:6" x14ac:dyDescent="0.25">
      <c r="A565" s="1"/>
      <c r="C565" s="1"/>
      <c r="D565" s="1"/>
      <c r="E565" s="1"/>
      <c r="F565" s="1"/>
    </row>
    <row r="566" spans="1:6" x14ac:dyDescent="0.25">
      <c r="A566" s="1"/>
      <c r="C566" s="1"/>
      <c r="D566" s="1"/>
      <c r="E566" s="1"/>
      <c r="F566" s="1"/>
    </row>
    <row r="567" spans="1:6" x14ac:dyDescent="0.25">
      <c r="A567" s="1"/>
      <c r="C567" s="1"/>
      <c r="D567" s="1"/>
      <c r="E567" s="1"/>
      <c r="F567" s="1"/>
    </row>
    <row r="568" spans="1:6" x14ac:dyDescent="0.25">
      <c r="A568" s="1"/>
      <c r="C568" s="1"/>
      <c r="D568" s="1"/>
      <c r="E568" s="1"/>
      <c r="F568" s="1"/>
    </row>
    <row r="569" spans="1:6" x14ac:dyDescent="0.25">
      <c r="A569" s="1"/>
      <c r="C569" s="1"/>
      <c r="D569" s="1"/>
      <c r="E569" s="1"/>
      <c r="F569" s="1"/>
    </row>
    <row r="570" spans="1:6" x14ac:dyDescent="0.25">
      <c r="A570" s="1"/>
      <c r="C570" s="1"/>
      <c r="D570" s="1"/>
      <c r="E570" s="1"/>
      <c r="F570" s="1"/>
    </row>
    <row r="571" spans="1:6" x14ac:dyDescent="0.25">
      <c r="A571" s="1"/>
      <c r="C571" s="1"/>
      <c r="D571" s="1"/>
      <c r="E571" s="1"/>
      <c r="F571" s="1"/>
    </row>
    <row r="572" spans="1:6" x14ac:dyDescent="0.25">
      <c r="A572" s="1"/>
      <c r="C572" s="1"/>
      <c r="D572" s="1"/>
      <c r="E572" s="1"/>
      <c r="F572" s="1"/>
    </row>
    <row r="573" spans="1:6" x14ac:dyDescent="0.25">
      <c r="A573" s="1"/>
      <c r="C573" s="1"/>
      <c r="D573" s="1"/>
      <c r="E573" s="1"/>
      <c r="F573" s="1"/>
    </row>
    <row r="574" spans="1:6" x14ac:dyDescent="0.25">
      <c r="A574" s="1"/>
      <c r="C574" s="1"/>
      <c r="D574" s="1"/>
      <c r="E574" s="1"/>
      <c r="F574" s="1"/>
    </row>
    <row r="575" spans="1:6" x14ac:dyDescent="0.25">
      <c r="A575" s="1"/>
      <c r="C575" s="1"/>
      <c r="D575" s="1"/>
      <c r="E575" s="1"/>
      <c r="F575" s="1"/>
    </row>
    <row r="576" spans="1:6" x14ac:dyDescent="0.25">
      <c r="A576" s="1"/>
      <c r="C576" s="1"/>
      <c r="D576" s="1"/>
      <c r="E576" s="1"/>
      <c r="F576" s="1"/>
    </row>
    <row r="577" spans="1:6" x14ac:dyDescent="0.25">
      <c r="A577" s="1"/>
      <c r="C577" s="1"/>
      <c r="D577" s="1"/>
      <c r="E577" s="1"/>
      <c r="F577" s="1"/>
    </row>
    <row r="578" spans="1:6" x14ac:dyDescent="0.25">
      <c r="A578" s="1"/>
      <c r="C578" s="1"/>
      <c r="D578" s="1"/>
      <c r="E578" s="1"/>
      <c r="F578" s="1"/>
    </row>
    <row r="579" spans="1:6" x14ac:dyDescent="0.25">
      <c r="A579" s="1"/>
      <c r="C579" s="1"/>
      <c r="D579" s="1"/>
      <c r="E579" s="1"/>
      <c r="F579" s="1"/>
    </row>
    <row r="580" spans="1:6" x14ac:dyDescent="0.25">
      <c r="A580" s="1"/>
      <c r="C580" s="1"/>
      <c r="D580" s="1"/>
      <c r="E580" s="1"/>
      <c r="F580" s="1"/>
    </row>
    <row r="581" spans="1:6" x14ac:dyDescent="0.25">
      <c r="A581" s="1"/>
      <c r="C581" s="1"/>
      <c r="D581" s="1"/>
      <c r="E581" s="1"/>
      <c r="F581" s="1"/>
    </row>
    <row r="582" spans="1:6" x14ac:dyDescent="0.25">
      <c r="A582" s="1"/>
      <c r="C582" s="1"/>
      <c r="D582" s="1"/>
      <c r="E582" s="1"/>
      <c r="F582" s="1"/>
    </row>
    <row r="583" spans="1:6" x14ac:dyDescent="0.25">
      <c r="A583" s="1"/>
      <c r="C583" s="1"/>
      <c r="D583" s="1"/>
      <c r="E583" s="1"/>
      <c r="F583" s="1"/>
    </row>
    <row r="584" spans="1:6" x14ac:dyDescent="0.25">
      <c r="A584" s="1"/>
      <c r="C584" s="1"/>
      <c r="D584" s="1"/>
      <c r="E584" s="1"/>
      <c r="F584" s="1"/>
    </row>
    <row r="585" spans="1:6" x14ac:dyDescent="0.25">
      <c r="A585" s="1"/>
      <c r="C585" s="1"/>
      <c r="D585" s="1"/>
      <c r="E585" s="1"/>
      <c r="F585" s="1"/>
    </row>
    <row r="586" spans="1:6" x14ac:dyDescent="0.25">
      <c r="A586" s="1"/>
      <c r="C586" s="1"/>
      <c r="D586" s="1"/>
      <c r="E586" s="1"/>
      <c r="F586" s="1"/>
    </row>
    <row r="587" spans="1:6" x14ac:dyDescent="0.25">
      <c r="A587" s="1"/>
      <c r="C587" s="1"/>
      <c r="D587" s="1"/>
      <c r="E587" s="1"/>
      <c r="F587" s="1"/>
    </row>
    <row r="588" spans="1:6" x14ac:dyDescent="0.25">
      <c r="A588" s="1"/>
      <c r="C588" s="1"/>
      <c r="D588" s="1"/>
      <c r="E588" s="1"/>
      <c r="F588" s="1"/>
    </row>
    <row r="589" spans="1:6" x14ac:dyDescent="0.25">
      <c r="A589" s="1"/>
      <c r="C589" s="1"/>
      <c r="D589" s="1"/>
      <c r="E589" s="1"/>
      <c r="F589" s="1"/>
    </row>
    <row r="590" spans="1:6" x14ac:dyDescent="0.25">
      <c r="A590" s="1"/>
      <c r="C590" s="1"/>
      <c r="D590" s="1"/>
      <c r="E590" s="1"/>
      <c r="F590" s="1"/>
    </row>
    <row r="591" spans="1:6" x14ac:dyDescent="0.25">
      <c r="A591" s="1"/>
      <c r="C591" s="1"/>
      <c r="D591" s="1"/>
      <c r="E591" s="1"/>
      <c r="F591" s="1"/>
    </row>
    <row r="592" spans="1:6" x14ac:dyDescent="0.25">
      <c r="A592" s="1"/>
      <c r="C592" s="1"/>
      <c r="D592" s="1"/>
      <c r="E592" s="1"/>
      <c r="F592" s="1"/>
    </row>
    <row r="593" spans="1:6" x14ac:dyDescent="0.25">
      <c r="A593" s="1"/>
      <c r="C593" s="1"/>
      <c r="D593" s="1"/>
      <c r="E593" s="1"/>
      <c r="F593" s="1"/>
    </row>
    <row r="594" spans="1:6" x14ac:dyDescent="0.25">
      <c r="A594" s="1"/>
      <c r="C594" s="1"/>
      <c r="D594" s="1"/>
      <c r="E594" s="1"/>
      <c r="F594" s="1"/>
    </row>
    <row r="595" spans="1:6" x14ac:dyDescent="0.25">
      <c r="A595" s="1"/>
      <c r="C595" s="1"/>
      <c r="D595" s="1"/>
      <c r="E595" s="1"/>
      <c r="F595" s="1"/>
    </row>
    <row r="596" spans="1:6" x14ac:dyDescent="0.25">
      <c r="A596" s="1"/>
      <c r="C596" s="1"/>
      <c r="D596" s="1"/>
      <c r="E596" s="1"/>
      <c r="F596" s="1"/>
    </row>
    <row r="597" spans="1:6" x14ac:dyDescent="0.25">
      <c r="A597" s="1"/>
      <c r="C597" s="1"/>
      <c r="D597" s="1"/>
      <c r="E597" s="1"/>
      <c r="F597" s="1"/>
    </row>
    <row r="598" spans="1:6" x14ac:dyDescent="0.25">
      <c r="A598" s="1"/>
      <c r="C598" s="1"/>
      <c r="D598" s="1"/>
      <c r="E598" s="1"/>
      <c r="F598" s="1"/>
    </row>
    <row r="599" spans="1:6" x14ac:dyDescent="0.25">
      <c r="A599" s="1"/>
      <c r="C599" s="1"/>
      <c r="D599" s="1"/>
      <c r="E599" s="1"/>
      <c r="F599" s="1"/>
    </row>
    <row r="600" spans="1:6" x14ac:dyDescent="0.25">
      <c r="A600" s="1"/>
      <c r="C600" s="1"/>
      <c r="D600" s="1"/>
      <c r="E600" s="1"/>
      <c r="F600" s="1"/>
    </row>
    <row r="601" spans="1:6" x14ac:dyDescent="0.25">
      <c r="A601" s="1"/>
      <c r="C601" s="1"/>
      <c r="D601" s="1"/>
      <c r="E601" s="1"/>
      <c r="F601" s="1"/>
    </row>
    <row r="602" spans="1:6" x14ac:dyDescent="0.25">
      <c r="A602" s="1"/>
      <c r="C602" s="1"/>
      <c r="D602" s="1"/>
      <c r="E602" s="1"/>
      <c r="F602" s="1"/>
    </row>
    <row r="603" spans="1:6" x14ac:dyDescent="0.25">
      <c r="A603" s="1"/>
      <c r="C603" s="1"/>
      <c r="D603" s="1"/>
      <c r="E603" s="1"/>
      <c r="F603" s="1"/>
    </row>
    <row r="604" spans="1:6" x14ac:dyDescent="0.25">
      <c r="A604" s="1"/>
      <c r="C604" s="1"/>
      <c r="D604" s="1"/>
      <c r="E604" s="1"/>
      <c r="F604" s="1"/>
    </row>
    <row r="605" spans="1:6" x14ac:dyDescent="0.25">
      <c r="A605" s="1"/>
      <c r="C605" s="1"/>
      <c r="D605" s="1"/>
      <c r="E605" s="1"/>
      <c r="F605" s="1"/>
    </row>
    <row r="606" spans="1:6" x14ac:dyDescent="0.25">
      <c r="A606" s="1"/>
      <c r="C606" s="1"/>
      <c r="D606" s="1"/>
      <c r="E606" s="1"/>
      <c r="F606" s="1"/>
    </row>
    <row r="607" spans="1:6" x14ac:dyDescent="0.25">
      <c r="A607" s="1"/>
      <c r="C607" s="1"/>
      <c r="D607" s="1"/>
      <c r="E607" s="1"/>
      <c r="F607" s="1"/>
    </row>
    <row r="608" spans="1:6" x14ac:dyDescent="0.25">
      <c r="A608" s="1"/>
      <c r="C608" s="1"/>
      <c r="D608" s="1"/>
      <c r="E608" s="1"/>
      <c r="F608" s="1"/>
    </row>
    <row r="609" spans="1:6" x14ac:dyDescent="0.25">
      <c r="A609" s="1"/>
      <c r="C609" s="1"/>
      <c r="D609" s="1"/>
      <c r="E609" s="1"/>
      <c r="F609" s="1"/>
    </row>
    <row r="610" spans="1:6" x14ac:dyDescent="0.25">
      <c r="A610" s="1"/>
      <c r="C610" s="1"/>
      <c r="D610" s="1"/>
      <c r="E610" s="1"/>
      <c r="F610" s="1"/>
    </row>
    <row r="611" spans="1:6" x14ac:dyDescent="0.25">
      <c r="A611" s="1"/>
      <c r="C611" s="1"/>
      <c r="D611" s="1"/>
      <c r="E611" s="1"/>
      <c r="F611" s="1"/>
    </row>
    <row r="612" spans="1:6" x14ac:dyDescent="0.25">
      <c r="A612" s="1"/>
      <c r="C612" s="1"/>
      <c r="D612" s="1"/>
      <c r="E612" s="1"/>
      <c r="F612" s="1"/>
    </row>
    <row r="613" spans="1:6" x14ac:dyDescent="0.25">
      <c r="A613" s="1"/>
      <c r="C613" s="1"/>
      <c r="D613" s="1"/>
      <c r="E613" s="1"/>
      <c r="F613" s="1"/>
    </row>
    <row r="614" spans="1:6" x14ac:dyDescent="0.25">
      <c r="A614" s="1"/>
      <c r="C614" s="1"/>
      <c r="D614" s="1"/>
      <c r="E614" s="1"/>
      <c r="F614" s="1"/>
    </row>
    <row r="615" spans="1:6" x14ac:dyDescent="0.25">
      <c r="A615" s="1"/>
      <c r="C615" s="1"/>
      <c r="D615" s="1"/>
      <c r="E615" s="1"/>
      <c r="F615" s="1"/>
    </row>
    <row r="616" spans="1:6" x14ac:dyDescent="0.25">
      <c r="A616" s="1"/>
      <c r="C616" s="1"/>
      <c r="D616" s="1"/>
      <c r="E616" s="1"/>
      <c r="F616" s="1"/>
    </row>
    <row r="617" spans="1:6" x14ac:dyDescent="0.25">
      <c r="A617" s="1"/>
      <c r="C617" s="1"/>
      <c r="D617" s="1"/>
      <c r="E617" s="1"/>
      <c r="F617" s="1"/>
    </row>
    <row r="618" spans="1:6" x14ac:dyDescent="0.25">
      <c r="A618" s="1"/>
      <c r="C618" s="1"/>
      <c r="D618" s="1"/>
      <c r="E618" s="1"/>
      <c r="F618" s="1"/>
    </row>
    <row r="619" spans="1:6" x14ac:dyDescent="0.25">
      <c r="A619" s="1"/>
      <c r="C619" s="1"/>
      <c r="D619" s="1"/>
      <c r="E619" s="1"/>
      <c r="F619" s="1"/>
    </row>
    <row r="620" spans="1:6" x14ac:dyDescent="0.25">
      <c r="A620" s="1"/>
      <c r="C620" s="1"/>
      <c r="D620" s="1"/>
      <c r="E620" s="1"/>
      <c r="F620" s="1"/>
    </row>
    <row r="621" spans="1:6" x14ac:dyDescent="0.25">
      <c r="A621" s="1"/>
      <c r="C621" s="1"/>
      <c r="D621" s="1"/>
      <c r="E621" s="1"/>
      <c r="F621" s="1"/>
    </row>
    <row r="622" spans="1:6" x14ac:dyDescent="0.25">
      <c r="A622" s="1"/>
      <c r="C622" s="1"/>
      <c r="D622" s="1"/>
      <c r="E622" s="1"/>
      <c r="F622" s="1"/>
    </row>
    <row r="623" spans="1:6" x14ac:dyDescent="0.25">
      <c r="A623" s="1"/>
      <c r="C623" s="1"/>
      <c r="D623" s="1"/>
      <c r="E623" s="1"/>
      <c r="F623" s="1"/>
    </row>
    <row r="624" spans="1:6" x14ac:dyDescent="0.25">
      <c r="A624" s="1"/>
      <c r="C624" s="1"/>
      <c r="D624" s="1"/>
      <c r="E624" s="1"/>
      <c r="F624" s="1"/>
    </row>
    <row r="625" spans="1:6" x14ac:dyDescent="0.25">
      <c r="A625" s="1"/>
      <c r="C625" s="1"/>
      <c r="D625" s="1"/>
      <c r="E625" s="1"/>
      <c r="F625" s="1"/>
    </row>
    <row r="626" spans="1:6" x14ac:dyDescent="0.25">
      <c r="A626" s="1"/>
      <c r="C626" s="1"/>
      <c r="D626" s="1"/>
      <c r="E626" s="1"/>
      <c r="F626" s="1"/>
    </row>
    <row r="627" spans="1:6" x14ac:dyDescent="0.25">
      <c r="A627" s="1"/>
      <c r="C627" s="1"/>
      <c r="D627" s="1"/>
      <c r="E627" s="1"/>
      <c r="F627" s="1"/>
    </row>
    <row r="628" spans="1:6" x14ac:dyDescent="0.25">
      <c r="A628" s="1"/>
      <c r="C628" s="1"/>
      <c r="D628" s="1"/>
      <c r="E628" s="1"/>
      <c r="F628" s="1"/>
    </row>
    <row r="629" spans="1:6" x14ac:dyDescent="0.25">
      <c r="A629" s="1"/>
      <c r="C629" s="1"/>
      <c r="D629" s="1"/>
      <c r="E629" s="1"/>
      <c r="F629" s="1"/>
    </row>
    <row r="630" spans="1:6" x14ac:dyDescent="0.25">
      <c r="A630" s="1"/>
      <c r="C630" s="1"/>
      <c r="D630" s="1"/>
      <c r="E630" s="1"/>
      <c r="F630" s="1"/>
    </row>
    <row r="631" spans="1:6" x14ac:dyDescent="0.25">
      <c r="A631" s="1"/>
      <c r="C631" s="1"/>
      <c r="D631" s="1"/>
      <c r="E631" s="1"/>
      <c r="F631" s="1"/>
    </row>
    <row r="632" spans="1:6" x14ac:dyDescent="0.25">
      <c r="A632" s="1"/>
      <c r="C632" s="1"/>
      <c r="D632" s="1"/>
      <c r="E632" s="1"/>
      <c r="F632" s="1"/>
    </row>
    <row r="633" spans="1:6" x14ac:dyDescent="0.25">
      <c r="A633" s="1"/>
      <c r="C633" s="1"/>
      <c r="D633" s="1"/>
      <c r="E633" s="1"/>
      <c r="F633" s="1"/>
    </row>
    <row r="634" spans="1:6" x14ac:dyDescent="0.25">
      <c r="A634" s="1"/>
      <c r="C634" s="1"/>
      <c r="D634" s="1"/>
      <c r="E634" s="1"/>
      <c r="F634" s="1"/>
    </row>
    <row r="635" spans="1:6" x14ac:dyDescent="0.25">
      <c r="A635" s="1"/>
      <c r="C635" s="1"/>
      <c r="D635" s="1"/>
      <c r="E635" s="1"/>
      <c r="F635" s="1"/>
    </row>
    <row r="636" spans="1:6" x14ac:dyDescent="0.25">
      <c r="A636" s="1"/>
      <c r="C636" s="1"/>
      <c r="D636" s="1"/>
      <c r="E636" s="1"/>
      <c r="F636" s="1"/>
    </row>
    <row r="637" spans="1:6" x14ac:dyDescent="0.25">
      <c r="A637" s="1"/>
      <c r="C637" s="1"/>
      <c r="D637" s="1"/>
      <c r="E637" s="1"/>
      <c r="F637" s="1"/>
    </row>
    <row r="638" spans="1:6" x14ac:dyDescent="0.25">
      <c r="A638" s="1"/>
      <c r="C638" s="1"/>
      <c r="D638" s="1"/>
      <c r="E638" s="1"/>
      <c r="F638" s="1"/>
    </row>
    <row r="639" spans="1:6" x14ac:dyDescent="0.25">
      <c r="A639" s="1"/>
      <c r="C639" s="1"/>
      <c r="D639" s="1"/>
      <c r="E639" s="1"/>
      <c r="F639" s="1"/>
    </row>
    <row r="640" spans="1:6" x14ac:dyDescent="0.25">
      <c r="A640" s="1"/>
      <c r="C640" s="1"/>
      <c r="D640" s="1"/>
      <c r="E640" s="1"/>
      <c r="F640" s="1"/>
    </row>
    <row r="641" spans="1:6" x14ac:dyDescent="0.25">
      <c r="A641" s="1"/>
      <c r="C641" s="1"/>
      <c r="D641" s="1"/>
      <c r="E641" s="1"/>
      <c r="F641" s="1"/>
    </row>
    <row r="642" spans="1:6" x14ac:dyDescent="0.25">
      <c r="A642" s="1"/>
      <c r="C642" s="1"/>
      <c r="D642" s="1"/>
      <c r="E642" s="1"/>
      <c r="F642" s="1"/>
    </row>
    <row r="643" spans="1:6" x14ac:dyDescent="0.25">
      <c r="A643" s="1"/>
      <c r="C643" s="1"/>
      <c r="D643" s="1"/>
      <c r="E643" s="1"/>
      <c r="F643" s="1"/>
    </row>
    <row r="644" spans="1:6" x14ac:dyDescent="0.25">
      <c r="A644" s="1"/>
      <c r="C644" s="1"/>
      <c r="D644" s="1"/>
      <c r="E644" s="1"/>
      <c r="F644" s="1"/>
    </row>
    <row r="645" spans="1:6" x14ac:dyDescent="0.25">
      <c r="A645" s="1"/>
      <c r="C645" s="1"/>
      <c r="D645" s="1"/>
      <c r="E645" s="1"/>
      <c r="F645" s="1"/>
    </row>
    <row r="646" spans="1:6" x14ac:dyDescent="0.25">
      <c r="A646" s="1"/>
      <c r="C646" s="1"/>
      <c r="D646" s="1"/>
      <c r="E646" s="1"/>
      <c r="F646" s="1"/>
    </row>
    <row r="647" spans="1:6" x14ac:dyDescent="0.25">
      <c r="A647" s="1"/>
      <c r="C647" s="1"/>
      <c r="D647" s="1"/>
      <c r="E647" s="1"/>
      <c r="F647" s="1"/>
    </row>
    <row r="648" spans="1:6" x14ac:dyDescent="0.25">
      <c r="A648" s="1"/>
      <c r="C648" s="1"/>
      <c r="D648" s="1"/>
      <c r="E648" s="1"/>
      <c r="F648" s="1"/>
    </row>
    <row r="649" spans="1:6" x14ac:dyDescent="0.25">
      <c r="A649" s="1"/>
      <c r="C649" s="1"/>
      <c r="D649" s="1"/>
      <c r="E649" s="1"/>
      <c r="F649" s="1"/>
    </row>
    <row r="650" spans="1:6" x14ac:dyDescent="0.25">
      <c r="A650" s="1"/>
      <c r="C650" s="1"/>
      <c r="D650" s="1"/>
      <c r="E650" s="1"/>
      <c r="F650" s="1"/>
    </row>
    <row r="651" spans="1:6" x14ac:dyDescent="0.25">
      <c r="A651" s="1"/>
      <c r="C651" s="1"/>
      <c r="D651" s="1"/>
      <c r="E651" s="1"/>
      <c r="F651" s="1"/>
    </row>
    <row r="652" spans="1:6" x14ac:dyDescent="0.25">
      <c r="A652" s="1"/>
      <c r="C652" s="1"/>
      <c r="D652" s="1"/>
      <c r="E652" s="1"/>
      <c r="F652" s="1"/>
    </row>
    <row r="653" spans="1:6" x14ac:dyDescent="0.25">
      <c r="A653" s="1"/>
      <c r="C653" s="1"/>
      <c r="D653" s="1"/>
      <c r="E653" s="1"/>
      <c r="F653" s="1"/>
    </row>
    <row r="654" spans="1:6" x14ac:dyDescent="0.25">
      <c r="A654" s="1"/>
      <c r="C654" s="1"/>
      <c r="D654" s="1"/>
      <c r="E654" s="1"/>
      <c r="F654" s="1"/>
    </row>
    <row r="655" spans="1:6" x14ac:dyDescent="0.25">
      <c r="A655" s="1"/>
      <c r="C655" s="1"/>
      <c r="D655" s="1"/>
      <c r="E655" s="1"/>
      <c r="F655" s="1"/>
    </row>
    <row r="656" spans="1:6" x14ac:dyDescent="0.25">
      <c r="A656" s="1"/>
      <c r="C656" s="1"/>
      <c r="D656" s="1"/>
      <c r="E656" s="1"/>
      <c r="F656" s="1"/>
    </row>
    <row r="657" spans="1:6" x14ac:dyDescent="0.25">
      <c r="A657" s="1"/>
      <c r="C657" s="1"/>
      <c r="D657" s="1"/>
      <c r="E657" s="1"/>
      <c r="F657" s="1"/>
    </row>
    <row r="658" spans="1:6" x14ac:dyDescent="0.25">
      <c r="A658" s="1"/>
      <c r="C658" s="1"/>
      <c r="D658" s="1"/>
      <c r="E658" s="1"/>
      <c r="F658" s="1"/>
    </row>
    <row r="659" spans="1:6" x14ac:dyDescent="0.25">
      <c r="A659" s="1"/>
      <c r="C659" s="1"/>
      <c r="D659" s="1"/>
      <c r="E659" s="1"/>
      <c r="F659" s="1"/>
    </row>
    <row r="660" spans="1:6" x14ac:dyDescent="0.25">
      <c r="A660" s="1"/>
      <c r="C660" s="1"/>
      <c r="D660" s="1"/>
      <c r="E660" s="1"/>
      <c r="F660" s="1"/>
    </row>
    <row r="661" spans="1:6" x14ac:dyDescent="0.25">
      <c r="A661" s="1"/>
      <c r="C661" s="1"/>
      <c r="D661" s="1"/>
      <c r="E661" s="1"/>
      <c r="F661" s="1"/>
    </row>
    <row r="662" spans="1:6" x14ac:dyDescent="0.25">
      <c r="A662" s="1"/>
      <c r="C662" s="1"/>
      <c r="D662" s="1"/>
      <c r="E662" s="1"/>
      <c r="F662" s="1"/>
    </row>
    <row r="663" spans="1:6" x14ac:dyDescent="0.25">
      <c r="A663" s="1"/>
      <c r="C663" s="1"/>
      <c r="D663" s="1"/>
      <c r="E663" s="1"/>
      <c r="F663" s="1"/>
    </row>
    <row r="664" spans="1:6" x14ac:dyDescent="0.25">
      <c r="A664" s="1"/>
      <c r="C664" s="1"/>
      <c r="D664" s="1"/>
      <c r="E664" s="1"/>
      <c r="F664" s="1"/>
    </row>
    <row r="665" spans="1:6" x14ac:dyDescent="0.25">
      <c r="A665" s="1"/>
      <c r="C665" s="1"/>
      <c r="D665" s="1"/>
      <c r="E665" s="1"/>
      <c r="F665" s="1"/>
    </row>
    <row r="666" spans="1:6" x14ac:dyDescent="0.25">
      <c r="A666" s="1"/>
      <c r="C666" s="1"/>
      <c r="D666" s="1"/>
      <c r="E666" s="1"/>
      <c r="F666" s="1"/>
    </row>
    <row r="667" spans="1:6" x14ac:dyDescent="0.25">
      <c r="A667" s="1"/>
      <c r="C667" s="1"/>
      <c r="D667" s="1"/>
      <c r="E667" s="1"/>
      <c r="F667" s="1"/>
    </row>
    <row r="668" spans="1:6" x14ac:dyDescent="0.25">
      <c r="A668" s="1"/>
      <c r="C668" s="1"/>
      <c r="D668" s="1"/>
      <c r="E668" s="1"/>
      <c r="F668" s="1"/>
    </row>
    <row r="669" spans="1:6" x14ac:dyDescent="0.25">
      <c r="A669" s="1"/>
      <c r="C669" s="1"/>
      <c r="D669" s="1"/>
      <c r="E669" s="1"/>
      <c r="F669" s="1"/>
    </row>
    <row r="670" spans="1:6" x14ac:dyDescent="0.25">
      <c r="A670" s="1"/>
      <c r="C670" s="1"/>
      <c r="D670" s="1"/>
      <c r="E670" s="1"/>
      <c r="F670" s="1"/>
    </row>
    <row r="671" spans="1:6" x14ac:dyDescent="0.25">
      <c r="A671" s="1"/>
      <c r="C671" s="1"/>
      <c r="D671" s="1"/>
      <c r="E671" s="1"/>
      <c r="F671" s="1"/>
    </row>
    <row r="672" spans="1:6" x14ac:dyDescent="0.25">
      <c r="A672" s="1"/>
      <c r="C672" s="1"/>
      <c r="D672" s="1"/>
      <c r="E672" s="1"/>
      <c r="F672" s="1"/>
    </row>
    <row r="673" spans="1:6" x14ac:dyDescent="0.25">
      <c r="A673" s="1"/>
      <c r="C673" s="1"/>
      <c r="D673" s="1"/>
      <c r="E673" s="1"/>
      <c r="F673" s="1"/>
    </row>
    <row r="674" spans="1:6" x14ac:dyDescent="0.25">
      <c r="A674" s="1"/>
      <c r="C674" s="1"/>
      <c r="D674" s="1"/>
      <c r="E674" s="1"/>
      <c r="F674" s="1"/>
    </row>
    <row r="675" spans="1:6" x14ac:dyDescent="0.25">
      <c r="A675" s="1"/>
      <c r="C675" s="1"/>
      <c r="D675" s="1"/>
      <c r="E675" s="1"/>
      <c r="F675" s="1"/>
    </row>
    <row r="676" spans="1:6" x14ac:dyDescent="0.25">
      <c r="A676" s="1"/>
      <c r="C676" s="1"/>
      <c r="D676" s="1"/>
      <c r="E676" s="1"/>
      <c r="F676" s="1"/>
    </row>
    <row r="677" spans="1:6" x14ac:dyDescent="0.25">
      <c r="A677" s="1"/>
      <c r="C677" s="1"/>
      <c r="D677" s="1"/>
      <c r="E677" s="1"/>
      <c r="F677" s="1"/>
    </row>
    <row r="678" spans="1:6" x14ac:dyDescent="0.25">
      <c r="A678" s="1"/>
      <c r="C678" s="1"/>
      <c r="D678" s="1"/>
      <c r="E678" s="1"/>
      <c r="F678" s="1"/>
    </row>
    <row r="679" spans="1:6" x14ac:dyDescent="0.25">
      <c r="A679" s="1"/>
      <c r="C679" s="1"/>
      <c r="D679" s="1"/>
      <c r="E679" s="1"/>
      <c r="F679" s="1"/>
    </row>
    <row r="680" spans="1:6" x14ac:dyDescent="0.25">
      <c r="A680" s="1"/>
      <c r="C680" s="1"/>
      <c r="D680" s="1"/>
      <c r="E680" s="1"/>
      <c r="F680" s="1"/>
    </row>
    <row r="681" spans="1:6" x14ac:dyDescent="0.25">
      <c r="A681" s="1"/>
      <c r="C681" s="1"/>
      <c r="D681" s="1"/>
      <c r="E681" s="1"/>
      <c r="F681" s="1"/>
    </row>
    <row r="682" spans="1:6" x14ac:dyDescent="0.25">
      <c r="A682" s="1"/>
      <c r="C682" s="1"/>
      <c r="D682" s="1"/>
      <c r="E682" s="1"/>
      <c r="F682" s="1"/>
    </row>
    <row r="683" spans="1:6" x14ac:dyDescent="0.25">
      <c r="A683" s="1"/>
      <c r="C683" s="1"/>
      <c r="D683" s="1"/>
      <c r="E683" s="1"/>
      <c r="F683" s="1"/>
    </row>
    <row r="684" spans="1:6" x14ac:dyDescent="0.25">
      <c r="A684" s="1"/>
      <c r="C684" s="1"/>
      <c r="D684" s="1"/>
      <c r="E684" s="1"/>
      <c r="F684" s="1"/>
    </row>
    <row r="685" spans="1:6" x14ac:dyDescent="0.25">
      <c r="A685" s="1"/>
      <c r="C685" s="1"/>
      <c r="D685" s="1"/>
      <c r="E685" s="1"/>
      <c r="F685" s="1"/>
    </row>
    <row r="686" spans="1:6" x14ac:dyDescent="0.25">
      <c r="A686" s="1"/>
      <c r="C686" s="1"/>
      <c r="D686" s="1"/>
      <c r="E686" s="1"/>
      <c r="F686" s="1"/>
    </row>
    <row r="687" spans="1:6" x14ac:dyDescent="0.25">
      <c r="A687" s="1"/>
      <c r="C687" s="1"/>
      <c r="D687" s="1"/>
      <c r="E687" s="1"/>
      <c r="F687" s="1"/>
    </row>
    <row r="688" spans="1:6" x14ac:dyDescent="0.25">
      <c r="A688" s="1"/>
      <c r="C688" s="1"/>
      <c r="D688" s="1"/>
      <c r="E688" s="1"/>
      <c r="F688" s="1"/>
    </row>
    <row r="689" spans="1:6" x14ac:dyDescent="0.25">
      <c r="A689" s="1"/>
      <c r="C689" s="1"/>
      <c r="D689" s="1"/>
      <c r="E689" s="1"/>
      <c r="F689" s="1"/>
    </row>
    <row r="690" spans="1:6" x14ac:dyDescent="0.25">
      <c r="A690" s="1"/>
      <c r="C690" s="1"/>
      <c r="D690" s="1"/>
      <c r="E690" s="1"/>
      <c r="F690" s="1"/>
    </row>
    <row r="691" spans="1:6" x14ac:dyDescent="0.25">
      <c r="A691" s="1"/>
      <c r="C691" s="1"/>
      <c r="D691" s="1"/>
      <c r="E691" s="1"/>
      <c r="F691" s="1"/>
    </row>
    <row r="692" spans="1:6" x14ac:dyDescent="0.25">
      <c r="A692" s="1"/>
      <c r="C692" s="1"/>
      <c r="D692" s="1"/>
      <c r="E692" s="1"/>
      <c r="F692" s="1"/>
    </row>
    <row r="693" spans="1:6" x14ac:dyDescent="0.25">
      <c r="A693" s="1"/>
      <c r="C693" s="1"/>
      <c r="D693" s="1"/>
      <c r="E693" s="1"/>
      <c r="F693" s="1"/>
    </row>
    <row r="694" spans="1:6" x14ac:dyDescent="0.25">
      <c r="A694" s="1"/>
      <c r="C694" s="1"/>
      <c r="D694" s="1"/>
      <c r="E694" s="1"/>
      <c r="F694" s="1"/>
    </row>
    <row r="695" spans="1:6" x14ac:dyDescent="0.25">
      <c r="A695" s="1"/>
      <c r="C695" s="1"/>
      <c r="D695" s="1"/>
      <c r="E695" s="1"/>
      <c r="F695" s="1"/>
    </row>
    <row r="696" spans="1:6" x14ac:dyDescent="0.25">
      <c r="A696" s="1"/>
      <c r="C696" s="1"/>
      <c r="D696" s="1"/>
      <c r="E696" s="1"/>
      <c r="F696" s="1"/>
    </row>
    <row r="697" spans="1:6" x14ac:dyDescent="0.25">
      <c r="A697" s="1"/>
      <c r="C697" s="1"/>
      <c r="D697" s="1"/>
      <c r="E697" s="1"/>
      <c r="F697" s="1"/>
    </row>
    <row r="698" spans="1:6" x14ac:dyDescent="0.25">
      <c r="A698" s="1"/>
      <c r="C698" s="1"/>
      <c r="D698" s="1"/>
      <c r="E698" s="1"/>
      <c r="F698" s="1"/>
    </row>
    <row r="699" spans="1:6" x14ac:dyDescent="0.25">
      <c r="A699" s="1"/>
      <c r="C699" s="1"/>
      <c r="D699" s="1"/>
      <c r="E699" s="1"/>
      <c r="F699" s="1"/>
    </row>
    <row r="700" spans="1:6" x14ac:dyDescent="0.25">
      <c r="A700" s="1"/>
      <c r="C700" s="1"/>
      <c r="D700" s="1"/>
      <c r="E700" s="1"/>
      <c r="F700" s="1"/>
    </row>
    <row r="701" spans="1:6" x14ac:dyDescent="0.25">
      <c r="A701" s="1"/>
      <c r="C701" s="1"/>
      <c r="D701" s="1"/>
      <c r="E701" s="1"/>
      <c r="F701" s="1"/>
    </row>
    <row r="702" spans="1:6" x14ac:dyDescent="0.25">
      <c r="A702" s="1"/>
      <c r="C702" s="1"/>
      <c r="D702" s="1"/>
      <c r="E702" s="1"/>
      <c r="F702" s="1"/>
    </row>
    <row r="703" spans="1:6" x14ac:dyDescent="0.25">
      <c r="A703" s="1"/>
      <c r="C703" s="1"/>
      <c r="D703" s="1"/>
      <c r="E703" s="1"/>
      <c r="F703" s="1"/>
    </row>
    <row r="704" spans="1:6" x14ac:dyDescent="0.25">
      <c r="A704" s="1"/>
      <c r="C704" s="1"/>
      <c r="D704" s="1"/>
      <c r="E704" s="1"/>
      <c r="F704" s="1"/>
    </row>
    <row r="705" spans="1:6" x14ac:dyDescent="0.25">
      <c r="A705" s="1"/>
      <c r="C705" s="1"/>
      <c r="D705" s="1"/>
      <c r="E705" s="1"/>
      <c r="F705" s="1"/>
    </row>
    <row r="706" spans="1:6" x14ac:dyDescent="0.25">
      <c r="A706" s="1"/>
      <c r="C706" s="1"/>
      <c r="D706" s="1"/>
      <c r="E706" s="1"/>
      <c r="F706" s="1"/>
    </row>
    <row r="707" spans="1:6" x14ac:dyDescent="0.25">
      <c r="A707" s="1"/>
      <c r="C707" s="1"/>
      <c r="D707" s="1"/>
      <c r="E707" s="1"/>
      <c r="F707" s="1"/>
    </row>
    <row r="708" spans="1:6" x14ac:dyDescent="0.25">
      <c r="A708" s="1"/>
      <c r="C708" s="1"/>
      <c r="D708" s="1"/>
      <c r="E708" s="1"/>
      <c r="F708" s="1"/>
    </row>
    <row r="709" spans="1:6" x14ac:dyDescent="0.25">
      <c r="A709" s="1"/>
      <c r="C709" s="1"/>
      <c r="D709" s="1"/>
      <c r="E709" s="1"/>
      <c r="F709" s="1"/>
    </row>
    <row r="710" spans="1:6" x14ac:dyDescent="0.25">
      <c r="A710" s="1"/>
      <c r="C710" s="1"/>
      <c r="D710" s="1"/>
      <c r="E710" s="1"/>
      <c r="F710" s="1"/>
    </row>
    <row r="711" spans="1:6" x14ac:dyDescent="0.25">
      <c r="A711" s="1"/>
      <c r="C711" s="1"/>
      <c r="D711" s="1"/>
      <c r="E711" s="1"/>
      <c r="F711" s="1"/>
    </row>
    <row r="712" spans="1:6" x14ac:dyDescent="0.25">
      <c r="A712" s="1"/>
      <c r="C712" s="1"/>
      <c r="D712" s="1"/>
      <c r="E712" s="1"/>
      <c r="F712" s="1"/>
    </row>
    <row r="713" spans="1:6" x14ac:dyDescent="0.25">
      <c r="A713" s="1"/>
      <c r="C713" s="1"/>
      <c r="D713" s="1"/>
      <c r="E713" s="1"/>
      <c r="F713" s="1"/>
    </row>
    <row r="714" spans="1:6" x14ac:dyDescent="0.25">
      <c r="A714" s="1"/>
      <c r="C714" s="1"/>
      <c r="D714" s="1"/>
      <c r="E714" s="1"/>
      <c r="F714" s="1"/>
    </row>
    <row r="715" spans="1:6" x14ac:dyDescent="0.25">
      <c r="A715" s="1"/>
      <c r="C715" s="1"/>
      <c r="D715" s="1"/>
      <c r="E715" s="1"/>
      <c r="F715" s="1"/>
    </row>
    <row r="716" spans="1:6" x14ac:dyDescent="0.25">
      <c r="A716" s="1"/>
      <c r="C716" s="1"/>
      <c r="D716" s="1"/>
      <c r="E716" s="1"/>
      <c r="F716" s="1"/>
    </row>
    <row r="717" spans="1:6" x14ac:dyDescent="0.25">
      <c r="A717" s="1"/>
      <c r="C717" s="1"/>
      <c r="D717" s="1"/>
      <c r="E717" s="1"/>
      <c r="F717" s="1"/>
    </row>
    <row r="718" spans="1:6" x14ac:dyDescent="0.25">
      <c r="A718" s="1"/>
      <c r="C718" s="1"/>
      <c r="D718" s="1"/>
      <c r="E718" s="1"/>
      <c r="F718" s="1"/>
    </row>
    <row r="719" spans="1:6" x14ac:dyDescent="0.25">
      <c r="A719" s="1"/>
      <c r="C719" s="1"/>
      <c r="D719" s="1"/>
      <c r="E719" s="1"/>
      <c r="F719" s="1"/>
    </row>
    <row r="720" spans="1:6" x14ac:dyDescent="0.25">
      <c r="A720" s="1"/>
      <c r="C720" s="1"/>
      <c r="D720" s="1"/>
      <c r="E720" s="1"/>
      <c r="F720" s="1"/>
    </row>
    <row r="721" spans="1:6" x14ac:dyDescent="0.25">
      <c r="A721" s="1"/>
      <c r="C721" s="1"/>
      <c r="D721" s="1"/>
      <c r="E721" s="1"/>
      <c r="F721" s="1"/>
    </row>
    <row r="722" spans="1:6" x14ac:dyDescent="0.25">
      <c r="A722" s="1"/>
      <c r="C722" s="1"/>
      <c r="D722" s="1"/>
      <c r="E722" s="1"/>
      <c r="F722" s="1"/>
    </row>
    <row r="723" spans="1:6" x14ac:dyDescent="0.25">
      <c r="A723" s="1"/>
      <c r="C723" s="1"/>
      <c r="D723" s="1"/>
      <c r="E723" s="1"/>
      <c r="F723" s="1"/>
    </row>
    <row r="724" spans="1:6" x14ac:dyDescent="0.25">
      <c r="A724" s="1"/>
      <c r="C724" s="1"/>
      <c r="D724" s="1"/>
      <c r="E724" s="1"/>
      <c r="F724" s="1"/>
    </row>
    <row r="725" spans="1:6" x14ac:dyDescent="0.25">
      <c r="A725" s="1"/>
      <c r="C725" s="1"/>
      <c r="D725" s="1"/>
      <c r="E725" s="1"/>
      <c r="F725" s="1"/>
    </row>
    <row r="726" spans="1:6" x14ac:dyDescent="0.25">
      <c r="A726" s="1"/>
      <c r="C726" s="1"/>
      <c r="D726" s="1"/>
      <c r="E726" s="1"/>
      <c r="F726" s="1"/>
    </row>
    <row r="727" spans="1:6" x14ac:dyDescent="0.25">
      <c r="A727" s="1"/>
      <c r="C727" s="1"/>
      <c r="D727" s="1"/>
      <c r="E727" s="1"/>
      <c r="F727" s="1"/>
    </row>
    <row r="728" spans="1:6" x14ac:dyDescent="0.25">
      <c r="A728" s="1"/>
      <c r="C728" s="1"/>
      <c r="D728" s="1"/>
      <c r="E728" s="1"/>
      <c r="F728" s="1"/>
    </row>
    <row r="729" spans="1:6" x14ac:dyDescent="0.25">
      <c r="A729" s="1"/>
      <c r="C729" s="1"/>
      <c r="D729" s="1"/>
      <c r="E729" s="1"/>
      <c r="F729" s="1"/>
    </row>
    <row r="730" spans="1:6" x14ac:dyDescent="0.25">
      <c r="A730" s="1"/>
      <c r="C730" s="1"/>
      <c r="D730" s="1"/>
      <c r="E730" s="1"/>
      <c r="F730" s="1"/>
    </row>
    <row r="731" spans="1:6" x14ac:dyDescent="0.25">
      <c r="A731" s="1"/>
      <c r="C731" s="1"/>
      <c r="D731" s="1"/>
      <c r="E731" s="1"/>
      <c r="F731" s="1"/>
    </row>
    <row r="732" spans="1:6" x14ac:dyDescent="0.25">
      <c r="A732" s="1"/>
      <c r="C732" s="1"/>
      <c r="D732" s="1"/>
      <c r="E732" s="1"/>
      <c r="F732" s="1"/>
    </row>
    <row r="733" spans="1:6" x14ac:dyDescent="0.25">
      <c r="A733" s="1"/>
      <c r="C733" s="1"/>
      <c r="D733" s="1"/>
      <c r="E733" s="1"/>
      <c r="F733" s="1"/>
    </row>
    <row r="734" spans="1:6" x14ac:dyDescent="0.25">
      <c r="A734" s="1"/>
      <c r="C734" s="1"/>
      <c r="D734" s="1"/>
      <c r="E734" s="1"/>
      <c r="F734" s="1"/>
    </row>
    <row r="735" spans="1:6" x14ac:dyDescent="0.25">
      <c r="A735" s="1"/>
      <c r="C735" s="1"/>
      <c r="D735" s="1"/>
      <c r="E735" s="1"/>
      <c r="F735" s="1"/>
    </row>
    <row r="736" spans="1:6" x14ac:dyDescent="0.25">
      <c r="A736" s="1"/>
      <c r="C736" s="1"/>
      <c r="D736" s="1"/>
      <c r="E736" s="1"/>
      <c r="F736" s="1"/>
    </row>
    <row r="737" spans="1:6" x14ac:dyDescent="0.25">
      <c r="A737" s="1"/>
      <c r="C737" s="1"/>
      <c r="D737" s="1"/>
      <c r="E737" s="1"/>
      <c r="F737" s="1"/>
    </row>
    <row r="738" spans="1:6" x14ac:dyDescent="0.25">
      <c r="A738" s="1"/>
      <c r="C738" s="1"/>
      <c r="D738" s="1"/>
      <c r="E738" s="1"/>
      <c r="F738" s="1"/>
    </row>
    <row r="739" spans="1:6" x14ac:dyDescent="0.25">
      <c r="A739" s="1"/>
      <c r="C739" s="1"/>
      <c r="D739" s="1"/>
      <c r="E739" s="1"/>
      <c r="F739" s="1"/>
    </row>
    <row r="740" spans="1:6" x14ac:dyDescent="0.25">
      <c r="A740" s="1"/>
      <c r="C740" s="1"/>
      <c r="D740" s="1"/>
      <c r="E740" s="1"/>
      <c r="F740" s="1"/>
    </row>
    <row r="741" spans="1:6" x14ac:dyDescent="0.25">
      <c r="A741" s="1"/>
      <c r="C741" s="1"/>
      <c r="D741" s="1"/>
      <c r="E741" s="1"/>
      <c r="F741" s="1"/>
    </row>
    <row r="742" spans="1:6" x14ac:dyDescent="0.25">
      <c r="A742" s="1"/>
      <c r="C742" s="1"/>
      <c r="D742" s="1"/>
      <c r="E742" s="1"/>
      <c r="F742" s="1"/>
    </row>
    <row r="743" spans="1:6" x14ac:dyDescent="0.25">
      <c r="A743" s="1"/>
      <c r="C743" s="1"/>
      <c r="D743" s="1"/>
      <c r="E743" s="1"/>
      <c r="F743" s="1"/>
    </row>
    <row r="744" spans="1:6" x14ac:dyDescent="0.25">
      <c r="A744" s="1"/>
      <c r="C744" s="1"/>
      <c r="D744" s="1"/>
      <c r="E744" s="1"/>
      <c r="F744" s="1"/>
    </row>
    <row r="745" spans="1:6" x14ac:dyDescent="0.25">
      <c r="A745" s="1"/>
      <c r="C745" s="1"/>
      <c r="D745" s="1"/>
      <c r="E745" s="1"/>
      <c r="F745" s="1"/>
    </row>
    <row r="746" spans="1:6" x14ac:dyDescent="0.25">
      <c r="A746" s="1"/>
      <c r="C746" s="1"/>
      <c r="D746" s="1"/>
      <c r="E746" s="1"/>
      <c r="F746" s="1"/>
    </row>
    <row r="747" spans="1:6" x14ac:dyDescent="0.25">
      <c r="A747" s="1"/>
      <c r="C747" s="1"/>
      <c r="D747" s="1"/>
      <c r="E747" s="1"/>
      <c r="F747" s="1"/>
    </row>
    <row r="748" spans="1:6" x14ac:dyDescent="0.25">
      <c r="A748" s="1"/>
      <c r="C748" s="1"/>
      <c r="D748" s="1"/>
      <c r="E748" s="1"/>
      <c r="F748" s="1"/>
    </row>
    <row r="749" spans="1:6" x14ac:dyDescent="0.25">
      <c r="A749" s="1"/>
      <c r="C749" s="1"/>
      <c r="D749" s="1"/>
      <c r="E749" s="1"/>
      <c r="F749" s="1"/>
    </row>
    <row r="750" spans="1:6" x14ac:dyDescent="0.25">
      <c r="A750" s="1"/>
      <c r="C750" s="1"/>
      <c r="D750" s="1"/>
      <c r="E750" s="1"/>
      <c r="F750" s="1"/>
    </row>
    <row r="751" spans="1:6" x14ac:dyDescent="0.25">
      <c r="A751" s="1"/>
      <c r="C751" s="1"/>
      <c r="D751" s="1"/>
      <c r="E751" s="1"/>
      <c r="F751" s="1"/>
    </row>
    <row r="752" spans="1:6" x14ac:dyDescent="0.25">
      <c r="A752" s="1"/>
      <c r="C752" s="1"/>
      <c r="D752" s="1"/>
      <c r="E752" s="1"/>
      <c r="F752" s="1"/>
    </row>
    <row r="753" spans="1:6" x14ac:dyDescent="0.25">
      <c r="A753" s="1"/>
      <c r="C753" s="1"/>
      <c r="D753" s="1"/>
      <c r="E753" s="1"/>
      <c r="F753" s="1"/>
    </row>
    <row r="754" spans="1:6" x14ac:dyDescent="0.25">
      <c r="A754" s="1"/>
      <c r="C754" s="1"/>
      <c r="D754" s="1"/>
      <c r="E754" s="1"/>
      <c r="F754" s="1"/>
    </row>
    <row r="755" spans="1:6" x14ac:dyDescent="0.25">
      <c r="A755" s="1"/>
      <c r="C755" s="1"/>
      <c r="D755" s="1"/>
      <c r="E755" s="1"/>
      <c r="F755" s="1"/>
    </row>
    <row r="756" spans="1:6" x14ac:dyDescent="0.25">
      <c r="A756" s="1"/>
      <c r="C756" s="1"/>
      <c r="D756" s="1"/>
      <c r="E756" s="1"/>
      <c r="F756" s="1"/>
    </row>
    <row r="757" spans="1:6" x14ac:dyDescent="0.25">
      <c r="A757" s="1"/>
      <c r="C757" s="1"/>
      <c r="D757" s="1"/>
      <c r="E757" s="1"/>
      <c r="F757" s="1"/>
    </row>
    <row r="758" spans="1:6" x14ac:dyDescent="0.25">
      <c r="A758" s="1"/>
      <c r="C758" s="1"/>
      <c r="D758" s="1"/>
      <c r="E758" s="1"/>
      <c r="F758" s="1"/>
    </row>
    <row r="759" spans="1:6" x14ac:dyDescent="0.25">
      <c r="A759" s="1"/>
      <c r="C759" s="1"/>
      <c r="D759" s="1"/>
      <c r="E759" s="1"/>
      <c r="F759" s="1"/>
    </row>
    <row r="760" spans="1:6" x14ac:dyDescent="0.25">
      <c r="A760" s="1"/>
      <c r="C760" s="1"/>
      <c r="D760" s="1"/>
      <c r="E760" s="1"/>
      <c r="F760" s="1"/>
    </row>
    <row r="761" spans="1:6" x14ac:dyDescent="0.25">
      <c r="A761" s="1"/>
      <c r="C761" s="1"/>
      <c r="D761" s="1"/>
      <c r="E761" s="1"/>
      <c r="F761" s="1"/>
    </row>
    <row r="762" spans="1:6" x14ac:dyDescent="0.25">
      <c r="A762" s="1"/>
      <c r="C762" s="1"/>
      <c r="D762" s="1"/>
      <c r="E762" s="1"/>
      <c r="F762" s="1"/>
    </row>
    <row r="763" spans="1:6" x14ac:dyDescent="0.25">
      <c r="A763" s="1"/>
      <c r="C763" s="1"/>
      <c r="D763" s="1"/>
      <c r="E763" s="1"/>
      <c r="F763" s="1"/>
    </row>
    <row r="764" spans="1:6" x14ac:dyDescent="0.25">
      <c r="A764" s="1"/>
      <c r="C764" s="1"/>
      <c r="D764" s="1"/>
      <c r="E764" s="1"/>
      <c r="F764" s="1"/>
    </row>
    <row r="765" spans="1:6" x14ac:dyDescent="0.25">
      <c r="A765" s="1"/>
      <c r="C765" s="1"/>
      <c r="D765" s="1"/>
      <c r="E765" s="1"/>
      <c r="F765" s="1"/>
    </row>
    <row r="766" spans="1:6" x14ac:dyDescent="0.25">
      <c r="A766" s="1"/>
      <c r="C766" s="1"/>
      <c r="D766" s="1"/>
      <c r="E766" s="1"/>
      <c r="F766" s="1"/>
    </row>
    <row r="767" spans="1:6" x14ac:dyDescent="0.25">
      <c r="A767" s="1"/>
      <c r="C767" s="1"/>
      <c r="D767" s="1"/>
      <c r="E767" s="1"/>
      <c r="F767" s="1"/>
    </row>
    <row r="768" spans="1:6" x14ac:dyDescent="0.25">
      <c r="A768" s="1"/>
      <c r="C768" s="1"/>
      <c r="D768" s="1"/>
      <c r="E768" s="1"/>
      <c r="F768" s="1"/>
    </row>
    <row r="769" spans="1:6" x14ac:dyDescent="0.25">
      <c r="A769" s="1"/>
      <c r="C769" s="1"/>
      <c r="D769" s="1"/>
      <c r="E769" s="1"/>
      <c r="F769" s="1"/>
    </row>
    <row r="770" spans="1:6" x14ac:dyDescent="0.25">
      <c r="A770" s="1"/>
      <c r="C770" s="1"/>
      <c r="D770" s="1"/>
      <c r="E770" s="1"/>
      <c r="F770" s="1"/>
    </row>
    <row r="771" spans="1:6" x14ac:dyDescent="0.25">
      <c r="A771" s="1"/>
      <c r="C771" s="1"/>
      <c r="D771" s="1"/>
      <c r="E771" s="1"/>
      <c r="F771" s="1"/>
    </row>
    <row r="772" spans="1:6" x14ac:dyDescent="0.25">
      <c r="A772" s="1"/>
      <c r="C772" s="1"/>
      <c r="D772" s="1"/>
      <c r="E772" s="1"/>
      <c r="F772" s="1"/>
    </row>
    <row r="773" spans="1:6" x14ac:dyDescent="0.25">
      <c r="A773" s="1"/>
      <c r="C773" s="1"/>
      <c r="D773" s="1"/>
      <c r="E773" s="1"/>
      <c r="F773" s="1"/>
    </row>
    <row r="774" spans="1:6" x14ac:dyDescent="0.25">
      <c r="A774" s="1"/>
      <c r="C774" s="1"/>
      <c r="D774" s="1"/>
      <c r="E774" s="1"/>
      <c r="F774" s="1"/>
    </row>
    <row r="775" spans="1:6" x14ac:dyDescent="0.25">
      <c r="A775" s="1"/>
      <c r="C775" s="1"/>
      <c r="D775" s="1"/>
      <c r="E775" s="1"/>
      <c r="F775" s="1"/>
    </row>
    <row r="776" spans="1:6" x14ac:dyDescent="0.25">
      <c r="A776" s="1"/>
      <c r="C776" s="1"/>
      <c r="D776" s="1"/>
      <c r="E776" s="1"/>
      <c r="F776" s="1"/>
    </row>
    <row r="777" spans="1:6" x14ac:dyDescent="0.25">
      <c r="A777" s="1"/>
      <c r="C777" s="1"/>
      <c r="D777" s="1"/>
      <c r="E777" s="1"/>
      <c r="F777" s="1"/>
    </row>
    <row r="778" spans="1:6" x14ac:dyDescent="0.25">
      <c r="A778" s="1"/>
      <c r="C778" s="1"/>
      <c r="D778" s="1"/>
      <c r="E778" s="1"/>
      <c r="F778" s="1"/>
    </row>
    <row r="779" spans="1:6" x14ac:dyDescent="0.25">
      <c r="A779" s="1"/>
      <c r="C779" s="1"/>
      <c r="D779" s="1"/>
      <c r="E779" s="1"/>
      <c r="F779" s="1"/>
    </row>
    <row r="780" spans="1:6" x14ac:dyDescent="0.25">
      <c r="A780" s="1"/>
      <c r="C780" s="1"/>
      <c r="D780" s="1"/>
      <c r="E780" s="1"/>
      <c r="F780" s="1"/>
    </row>
    <row r="781" spans="1:6" x14ac:dyDescent="0.25">
      <c r="A781" s="1"/>
      <c r="C781" s="1"/>
      <c r="D781" s="1"/>
      <c r="E781" s="1"/>
      <c r="F781" s="1"/>
    </row>
    <row r="782" spans="1:6" x14ac:dyDescent="0.25">
      <c r="A782" s="1"/>
      <c r="C782" s="1"/>
      <c r="D782" s="1"/>
      <c r="E782" s="1"/>
      <c r="F782" s="1"/>
    </row>
    <row r="783" spans="1:6" x14ac:dyDescent="0.25">
      <c r="A783" s="1"/>
      <c r="C783" s="1"/>
      <c r="D783" s="1"/>
      <c r="E783" s="1"/>
      <c r="F783" s="1"/>
    </row>
    <row r="784" spans="1:6" x14ac:dyDescent="0.25">
      <c r="A784" s="1"/>
      <c r="C784" s="1"/>
      <c r="D784" s="1"/>
      <c r="E784" s="1"/>
      <c r="F784" s="1"/>
    </row>
    <row r="785" spans="1:6" x14ac:dyDescent="0.25">
      <c r="A785" s="1"/>
      <c r="C785" s="1"/>
      <c r="D785" s="1"/>
      <c r="E785" s="1"/>
      <c r="F785" s="1"/>
    </row>
    <row r="786" spans="1:6" x14ac:dyDescent="0.25">
      <c r="A786" s="1"/>
      <c r="C786" s="1"/>
      <c r="D786" s="1"/>
      <c r="E786" s="1"/>
      <c r="F786" s="1"/>
    </row>
    <row r="787" spans="1:6" x14ac:dyDescent="0.25">
      <c r="A787" s="1"/>
      <c r="C787" s="1"/>
      <c r="D787" s="1"/>
      <c r="E787" s="1"/>
      <c r="F787" s="1"/>
    </row>
    <row r="788" spans="1:6" x14ac:dyDescent="0.25">
      <c r="A788" s="1"/>
      <c r="C788" s="1"/>
      <c r="D788" s="1"/>
      <c r="E788" s="1"/>
      <c r="F788" s="1"/>
    </row>
    <row r="789" spans="1:6" x14ac:dyDescent="0.25">
      <c r="A789" s="1"/>
      <c r="C789" s="1"/>
      <c r="D789" s="1"/>
      <c r="E789" s="1"/>
      <c r="F789" s="1"/>
    </row>
    <row r="790" spans="1:6" x14ac:dyDescent="0.25">
      <c r="A790" s="1"/>
      <c r="C790" s="1"/>
      <c r="D790" s="1"/>
      <c r="E790" s="1"/>
      <c r="F790" s="1"/>
    </row>
    <row r="791" spans="1:6" x14ac:dyDescent="0.25">
      <c r="A791" s="1"/>
      <c r="C791" s="1"/>
      <c r="D791" s="1"/>
      <c r="E791" s="1"/>
      <c r="F791" s="1"/>
    </row>
    <row r="792" spans="1:6" x14ac:dyDescent="0.25">
      <c r="A792" s="1"/>
      <c r="C792" s="1"/>
      <c r="D792" s="1"/>
      <c r="E792" s="1"/>
      <c r="F792" s="1"/>
    </row>
    <row r="793" spans="1:6" x14ac:dyDescent="0.25">
      <c r="A793" s="1"/>
      <c r="C793" s="1"/>
      <c r="D793" s="1"/>
      <c r="E793" s="1"/>
      <c r="F793" s="1"/>
    </row>
    <row r="794" spans="1:6" x14ac:dyDescent="0.25">
      <c r="A794" s="1"/>
      <c r="C794" s="1"/>
      <c r="D794" s="1"/>
      <c r="E794" s="1"/>
      <c r="F794" s="1"/>
    </row>
    <row r="795" spans="1:6" x14ac:dyDescent="0.25">
      <c r="A795" s="1"/>
      <c r="C795" s="1"/>
      <c r="D795" s="1"/>
      <c r="E795" s="1"/>
      <c r="F795" s="1"/>
    </row>
    <row r="796" spans="1:6" x14ac:dyDescent="0.25">
      <c r="A796" s="1"/>
      <c r="C796" s="1"/>
      <c r="D796" s="1"/>
      <c r="E796" s="1"/>
      <c r="F796" s="1"/>
    </row>
    <row r="797" spans="1:6" x14ac:dyDescent="0.25">
      <c r="A797" s="1"/>
      <c r="C797" s="1"/>
      <c r="D797" s="1"/>
      <c r="E797" s="1"/>
      <c r="F797" s="1"/>
    </row>
    <row r="798" spans="1:6" x14ac:dyDescent="0.25">
      <c r="A798" s="1"/>
      <c r="C798" s="1"/>
      <c r="D798" s="1"/>
      <c r="E798" s="1"/>
      <c r="F798" s="1"/>
    </row>
    <row r="799" spans="1:6" x14ac:dyDescent="0.25">
      <c r="A799" s="1"/>
      <c r="C799" s="1"/>
      <c r="D799" s="1"/>
      <c r="E799" s="1"/>
      <c r="F799" s="1"/>
    </row>
    <row r="800" spans="1:6" x14ac:dyDescent="0.25">
      <c r="A800" s="1"/>
      <c r="C800" s="1"/>
      <c r="D800" s="1"/>
      <c r="E800" s="1"/>
      <c r="F800" s="1"/>
    </row>
    <row r="801" spans="1:6" x14ac:dyDescent="0.25">
      <c r="A801" s="1"/>
      <c r="C801" s="1"/>
      <c r="D801" s="1"/>
      <c r="E801" s="1"/>
      <c r="F801" s="1"/>
    </row>
    <row r="802" spans="1:6" x14ac:dyDescent="0.25">
      <c r="A802" s="1"/>
      <c r="C802" s="1"/>
      <c r="D802" s="1"/>
      <c r="E802" s="1"/>
      <c r="F802" s="1"/>
    </row>
    <row r="803" spans="1:6" x14ac:dyDescent="0.25">
      <c r="A803" s="1"/>
      <c r="C803" s="1"/>
      <c r="D803" s="1"/>
      <c r="E803" s="1"/>
      <c r="F803" s="1"/>
    </row>
    <row r="804" spans="1:6" x14ac:dyDescent="0.25">
      <c r="A804" s="1"/>
      <c r="C804" s="1"/>
      <c r="D804" s="1"/>
      <c r="E804" s="1"/>
      <c r="F804" s="1"/>
    </row>
    <row r="805" spans="1:6" x14ac:dyDescent="0.25">
      <c r="A805" s="1"/>
      <c r="C805" s="1"/>
      <c r="D805" s="1"/>
      <c r="E805" s="1"/>
      <c r="F805" s="1"/>
    </row>
    <row r="806" spans="1:6" x14ac:dyDescent="0.25">
      <c r="A806" s="1"/>
      <c r="C806" s="1"/>
      <c r="D806" s="1"/>
      <c r="E806" s="1"/>
      <c r="F806" s="1"/>
    </row>
    <row r="807" spans="1:6" x14ac:dyDescent="0.25">
      <c r="A807" s="1"/>
      <c r="C807" s="1"/>
      <c r="D807" s="1"/>
      <c r="E807" s="1"/>
      <c r="F807" s="1"/>
    </row>
    <row r="808" spans="1:6" x14ac:dyDescent="0.25">
      <c r="A808" s="1"/>
      <c r="C808" s="1"/>
      <c r="D808" s="1"/>
      <c r="E808" s="1"/>
      <c r="F808" s="1"/>
    </row>
    <row r="809" spans="1:6" x14ac:dyDescent="0.25">
      <c r="A809" s="1"/>
      <c r="C809" s="1"/>
      <c r="D809" s="1"/>
      <c r="E809" s="1"/>
      <c r="F809" s="1"/>
    </row>
    <row r="810" spans="1:6" x14ac:dyDescent="0.25">
      <c r="A810" s="1"/>
      <c r="C810" s="1"/>
      <c r="D810" s="1"/>
      <c r="E810" s="1"/>
      <c r="F810" s="1"/>
    </row>
    <row r="811" spans="1:6" x14ac:dyDescent="0.25">
      <c r="A811" s="1"/>
      <c r="C811" s="1"/>
      <c r="D811" s="1"/>
      <c r="E811" s="1"/>
      <c r="F811" s="1"/>
    </row>
    <row r="812" spans="1:6" x14ac:dyDescent="0.25">
      <c r="A812" s="1"/>
      <c r="C812" s="1"/>
      <c r="D812" s="1"/>
      <c r="E812" s="1"/>
      <c r="F812" s="1"/>
    </row>
    <row r="813" spans="1:6" x14ac:dyDescent="0.25">
      <c r="A813" s="1"/>
      <c r="C813" s="1"/>
      <c r="D813" s="1"/>
      <c r="E813" s="1"/>
      <c r="F813" s="1"/>
    </row>
    <row r="814" spans="1:6" x14ac:dyDescent="0.25">
      <c r="A814" s="1"/>
      <c r="C814" s="1"/>
      <c r="D814" s="1"/>
      <c r="E814" s="1"/>
      <c r="F814" s="1"/>
    </row>
    <row r="815" spans="1:6" x14ac:dyDescent="0.25">
      <c r="A815" s="1"/>
      <c r="C815" s="1"/>
      <c r="D815" s="1"/>
      <c r="E815" s="1"/>
      <c r="F815" s="1"/>
    </row>
    <row r="816" spans="1:6" x14ac:dyDescent="0.25">
      <c r="A816" s="1"/>
      <c r="C816" s="1"/>
      <c r="D816" s="1"/>
      <c r="E816" s="1"/>
      <c r="F816" s="1"/>
    </row>
    <row r="817" spans="1:6" x14ac:dyDescent="0.25">
      <c r="A817" s="1"/>
      <c r="C817" s="1"/>
      <c r="D817" s="1"/>
      <c r="E817" s="1"/>
      <c r="F817" s="1"/>
    </row>
    <row r="818" spans="1:6" x14ac:dyDescent="0.25">
      <c r="A818" s="1"/>
      <c r="C818" s="1"/>
      <c r="D818" s="1"/>
      <c r="E818" s="1"/>
      <c r="F818" s="1"/>
    </row>
    <row r="819" spans="1:6" x14ac:dyDescent="0.25">
      <c r="A819" s="1"/>
      <c r="C819" s="1"/>
      <c r="D819" s="1"/>
      <c r="E819" s="1"/>
      <c r="F819" s="1"/>
    </row>
    <row r="820" spans="1:6" x14ac:dyDescent="0.25">
      <c r="A820" s="1"/>
      <c r="C820" s="1"/>
      <c r="D820" s="1"/>
      <c r="E820" s="1"/>
      <c r="F820" s="1"/>
    </row>
    <row r="821" spans="1:6" x14ac:dyDescent="0.25">
      <c r="A821" s="1"/>
      <c r="C821" s="1"/>
      <c r="D821" s="1"/>
      <c r="E821" s="1"/>
      <c r="F821" s="1"/>
    </row>
    <row r="822" spans="1:6" x14ac:dyDescent="0.25">
      <c r="A822" s="1"/>
      <c r="C822" s="1"/>
      <c r="D822" s="1"/>
      <c r="E822" s="1"/>
      <c r="F822" s="1"/>
    </row>
    <row r="823" spans="1:6" x14ac:dyDescent="0.25">
      <c r="A823" s="1"/>
      <c r="C823" s="1"/>
      <c r="D823" s="1"/>
      <c r="E823" s="1"/>
      <c r="F823" s="1"/>
    </row>
    <row r="824" spans="1:6" x14ac:dyDescent="0.25">
      <c r="A824" s="1"/>
      <c r="C824" s="1"/>
      <c r="D824" s="1"/>
      <c r="E824" s="1"/>
      <c r="F824" s="1"/>
    </row>
    <row r="825" spans="1:6" x14ac:dyDescent="0.25">
      <c r="A825" s="1"/>
      <c r="C825" s="1"/>
      <c r="D825" s="1"/>
      <c r="E825" s="1"/>
      <c r="F825" s="1"/>
    </row>
    <row r="826" spans="1:6" x14ac:dyDescent="0.25">
      <c r="A826" s="1"/>
      <c r="C826" s="1"/>
      <c r="D826" s="1"/>
      <c r="E826" s="1"/>
      <c r="F826" s="1"/>
    </row>
    <row r="827" spans="1:6" x14ac:dyDescent="0.25">
      <c r="A827" s="1"/>
      <c r="C827" s="1"/>
      <c r="D827" s="1"/>
      <c r="E827" s="1"/>
      <c r="F827" s="1"/>
    </row>
    <row r="828" spans="1:6" x14ac:dyDescent="0.25">
      <c r="A828" s="1"/>
      <c r="C828" s="1"/>
      <c r="D828" s="1"/>
      <c r="E828" s="1"/>
      <c r="F828" s="1"/>
    </row>
    <row r="829" spans="1:6" x14ac:dyDescent="0.25">
      <c r="A829" s="1"/>
      <c r="C829" s="1"/>
      <c r="D829" s="1"/>
      <c r="E829" s="1"/>
      <c r="F829" s="1"/>
    </row>
    <row r="830" spans="1:6" x14ac:dyDescent="0.25">
      <c r="A830" s="1"/>
      <c r="C830" s="1"/>
      <c r="D830" s="1"/>
      <c r="E830" s="1"/>
      <c r="F830" s="1"/>
    </row>
    <row r="831" spans="1:6" x14ac:dyDescent="0.25">
      <c r="A831" s="1"/>
      <c r="C831" s="1"/>
      <c r="D831" s="1"/>
      <c r="E831" s="1"/>
      <c r="F831" s="1"/>
    </row>
    <row r="832" spans="1:6" x14ac:dyDescent="0.25">
      <c r="A832" s="1"/>
      <c r="C832" s="1"/>
      <c r="D832" s="1"/>
      <c r="E832" s="1"/>
      <c r="F832" s="1"/>
    </row>
    <row r="833" spans="1:6" x14ac:dyDescent="0.25">
      <c r="A833" s="1"/>
      <c r="C833" s="1"/>
      <c r="D833" s="1"/>
      <c r="E833" s="1"/>
      <c r="F833" s="1"/>
    </row>
    <row r="834" spans="1:6" x14ac:dyDescent="0.25">
      <c r="A834" s="1"/>
      <c r="C834" s="1"/>
      <c r="D834" s="1"/>
      <c r="E834" s="1"/>
      <c r="F834" s="1"/>
    </row>
    <row r="835" spans="1:6" x14ac:dyDescent="0.25">
      <c r="A835" s="1"/>
      <c r="C835" s="1"/>
      <c r="D835" s="1"/>
      <c r="E835" s="1"/>
      <c r="F835" s="1"/>
    </row>
    <row r="836" spans="1:6" x14ac:dyDescent="0.25">
      <c r="A836" s="1"/>
      <c r="C836" s="1"/>
      <c r="D836" s="1"/>
      <c r="E836" s="1"/>
      <c r="F836" s="1"/>
    </row>
    <row r="837" spans="1:6" x14ac:dyDescent="0.25">
      <c r="A837" s="1"/>
      <c r="C837" s="1"/>
      <c r="D837" s="1"/>
      <c r="E837" s="1"/>
      <c r="F837" s="1"/>
    </row>
    <row r="838" spans="1:6" x14ac:dyDescent="0.25">
      <c r="A838" s="1"/>
      <c r="C838" s="1"/>
      <c r="D838" s="1"/>
      <c r="E838" s="1"/>
      <c r="F838" s="1"/>
    </row>
    <row r="839" spans="1:6" x14ac:dyDescent="0.25">
      <c r="A839" s="1"/>
      <c r="C839" s="1"/>
      <c r="D839" s="1"/>
      <c r="E839" s="1"/>
      <c r="F839" s="1"/>
    </row>
    <row r="840" spans="1:6" x14ac:dyDescent="0.25">
      <c r="A840" s="1"/>
      <c r="C840" s="1"/>
      <c r="D840" s="1"/>
      <c r="E840" s="1"/>
      <c r="F840" s="1"/>
    </row>
    <row r="841" spans="1:6" x14ac:dyDescent="0.25">
      <c r="A841" s="1"/>
      <c r="C841" s="1"/>
      <c r="D841" s="1"/>
      <c r="E841" s="1"/>
      <c r="F841" s="1"/>
    </row>
    <row r="842" spans="1:6" x14ac:dyDescent="0.25">
      <c r="A842" s="1"/>
      <c r="C842" s="1"/>
      <c r="D842" s="1"/>
      <c r="E842" s="1"/>
      <c r="F842" s="1"/>
    </row>
    <row r="843" spans="1:6" x14ac:dyDescent="0.25">
      <c r="A843" s="1"/>
      <c r="C843" s="1"/>
      <c r="D843" s="1"/>
      <c r="E843" s="1"/>
      <c r="F843" s="1"/>
    </row>
    <row r="844" spans="1:6" x14ac:dyDescent="0.25">
      <c r="A844" s="1"/>
      <c r="C844" s="1"/>
      <c r="D844" s="1"/>
      <c r="E844" s="1"/>
      <c r="F844" s="1"/>
    </row>
    <row r="845" spans="1:6" x14ac:dyDescent="0.25">
      <c r="A845" s="1"/>
      <c r="C845" s="1"/>
      <c r="D845" s="1"/>
      <c r="E845" s="1"/>
      <c r="F845" s="1"/>
    </row>
    <row r="846" spans="1:6" x14ac:dyDescent="0.25">
      <c r="A846" s="1"/>
      <c r="C846" s="1"/>
      <c r="D846" s="1"/>
      <c r="E846" s="1"/>
      <c r="F846" s="1"/>
    </row>
    <row r="847" spans="1:6" x14ac:dyDescent="0.25">
      <c r="A847" s="1"/>
      <c r="C847" s="1"/>
      <c r="D847" s="1"/>
      <c r="E847" s="1"/>
      <c r="F847" s="1"/>
    </row>
    <row r="848" spans="1:6" x14ac:dyDescent="0.25">
      <c r="A848" s="1"/>
      <c r="C848" s="1"/>
      <c r="D848" s="1"/>
      <c r="E848" s="1"/>
      <c r="F848" s="1"/>
    </row>
    <row r="849" spans="1:6" x14ac:dyDescent="0.25">
      <c r="A849" s="1"/>
      <c r="C849" s="1"/>
      <c r="D849" s="1"/>
      <c r="E849" s="1"/>
      <c r="F849" s="1"/>
    </row>
    <row r="850" spans="1:6" x14ac:dyDescent="0.25">
      <c r="A850" s="1"/>
      <c r="C850" s="1"/>
      <c r="D850" s="1"/>
      <c r="E850" s="1"/>
      <c r="F850" s="1"/>
    </row>
    <row r="851" spans="1:6" x14ac:dyDescent="0.25">
      <c r="A851" s="1"/>
      <c r="C851" s="1"/>
      <c r="D851" s="1"/>
      <c r="E851" s="1"/>
      <c r="F851" s="1"/>
    </row>
    <row r="852" spans="1:6" x14ac:dyDescent="0.25">
      <c r="A852" s="1"/>
      <c r="C852" s="1"/>
      <c r="D852" s="1"/>
      <c r="E852" s="1"/>
      <c r="F852" s="1"/>
    </row>
    <row r="853" spans="1:6" x14ac:dyDescent="0.25">
      <c r="A853" s="1"/>
      <c r="C853" s="1"/>
      <c r="D853" s="1"/>
      <c r="E853" s="1"/>
      <c r="F853" s="1"/>
    </row>
    <row r="854" spans="1:6" x14ac:dyDescent="0.25">
      <c r="A854" s="1"/>
      <c r="C854" s="1"/>
      <c r="D854" s="1"/>
      <c r="E854" s="1"/>
      <c r="F854" s="1"/>
    </row>
    <row r="855" spans="1:6" x14ac:dyDescent="0.25">
      <c r="A855" s="1"/>
      <c r="C855" s="1"/>
      <c r="D855" s="1"/>
      <c r="E855" s="1"/>
      <c r="F855" s="1"/>
    </row>
    <row r="856" spans="1:6" x14ac:dyDescent="0.25">
      <c r="A856" s="1"/>
      <c r="C856" s="1"/>
      <c r="D856" s="1"/>
      <c r="E856" s="1"/>
      <c r="F856" s="1"/>
    </row>
    <row r="857" spans="1:6" x14ac:dyDescent="0.25">
      <c r="A857" s="1"/>
      <c r="C857" s="1"/>
      <c r="D857" s="1"/>
      <c r="E857" s="1"/>
      <c r="F857" s="1"/>
    </row>
    <row r="858" spans="1:6" x14ac:dyDescent="0.25">
      <c r="A858" s="1"/>
      <c r="C858" s="1"/>
      <c r="D858" s="1"/>
      <c r="E858" s="1"/>
      <c r="F858" s="1"/>
    </row>
    <row r="859" spans="1:6" x14ac:dyDescent="0.25">
      <c r="A859" s="1"/>
      <c r="C859" s="1"/>
      <c r="D859" s="1"/>
      <c r="E859" s="1"/>
      <c r="F859" s="1"/>
    </row>
    <row r="860" spans="1:6" x14ac:dyDescent="0.25">
      <c r="A860" s="1"/>
      <c r="C860" s="1"/>
      <c r="D860" s="1"/>
      <c r="E860" s="1"/>
      <c r="F860" s="1"/>
    </row>
    <row r="861" spans="1:6" x14ac:dyDescent="0.25">
      <c r="A861" s="1"/>
      <c r="C861" s="1"/>
      <c r="D861" s="1"/>
      <c r="E861" s="1"/>
      <c r="F861" s="1"/>
    </row>
    <row r="862" spans="1:6" x14ac:dyDescent="0.25">
      <c r="A862" s="1"/>
      <c r="C862" s="1"/>
      <c r="D862" s="1"/>
      <c r="E862" s="1"/>
      <c r="F862" s="1"/>
    </row>
    <row r="863" spans="1:6" x14ac:dyDescent="0.25">
      <c r="A863" s="1"/>
      <c r="C863" s="1"/>
      <c r="D863" s="1"/>
      <c r="E863" s="1"/>
      <c r="F863" s="1"/>
    </row>
    <row r="864" spans="1:6" x14ac:dyDescent="0.25">
      <c r="A864" s="1"/>
      <c r="C864" s="1"/>
      <c r="D864" s="1"/>
      <c r="E864" s="1"/>
      <c r="F864" s="1"/>
    </row>
    <row r="865" spans="1:6" x14ac:dyDescent="0.25">
      <c r="A865" s="1"/>
      <c r="C865" s="1"/>
      <c r="D865" s="1"/>
      <c r="E865" s="1"/>
      <c r="F865" s="1"/>
    </row>
    <row r="866" spans="1:6" x14ac:dyDescent="0.25">
      <c r="A866" s="1"/>
      <c r="C866" s="1"/>
      <c r="D866" s="1"/>
      <c r="E866" s="1"/>
      <c r="F866" s="1"/>
    </row>
    <row r="867" spans="1:6" x14ac:dyDescent="0.25">
      <c r="A867" s="1"/>
      <c r="C867" s="1"/>
      <c r="D867" s="1"/>
      <c r="E867" s="1"/>
      <c r="F867" s="1"/>
    </row>
    <row r="868" spans="1:6" x14ac:dyDescent="0.25">
      <c r="A868" s="1"/>
      <c r="C868" s="1"/>
      <c r="D868" s="1"/>
      <c r="E868" s="1"/>
      <c r="F868" s="1"/>
    </row>
    <row r="869" spans="1:6" x14ac:dyDescent="0.25">
      <c r="A869" s="1"/>
      <c r="C869" s="1"/>
      <c r="D869" s="1"/>
      <c r="E869" s="1"/>
      <c r="F869" s="1"/>
    </row>
    <row r="870" spans="1:6" x14ac:dyDescent="0.25">
      <c r="A870" s="1"/>
      <c r="C870" s="1"/>
      <c r="D870" s="1"/>
      <c r="E870" s="1"/>
      <c r="F870" s="1"/>
    </row>
    <row r="871" spans="1:6" x14ac:dyDescent="0.25">
      <c r="A871" s="1"/>
      <c r="C871" s="1"/>
      <c r="D871" s="1"/>
      <c r="E871" s="1"/>
      <c r="F871" s="1"/>
    </row>
    <row r="872" spans="1:6" x14ac:dyDescent="0.25">
      <c r="A872" s="1"/>
      <c r="C872" s="1"/>
      <c r="D872" s="1"/>
      <c r="E872" s="1"/>
      <c r="F872" s="1"/>
    </row>
    <row r="873" spans="1:6" x14ac:dyDescent="0.25">
      <c r="A873" s="1"/>
      <c r="C873" s="1"/>
      <c r="D873" s="1"/>
      <c r="E873" s="1"/>
      <c r="F873" s="1"/>
    </row>
    <row r="874" spans="1:6" x14ac:dyDescent="0.25">
      <c r="A874" s="1"/>
      <c r="C874" s="1"/>
      <c r="D874" s="1"/>
      <c r="E874" s="1"/>
      <c r="F874" s="1"/>
    </row>
    <row r="875" spans="1:6" x14ac:dyDescent="0.25">
      <c r="A875" s="1"/>
      <c r="C875" s="1"/>
      <c r="D875" s="1"/>
      <c r="E875" s="1"/>
      <c r="F875" s="1"/>
    </row>
    <row r="876" spans="1:6" x14ac:dyDescent="0.25">
      <c r="A876" s="1"/>
      <c r="C876" s="1"/>
      <c r="D876" s="1"/>
      <c r="E876" s="1"/>
      <c r="F876" s="1"/>
    </row>
    <row r="877" spans="1:6" x14ac:dyDescent="0.25">
      <c r="A877" s="1"/>
      <c r="C877" s="1"/>
      <c r="D877" s="1"/>
      <c r="E877" s="1"/>
      <c r="F877" s="1"/>
    </row>
    <row r="878" spans="1:6" x14ac:dyDescent="0.25">
      <c r="A878" s="1"/>
      <c r="C878" s="1"/>
      <c r="D878" s="1"/>
      <c r="E878" s="1"/>
      <c r="F878" s="1"/>
    </row>
    <row r="879" spans="1:6" x14ac:dyDescent="0.25">
      <c r="A879" s="1"/>
      <c r="C879" s="1"/>
      <c r="D879" s="1"/>
      <c r="E879" s="1"/>
      <c r="F879" s="1"/>
    </row>
    <row r="880" spans="1:6" x14ac:dyDescent="0.25">
      <c r="A880" s="1"/>
      <c r="C880" s="1"/>
      <c r="D880" s="1"/>
      <c r="E880" s="1"/>
      <c r="F880" s="1"/>
    </row>
    <row r="881" spans="1:6" x14ac:dyDescent="0.25">
      <c r="A881" s="1"/>
      <c r="C881" s="1"/>
      <c r="D881" s="1"/>
      <c r="E881" s="1"/>
      <c r="F881" s="1"/>
    </row>
    <row r="882" spans="1:6" x14ac:dyDescent="0.25">
      <c r="A882" s="1"/>
      <c r="C882" s="1"/>
      <c r="D882" s="1"/>
      <c r="E882" s="1"/>
      <c r="F882" s="1"/>
    </row>
    <row r="883" spans="1:6" x14ac:dyDescent="0.25">
      <c r="A883" s="1"/>
      <c r="C883" s="1"/>
      <c r="D883" s="1"/>
      <c r="E883" s="1"/>
      <c r="F883" s="1"/>
    </row>
    <row r="884" spans="1:6" x14ac:dyDescent="0.25">
      <c r="A884" s="1"/>
      <c r="C884" s="1"/>
      <c r="D884" s="1"/>
      <c r="E884" s="1"/>
      <c r="F884" s="1"/>
    </row>
    <row r="885" spans="1:6" x14ac:dyDescent="0.25">
      <c r="A885" s="1"/>
      <c r="C885" s="1"/>
      <c r="D885" s="1"/>
      <c r="E885" s="1"/>
      <c r="F885" s="1"/>
    </row>
    <row r="886" spans="1:6" x14ac:dyDescent="0.25">
      <c r="A886" s="1"/>
      <c r="C886" s="1"/>
      <c r="D886" s="1"/>
      <c r="E886" s="1"/>
      <c r="F886" s="1"/>
    </row>
    <row r="887" spans="1:6" x14ac:dyDescent="0.25">
      <c r="A887" s="1"/>
      <c r="C887" s="1"/>
      <c r="D887" s="1"/>
      <c r="E887" s="1"/>
      <c r="F887" s="1"/>
    </row>
    <row r="888" spans="1:6" x14ac:dyDescent="0.25">
      <c r="A888" s="1"/>
      <c r="C888" s="1"/>
      <c r="D888" s="1"/>
      <c r="E888" s="1"/>
      <c r="F888" s="1"/>
    </row>
    <row r="889" spans="1:6" x14ac:dyDescent="0.25">
      <c r="A889" s="1"/>
      <c r="C889" s="1"/>
      <c r="D889" s="1"/>
      <c r="E889" s="1"/>
      <c r="F889" s="1"/>
    </row>
    <row r="890" spans="1:6" x14ac:dyDescent="0.25">
      <c r="A890" s="1"/>
      <c r="C890" s="1"/>
      <c r="D890" s="1"/>
      <c r="E890" s="1"/>
      <c r="F890" s="1"/>
    </row>
    <row r="891" spans="1:6" x14ac:dyDescent="0.25">
      <c r="A891" s="1"/>
      <c r="C891" s="1"/>
      <c r="D891" s="1"/>
      <c r="E891" s="1"/>
      <c r="F891" s="1"/>
    </row>
    <row r="892" spans="1:6" x14ac:dyDescent="0.25">
      <c r="A892" s="1"/>
      <c r="C892" s="1"/>
      <c r="D892" s="1"/>
      <c r="E892" s="1"/>
      <c r="F892" s="1"/>
    </row>
    <row r="893" spans="1:6" x14ac:dyDescent="0.25">
      <c r="A893" s="1"/>
      <c r="C893" s="1"/>
      <c r="D893" s="1"/>
      <c r="E893" s="1"/>
      <c r="F893" s="1"/>
    </row>
    <row r="894" spans="1:6" x14ac:dyDescent="0.25">
      <c r="A894" s="1"/>
      <c r="C894" s="1"/>
      <c r="D894" s="1"/>
      <c r="E894" s="1"/>
      <c r="F894" s="1"/>
    </row>
    <row r="895" spans="1:6" x14ac:dyDescent="0.25">
      <c r="A895" s="1"/>
      <c r="C895" s="1"/>
      <c r="D895" s="1"/>
      <c r="E895" s="1"/>
      <c r="F895" s="1"/>
    </row>
    <row r="896" spans="1:6" x14ac:dyDescent="0.25">
      <c r="A896" s="1"/>
      <c r="C896" s="1"/>
      <c r="D896" s="1"/>
      <c r="E896" s="1"/>
      <c r="F896" s="1"/>
    </row>
    <row r="897" spans="1:6" x14ac:dyDescent="0.25">
      <c r="A897" s="1"/>
      <c r="C897" s="1"/>
      <c r="D897" s="1"/>
      <c r="E897" s="1"/>
      <c r="F897" s="1"/>
    </row>
    <row r="898" spans="1:6" x14ac:dyDescent="0.25">
      <c r="A898" s="1"/>
      <c r="C898" s="1"/>
      <c r="D898" s="1"/>
      <c r="E898" s="1"/>
      <c r="F898" s="1"/>
    </row>
    <row r="899" spans="1:6" x14ac:dyDescent="0.25">
      <c r="A899" s="1"/>
      <c r="C899" s="1"/>
      <c r="D899" s="1"/>
      <c r="E899" s="1"/>
      <c r="F899" s="1"/>
    </row>
    <row r="900" spans="1:6" x14ac:dyDescent="0.25">
      <c r="A900" s="1"/>
      <c r="C900" s="1"/>
      <c r="D900" s="1"/>
      <c r="E900" s="1"/>
      <c r="F900" s="1"/>
    </row>
    <row r="901" spans="1:6" x14ac:dyDescent="0.25">
      <c r="A901" s="1"/>
      <c r="C901" s="1"/>
      <c r="D901" s="1"/>
      <c r="E901" s="1"/>
      <c r="F901" s="1"/>
    </row>
    <row r="902" spans="1:6" x14ac:dyDescent="0.25">
      <c r="A902" s="1"/>
      <c r="C902" s="1"/>
      <c r="D902" s="1"/>
      <c r="E902" s="1"/>
      <c r="F902" s="1"/>
    </row>
    <row r="903" spans="1:6" x14ac:dyDescent="0.25">
      <c r="A903" s="1"/>
      <c r="C903" s="1"/>
      <c r="D903" s="1"/>
      <c r="E903" s="1"/>
      <c r="F903" s="1"/>
    </row>
    <row r="904" spans="1:6" x14ac:dyDescent="0.25">
      <c r="A904" s="1"/>
      <c r="C904" s="1"/>
      <c r="D904" s="1"/>
      <c r="E904" s="1"/>
      <c r="F904" s="1"/>
    </row>
    <row r="905" spans="1:6" x14ac:dyDescent="0.25">
      <c r="A905" s="1"/>
      <c r="C905" s="1"/>
      <c r="D905" s="1"/>
      <c r="E905" s="1"/>
      <c r="F905" s="1"/>
    </row>
    <row r="906" spans="1:6" x14ac:dyDescent="0.25">
      <c r="A906" s="1"/>
      <c r="C906" s="1"/>
      <c r="D906" s="1"/>
      <c r="E906" s="1"/>
      <c r="F906" s="1"/>
    </row>
    <row r="907" spans="1:6" x14ac:dyDescent="0.25">
      <c r="A907" s="1"/>
      <c r="C907" s="1"/>
      <c r="D907" s="1"/>
      <c r="E907" s="1"/>
      <c r="F907" s="1"/>
    </row>
    <row r="908" spans="1:6" x14ac:dyDescent="0.25">
      <c r="A908" s="1"/>
      <c r="C908" s="1"/>
      <c r="D908" s="1"/>
      <c r="E908" s="1"/>
      <c r="F908" s="1"/>
    </row>
    <row r="909" spans="1:6" x14ac:dyDescent="0.25">
      <c r="A909" s="1"/>
      <c r="C909" s="1"/>
      <c r="D909" s="1"/>
      <c r="E909" s="1"/>
      <c r="F909" s="1"/>
    </row>
    <row r="910" spans="1:6" x14ac:dyDescent="0.25">
      <c r="A910" s="1"/>
      <c r="C910" s="1"/>
      <c r="D910" s="1"/>
      <c r="E910" s="1"/>
      <c r="F910" s="1"/>
    </row>
    <row r="911" spans="1:6" x14ac:dyDescent="0.25">
      <c r="A911" s="1"/>
      <c r="C911" s="1"/>
      <c r="D911" s="1"/>
      <c r="E911" s="1"/>
      <c r="F911" s="1"/>
    </row>
    <row r="912" spans="1:6" x14ac:dyDescent="0.25">
      <c r="A912" s="1"/>
      <c r="C912" s="1"/>
      <c r="D912" s="1"/>
      <c r="E912" s="1"/>
      <c r="F912" s="1"/>
    </row>
    <row r="913" spans="1:6" x14ac:dyDescent="0.25">
      <c r="A913" s="1"/>
      <c r="C913" s="1"/>
      <c r="D913" s="1"/>
      <c r="E913" s="1"/>
      <c r="F913" s="1"/>
    </row>
    <row r="914" spans="1:6" x14ac:dyDescent="0.25">
      <c r="A914" s="1"/>
      <c r="C914" s="1"/>
      <c r="D914" s="1"/>
      <c r="E914" s="1"/>
      <c r="F914" s="1"/>
    </row>
    <row r="915" spans="1:6" x14ac:dyDescent="0.25">
      <c r="A915" s="1"/>
      <c r="C915" s="1"/>
      <c r="D915" s="1"/>
      <c r="E915" s="1"/>
      <c r="F915" s="1"/>
    </row>
    <row r="916" spans="1:6" x14ac:dyDescent="0.25">
      <c r="A916" s="1"/>
      <c r="C916" s="1"/>
      <c r="D916" s="1"/>
      <c r="E916" s="1"/>
      <c r="F916" s="1"/>
    </row>
    <row r="917" spans="1:6" x14ac:dyDescent="0.25">
      <c r="A917" s="1"/>
      <c r="C917" s="1"/>
      <c r="D917" s="1"/>
      <c r="E917" s="1"/>
      <c r="F917" s="1"/>
    </row>
    <row r="918" spans="1:6" x14ac:dyDescent="0.25">
      <c r="A918" s="1"/>
      <c r="C918" s="1"/>
      <c r="D918" s="1"/>
      <c r="E918" s="1"/>
      <c r="F918" s="1"/>
    </row>
    <row r="919" spans="1:6" x14ac:dyDescent="0.25">
      <c r="A919" s="1"/>
      <c r="C919" s="1"/>
      <c r="D919" s="1"/>
      <c r="E919" s="1"/>
      <c r="F919" s="1"/>
    </row>
    <row r="920" spans="1:6" x14ac:dyDescent="0.25">
      <c r="A920" s="1"/>
      <c r="C920" s="1"/>
      <c r="D920" s="1"/>
      <c r="E920" s="1"/>
      <c r="F920" s="1"/>
    </row>
    <row r="921" spans="1:6" x14ac:dyDescent="0.25">
      <c r="A921" s="1"/>
      <c r="C921" s="1"/>
      <c r="D921" s="1"/>
      <c r="E921" s="1"/>
      <c r="F921" s="1"/>
    </row>
    <row r="922" spans="1:6" x14ac:dyDescent="0.25">
      <c r="A922" s="1"/>
      <c r="C922" s="1"/>
      <c r="D922" s="1"/>
      <c r="E922" s="1"/>
      <c r="F922" s="1"/>
    </row>
    <row r="923" spans="1:6" x14ac:dyDescent="0.25">
      <c r="A923" s="1"/>
      <c r="C923" s="1"/>
      <c r="D923" s="1"/>
      <c r="E923" s="1"/>
      <c r="F923" s="1"/>
    </row>
    <row r="924" spans="1:6" x14ac:dyDescent="0.25">
      <c r="A924" s="1"/>
      <c r="C924" s="1"/>
      <c r="D924" s="1"/>
      <c r="E924" s="1"/>
      <c r="F924" s="1"/>
    </row>
    <row r="925" spans="1:6" x14ac:dyDescent="0.25">
      <c r="A925" s="1"/>
      <c r="C925" s="1"/>
      <c r="D925" s="1"/>
      <c r="E925" s="1"/>
      <c r="F925" s="1"/>
    </row>
    <row r="926" spans="1:6" x14ac:dyDescent="0.25">
      <c r="A926" s="1"/>
      <c r="C926" s="1"/>
      <c r="D926" s="1"/>
      <c r="E926" s="1"/>
      <c r="F926" s="1"/>
    </row>
    <row r="927" spans="1:6" x14ac:dyDescent="0.25">
      <c r="A927" s="1"/>
      <c r="C927" s="1"/>
      <c r="D927" s="1"/>
      <c r="E927" s="1"/>
      <c r="F927" s="1"/>
    </row>
    <row r="928" spans="1:6" x14ac:dyDescent="0.25">
      <c r="A928" s="1"/>
      <c r="C928" s="1"/>
      <c r="D928" s="1"/>
      <c r="E928" s="1"/>
      <c r="F928" s="1"/>
    </row>
    <row r="929" spans="1:6" x14ac:dyDescent="0.25">
      <c r="A929" s="1"/>
      <c r="C929" s="1"/>
      <c r="D929" s="1"/>
      <c r="E929" s="1"/>
      <c r="F929" s="1"/>
    </row>
    <row r="930" spans="1:6" x14ac:dyDescent="0.25">
      <c r="A930" s="1"/>
      <c r="C930" s="1"/>
      <c r="D930" s="1"/>
      <c r="E930" s="1"/>
      <c r="F930" s="1"/>
    </row>
    <row r="931" spans="1:6" x14ac:dyDescent="0.25">
      <c r="A931" s="1"/>
      <c r="C931" s="1"/>
      <c r="D931" s="1"/>
      <c r="E931" s="1"/>
      <c r="F931" s="1"/>
    </row>
    <row r="932" spans="1:6" x14ac:dyDescent="0.25">
      <c r="A932" s="1"/>
      <c r="C932" s="1"/>
      <c r="D932" s="1"/>
      <c r="E932" s="1"/>
      <c r="F932" s="1"/>
    </row>
    <row r="933" spans="1:6" x14ac:dyDescent="0.25">
      <c r="A933" s="1"/>
      <c r="C933" s="1"/>
      <c r="D933" s="1"/>
      <c r="E933" s="1"/>
      <c r="F933" s="1"/>
    </row>
    <row r="934" spans="1:6" x14ac:dyDescent="0.25">
      <c r="A934" s="1"/>
      <c r="C934" s="1"/>
      <c r="D934" s="1"/>
      <c r="E934" s="1"/>
      <c r="F934" s="1"/>
    </row>
    <row r="935" spans="1:6" x14ac:dyDescent="0.25">
      <c r="A935" s="1"/>
      <c r="C935" s="1"/>
      <c r="D935" s="1"/>
      <c r="E935" s="1"/>
      <c r="F935" s="1"/>
    </row>
    <row r="936" spans="1:6" x14ac:dyDescent="0.25">
      <c r="A936" s="1"/>
      <c r="C936" s="1"/>
      <c r="D936" s="1"/>
      <c r="E936" s="1"/>
      <c r="F936" s="1"/>
    </row>
    <row r="937" spans="1:6" x14ac:dyDescent="0.25">
      <c r="A937" s="1"/>
      <c r="C937" s="1"/>
      <c r="D937" s="1"/>
      <c r="E937" s="1"/>
      <c r="F937" s="1"/>
    </row>
    <row r="938" spans="1:6" x14ac:dyDescent="0.25">
      <c r="A938" s="1"/>
      <c r="C938" s="1"/>
      <c r="D938" s="1"/>
      <c r="E938" s="1"/>
      <c r="F938" s="1"/>
    </row>
    <row r="939" spans="1:6" x14ac:dyDescent="0.25">
      <c r="A939" s="1"/>
      <c r="C939" s="1"/>
      <c r="D939" s="1"/>
      <c r="E939" s="1"/>
      <c r="F939" s="1"/>
    </row>
    <row r="940" spans="1:6" x14ac:dyDescent="0.25">
      <c r="A940" s="1"/>
      <c r="C940" s="1"/>
      <c r="D940" s="1"/>
      <c r="E940" s="1"/>
      <c r="F940" s="1"/>
    </row>
    <row r="941" spans="1:6" x14ac:dyDescent="0.25">
      <c r="A941" s="1"/>
      <c r="C941" s="1"/>
      <c r="D941" s="1"/>
      <c r="E941" s="1"/>
      <c r="F941" s="1"/>
    </row>
    <row r="942" spans="1:6" x14ac:dyDescent="0.25">
      <c r="A942" s="1"/>
      <c r="C942" s="1"/>
      <c r="D942" s="1"/>
      <c r="E942" s="1"/>
      <c r="F942" s="1"/>
    </row>
    <row r="943" spans="1:6" x14ac:dyDescent="0.25">
      <c r="A943" s="1"/>
      <c r="C943" s="1"/>
      <c r="D943" s="1"/>
      <c r="E943" s="1"/>
      <c r="F943" s="1"/>
    </row>
    <row r="944" spans="1:6" x14ac:dyDescent="0.25">
      <c r="A944" s="1"/>
      <c r="C944" s="1"/>
      <c r="D944" s="1"/>
      <c r="E944" s="1"/>
      <c r="F944" s="1"/>
    </row>
    <row r="945" spans="1:6" x14ac:dyDescent="0.25">
      <c r="A945" s="1"/>
      <c r="C945" s="1"/>
      <c r="D945" s="1"/>
      <c r="E945" s="1"/>
      <c r="F945" s="1"/>
    </row>
    <row r="946" spans="1:6" x14ac:dyDescent="0.25">
      <c r="A946" s="1"/>
      <c r="C946" s="1"/>
      <c r="D946" s="1"/>
      <c r="E946" s="1"/>
      <c r="F946" s="1"/>
    </row>
    <row r="947" spans="1:6" x14ac:dyDescent="0.25">
      <c r="A947" s="1"/>
      <c r="C947" s="1"/>
      <c r="D947" s="1"/>
      <c r="E947" s="1"/>
      <c r="F947" s="1"/>
    </row>
    <row r="948" spans="1:6" x14ac:dyDescent="0.25">
      <c r="A948" s="1"/>
      <c r="C948" s="1"/>
      <c r="D948" s="1"/>
      <c r="E948" s="1"/>
      <c r="F948" s="1"/>
    </row>
    <row r="949" spans="1:6" x14ac:dyDescent="0.25">
      <c r="A949" s="1"/>
      <c r="C949" s="1"/>
      <c r="D949" s="1"/>
      <c r="E949" s="1"/>
      <c r="F949" s="1"/>
    </row>
    <row r="950" spans="1:6" x14ac:dyDescent="0.25">
      <c r="A950" s="1"/>
      <c r="C950" s="1"/>
      <c r="D950" s="1"/>
      <c r="E950" s="1"/>
      <c r="F950" s="1"/>
    </row>
    <row r="951" spans="1:6" x14ac:dyDescent="0.25">
      <c r="A951" s="1"/>
      <c r="C951" s="1"/>
      <c r="D951" s="1"/>
      <c r="E951" s="1"/>
      <c r="F951" s="1"/>
    </row>
    <row r="952" spans="1:6" x14ac:dyDescent="0.25">
      <c r="A952" s="1"/>
      <c r="C952" s="1"/>
      <c r="D952" s="1"/>
      <c r="E952" s="1"/>
      <c r="F952" s="1"/>
    </row>
    <row r="953" spans="1:6" x14ac:dyDescent="0.25">
      <c r="A953" s="1"/>
      <c r="C953" s="1"/>
      <c r="D953" s="1"/>
      <c r="E953" s="1"/>
      <c r="F953" s="1"/>
    </row>
    <row r="954" spans="1:6" x14ac:dyDescent="0.25">
      <c r="A954" s="1"/>
      <c r="C954" s="1"/>
      <c r="D954" s="1"/>
      <c r="E954" s="1"/>
      <c r="F954" s="1"/>
    </row>
    <row r="955" spans="1:6" x14ac:dyDescent="0.25">
      <c r="A955" s="1"/>
      <c r="C955" s="1"/>
      <c r="D955" s="1"/>
      <c r="E955" s="1"/>
      <c r="F955" s="1"/>
    </row>
    <row r="956" spans="1:6" x14ac:dyDescent="0.25">
      <c r="A956" s="1"/>
      <c r="C956" s="1"/>
      <c r="D956" s="1"/>
      <c r="E956" s="1"/>
      <c r="F956" s="1"/>
    </row>
    <row r="957" spans="1:6" x14ac:dyDescent="0.25">
      <c r="A957" s="1"/>
      <c r="C957" s="1"/>
      <c r="D957" s="1"/>
      <c r="E957" s="1"/>
      <c r="F957" s="1"/>
    </row>
    <row r="958" spans="1:6" x14ac:dyDescent="0.25">
      <c r="A958" s="1"/>
      <c r="C958" s="1"/>
      <c r="D958" s="1"/>
      <c r="E958" s="1"/>
      <c r="F958" s="1"/>
    </row>
    <row r="959" spans="1:6" x14ac:dyDescent="0.25">
      <c r="A959" s="1"/>
      <c r="C959" s="1"/>
      <c r="D959" s="1"/>
      <c r="E959" s="1"/>
      <c r="F959" s="1"/>
    </row>
    <row r="960" spans="1:6" x14ac:dyDescent="0.25">
      <c r="A960" s="1"/>
      <c r="C960" s="1"/>
      <c r="D960" s="1"/>
      <c r="E960" s="1"/>
      <c r="F960" s="1"/>
    </row>
    <row r="961" spans="1:6" x14ac:dyDescent="0.25">
      <c r="A961" s="1"/>
      <c r="C961" s="1"/>
      <c r="D961" s="1"/>
      <c r="E961" s="1"/>
      <c r="F961" s="1"/>
    </row>
    <row r="962" spans="1:6" x14ac:dyDescent="0.25">
      <c r="A962" s="1"/>
      <c r="C962" s="1"/>
      <c r="D962" s="1"/>
      <c r="E962" s="1"/>
      <c r="F962" s="1"/>
    </row>
    <row r="963" spans="1:6" x14ac:dyDescent="0.25">
      <c r="A963" s="1"/>
      <c r="C963" s="1"/>
      <c r="D963" s="1"/>
      <c r="E963" s="1"/>
      <c r="F963" s="1"/>
    </row>
    <row r="964" spans="1:6" x14ac:dyDescent="0.25">
      <c r="A964" s="1"/>
      <c r="C964" s="1"/>
      <c r="D964" s="1"/>
      <c r="E964" s="1"/>
      <c r="F964" s="1"/>
    </row>
    <row r="965" spans="1:6" x14ac:dyDescent="0.25">
      <c r="A965" s="1"/>
      <c r="C965" s="1"/>
      <c r="D965" s="1"/>
      <c r="E965" s="1"/>
      <c r="F965" s="1"/>
    </row>
    <row r="966" spans="1:6" x14ac:dyDescent="0.25">
      <c r="A966" s="1"/>
      <c r="C966" s="1"/>
      <c r="D966" s="1"/>
      <c r="E966" s="1"/>
      <c r="F966" s="1"/>
    </row>
    <row r="967" spans="1:6" x14ac:dyDescent="0.25">
      <c r="A967" s="1"/>
      <c r="C967" s="1"/>
      <c r="D967" s="1"/>
      <c r="E967" s="1"/>
      <c r="F967" s="1"/>
    </row>
    <row r="968" spans="1:6" x14ac:dyDescent="0.25">
      <c r="A968" s="1"/>
      <c r="C968" s="1"/>
      <c r="D968" s="1"/>
      <c r="E968" s="1"/>
      <c r="F968" s="1"/>
    </row>
    <row r="969" spans="1:6" x14ac:dyDescent="0.25">
      <c r="A969" s="1"/>
      <c r="C969" s="1"/>
      <c r="D969" s="1"/>
      <c r="E969" s="1"/>
      <c r="F969" s="1"/>
    </row>
    <row r="970" spans="1:6" x14ac:dyDescent="0.25">
      <c r="A970" s="1"/>
      <c r="C970" s="1"/>
      <c r="D970" s="1"/>
      <c r="E970" s="1"/>
      <c r="F970" s="1"/>
    </row>
    <row r="971" spans="1:6" x14ac:dyDescent="0.25">
      <c r="A971" s="1"/>
      <c r="C971" s="1"/>
      <c r="D971" s="1"/>
      <c r="E971" s="1"/>
      <c r="F971" s="1"/>
    </row>
    <row r="972" spans="1:6" x14ac:dyDescent="0.25">
      <c r="A972" s="1"/>
      <c r="C972" s="1"/>
      <c r="D972" s="1"/>
      <c r="E972" s="1"/>
      <c r="F972" s="1"/>
    </row>
    <row r="973" spans="1:6" x14ac:dyDescent="0.25">
      <c r="A973" s="1"/>
      <c r="C973" s="1"/>
      <c r="D973" s="1"/>
      <c r="E973" s="1"/>
      <c r="F973" s="1"/>
    </row>
    <row r="974" spans="1:6" x14ac:dyDescent="0.25">
      <c r="A974" s="1"/>
      <c r="C974" s="1"/>
      <c r="D974" s="1"/>
      <c r="E974" s="1"/>
      <c r="F974" s="1"/>
    </row>
    <row r="975" spans="1:6" x14ac:dyDescent="0.25">
      <c r="A975" s="1"/>
      <c r="C975" s="1"/>
      <c r="D975" s="1"/>
      <c r="E975" s="1"/>
      <c r="F975" s="1"/>
    </row>
    <row r="976" spans="1:6" x14ac:dyDescent="0.25">
      <c r="A976" s="1"/>
      <c r="C976" s="1"/>
      <c r="D976" s="1"/>
      <c r="E976" s="1"/>
      <c r="F976" s="1"/>
    </row>
    <row r="977" spans="1:6" x14ac:dyDescent="0.25">
      <c r="A977" s="1"/>
      <c r="C977" s="1"/>
      <c r="D977" s="1"/>
      <c r="E977" s="1"/>
      <c r="F977" s="1"/>
    </row>
    <row r="978" spans="1:6" x14ac:dyDescent="0.25">
      <c r="A978" s="1"/>
      <c r="C978" s="1"/>
      <c r="D978" s="1"/>
      <c r="E978" s="1"/>
      <c r="F978" s="1"/>
    </row>
    <row r="979" spans="1:6" x14ac:dyDescent="0.25">
      <c r="A979" s="1"/>
      <c r="C979" s="1"/>
      <c r="D979" s="1"/>
      <c r="E979" s="1"/>
      <c r="F979" s="1"/>
    </row>
    <row r="980" spans="1:6" x14ac:dyDescent="0.25">
      <c r="A980" s="1"/>
      <c r="C980" s="1"/>
      <c r="D980" s="1"/>
      <c r="E980" s="1"/>
      <c r="F980" s="1"/>
    </row>
    <row r="981" spans="1:6" x14ac:dyDescent="0.25">
      <c r="A981" s="1"/>
      <c r="C981" s="1"/>
      <c r="D981" s="1"/>
      <c r="E981" s="1"/>
      <c r="F981" s="1"/>
    </row>
    <row r="982" spans="1:6" x14ac:dyDescent="0.25">
      <c r="A982" s="1"/>
      <c r="C982" s="1"/>
      <c r="D982" s="1"/>
      <c r="E982" s="1"/>
      <c r="F982" s="1"/>
    </row>
    <row r="983" spans="1:6" x14ac:dyDescent="0.25">
      <c r="A983" s="1"/>
      <c r="C983" s="1"/>
      <c r="D983" s="1"/>
      <c r="E983" s="1"/>
      <c r="F983" s="1"/>
    </row>
    <row r="984" spans="1:6" x14ac:dyDescent="0.25">
      <c r="A984" s="1"/>
      <c r="C984" s="1"/>
      <c r="D984" s="1"/>
      <c r="E984" s="1"/>
      <c r="F984" s="1"/>
    </row>
    <row r="985" spans="1:6" x14ac:dyDescent="0.25">
      <c r="A985" s="1"/>
      <c r="C985" s="1"/>
      <c r="D985" s="1"/>
      <c r="E985" s="1"/>
      <c r="F985" s="1"/>
    </row>
    <row r="986" spans="1:6" x14ac:dyDescent="0.25">
      <c r="A986" s="1"/>
      <c r="C986" s="1"/>
      <c r="D986" s="1"/>
      <c r="E986" s="1"/>
      <c r="F986" s="1"/>
    </row>
    <row r="987" spans="1:6" x14ac:dyDescent="0.25">
      <c r="A987" s="1"/>
      <c r="C987" s="1"/>
      <c r="D987" s="1"/>
      <c r="E987" s="1"/>
      <c r="F987" s="1"/>
    </row>
    <row r="988" spans="1:6" x14ac:dyDescent="0.25">
      <c r="A988" s="1"/>
      <c r="C988" s="1"/>
      <c r="D988" s="1"/>
      <c r="E988" s="1"/>
      <c r="F988" s="1"/>
    </row>
    <row r="989" spans="1:6" x14ac:dyDescent="0.25">
      <c r="A989" s="1"/>
      <c r="C989" s="1"/>
      <c r="D989" s="1"/>
      <c r="E989" s="1"/>
      <c r="F989" s="1"/>
    </row>
    <row r="990" spans="1:6" x14ac:dyDescent="0.25">
      <c r="A990" s="1"/>
      <c r="C990" s="1"/>
      <c r="D990" s="1"/>
      <c r="E990" s="1"/>
      <c r="F990" s="1"/>
    </row>
    <row r="991" spans="1:6" x14ac:dyDescent="0.25">
      <c r="A991" s="1"/>
      <c r="C991" s="1"/>
      <c r="D991" s="1"/>
      <c r="E991" s="1"/>
      <c r="F991" s="1"/>
    </row>
    <row r="992" spans="1:6" x14ac:dyDescent="0.25">
      <c r="A992" s="1"/>
      <c r="C992" s="1"/>
      <c r="D992" s="1"/>
      <c r="E992" s="1"/>
      <c r="F992" s="1"/>
    </row>
    <row r="993" spans="1:6" x14ac:dyDescent="0.25">
      <c r="A993" s="1"/>
      <c r="C993" s="1"/>
      <c r="D993" s="1"/>
      <c r="E993" s="1"/>
      <c r="F993" s="1"/>
    </row>
    <row r="994" spans="1:6" x14ac:dyDescent="0.25">
      <c r="A994" s="1"/>
      <c r="C994" s="1"/>
      <c r="D994" s="1"/>
      <c r="E994" s="1"/>
      <c r="F994" s="1"/>
    </row>
    <row r="995" spans="1:6" x14ac:dyDescent="0.25">
      <c r="A995" s="1"/>
      <c r="C995" s="1"/>
      <c r="D995" s="1"/>
      <c r="E995" s="1"/>
      <c r="F995" s="1"/>
    </row>
    <row r="996" spans="1:6" x14ac:dyDescent="0.25">
      <c r="A996" s="1"/>
      <c r="C996" s="1"/>
      <c r="D996" s="1"/>
      <c r="E996" s="1"/>
      <c r="F996" s="1"/>
    </row>
    <row r="997" spans="1:6" x14ac:dyDescent="0.25">
      <c r="A997" s="1"/>
      <c r="C997" s="1"/>
      <c r="D997" s="1"/>
      <c r="E997" s="1"/>
      <c r="F997" s="1"/>
    </row>
    <row r="998" spans="1:6" x14ac:dyDescent="0.25">
      <c r="A998" s="1"/>
      <c r="C998" s="1"/>
      <c r="D998" s="1"/>
      <c r="E998" s="1"/>
      <c r="F998" s="1"/>
    </row>
    <row r="999" spans="1:6" x14ac:dyDescent="0.25">
      <c r="A999" s="1"/>
      <c r="C999" s="1"/>
      <c r="D999" s="1"/>
      <c r="E999" s="1"/>
      <c r="F999" s="1"/>
    </row>
    <row r="1000" spans="1:6" x14ac:dyDescent="0.25">
      <c r="A1000" s="1"/>
      <c r="C1000" s="1"/>
      <c r="D1000" s="1"/>
      <c r="E1000" s="1"/>
      <c r="F1000" s="1"/>
    </row>
    <row r="1001" spans="1:6" x14ac:dyDescent="0.25">
      <c r="A1001" s="1"/>
      <c r="C1001" s="1"/>
      <c r="D1001" s="1"/>
      <c r="E1001" s="1"/>
      <c r="F1001" s="1"/>
    </row>
    <row r="1002" spans="1:6" x14ac:dyDescent="0.25">
      <c r="A1002" s="1"/>
      <c r="C1002" s="1"/>
      <c r="D1002" s="1"/>
      <c r="E1002" s="1"/>
      <c r="F1002" s="1"/>
    </row>
    <row r="1003" spans="1:6" x14ac:dyDescent="0.25">
      <c r="A1003" s="1"/>
      <c r="C1003" s="1"/>
      <c r="D1003" s="1"/>
      <c r="E1003" s="1"/>
      <c r="F1003" s="1"/>
    </row>
    <row r="1004" spans="1:6" x14ac:dyDescent="0.25">
      <c r="A1004" s="1"/>
      <c r="C1004" s="1"/>
      <c r="D1004" s="1"/>
      <c r="E1004" s="1"/>
      <c r="F1004" s="1"/>
    </row>
    <row r="1005" spans="1:6" x14ac:dyDescent="0.25">
      <c r="A1005" s="1"/>
      <c r="C1005" s="1"/>
      <c r="D1005" s="1"/>
      <c r="E1005" s="1"/>
      <c r="F1005" s="1"/>
    </row>
    <row r="1006" spans="1:6" x14ac:dyDescent="0.25">
      <c r="A1006" s="1"/>
      <c r="C1006" s="1"/>
      <c r="D1006" s="1"/>
      <c r="E1006" s="1"/>
      <c r="F1006" s="1"/>
    </row>
    <row r="1007" spans="1:6" x14ac:dyDescent="0.25">
      <c r="A1007" s="1"/>
      <c r="C1007" s="1"/>
      <c r="D1007" s="1"/>
      <c r="E1007" s="1"/>
      <c r="F1007" s="1"/>
    </row>
    <row r="1008" spans="1:6" x14ac:dyDescent="0.25">
      <c r="A1008" s="1"/>
      <c r="C1008" s="1"/>
      <c r="D1008" s="1"/>
      <c r="E1008" s="1"/>
      <c r="F1008" s="1"/>
    </row>
    <row r="1009" spans="1:6" x14ac:dyDescent="0.25">
      <c r="A1009" s="1"/>
      <c r="C1009" s="1"/>
      <c r="D1009" s="1"/>
      <c r="E1009" s="1"/>
      <c r="F1009" s="1"/>
    </row>
    <row r="1010" spans="1:6" x14ac:dyDescent="0.25">
      <c r="A1010" s="1"/>
      <c r="C1010" s="1"/>
      <c r="D1010" s="1"/>
      <c r="E1010" s="1"/>
      <c r="F1010" s="1"/>
    </row>
    <row r="1011" spans="1:6" x14ac:dyDescent="0.25">
      <c r="A1011" s="1"/>
      <c r="C1011" s="1"/>
      <c r="D1011" s="1"/>
      <c r="E1011" s="1"/>
      <c r="F1011" s="1"/>
    </row>
    <row r="1012" spans="1:6" x14ac:dyDescent="0.25">
      <c r="A1012" s="1"/>
      <c r="C1012" s="1"/>
      <c r="D1012" s="1"/>
      <c r="E1012" s="1"/>
      <c r="F1012" s="1"/>
    </row>
    <row r="1013" spans="1:6" x14ac:dyDescent="0.25">
      <c r="A1013" s="1"/>
      <c r="C1013" s="1"/>
      <c r="D1013" s="1"/>
      <c r="E1013" s="1"/>
      <c r="F1013" s="1"/>
    </row>
    <row r="1014" spans="1:6" x14ac:dyDescent="0.25">
      <c r="A1014" s="1"/>
      <c r="C1014" s="1"/>
      <c r="D1014" s="1"/>
      <c r="E1014" s="1"/>
      <c r="F1014" s="1"/>
    </row>
    <row r="1015" spans="1:6" x14ac:dyDescent="0.25">
      <c r="A1015" s="1"/>
      <c r="C1015" s="1"/>
      <c r="D1015" s="1"/>
      <c r="E1015" s="1"/>
      <c r="F1015" s="1"/>
    </row>
    <row r="1016" spans="1:6" x14ac:dyDescent="0.25">
      <c r="A1016" s="1"/>
      <c r="C1016" s="1"/>
      <c r="D1016" s="1"/>
      <c r="E1016" s="1"/>
      <c r="F1016" s="1"/>
    </row>
    <row r="1017" spans="1:6" x14ac:dyDescent="0.25">
      <c r="A1017" s="1"/>
      <c r="C1017" s="1"/>
      <c r="D1017" s="1"/>
      <c r="E1017" s="1"/>
      <c r="F1017" s="1"/>
    </row>
    <row r="1018" spans="1:6" x14ac:dyDescent="0.25">
      <c r="A1018" s="1"/>
      <c r="C1018" s="1"/>
      <c r="D1018" s="1"/>
      <c r="E1018" s="1"/>
      <c r="F1018" s="1"/>
    </row>
    <row r="1019" spans="1:6" x14ac:dyDescent="0.25">
      <c r="A1019" s="1"/>
      <c r="C1019" s="1"/>
      <c r="D1019" s="1"/>
      <c r="E1019" s="1"/>
      <c r="F1019" s="1"/>
    </row>
    <row r="1020" spans="1:6" x14ac:dyDescent="0.25">
      <c r="A1020" s="1"/>
      <c r="C1020" s="1"/>
      <c r="D1020" s="1"/>
      <c r="E1020" s="1"/>
      <c r="F1020" s="1"/>
    </row>
    <row r="1021" spans="1:6" x14ac:dyDescent="0.25">
      <c r="A1021" s="1"/>
      <c r="C1021" s="1"/>
      <c r="D1021" s="1"/>
      <c r="E1021" s="1"/>
      <c r="F1021" s="1"/>
    </row>
    <row r="1022" spans="1:6" x14ac:dyDescent="0.25">
      <c r="A1022" s="1"/>
      <c r="C1022" s="1"/>
      <c r="D1022" s="1"/>
      <c r="E1022" s="1"/>
      <c r="F1022" s="1"/>
    </row>
    <row r="1023" spans="1:6" x14ac:dyDescent="0.25">
      <c r="A1023" s="1"/>
      <c r="C1023" s="1"/>
      <c r="D1023" s="1"/>
      <c r="E1023" s="1"/>
      <c r="F1023" s="1"/>
    </row>
    <row r="1024" spans="1:6" x14ac:dyDescent="0.25">
      <c r="A1024" s="1"/>
      <c r="C1024" s="1"/>
      <c r="D1024" s="1"/>
      <c r="E1024" s="1"/>
      <c r="F1024" s="1"/>
    </row>
    <row r="1025" spans="1:6" x14ac:dyDescent="0.25">
      <c r="A1025" s="1"/>
      <c r="C1025" s="1"/>
      <c r="D1025" s="1"/>
      <c r="E1025" s="1"/>
      <c r="F1025" s="1"/>
    </row>
    <row r="1026" spans="1:6" x14ac:dyDescent="0.25">
      <c r="A1026" s="1"/>
      <c r="C1026" s="1"/>
      <c r="D1026" s="1"/>
      <c r="E1026" s="1"/>
      <c r="F1026" s="1"/>
    </row>
    <row r="1027" spans="1:6" x14ac:dyDescent="0.25">
      <c r="A1027" s="1"/>
      <c r="C1027" s="1"/>
      <c r="D1027" s="1"/>
      <c r="E1027" s="1"/>
      <c r="F1027" s="1"/>
    </row>
    <row r="1028" spans="1:6" x14ac:dyDescent="0.25">
      <c r="A1028" s="1"/>
      <c r="C1028" s="1"/>
      <c r="D1028" s="1"/>
      <c r="E1028" s="1"/>
      <c r="F1028" s="1"/>
    </row>
    <row r="1029" spans="1:6" x14ac:dyDescent="0.25">
      <c r="A1029" s="1"/>
      <c r="C1029" s="1"/>
      <c r="D1029" s="1"/>
      <c r="E1029" s="1"/>
      <c r="F1029" s="1"/>
    </row>
    <row r="1030" spans="1:6" x14ac:dyDescent="0.25">
      <c r="A1030" s="1"/>
      <c r="C1030" s="1"/>
      <c r="D1030" s="1"/>
      <c r="E1030" s="1"/>
      <c r="F1030" s="1"/>
    </row>
    <row r="1031" spans="1:6" x14ac:dyDescent="0.25">
      <c r="A1031" s="1"/>
      <c r="C1031" s="1"/>
      <c r="D1031" s="1"/>
      <c r="E1031" s="1"/>
      <c r="F1031" s="1"/>
    </row>
    <row r="1032" spans="1:6" x14ac:dyDescent="0.25">
      <c r="A1032" s="1"/>
      <c r="C1032" s="1"/>
      <c r="D1032" s="1"/>
      <c r="E1032" s="1"/>
      <c r="F1032" s="1"/>
    </row>
    <row r="1033" spans="1:6" x14ac:dyDescent="0.25">
      <c r="A1033" s="1"/>
      <c r="C1033" s="1"/>
      <c r="D1033" s="1"/>
      <c r="E1033" s="1"/>
      <c r="F1033" s="1"/>
    </row>
    <row r="1034" spans="1:6" x14ac:dyDescent="0.25">
      <c r="A1034" s="1"/>
      <c r="C1034" s="1"/>
      <c r="D1034" s="1"/>
      <c r="E1034" s="1"/>
      <c r="F1034" s="1"/>
    </row>
    <row r="1035" spans="1:6" x14ac:dyDescent="0.25">
      <c r="A1035" s="1"/>
      <c r="C1035" s="1"/>
      <c r="D1035" s="1"/>
      <c r="E1035" s="1"/>
      <c r="F1035" s="1"/>
    </row>
    <row r="1036" spans="1:6" x14ac:dyDescent="0.25">
      <c r="A1036" s="1"/>
      <c r="C1036" s="1"/>
      <c r="D1036" s="1"/>
      <c r="E1036" s="1"/>
      <c r="F1036" s="1"/>
    </row>
    <row r="1037" spans="1:6" x14ac:dyDescent="0.25">
      <c r="A1037" s="1"/>
      <c r="C1037" s="1"/>
      <c r="D1037" s="1"/>
      <c r="E1037" s="1"/>
      <c r="F1037" s="1"/>
    </row>
    <row r="1038" spans="1:6" x14ac:dyDescent="0.25">
      <c r="A1038" s="1"/>
      <c r="C1038" s="1"/>
      <c r="D1038" s="1"/>
      <c r="E1038" s="1"/>
      <c r="F1038" s="1"/>
    </row>
    <row r="1039" spans="1:6" x14ac:dyDescent="0.25">
      <c r="A1039" s="1"/>
      <c r="C1039" s="1"/>
      <c r="D1039" s="1"/>
      <c r="E1039" s="1"/>
      <c r="F1039" s="1"/>
    </row>
    <row r="1040" spans="1:6" x14ac:dyDescent="0.25">
      <c r="A1040" s="1"/>
      <c r="C1040" s="1"/>
      <c r="D1040" s="1"/>
      <c r="E1040" s="1"/>
      <c r="F1040" s="1"/>
    </row>
    <row r="1041" spans="1:6" x14ac:dyDescent="0.25">
      <c r="A1041" s="1"/>
      <c r="C1041" s="1"/>
      <c r="D1041" s="1"/>
      <c r="E1041" s="1"/>
      <c r="F1041" s="1"/>
    </row>
    <row r="1042" spans="1:6" x14ac:dyDescent="0.25">
      <c r="A1042" s="1"/>
      <c r="C1042" s="1"/>
      <c r="D1042" s="1"/>
      <c r="E1042" s="1"/>
      <c r="F1042" s="1"/>
    </row>
    <row r="1043" spans="1:6" x14ac:dyDescent="0.25">
      <c r="A1043" s="1"/>
      <c r="C1043" s="1"/>
      <c r="D1043" s="1"/>
      <c r="E1043" s="1"/>
      <c r="F1043" s="1"/>
    </row>
    <row r="1044" spans="1:6" x14ac:dyDescent="0.25">
      <c r="A1044" s="1"/>
      <c r="C1044" s="1"/>
      <c r="D1044" s="1"/>
      <c r="E1044" s="1"/>
      <c r="F1044" s="1"/>
    </row>
    <row r="1045" spans="1:6" x14ac:dyDescent="0.25">
      <c r="A1045" s="1"/>
      <c r="C1045" s="1"/>
      <c r="D1045" s="1"/>
      <c r="E1045" s="1"/>
      <c r="F1045" s="1"/>
    </row>
    <row r="1046" spans="1:6" x14ac:dyDescent="0.25">
      <c r="A1046" s="1"/>
      <c r="C1046" s="1"/>
      <c r="D1046" s="1"/>
      <c r="E1046" s="1"/>
      <c r="F1046" s="1"/>
    </row>
    <row r="1047" spans="1:6" x14ac:dyDescent="0.25">
      <c r="A1047" s="1"/>
      <c r="C1047" s="1"/>
      <c r="D1047" s="1"/>
      <c r="E1047" s="1"/>
      <c r="F1047" s="1"/>
    </row>
    <row r="1048" spans="1:6" x14ac:dyDescent="0.25">
      <c r="A1048" s="1"/>
      <c r="C1048" s="1"/>
      <c r="D1048" s="1"/>
      <c r="E1048" s="1"/>
      <c r="F1048" s="1"/>
    </row>
    <row r="1049" spans="1:6" x14ac:dyDescent="0.25">
      <c r="A1049" s="1"/>
      <c r="C1049" s="1"/>
      <c r="D1049" s="1"/>
      <c r="E1049" s="1"/>
      <c r="F1049" s="1"/>
    </row>
    <row r="1050" spans="1:6" x14ac:dyDescent="0.25">
      <c r="A1050" s="1"/>
      <c r="C1050" s="1"/>
      <c r="D1050" s="1"/>
      <c r="E1050" s="1"/>
      <c r="F1050" s="1"/>
    </row>
    <row r="1051" spans="1:6" x14ac:dyDescent="0.25">
      <c r="A1051" s="1"/>
      <c r="C1051" s="1"/>
      <c r="D1051" s="1"/>
      <c r="E1051" s="1"/>
      <c r="F1051" s="1"/>
    </row>
    <row r="1052" spans="1:6" x14ac:dyDescent="0.25">
      <c r="A1052" s="1"/>
      <c r="C1052" s="1"/>
      <c r="D1052" s="1"/>
      <c r="E1052" s="1"/>
      <c r="F1052" s="1"/>
    </row>
    <row r="1053" spans="1:6" x14ac:dyDescent="0.25">
      <c r="A1053" s="1"/>
      <c r="C1053" s="1"/>
      <c r="D1053" s="1"/>
      <c r="E1053" s="1"/>
      <c r="F1053" s="1"/>
    </row>
    <row r="1054" spans="1:6" x14ac:dyDescent="0.25">
      <c r="A1054" s="1"/>
      <c r="C1054" s="1"/>
      <c r="D1054" s="1"/>
      <c r="E1054" s="1"/>
      <c r="F1054" s="1"/>
    </row>
    <row r="1055" spans="1:6" x14ac:dyDescent="0.25">
      <c r="A1055" s="1"/>
      <c r="C1055" s="1"/>
      <c r="D1055" s="1"/>
      <c r="E1055" s="1"/>
      <c r="F1055" s="1"/>
    </row>
    <row r="1056" spans="1:6" x14ac:dyDescent="0.25">
      <c r="A1056" s="1"/>
      <c r="C1056" s="1"/>
      <c r="D1056" s="1"/>
      <c r="E1056" s="1"/>
      <c r="F1056" s="1"/>
    </row>
    <row r="1057" spans="1:6" x14ac:dyDescent="0.25">
      <c r="A1057" s="1"/>
      <c r="C1057" s="1"/>
      <c r="D1057" s="1"/>
      <c r="E1057" s="1"/>
      <c r="F1057" s="1"/>
    </row>
    <row r="1058" spans="1:6" x14ac:dyDescent="0.25">
      <c r="A1058" s="1"/>
      <c r="C1058" s="1"/>
      <c r="D1058" s="1"/>
      <c r="E1058" s="1"/>
      <c r="F1058" s="1"/>
    </row>
    <row r="1059" spans="1:6" x14ac:dyDescent="0.25">
      <c r="A1059" s="1"/>
      <c r="C1059" s="1"/>
      <c r="D1059" s="1"/>
      <c r="E1059" s="1"/>
      <c r="F1059" s="1"/>
    </row>
    <row r="1060" spans="1:6" x14ac:dyDescent="0.25">
      <c r="A1060" s="1"/>
      <c r="C1060" s="1"/>
      <c r="D1060" s="1"/>
      <c r="E1060" s="1"/>
      <c r="F1060" s="1"/>
    </row>
    <row r="1061" spans="1:6" x14ac:dyDescent="0.25">
      <c r="A1061" s="1"/>
      <c r="C1061" s="1"/>
      <c r="D1061" s="1"/>
      <c r="E1061" s="1"/>
      <c r="F1061" s="1"/>
    </row>
    <row r="1062" spans="1:6" x14ac:dyDescent="0.25">
      <c r="A1062" s="1"/>
      <c r="C1062" s="1"/>
      <c r="D1062" s="1"/>
      <c r="E1062" s="1"/>
      <c r="F1062" s="1"/>
    </row>
    <row r="1063" spans="1:6" x14ac:dyDescent="0.25">
      <c r="A1063" s="1"/>
      <c r="C1063" s="1"/>
      <c r="D1063" s="1"/>
      <c r="E1063" s="1"/>
      <c r="F1063" s="1"/>
    </row>
    <row r="1064" spans="1:6" x14ac:dyDescent="0.25">
      <c r="A1064" s="1"/>
      <c r="C1064" s="1"/>
      <c r="D1064" s="1"/>
      <c r="E1064" s="1"/>
      <c r="F1064" s="1"/>
    </row>
    <row r="1065" spans="1:6" x14ac:dyDescent="0.25">
      <c r="A1065" s="1"/>
      <c r="C1065" s="1"/>
      <c r="D1065" s="1"/>
      <c r="E1065" s="1"/>
      <c r="F1065" s="1"/>
    </row>
    <row r="1066" spans="1:6" x14ac:dyDescent="0.25">
      <c r="A1066" s="1"/>
      <c r="C1066" s="1"/>
      <c r="D1066" s="1"/>
      <c r="E1066" s="1"/>
      <c r="F1066" s="1"/>
    </row>
    <row r="1067" spans="1:6" x14ac:dyDescent="0.25">
      <c r="A1067" s="1"/>
      <c r="C1067" s="1"/>
      <c r="D1067" s="1"/>
      <c r="E1067" s="1"/>
      <c r="F1067" s="1"/>
    </row>
    <row r="1068" spans="1:6" x14ac:dyDescent="0.25">
      <c r="A1068" s="1"/>
      <c r="C1068" s="1"/>
      <c r="D1068" s="1"/>
      <c r="E1068" s="1"/>
      <c r="F1068" s="1"/>
    </row>
    <row r="1069" spans="1:6" x14ac:dyDescent="0.25">
      <c r="A1069" s="1"/>
      <c r="C1069" s="1"/>
      <c r="D1069" s="1"/>
      <c r="E1069" s="1"/>
      <c r="F1069" s="1"/>
    </row>
    <row r="1070" spans="1:6" x14ac:dyDescent="0.25">
      <c r="A1070" s="1"/>
      <c r="C1070" s="1"/>
      <c r="D1070" s="1"/>
      <c r="E1070" s="1"/>
      <c r="F1070" s="1"/>
    </row>
    <row r="1071" spans="1:6" x14ac:dyDescent="0.25">
      <c r="A1071" s="1"/>
      <c r="C1071" s="1"/>
      <c r="D1071" s="1"/>
      <c r="E1071" s="1"/>
      <c r="F1071" s="1"/>
    </row>
    <row r="1072" spans="1:6" x14ac:dyDescent="0.25">
      <c r="A1072" s="1"/>
      <c r="C1072" s="1"/>
      <c r="D1072" s="1"/>
      <c r="E1072" s="1"/>
      <c r="F1072" s="1"/>
    </row>
    <row r="1073" spans="1:6" x14ac:dyDescent="0.25">
      <c r="A1073" s="1"/>
      <c r="C1073" s="1"/>
      <c r="D1073" s="1"/>
      <c r="E1073" s="1"/>
      <c r="F1073" s="1"/>
    </row>
    <row r="1074" spans="1:6" x14ac:dyDescent="0.25">
      <c r="A1074" s="1"/>
      <c r="C1074" s="1"/>
      <c r="D1074" s="1"/>
      <c r="E1074" s="1"/>
      <c r="F1074" s="1"/>
    </row>
    <row r="1075" spans="1:6" x14ac:dyDescent="0.25">
      <c r="A1075" s="1"/>
      <c r="C1075" s="1"/>
      <c r="D1075" s="1"/>
      <c r="E1075" s="1"/>
      <c r="F1075" s="1"/>
    </row>
    <row r="1076" spans="1:6" x14ac:dyDescent="0.25">
      <c r="A1076" s="1"/>
      <c r="C1076" s="1"/>
      <c r="D1076" s="1"/>
      <c r="E1076" s="1"/>
      <c r="F1076" s="1"/>
    </row>
    <row r="1077" spans="1:6" x14ac:dyDescent="0.25">
      <c r="A1077" s="1"/>
      <c r="C1077" s="1"/>
      <c r="D1077" s="1"/>
      <c r="E1077" s="1"/>
      <c r="F1077" s="1"/>
    </row>
    <row r="1078" spans="1:6" x14ac:dyDescent="0.25">
      <c r="A1078" s="1"/>
      <c r="C1078" s="1"/>
      <c r="D1078" s="1"/>
      <c r="E1078" s="1"/>
      <c r="F1078" s="1"/>
    </row>
    <row r="1079" spans="1:6" x14ac:dyDescent="0.25">
      <c r="A1079" s="1"/>
      <c r="C1079" s="1"/>
      <c r="D1079" s="1"/>
      <c r="E1079" s="1"/>
      <c r="F1079" s="1"/>
    </row>
    <row r="1080" spans="1:6" x14ac:dyDescent="0.25">
      <c r="A1080" s="1"/>
      <c r="C1080" s="1"/>
      <c r="D1080" s="1"/>
      <c r="E1080" s="1"/>
      <c r="F1080" s="1"/>
    </row>
    <row r="1081" spans="1:6" x14ac:dyDescent="0.25">
      <c r="A1081" s="1"/>
      <c r="C1081" s="1"/>
      <c r="D1081" s="1"/>
      <c r="E1081" s="1"/>
      <c r="F1081" s="1"/>
    </row>
    <row r="1082" spans="1:6" x14ac:dyDescent="0.25">
      <c r="A1082" s="1"/>
      <c r="C1082" s="1"/>
      <c r="D1082" s="1"/>
      <c r="E1082" s="1"/>
      <c r="F1082" s="1"/>
    </row>
    <row r="1083" spans="1:6" x14ac:dyDescent="0.25">
      <c r="A1083" s="1"/>
      <c r="C1083" s="1"/>
      <c r="D1083" s="1"/>
      <c r="E1083" s="1"/>
      <c r="F1083" s="1"/>
    </row>
    <row r="1084" spans="1:6" x14ac:dyDescent="0.25">
      <c r="A1084" s="1"/>
      <c r="C1084" s="1"/>
      <c r="D1084" s="1"/>
      <c r="E1084" s="1"/>
      <c r="F1084" s="1"/>
    </row>
    <row r="1085" spans="1:6" x14ac:dyDescent="0.25">
      <c r="A1085" s="1"/>
      <c r="C1085" s="1"/>
      <c r="D1085" s="1"/>
      <c r="E1085" s="1"/>
      <c r="F1085" s="1"/>
    </row>
    <row r="1086" spans="1:6" x14ac:dyDescent="0.25">
      <c r="A1086" s="1"/>
      <c r="C1086" s="1"/>
      <c r="D1086" s="1"/>
      <c r="E1086" s="1"/>
      <c r="F1086" s="1"/>
    </row>
    <row r="1087" spans="1:6" x14ac:dyDescent="0.25">
      <c r="A1087" s="1"/>
      <c r="C1087" s="1"/>
      <c r="D1087" s="1"/>
      <c r="E1087" s="1"/>
      <c r="F1087" s="1"/>
    </row>
    <row r="1088" spans="1:6" x14ac:dyDescent="0.25">
      <c r="A1088" s="1"/>
      <c r="C1088" s="1"/>
      <c r="D1088" s="1"/>
      <c r="E1088" s="1"/>
      <c r="F1088" s="1"/>
    </row>
    <row r="1089" spans="1:6" x14ac:dyDescent="0.25">
      <c r="A1089" s="1"/>
      <c r="C1089" s="1"/>
      <c r="D1089" s="1"/>
      <c r="E1089" s="1"/>
      <c r="F1089" s="1"/>
    </row>
    <row r="1090" spans="1:6" x14ac:dyDescent="0.25">
      <c r="A1090" s="1"/>
      <c r="C1090" s="1"/>
      <c r="D1090" s="1"/>
      <c r="E1090" s="1"/>
      <c r="F1090" s="1"/>
    </row>
    <row r="1091" spans="1:6" x14ac:dyDescent="0.25">
      <c r="A1091" s="1"/>
      <c r="C1091" s="1"/>
      <c r="D1091" s="1"/>
      <c r="E1091" s="1"/>
      <c r="F1091" s="1"/>
    </row>
    <row r="1092" spans="1:6" x14ac:dyDescent="0.25">
      <c r="A1092" s="1"/>
      <c r="C1092" s="1"/>
      <c r="D1092" s="1"/>
      <c r="E1092" s="1"/>
      <c r="F1092" s="1"/>
    </row>
    <row r="1093" spans="1:6" x14ac:dyDescent="0.25">
      <c r="A1093" s="1"/>
      <c r="C1093" s="1"/>
      <c r="D1093" s="1"/>
      <c r="E1093" s="1"/>
      <c r="F1093" s="1"/>
    </row>
    <row r="1094" spans="1:6" x14ac:dyDescent="0.25">
      <c r="A1094" s="1"/>
      <c r="C1094" s="1"/>
      <c r="D1094" s="1"/>
      <c r="E1094" s="1"/>
      <c r="F1094" s="1"/>
    </row>
    <row r="1095" spans="1:6" x14ac:dyDescent="0.25">
      <c r="A1095" s="1"/>
      <c r="C1095" s="1"/>
      <c r="D1095" s="1"/>
      <c r="E1095" s="1"/>
      <c r="F1095" s="1"/>
    </row>
    <row r="1096" spans="1:6" x14ac:dyDescent="0.25">
      <c r="A1096" s="1"/>
      <c r="C1096" s="1"/>
      <c r="D1096" s="1"/>
      <c r="E1096" s="1"/>
      <c r="F1096" s="1"/>
    </row>
    <row r="1097" spans="1:6" x14ac:dyDescent="0.25">
      <c r="A1097" s="1"/>
      <c r="C1097" s="1"/>
      <c r="D1097" s="1"/>
      <c r="E1097" s="1"/>
      <c r="F1097" s="1"/>
    </row>
    <row r="1098" spans="1:6" x14ac:dyDescent="0.25">
      <c r="A1098" s="1"/>
      <c r="C1098" s="1"/>
      <c r="D1098" s="1"/>
      <c r="E1098" s="1"/>
      <c r="F1098" s="1"/>
    </row>
    <row r="1099" spans="1:6" x14ac:dyDescent="0.25">
      <c r="A1099" s="1"/>
      <c r="C1099" s="1"/>
      <c r="D1099" s="1"/>
      <c r="E1099" s="1"/>
      <c r="F1099" s="1"/>
    </row>
    <row r="1100" spans="1:6" x14ac:dyDescent="0.25">
      <c r="A1100" s="1"/>
      <c r="C1100" s="1"/>
      <c r="D1100" s="1"/>
      <c r="E1100" s="1"/>
      <c r="F1100" s="1"/>
    </row>
    <row r="1101" spans="1:6" x14ac:dyDescent="0.25">
      <c r="A1101" s="1"/>
      <c r="C1101" s="1"/>
      <c r="D1101" s="1"/>
      <c r="E1101" s="1"/>
      <c r="F1101" s="1"/>
    </row>
    <row r="1102" spans="1:6" x14ac:dyDescent="0.25">
      <c r="A1102" s="1"/>
      <c r="C1102" s="1"/>
      <c r="D1102" s="1"/>
      <c r="E1102" s="1"/>
      <c r="F1102" s="1"/>
    </row>
    <row r="1103" spans="1:6" x14ac:dyDescent="0.25">
      <c r="A1103" s="1"/>
      <c r="C1103" s="1"/>
      <c r="D1103" s="1"/>
      <c r="E1103" s="1"/>
      <c r="F1103" s="1"/>
    </row>
    <row r="1104" spans="1:6" x14ac:dyDescent="0.25">
      <c r="A1104" s="1"/>
      <c r="C1104" s="1"/>
      <c r="D1104" s="1"/>
      <c r="E1104" s="1"/>
      <c r="F1104" s="1"/>
    </row>
    <row r="1105" spans="1:6" x14ac:dyDescent="0.25">
      <c r="A1105" s="1"/>
      <c r="C1105" s="1"/>
      <c r="D1105" s="1"/>
      <c r="E1105" s="1"/>
      <c r="F1105" s="1"/>
    </row>
    <row r="1106" spans="1:6" x14ac:dyDescent="0.25">
      <c r="A1106" s="1"/>
      <c r="C1106" s="1"/>
      <c r="D1106" s="1"/>
      <c r="E1106" s="1"/>
      <c r="F1106" s="1"/>
    </row>
    <row r="1107" spans="1:6" x14ac:dyDescent="0.25">
      <c r="A1107" s="1"/>
      <c r="C1107" s="1"/>
      <c r="D1107" s="1"/>
      <c r="E1107" s="1"/>
      <c r="F1107" s="1"/>
    </row>
    <row r="1108" spans="1:6" x14ac:dyDescent="0.25">
      <c r="A1108" s="1"/>
      <c r="C1108" s="1"/>
      <c r="D1108" s="1"/>
      <c r="E1108" s="1"/>
      <c r="F1108" s="1"/>
    </row>
    <row r="1109" spans="1:6" x14ac:dyDescent="0.25">
      <c r="A1109" s="1"/>
      <c r="C1109" s="1"/>
      <c r="D1109" s="1"/>
      <c r="E1109" s="1"/>
      <c r="F1109" s="1"/>
    </row>
    <row r="1110" spans="1:6" x14ac:dyDescent="0.25">
      <c r="A1110" s="1"/>
      <c r="C1110" s="1"/>
      <c r="D1110" s="1"/>
      <c r="E1110" s="1"/>
      <c r="F1110" s="1"/>
    </row>
    <row r="1111" spans="1:6" x14ac:dyDescent="0.25">
      <c r="A1111" s="1"/>
      <c r="C1111" s="1"/>
      <c r="D1111" s="1"/>
      <c r="E1111" s="1"/>
      <c r="F1111" s="1"/>
    </row>
    <row r="1112" spans="1:6" x14ac:dyDescent="0.25">
      <c r="A1112" s="1"/>
      <c r="C1112" s="1"/>
      <c r="D1112" s="1"/>
      <c r="E1112" s="1"/>
      <c r="F1112" s="1"/>
    </row>
    <row r="1113" spans="1:6" x14ac:dyDescent="0.25">
      <c r="A1113" s="1"/>
      <c r="C1113" s="1"/>
      <c r="D1113" s="1"/>
      <c r="E1113" s="1"/>
      <c r="F1113" s="1"/>
    </row>
    <row r="1114" spans="1:6" x14ac:dyDescent="0.25">
      <c r="A1114" s="1"/>
      <c r="C1114" s="1"/>
      <c r="D1114" s="1"/>
      <c r="E1114" s="1"/>
      <c r="F1114" s="1"/>
    </row>
    <row r="1115" spans="1:6" x14ac:dyDescent="0.25">
      <c r="A1115" s="1"/>
      <c r="C1115" s="1"/>
      <c r="D1115" s="1"/>
      <c r="E1115" s="1"/>
      <c r="F1115" s="1"/>
    </row>
    <row r="1116" spans="1:6" x14ac:dyDescent="0.25">
      <c r="A1116" s="1"/>
      <c r="C1116" s="1"/>
      <c r="D1116" s="1"/>
      <c r="E1116" s="1"/>
      <c r="F1116" s="1"/>
    </row>
    <row r="1117" spans="1:6" x14ac:dyDescent="0.25">
      <c r="A1117" s="1"/>
      <c r="C1117" s="1"/>
      <c r="D1117" s="1"/>
      <c r="E1117" s="1"/>
      <c r="F1117" s="1"/>
    </row>
    <row r="1118" spans="1:6" x14ac:dyDescent="0.25">
      <c r="A1118" s="1"/>
      <c r="C1118" s="1"/>
      <c r="D1118" s="1"/>
      <c r="E1118" s="1"/>
      <c r="F1118" s="1"/>
    </row>
    <row r="1119" spans="1:6" x14ac:dyDescent="0.25">
      <c r="A1119" s="1"/>
      <c r="C1119" s="1"/>
      <c r="D1119" s="1"/>
      <c r="E1119" s="1"/>
      <c r="F1119" s="1"/>
    </row>
    <row r="1120" spans="1:6" x14ac:dyDescent="0.25">
      <c r="A1120" s="1"/>
      <c r="C1120" s="1"/>
      <c r="D1120" s="1"/>
      <c r="E1120" s="1"/>
      <c r="F1120" s="1"/>
    </row>
    <row r="1121" spans="1:6" x14ac:dyDescent="0.25">
      <c r="A1121" s="1"/>
      <c r="C1121" s="1"/>
      <c r="D1121" s="1"/>
      <c r="E1121" s="1"/>
      <c r="F1121" s="1"/>
    </row>
    <row r="1122" spans="1:6" x14ac:dyDescent="0.25">
      <c r="A1122" s="1"/>
      <c r="C1122" s="1"/>
      <c r="D1122" s="1"/>
      <c r="E1122" s="1"/>
      <c r="F1122" s="1"/>
    </row>
    <row r="1123" spans="1:6" x14ac:dyDescent="0.25">
      <c r="A1123" s="1"/>
      <c r="C1123" s="1"/>
      <c r="D1123" s="1"/>
      <c r="E1123" s="1"/>
      <c r="F1123" s="1"/>
    </row>
    <row r="1124" spans="1:6" x14ac:dyDescent="0.25">
      <c r="A1124" s="1"/>
      <c r="C1124" s="1"/>
      <c r="D1124" s="1"/>
      <c r="E1124" s="1"/>
      <c r="F1124" s="1"/>
    </row>
    <row r="1125" spans="1:6" x14ac:dyDescent="0.25">
      <c r="A1125" s="1"/>
      <c r="C1125" s="1"/>
      <c r="D1125" s="1"/>
      <c r="E1125" s="1"/>
      <c r="F1125" s="1"/>
    </row>
    <row r="1126" spans="1:6" x14ac:dyDescent="0.25">
      <c r="A1126" s="1"/>
      <c r="C1126" s="1"/>
      <c r="D1126" s="1"/>
      <c r="E1126" s="1"/>
      <c r="F1126" s="1"/>
    </row>
    <row r="1127" spans="1:6" x14ac:dyDescent="0.25">
      <c r="A1127" s="1"/>
      <c r="C1127" s="1"/>
      <c r="D1127" s="1"/>
      <c r="E1127" s="1"/>
      <c r="F1127" s="1"/>
    </row>
    <row r="1128" spans="1:6" x14ac:dyDescent="0.25">
      <c r="A1128" s="1"/>
      <c r="C1128" s="1"/>
      <c r="D1128" s="1"/>
      <c r="E1128" s="1"/>
      <c r="F1128" s="1"/>
    </row>
    <row r="1129" spans="1:6" x14ac:dyDescent="0.25">
      <c r="A1129" s="1"/>
      <c r="C1129" s="1"/>
      <c r="D1129" s="1"/>
      <c r="E1129" s="1"/>
      <c r="F1129" s="1"/>
    </row>
    <row r="1130" spans="1:6" x14ac:dyDescent="0.25">
      <c r="A1130" s="1"/>
      <c r="C1130" s="1"/>
      <c r="D1130" s="1"/>
      <c r="E1130" s="1"/>
      <c r="F1130" s="1"/>
    </row>
    <row r="1131" spans="1:6" x14ac:dyDescent="0.25">
      <c r="A1131" s="1"/>
      <c r="C1131" s="1"/>
      <c r="D1131" s="1"/>
      <c r="E1131" s="1"/>
      <c r="F1131" s="1"/>
    </row>
    <row r="1132" spans="1:6" x14ac:dyDescent="0.25">
      <c r="A1132" s="1"/>
      <c r="C1132" s="1"/>
      <c r="D1132" s="1"/>
      <c r="E1132" s="1"/>
      <c r="F1132" s="1"/>
    </row>
    <row r="1133" spans="1:6" x14ac:dyDescent="0.25">
      <c r="A1133" s="1"/>
      <c r="C1133" s="1"/>
      <c r="D1133" s="1"/>
      <c r="E1133" s="1"/>
      <c r="F1133" s="1"/>
    </row>
    <row r="1134" spans="1:6" x14ac:dyDescent="0.25">
      <c r="A1134" s="1"/>
      <c r="C1134" s="1"/>
      <c r="D1134" s="1"/>
      <c r="E1134" s="1"/>
      <c r="F1134" s="1"/>
    </row>
    <row r="1135" spans="1:6" x14ac:dyDescent="0.25">
      <c r="A1135" s="1"/>
      <c r="C1135" s="1"/>
      <c r="D1135" s="1"/>
      <c r="E1135" s="1"/>
      <c r="F1135" s="1"/>
    </row>
    <row r="1136" spans="1:6" x14ac:dyDescent="0.25">
      <c r="A1136" s="1"/>
      <c r="C1136" s="1"/>
      <c r="D1136" s="1"/>
      <c r="E1136" s="1"/>
      <c r="F1136" s="1"/>
    </row>
    <row r="1137" spans="1:6" x14ac:dyDescent="0.25">
      <c r="A1137" s="1"/>
      <c r="C1137" s="1"/>
      <c r="D1137" s="1"/>
      <c r="E1137" s="1"/>
      <c r="F1137" s="1"/>
    </row>
    <row r="1138" spans="1:6" x14ac:dyDescent="0.25">
      <c r="A1138" s="1"/>
      <c r="C1138" s="1"/>
      <c r="D1138" s="1"/>
      <c r="E1138" s="1"/>
      <c r="F1138" s="1"/>
    </row>
    <row r="1139" spans="1:6" x14ac:dyDescent="0.25">
      <c r="A1139" s="1"/>
      <c r="C1139" s="1"/>
      <c r="D1139" s="1"/>
      <c r="E1139" s="1"/>
      <c r="F1139" s="1"/>
    </row>
    <row r="1140" spans="1:6" x14ac:dyDescent="0.25">
      <c r="A1140" s="1"/>
      <c r="C1140" s="1"/>
      <c r="D1140" s="1"/>
      <c r="E1140" s="1"/>
      <c r="F1140" s="1"/>
    </row>
    <row r="1141" spans="1:6" x14ac:dyDescent="0.25">
      <c r="A1141" s="1"/>
      <c r="C1141" s="1"/>
      <c r="D1141" s="1"/>
      <c r="E1141" s="1"/>
      <c r="F1141" s="1"/>
    </row>
    <row r="1142" spans="1:6" x14ac:dyDescent="0.25">
      <c r="A1142" s="1"/>
      <c r="C1142" s="1"/>
      <c r="D1142" s="1"/>
      <c r="E1142" s="1"/>
      <c r="F1142" s="1"/>
    </row>
    <row r="1143" spans="1:6" x14ac:dyDescent="0.25">
      <c r="A1143" s="1"/>
      <c r="C1143" s="1"/>
      <c r="D1143" s="1"/>
      <c r="E1143" s="1"/>
      <c r="F1143" s="1"/>
    </row>
    <row r="1144" spans="1:6" x14ac:dyDescent="0.25">
      <c r="A1144" s="1"/>
      <c r="C1144" s="1"/>
      <c r="D1144" s="1"/>
      <c r="E1144" s="1"/>
      <c r="F1144" s="1"/>
    </row>
    <row r="1145" spans="1:6" x14ac:dyDescent="0.25">
      <c r="A1145" s="1"/>
      <c r="C1145" s="1"/>
      <c r="D1145" s="1"/>
      <c r="E1145" s="1"/>
      <c r="F1145" s="1"/>
    </row>
    <row r="1146" spans="1:6" x14ac:dyDescent="0.25">
      <c r="A1146" s="1"/>
      <c r="C1146" s="1"/>
      <c r="D1146" s="1"/>
      <c r="E1146" s="1"/>
      <c r="F1146" s="1"/>
    </row>
    <row r="1147" spans="1:6" x14ac:dyDescent="0.25">
      <c r="A1147" s="1"/>
      <c r="C1147" s="1"/>
      <c r="D1147" s="1"/>
      <c r="E1147" s="1"/>
      <c r="F1147" s="1"/>
    </row>
    <row r="1148" spans="1:6" x14ac:dyDescent="0.25">
      <c r="A1148" s="1"/>
      <c r="C1148" s="1"/>
      <c r="D1148" s="1"/>
      <c r="E1148" s="1"/>
      <c r="F1148" s="1"/>
    </row>
    <row r="1149" spans="1:6" x14ac:dyDescent="0.25">
      <c r="A1149" s="1"/>
      <c r="C1149" s="1"/>
      <c r="D1149" s="1"/>
      <c r="E1149" s="1"/>
      <c r="F1149" s="1"/>
    </row>
    <row r="1150" spans="1:6" x14ac:dyDescent="0.25">
      <c r="A1150" s="1"/>
      <c r="C1150" s="1"/>
      <c r="D1150" s="1"/>
      <c r="E1150" s="1"/>
      <c r="F1150" s="1"/>
    </row>
    <row r="1151" spans="1:6" x14ac:dyDescent="0.25">
      <c r="A1151" s="1"/>
      <c r="C1151" s="1"/>
      <c r="D1151" s="1"/>
      <c r="E1151" s="1"/>
      <c r="F1151" s="1"/>
    </row>
    <row r="1152" spans="1:6" x14ac:dyDescent="0.25">
      <c r="A1152" s="1"/>
      <c r="C1152" s="1"/>
      <c r="D1152" s="1"/>
      <c r="E1152" s="1"/>
      <c r="F1152" s="1"/>
    </row>
    <row r="1153" spans="1:6" x14ac:dyDescent="0.25">
      <c r="A1153" s="1"/>
      <c r="C1153" s="1"/>
      <c r="D1153" s="1"/>
      <c r="E1153" s="1"/>
      <c r="F1153" s="1"/>
    </row>
    <row r="1154" spans="1:6" x14ac:dyDescent="0.25">
      <c r="A1154" s="1"/>
      <c r="C1154" s="1"/>
      <c r="D1154" s="1"/>
      <c r="E1154" s="1"/>
      <c r="F1154" s="1"/>
    </row>
    <row r="1155" spans="1:6" x14ac:dyDescent="0.25">
      <c r="A1155" s="1"/>
      <c r="C1155" s="1"/>
      <c r="D1155" s="1"/>
      <c r="E1155" s="1"/>
      <c r="F1155" s="1"/>
    </row>
    <row r="1156" spans="1:6" x14ac:dyDescent="0.25">
      <c r="A1156" s="1"/>
      <c r="C1156" s="1"/>
      <c r="D1156" s="1"/>
      <c r="E1156" s="1"/>
      <c r="F1156" s="1"/>
    </row>
    <row r="1157" spans="1:6" x14ac:dyDescent="0.25">
      <c r="A1157" s="1"/>
      <c r="C1157" s="1"/>
      <c r="D1157" s="1"/>
      <c r="E1157" s="1"/>
      <c r="F1157" s="1"/>
    </row>
    <row r="1158" spans="1:6" x14ac:dyDescent="0.25">
      <c r="A1158" s="1"/>
      <c r="C1158" s="1"/>
      <c r="D1158" s="1"/>
      <c r="E1158" s="1"/>
      <c r="F1158" s="1"/>
    </row>
    <row r="1159" spans="1:6" x14ac:dyDescent="0.25">
      <c r="A1159" s="1"/>
      <c r="C1159" s="1"/>
      <c r="D1159" s="1"/>
      <c r="E1159" s="1"/>
      <c r="F1159" s="1"/>
    </row>
    <row r="1160" spans="1:6" x14ac:dyDescent="0.25">
      <c r="A1160" s="1"/>
      <c r="C1160" s="1"/>
      <c r="D1160" s="1"/>
      <c r="E1160" s="1"/>
      <c r="F1160" s="1"/>
    </row>
    <row r="1161" spans="1:6" x14ac:dyDescent="0.25">
      <c r="A1161" s="1"/>
      <c r="C1161" s="1"/>
      <c r="D1161" s="1"/>
      <c r="E1161" s="1"/>
      <c r="F1161" s="1"/>
    </row>
    <row r="1162" spans="1:6" x14ac:dyDescent="0.25">
      <c r="A1162" s="1"/>
      <c r="C1162" s="1"/>
      <c r="D1162" s="1"/>
      <c r="E1162" s="1"/>
      <c r="F1162" s="1"/>
    </row>
    <row r="1163" spans="1:6" x14ac:dyDescent="0.25">
      <c r="A1163" s="1"/>
      <c r="C1163" s="1"/>
      <c r="D1163" s="1"/>
      <c r="E1163" s="1"/>
      <c r="F1163" s="1"/>
    </row>
    <row r="1164" spans="1:6" x14ac:dyDescent="0.25">
      <c r="A1164" s="1"/>
      <c r="C1164" s="1"/>
      <c r="D1164" s="1"/>
      <c r="E1164" s="1"/>
      <c r="F1164" s="1"/>
    </row>
    <row r="1165" spans="1:6" x14ac:dyDescent="0.25">
      <c r="A1165" s="1"/>
      <c r="C1165" s="1"/>
      <c r="D1165" s="1"/>
      <c r="E1165" s="1"/>
      <c r="F1165" s="1"/>
    </row>
    <row r="1166" spans="1:6" x14ac:dyDescent="0.25">
      <c r="A1166" s="1"/>
      <c r="C1166" s="1"/>
      <c r="D1166" s="1"/>
      <c r="E1166" s="1"/>
      <c r="F1166" s="1"/>
    </row>
    <row r="1167" spans="1:6" x14ac:dyDescent="0.25">
      <c r="A1167" s="1"/>
      <c r="C1167" s="1"/>
      <c r="D1167" s="1"/>
      <c r="E1167" s="1"/>
      <c r="F1167" s="1"/>
    </row>
    <row r="1168" spans="1:6" x14ac:dyDescent="0.25">
      <c r="A1168" s="1"/>
      <c r="C1168" s="1"/>
      <c r="D1168" s="1"/>
      <c r="E1168" s="1"/>
      <c r="F1168" s="1"/>
    </row>
    <row r="1169" spans="1:6" x14ac:dyDescent="0.25">
      <c r="A1169" s="1"/>
      <c r="C1169" s="1"/>
      <c r="D1169" s="1"/>
      <c r="E1169" s="1"/>
      <c r="F1169" s="1"/>
    </row>
    <row r="1170" spans="1:6" x14ac:dyDescent="0.25">
      <c r="A1170" s="1"/>
      <c r="C1170" s="1"/>
      <c r="D1170" s="1"/>
      <c r="E1170" s="1"/>
      <c r="F1170" s="1"/>
    </row>
    <row r="1171" spans="1:6" x14ac:dyDescent="0.25">
      <c r="A1171" s="1"/>
      <c r="C1171" s="1"/>
      <c r="D1171" s="1"/>
      <c r="E1171" s="1"/>
      <c r="F1171" s="1"/>
    </row>
    <row r="1172" spans="1:6" x14ac:dyDescent="0.25">
      <c r="A1172" s="1"/>
      <c r="C1172" s="1"/>
      <c r="D1172" s="1"/>
      <c r="E1172" s="1"/>
      <c r="F1172" s="1"/>
    </row>
    <row r="1173" spans="1:6" x14ac:dyDescent="0.25">
      <c r="A1173" s="1"/>
      <c r="C1173" s="1"/>
      <c r="D1173" s="1"/>
      <c r="E1173" s="1"/>
      <c r="F1173" s="1"/>
    </row>
    <row r="1174" spans="1:6" x14ac:dyDescent="0.25">
      <c r="A1174" s="1"/>
      <c r="C1174" s="1"/>
      <c r="D1174" s="1"/>
      <c r="E1174" s="1"/>
      <c r="F1174" s="1"/>
    </row>
    <row r="1175" spans="1:6" x14ac:dyDescent="0.25">
      <c r="A1175" s="1"/>
      <c r="C1175" s="1"/>
      <c r="D1175" s="1"/>
      <c r="E1175" s="1"/>
      <c r="F1175" s="1"/>
    </row>
    <row r="1176" spans="1:6" x14ac:dyDescent="0.25">
      <c r="A1176" s="1"/>
      <c r="C1176" s="1"/>
      <c r="D1176" s="1"/>
      <c r="E1176" s="1"/>
      <c r="F1176" s="1"/>
    </row>
    <row r="1177" spans="1:6" x14ac:dyDescent="0.25">
      <c r="A1177" s="1"/>
      <c r="C1177" s="1"/>
      <c r="D1177" s="1"/>
      <c r="E1177" s="1"/>
      <c r="F1177" s="1"/>
    </row>
    <row r="1178" spans="1:6" x14ac:dyDescent="0.25">
      <c r="A1178" s="1"/>
      <c r="C1178" s="1"/>
      <c r="D1178" s="1"/>
      <c r="E1178" s="1"/>
      <c r="F1178" s="1"/>
    </row>
    <row r="1179" spans="1:6" x14ac:dyDescent="0.25">
      <c r="A1179" s="1"/>
      <c r="C1179" s="1"/>
      <c r="D1179" s="1"/>
      <c r="E1179" s="1"/>
      <c r="F1179" s="1"/>
    </row>
    <row r="1180" spans="1:6" x14ac:dyDescent="0.25">
      <c r="A1180" s="1"/>
      <c r="C1180" s="1"/>
      <c r="D1180" s="1"/>
      <c r="E1180" s="1"/>
      <c r="F1180" s="1"/>
    </row>
    <row r="1181" spans="1:6" x14ac:dyDescent="0.25">
      <c r="A1181" s="1"/>
      <c r="C1181" s="1"/>
      <c r="D1181" s="1"/>
      <c r="E1181" s="1"/>
      <c r="F1181" s="1"/>
    </row>
    <row r="1182" spans="1:6" x14ac:dyDescent="0.25">
      <c r="A1182" s="1"/>
      <c r="C1182" s="1"/>
      <c r="D1182" s="1"/>
      <c r="E1182" s="1"/>
      <c r="F1182" s="1"/>
    </row>
    <row r="1183" spans="1:6" x14ac:dyDescent="0.25">
      <c r="A1183" s="1"/>
      <c r="C1183" s="1"/>
      <c r="D1183" s="1"/>
      <c r="E1183" s="1"/>
      <c r="F1183" s="1"/>
    </row>
    <row r="1184" spans="1:6" x14ac:dyDescent="0.25">
      <c r="A1184" s="1"/>
      <c r="C1184" s="1"/>
      <c r="D1184" s="1"/>
      <c r="E1184" s="1"/>
      <c r="F1184" s="1"/>
    </row>
    <row r="1185" spans="1:6" x14ac:dyDescent="0.25">
      <c r="A1185" s="1"/>
      <c r="C1185" s="1"/>
      <c r="D1185" s="1"/>
      <c r="E1185" s="1"/>
      <c r="F1185" s="1"/>
    </row>
    <row r="1186" spans="1:6" x14ac:dyDescent="0.25">
      <c r="A1186" s="1"/>
      <c r="C1186" s="1"/>
      <c r="D1186" s="1"/>
      <c r="E1186" s="1"/>
      <c r="F1186" s="1"/>
    </row>
    <row r="1187" spans="1:6" x14ac:dyDescent="0.25">
      <c r="A1187" s="1"/>
      <c r="C1187" s="1"/>
      <c r="D1187" s="1"/>
      <c r="E1187" s="1"/>
      <c r="F1187" s="1"/>
    </row>
    <row r="1188" spans="1:6" x14ac:dyDescent="0.25">
      <c r="A1188" s="1"/>
      <c r="C1188" s="1"/>
      <c r="D1188" s="1"/>
      <c r="E1188" s="1"/>
      <c r="F1188" s="1"/>
    </row>
    <row r="1189" spans="1:6" x14ac:dyDescent="0.25">
      <c r="A1189" s="1"/>
      <c r="C1189" s="1"/>
      <c r="D1189" s="1"/>
      <c r="E1189" s="1"/>
      <c r="F1189" s="1"/>
    </row>
    <row r="1190" spans="1:6" x14ac:dyDescent="0.25">
      <c r="A1190" s="1"/>
      <c r="C1190" s="1"/>
      <c r="D1190" s="1"/>
      <c r="E1190" s="1"/>
      <c r="F1190" s="1"/>
    </row>
    <row r="1191" spans="1:6" x14ac:dyDescent="0.25">
      <c r="A1191" s="1"/>
      <c r="C1191" s="1"/>
      <c r="D1191" s="1"/>
      <c r="E1191" s="1"/>
      <c r="F1191" s="1"/>
    </row>
    <row r="1192" spans="1:6" x14ac:dyDescent="0.25">
      <c r="A1192" s="1"/>
      <c r="C1192" s="1"/>
      <c r="D1192" s="1"/>
      <c r="E1192" s="1"/>
      <c r="F1192" s="1"/>
    </row>
    <row r="1193" spans="1:6" x14ac:dyDescent="0.25">
      <c r="A1193" s="1"/>
      <c r="C1193" s="1"/>
      <c r="D1193" s="1"/>
      <c r="E1193" s="1"/>
      <c r="F1193" s="1"/>
    </row>
    <row r="1194" spans="1:6" x14ac:dyDescent="0.25">
      <c r="A1194" s="1"/>
      <c r="C1194" s="1"/>
      <c r="D1194" s="1"/>
      <c r="E1194" s="1"/>
      <c r="F1194" s="1"/>
    </row>
    <row r="1195" spans="1:6" x14ac:dyDescent="0.25">
      <c r="A1195" s="1"/>
      <c r="C1195" s="1"/>
      <c r="D1195" s="1"/>
      <c r="E1195" s="1"/>
      <c r="F1195" s="1"/>
    </row>
    <row r="1196" spans="1:6" x14ac:dyDescent="0.25">
      <c r="A1196" s="1"/>
      <c r="C1196" s="1"/>
      <c r="D1196" s="1"/>
      <c r="E1196" s="1"/>
      <c r="F1196" s="1"/>
    </row>
    <row r="1197" spans="1:6" x14ac:dyDescent="0.25">
      <c r="A1197" s="1"/>
      <c r="C1197" s="1"/>
      <c r="D1197" s="1"/>
      <c r="E1197" s="1"/>
      <c r="F1197" s="1"/>
    </row>
    <row r="1198" spans="1:6" x14ac:dyDescent="0.25">
      <c r="A1198" s="1"/>
      <c r="C1198" s="1"/>
      <c r="D1198" s="1"/>
      <c r="E1198" s="1"/>
      <c r="F1198" s="1"/>
    </row>
    <row r="1199" spans="1:6" x14ac:dyDescent="0.25">
      <c r="A1199" s="1"/>
      <c r="C1199" s="1"/>
      <c r="D1199" s="1"/>
      <c r="E1199" s="1"/>
      <c r="F1199" s="1"/>
    </row>
    <row r="1200" spans="1:6" x14ac:dyDescent="0.25">
      <c r="A1200" s="1"/>
      <c r="C1200" s="1"/>
      <c r="D1200" s="1"/>
      <c r="E1200" s="1"/>
      <c r="F1200" s="1"/>
    </row>
    <row r="1201" spans="1:6" x14ac:dyDescent="0.25">
      <c r="A1201" s="1"/>
      <c r="C1201" s="1"/>
      <c r="D1201" s="1"/>
      <c r="E1201" s="1"/>
      <c r="F1201" s="1"/>
    </row>
    <row r="1202" spans="1:6" x14ac:dyDescent="0.25">
      <c r="A1202" s="1"/>
      <c r="C1202" s="1"/>
      <c r="D1202" s="1"/>
      <c r="E1202" s="1"/>
      <c r="F1202" s="1"/>
    </row>
    <row r="1203" spans="1:6" x14ac:dyDescent="0.25">
      <c r="A1203" s="1"/>
      <c r="C1203" s="1"/>
      <c r="D1203" s="1"/>
      <c r="E1203" s="1"/>
      <c r="F1203" s="1"/>
    </row>
    <row r="1204" spans="1:6" x14ac:dyDescent="0.25">
      <c r="A1204" s="1"/>
      <c r="C1204" s="1"/>
      <c r="D1204" s="1"/>
      <c r="E1204" s="1"/>
      <c r="F1204" s="1"/>
    </row>
    <row r="1205" spans="1:6" x14ac:dyDescent="0.25">
      <c r="A1205" s="1"/>
      <c r="C1205" s="1"/>
      <c r="D1205" s="1"/>
      <c r="E1205" s="1"/>
      <c r="F1205" s="1"/>
    </row>
    <row r="1206" spans="1:6" x14ac:dyDescent="0.25">
      <c r="A1206" s="1"/>
      <c r="C1206" s="1"/>
      <c r="D1206" s="1"/>
      <c r="E1206" s="1"/>
      <c r="F1206" s="1"/>
    </row>
    <row r="1207" spans="1:6" x14ac:dyDescent="0.25">
      <c r="A1207" s="1"/>
      <c r="C1207" s="1"/>
      <c r="D1207" s="1"/>
      <c r="E1207" s="1"/>
      <c r="F1207" s="1"/>
    </row>
    <row r="1208" spans="1:6" x14ac:dyDescent="0.25">
      <c r="A1208" s="1"/>
      <c r="C1208" s="1"/>
      <c r="D1208" s="1"/>
      <c r="E1208" s="1"/>
      <c r="F1208" s="1"/>
    </row>
    <row r="1209" spans="1:6" x14ac:dyDescent="0.25">
      <c r="A1209" s="1"/>
      <c r="C1209" s="1"/>
      <c r="D1209" s="1"/>
      <c r="E1209" s="1"/>
      <c r="F1209" s="1"/>
    </row>
    <row r="1210" spans="1:6" x14ac:dyDescent="0.25">
      <c r="A1210" s="1"/>
      <c r="C1210" s="1"/>
      <c r="D1210" s="1"/>
      <c r="E1210" s="1"/>
      <c r="F1210" s="1"/>
    </row>
    <row r="1211" spans="1:6" x14ac:dyDescent="0.25">
      <c r="A1211" s="1"/>
      <c r="C1211" s="1"/>
      <c r="D1211" s="1"/>
      <c r="E1211" s="1"/>
      <c r="F1211" s="1"/>
    </row>
    <row r="1212" spans="1:6" x14ac:dyDescent="0.25">
      <c r="A1212" s="1"/>
      <c r="C1212" s="1"/>
      <c r="D1212" s="1"/>
      <c r="E1212" s="1"/>
      <c r="F1212" s="1"/>
    </row>
    <row r="1213" spans="1:6" x14ac:dyDescent="0.25">
      <c r="A1213" s="1"/>
      <c r="C1213" s="1"/>
      <c r="D1213" s="1"/>
      <c r="E1213" s="1"/>
      <c r="F1213" s="1"/>
    </row>
    <row r="1214" spans="1:6" x14ac:dyDescent="0.25">
      <c r="A1214" s="1"/>
      <c r="C1214" s="1"/>
      <c r="D1214" s="1"/>
      <c r="E1214" s="1"/>
      <c r="F1214" s="1"/>
    </row>
    <row r="1215" spans="1:6" x14ac:dyDescent="0.25">
      <c r="A1215" s="1"/>
      <c r="C1215" s="1"/>
      <c r="D1215" s="1"/>
      <c r="E1215" s="1"/>
      <c r="F1215" s="1"/>
    </row>
    <row r="1216" spans="1:6" x14ac:dyDescent="0.25">
      <c r="A1216" s="1"/>
      <c r="C1216" s="1"/>
      <c r="D1216" s="1"/>
      <c r="E1216" s="1"/>
      <c r="F1216" s="1"/>
    </row>
    <row r="1217" spans="1:6" x14ac:dyDescent="0.25">
      <c r="A1217" s="1"/>
      <c r="C1217" s="1"/>
      <c r="D1217" s="1"/>
      <c r="E1217" s="1"/>
      <c r="F1217" s="1"/>
    </row>
    <row r="1218" spans="1:6" x14ac:dyDescent="0.25">
      <c r="A1218" s="1"/>
      <c r="C1218" s="1"/>
      <c r="D1218" s="1"/>
      <c r="E1218" s="1"/>
      <c r="F1218" s="1"/>
    </row>
    <row r="1219" spans="1:6" x14ac:dyDescent="0.25">
      <c r="A1219" s="1"/>
      <c r="C1219" s="1"/>
      <c r="D1219" s="1"/>
      <c r="E1219" s="1"/>
      <c r="F1219" s="1"/>
    </row>
    <row r="1220" spans="1:6" x14ac:dyDescent="0.25">
      <c r="A1220" s="1"/>
      <c r="C1220" s="1"/>
      <c r="D1220" s="1"/>
      <c r="E1220" s="1"/>
      <c r="F1220" s="1"/>
    </row>
    <row r="1221" spans="1:6" x14ac:dyDescent="0.25">
      <c r="A1221" s="1"/>
      <c r="C1221" s="1"/>
      <c r="D1221" s="1"/>
      <c r="E1221" s="1"/>
      <c r="F1221" s="1"/>
    </row>
    <row r="1222" spans="1:6" x14ac:dyDescent="0.25">
      <c r="A1222" s="1"/>
      <c r="C1222" s="1"/>
      <c r="D1222" s="1"/>
      <c r="E1222" s="1"/>
      <c r="F1222" s="1"/>
    </row>
    <row r="1223" spans="1:6" x14ac:dyDescent="0.25">
      <c r="A1223" s="1"/>
      <c r="C1223" s="1"/>
      <c r="D1223" s="1"/>
      <c r="E1223" s="1"/>
      <c r="F1223" s="1"/>
    </row>
    <row r="1224" spans="1:6" x14ac:dyDescent="0.25">
      <c r="A1224" s="1"/>
      <c r="C1224" s="1"/>
      <c r="D1224" s="1"/>
      <c r="E1224" s="1"/>
      <c r="F1224" s="1"/>
    </row>
    <row r="1225" spans="1:6" x14ac:dyDescent="0.25">
      <c r="A1225" s="1"/>
      <c r="C1225" s="1"/>
      <c r="D1225" s="1"/>
      <c r="E1225" s="1"/>
      <c r="F1225" s="1"/>
    </row>
    <row r="1226" spans="1:6" x14ac:dyDescent="0.25">
      <c r="A1226" s="1"/>
      <c r="C1226" s="1"/>
      <c r="D1226" s="1"/>
      <c r="E1226" s="1"/>
      <c r="F1226" s="1"/>
    </row>
    <row r="1227" spans="1:6" x14ac:dyDescent="0.25">
      <c r="A1227" s="1"/>
      <c r="C1227" s="1"/>
      <c r="D1227" s="1"/>
      <c r="E1227" s="1"/>
      <c r="F1227" s="1"/>
    </row>
    <row r="1228" spans="1:6" x14ac:dyDescent="0.25">
      <c r="A1228" s="1"/>
      <c r="C1228" s="1"/>
      <c r="D1228" s="1"/>
      <c r="E1228" s="1"/>
      <c r="F1228" s="1"/>
    </row>
    <row r="1229" spans="1:6" x14ac:dyDescent="0.25">
      <c r="A1229" s="1"/>
      <c r="C1229" s="1"/>
      <c r="D1229" s="1"/>
      <c r="E1229" s="1"/>
      <c r="F1229" s="1"/>
    </row>
    <row r="1230" spans="1:6" x14ac:dyDescent="0.25">
      <c r="A1230" s="1"/>
      <c r="C1230" s="1"/>
      <c r="D1230" s="1"/>
      <c r="E1230" s="1"/>
      <c r="F1230" s="1"/>
    </row>
    <row r="1231" spans="1:6" x14ac:dyDescent="0.25">
      <c r="A1231" s="1"/>
      <c r="C1231" s="1"/>
      <c r="D1231" s="1"/>
      <c r="E1231" s="1"/>
      <c r="F1231" s="1"/>
    </row>
    <row r="1232" spans="1:6" x14ac:dyDescent="0.25">
      <c r="A1232" s="1"/>
      <c r="C1232" s="1"/>
      <c r="D1232" s="1"/>
      <c r="E1232" s="1"/>
      <c r="F1232" s="1"/>
    </row>
    <row r="1233" spans="1:6" x14ac:dyDescent="0.25">
      <c r="A1233" s="1"/>
      <c r="C1233" s="1"/>
      <c r="D1233" s="1"/>
      <c r="E1233" s="1"/>
      <c r="F1233" s="1"/>
    </row>
    <row r="1234" spans="1:6" x14ac:dyDescent="0.25">
      <c r="A1234" s="1"/>
      <c r="C1234" s="1"/>
      <c r="D1234" s="1"/>
      <c r="E1234" s="1"/>
      <c r="F1234" s="1"/>
    </row>
    <row r="1235" spans="1:6" x14ac:dyDescent="0.25">
      <c r="A1235" s="1"/>
      <c r="C1235" s="1"/>
      <c r="D1235" s="1"/>
      <c r="E1235" s="1"/>
      <c r="F1235" s="1"/>
    </row>
    <row r="1236" spans="1:6" x14ac:dyDescent="0.25">
      <c r="A1236" s="1"/>
      <c r="C1236" s="1"/>
      <c r="D1236" s="1"/>
      <c r="E1236" s="1"/>
      <c r="F1236" s="1"/>
    </row>
    <row r="1237" spans="1:6" x14ac:dyDescent="0.25">
      <c r="A1237" s="1"/>
      <c r="C1237" s="1"/>
      <c r="D1237" s="1"/>
      <c r="E1237" s="1"/>
      <c r="F1237" s="1"/>
    </row>
    <row r="1238" spans="1:6" x14ac:dyDescent="0.25">
      <c r="A1238" s="1"/>
      <c r="C1238" s="1"/>
      <c r="D1238" s="1"/>
      <c r="E1238" s="1"/>
      <c r="F1238" s="1"/>
    </row>
    <row r="1239" spans="1:6" x14ac:dyDescent="0.25">
      <c r="A1239" s="1"/>
      <c r="C1239" s="1"/>
      <c r="D1239" s="1"/>
      <c r="E1239" s="1"/>
      <c r="F1239" s="1"/>
    </row>
    <row r="1240" spans="1:6" x14ac:dyDescent="0.25">
      <c r="A1240" s="1"/>
      <c r="C1240" s="1"/>
      <c r="D1240" s="1"/>
      <c r="E1240" s="1"/>
      <c r="F1240" s="1"/>
    </row>
    <row r="1241" spans="1:6" x14ac:dyDescent="0.25">
      <c r="A1241" s="1"/>
      <c r="C1241" s="1"/>
      <c r="D1241" s="1"/>
      <c r="E1241" s="1"/>
      <c r="F1241" s="1"/>
    </row>
    <row r="1242" spans="1:6" x14ac:dyDescent="0.25">
      <c r="A1242" s="1"/>
      <c r="C1242" s="1"/>
      <c r="D1242" s="1"/>
      <c r="E1242" s="1"/>
      <c r="F1242" s="1"/>
    </row>
    <row r="1243" spans="1:6" x14ac:dyDescent="0.25">
      <c r="A1243" s="1"/>
      <c r="C1243" s="1"/>
      <c r="D1243" s="1"/>
      <c r="E1243" s="1"/>
      <c r="F1243" s="1"/>
    </row>
    <row r="1244" spans="1:6" x14ac:dyDescent="0.25">
      <c r="A1244" s="1"/>
      <c r="C1244" s="1"/>
      <c r="D1244" s="1"/>
      <c r="E1244" s="1"/>
      <c r="F1244" s="1"/>
    </row>
    <row r="1245" spans="1:6" x14ac:dyDescent="0.25">
      <c r="A1245" s="1"/>
      <c r="C1245" s="1"/>
      <c r="D1245" s="1"/>
      <c r="E1245" s="1"/>
      <c r="F1245" s="1"/>
    </row>
    <row r="1246" spans="1:6" x14ac:dyDescent="0.25">
      <c r="A1246" s="1"/>
      <c r="C1246" s="1"/>
      <c r="D1246" s="1"/>
      <c r="E1246" s="1"/>
      <c r="F1246" s="1"/>
    </row>
    <row r="1247" spans="1:6" x14ac:dyDescent="0.25">
      <c r="A1247" s="1"/>
      <c r="C1247" s="1"/>
      <c r="D1247" s="1"/>
      <c r="E1247" s="1"/>
      <c r="F1247" s="1"/>
    </row>
    <row r="1248" spans="1:6" x14ac:dyDescent="0.25">
      <c r="A1248" s="1"/>
      <c r="C1248" s="1"/>
      <c r="D1248" s="1"/>
      <c r="E1248" s="1"/>
      <c r="F1248" s="1"/>
    </row>
    <row r="1249" spans="1:6" x14ac:dyDescent="0.25">
      <c r="A1249" s="1"/>
      <c r="C1249" s="1"/>
      <c r="D1249" s="1"/>
      <c r="E1249" s="1"/>
      <c r="F1249" s="1"/>
    </row>
    <row r="1250" spans="1:6" x14ac:dyDescent="0.25">
      <c r="A1250" s="1"/>
      <c r="C1250" s="1"/>
      <c r="D1250" s="1"/>
      <c r="E1250" s="1"/>
      <c r="F1250" s="1"/>
    </row>
    <row r="1251" spans="1:6" x14ac:dyDescent="0.25">
      <c r="A1251" s="1"/>
      <c r="C1251" s="1"/>
      <c r="D1251" s="1"/>
      <c r="E1251" s="1"/>
      <c r="F1251" s="1"/>
    </row>
    <row r="1252" spans="1:6" x14ac:dyDescent="0.25">
      <c r="A1252" s="1"/>
      <c r="C1252" s="1"/>
      <c r="D1252" s="1"/>
      <c r="E1252" s="1"/>
      <c r="F1252" s="1"/>
    </row>
    <row r="1253" spans="1:6" x14ac:dyDescent="0.25">
      <c r="A1253" s="1"/>
      <c r="C1253" s="1"/>
      <c r="D1253" s="1"/>
      <c r="E1253" s="1"/>
      <c r="F1253" s="1"/>
    </row>
    <row r="1254" spans="1:6" x14ac:dyDescent="0.25">
      <c r="A1254" s="1"/>
      <c r="C1254" s="1"/>
      <c r="D1254" s="1"/>
      <c r="E1254" s="1"/>
      <c r="F1254" s="1"/>
    </row>
    <row r="1255" spans="1:6" x14ac:dyDescent="0.25">
      <c r="A1255" s="1"/>
      <c r="C1255" s="1"/>
      <c r="D1255" s="1"/>
      <c r="E1255" s="1"/>
      <c r="F1255" s="1"/>
    </row>
    <row r="1256" spans="1:6" x14ac:dyDescent="0.25">
      <c r="A1256" s="1"/>
      <c r="C1256" s="1"/>
      <c r="D1256" s="1"/>
      <c r="E1256" s="1"/>
      <c r="F1256" s="1"/>
    </row>
    <row r="1257" spans="1:6" x14ac:dyDescent="0.25">
      <c r="A1257" s="1"/>
      <c r="C1257" s="1"/>
      <c r="D1257" s="1"/>
      <c r="E1257" s="1"/>
      <c r="F1257" s="1"/>
    </row>
    <row r="1258" spans="1:6" x14ac:dyDescent="0.25">
      <c r="A1258" s="1"/>
      <c r="C1258" s="1"/>
      <c r="D1258" s="1"/>
      <c r="E1258" s="1"/>
      <c r="F1258" s="1"/>
    </row>
    <row r="1259" spans="1:6" x14ac:dyDescent="0.25">
      <c r="A1259" s="1"/>
      <c r="C1259" s="1"/>
      <c r="D1259" s="1"/>
      <c r="E1259" s="1"/>
      <c r="F1259" s="1"/>
    </row>
    <row r="1260" spans="1:6" x14ac:dyDescent="0.25">
      <c r="A1260" s="1"/>
      <c r="C1260" s="1"/>
      <c r="D1260" s="1"/>
      <c r="E1260" s="1"/>
      <c r="F1260" s="1"/>
    </row>
    <row r="1261" spans="1:6" x14ac:dyDescent="0.25">
      <c r="A1261" s="1"/>
      <c r="C1261" s="1"/>
      <c r="D1261" s="1"/>
      <c r="E1261" s="1"/>
      <c r="F1261" s="1"/>
    </row>
    <row r="1262" spans="1:6" x14ac:dyDescent="0.25">
      <c r="A1262" s="1"/>
      <c r="C1262" s="1"/>
      <c r="D1262" s="1"/>
      <c r="E1262" s="1"/>
      <c r="F1262" s="1"/>
    </row>
    <row r="1263" spans="1:6" x14ac:dyDescent="0.25">
      <c r="A1263" s="1"/>
      <c r="C1263" s="1"/>
      <c r="D1263" s="1"/>
      <c r="E1263" s="1"/>
      <c r="F1263" s="1"/>
    </row>
    <row r="1264" spans="1:6" x14ac:dyDescent="0.25">
      <c r="A1264" s="1"/>
      <c r="C1264" s="1"/>
      <c r="D1264" s="1"/>
      <c r="E1264" s="1"/>
      <c r="F1264" s="1"/>
    </row>
    <row r="1265" spans="1:6" x14ac:dyDescent="0.25">
      <c r="A1265" s="1"/>
      <c r="C1265" s="1"/>
      <c r="D1265" s="1"/>
      <c r="E1265" s="1"/>
      <c r="F1265" s="1"/>
    </row>
    <row r="1266" spans="1:6" x14ac:dyDescent="0.25">
      <c r="A1266" s="1"/>
      <c r="C1266" s="1"/>
      <c r="D1266" s="1"/>
      <c r="E1266" s="1"/>
      <c r="F1266" s="1"/>
    </row>
    <row r="1267" spans="1:6" x14ac:dyDescent="0.25">
      <c r="A1267" s="1"/>
      <c r="C1267" s="1"/>
      <c r="D1267" s="1"/>
      <c r="E1267" s="1"/>
      <c r="F1267" s="1"/>
    </row>
    <row r="1268" spans="1:6" x14ac:dyDescent="0.25">
      <c r="A1268" s="1"/>
      <c r="C1268" s="1"/>
      <c r="D1268" s="1"/>
      <c r="E1268" s="1"/>
      <c r="F1268" s="1"/>
    </row>
    <row r="1269" spans="1:6" x14ac:dyDescent="0.25">
      <c r="A1269" s="1"/>
      <c r="C1269" s="1"/>
      <c r="D1269" s="1"/>
      <c r="E1269" s="1"/>
      <c r="F1269" s="1"/>
    </row>
    <row r="1270" spans="1:6" x14ac:dyDescent="0.25">
      <c r="A1270" s="1"/>
      <c r="C1270" s="1"/>
      <c r="D1270" s="1"/>
      <c r="E1270" s="1"/>
      <c r="F1270" s="1"/>
    </row>
    <row r="1271" spans="1:6" x14ac:dyDescent="0.25">
      <c r="A1271" s="1"/>
      <c r="C1271" s="1"/>
      <c r="D1271" s="1"/>
      <c r="E1271" s="1"/>
      <c r="F1271" s="1"/>
    </row>
    <row r="1272" spans="1:6" x14ac:dyDescent="0.25">
      <c r="A1272" s="1"/>
      <c r="C1272" s="1"/>
      <c r="D1272" s="1"/>
      <c r="E1272" s="1"/>
      <c r="F1272" s="1"/>
    </row>
    <row r="1273" spans="1:6" x14ac:dyDescent="0.25">
      <c r="A1273" s="1"/>
      <c r="C1273" s="1"/>
      <c r="D1273" s="1"/>
      <c r="E1273" s="1"/>
      <c r="F1273" s="1"/>
    </row>
    <row r="1274" spans="1:6" x14ac:dyDescent="0.25">
      <c r="A1274" s="1"/>
      <c r="C1274" s="1"/>
      <c r="D1274" s="1"/>
      <c r="E1274" s="1"/>
      <c r="F1274" s="1"/>
    </row>
    <row r="1275" spans="1:6" x14ac:dyDescent="0.25">
      <c r="A1275" s="1"/>
      <c r="C1275" s="1"/>
      <c r="D1275" s="1"/>
      <c r="E1275" s="1"/>
      <c r="F1275" s="1"/>
    </row>
    <row r="1276" spans="1:6" x14ac:dyDescent="0.25">
      <c r="A1276" s="1"/>
      <c r="C1276" s="1"/>
      <c r="D1276" s="1"/>
      <c r="E1276" s="1"/>
      <c r="F1276" s="1"/>
    </row>
    <row r="1277" spans="1:6" x14ac:dyDescent="0.25">
      <c r="A1277" s="1"/>
      <c r="C1277" s="1"/>
      <c r="D1277" s="1"/>
      <c r="E1277" s="1"/>
      <c r="F1277" s="1"/>
    </row>
    <row r="1278" spans="1:6" x14ac:dyDescent="0.25">
      <c r="A1278" s="1"/>
      <c r="C1278" s="1"/>
      <c r="D1278" s="1"/>
      <c r="E1278" s="1"/>
      <c r="F1278" s="1"/>
    </row>
    <row r="1279" spans="1:6" x14ac:dyDescent="0.25">
      <c r="A1279" s="1"/>
      <c r="C1279" s="1"/>
      <c r="D1279" s="1"/>
      <c r="E1279" s="1"/>
      <c r="F1279" s="1"/>
    </row>
    <row r="1280" spans="1:6" x14ac:dyDescent="0.25">
      <c r="A1280" s="1"/>
      <c r="C1280" s="1"/>
      <c r="D1280" s="1"/>
      <c r="E1280" s="1"/>
      <c r="F1280" s="1"/>
    </row>
    <row r="1281" spans="1:6" x14ac:dyDescent="0.25">
      <c r="A1281" s="1"/>
      <c r="C1281" s="1"/>
      <c r="D1281" s="1"/>
      <c r="E1281" s="1"/>
      <c r="F1281" s="1"/>
    </row>
    <row r="1282" spans="1:6" x14ac:dyDescent="0.25">
      <c r="A1282" s="1"/>
      <c r="C1282" s="1"/>
      <c r="D1282" s="1"/>
      <c r="E1282" s="1"/>
      <c r="F1282" s="1"/>
    </row>
    <row r="1283" spans="1:6" x14ac:dyDescent="0.25">
      <c r="A1283" s="1"/>
      <c r="C1283" s="1"/>
      <c r="D1283" s="1"/>
      <c r="E1283" s="1"/>
      <c r="F1283" s="1"/>
    </row>
    <row r="1284" spans="1:6" x14ac:dyDescent="0.25">
      <c r="A1284" s="1"/>
      <c r="C1284" s="1"/>
      <c r="D1284" s="1"/>
      <c r="E1284" s="1"/>
      <c r="F1284" s="1"/>
    </row>
    <row r="1285" spans="1:6" x14ac:dyDescent="0.25">
      <c r="A1285" s="1"/>
      <c r="C1285" s="1"/>
      <c r="D1285" s="1"/>
      <c r="E1285" s="1"/>
      <c r="F1285" s="1"/>
    </row>
    <row r="1286" spans="1:6" x14ac:dyDescent="0.25">
      <c r="A1286" s="1"/>
      <c r="C1286" s="1"/>
      <c r="D1286" s="1"/>
      <c r="E1286" s="1"/>
      <c r="F1286" s="1"/>
    </row>
    <row r="1287" spans="1:6" x14ac:dyDescent="0.25">
      <c r="A1287" s="1"/>
      <c r="C1287" s="1"/>
      <c r="D1287" s="1"/>
      <c r="E1287" s="1"/>
      <c r="F1287" s="1"/>
    </row>
    <row r="1288" spans="1:6" x14ac:dyDescent="0.25">
      <c r="A1288" s="1"/>
      <c r="C1288" s="1"/>
      <c r="D1288" s="1"/>
      <c r="E1288" s="1"/>
      <c r="F1288" s="1"/>
    </row>
    <row r="1289" spans="1:6" x14ac:dyDescent="0.25">
      <c r="A1289" s="1"/>
      <c r="C1289" s="1"/>
      <c r="D1289" s="1"/>
      <c r="E1289" s="1"/>
      <c r="F1289" s="1"/>
    </row>
    <row r="1290" spans="1:6" x14ac:dyDescent="0.25">
      <c r="A1290" s="1"/>
      <c r="C1290" s="1"/>
      <c r="D1290" s="1"/>
      <c r="E1290" s="1"/>
      <c r="F1290" s="1"/>
    </row>
    <row r="1291" spans="1:6" x14ac:dyDescent="0.25">
      <c r="A1291" s="1"/>
      <c r="C1291" s="1"/>
      <c r="D1291" s="1"/>
      <c r="E1291" s="1"/>
      <c r="F1291" s="1"/>
    </row>
    <row r="1292" spans="1:6" x14ac:dyDescent="0.25">
      <c r="A1292" s="1"/>
      <c r="C1292" s="1"/>
      <c r="D1292" s="1"/>
      <c r="E1292" s="1"/>
      <c r="F1292" s="1"/>
    </row>
    <row r="1293" spans="1:6" x14ac:dyDescent="0.25">
      <c r="A1293" s="1"/>
      <c r="C1293" s="1"/>
      <c r="D1293" s="1"/>
      <c r="E1293" s="1"/>
      <c r="F1293" s="1"/>
    </row>
    <row r="1294" spans="1:6" x14ac:dyDescent="0.25">
      <c r="A1294" s="1"/>
      <c r="C1294" s="1"/>
      <c r="D1294" s="1"/>
      <c r="E1294" s="1"/>
      <c r="F1294" s="1"/>
    </row>
    <row r="1295" spans="1:6" x14ac:dyDescent="0.25">
      <c r="A1295" s="1"/>
      <c r="C1295" s="1"/>
      <c r="D1295" s="1"/>
      <c r="E1295" s="1"/>
      <c r="F1295" s="1"/>
    </row>
    <row r="1296" spans="1:6" x14ac:dyDescent="0.25">
      <c r="A1296" s="1"/>
      <c r="C1296" s="1"/>
      <c r="D1296" s="1"/>
      <c r="E1296" s="1"/>
      <c r="F1296" s="1"/>
    </row>
    <row r="1297" spans="1:6" x14ac:dyDescent="0.25">
      <c r="A1297" s="1"/>
      <c r="C1297" s="1"/>
      <c r="D1297" s="1"/>
      <c r="E1297" s="1"/>
      <c r="F1297" s="1"/>
    </row>
    <row r="1298" spans="1:6" x14ac:dyDescent="0.25">
      <c r="A1298" s="1"/>
      <c r="C1298" s="1"/>
      <c r="D1298" s="1"/>
      <c r="E1298" s="1"/>
      <c r="F1298" s="1"/>
    </row>
    <row r="1299" spans="1:6" x14ac:dyDescent="0.25">
      <c r="A1299" s="1"/>
      <c r="C1299" s="1"/>
      <c r="D1299" s="1"/>
      <c r="E1299" s="1"/>
      <c r="F1299" s="1"/>
    </row>
    <row r="1300" spans="1:6" x14ac:dyDescent="0.25">
      <c r="A1300" s="1"/>
      <c r="C1300" s="1"/>
      <c r="D1300" s="1"/>
      <c r="E1300" s="1"/>
      <c r="F1300" s="1"/>
    </row>
    <row r="1301" spans="1:6" x14ac:dyDescent="0.25">
      <c r="A1301" s="1"/>
      <c r="C1301" s="1"/>
      <c r="D1301" s="1"/>
      <c r="E1301" s="1"/>
      <c r="F1301" s="1"/>
    </row>
    <row r="1302" spans="1:6" x14ac:dyDescent="0.25">
      <c r="A1302" s="1"/>
      <c r="C1302" s="1"/>
      <c r="D1302" s="1"/>
      <c r="E1302" s="1"/>
      <c r="F1302" s="1"/>
    </row>
    <row r="1303" spans="1:6" x14ac:dyDescent="0.25">
      <c r="A1303" s="1"/>
      <c r="C1303" s="1"/>
      <c r="D1303" s="1"/>
      <c r="E1303" s="1"/>
      <c r="F1303" s="1"/>
    </row>
    <row r="1304" spans="1:6" x14ac:dyDescent="0.25">
      <c r="A1304" s="1"/>
      <c r="C1304" s="1"/>
      <c r="D1304" s="1"/>
      <c r="E1304" s="1"/>
      <c r="F1304" s="1"/>
    </row>
    <row r="1305" spans="1:6" x14ac:dyDescent="0.25">
      <c r="A1305" s="1"/>
      <c r="C1305" s="1"/>
      <c r="D1305" s="1"/>
      <c r="E1305" s="1"/>
      <c r="F1305" s="1"/>
    </row>
    <row r="1306" spans="1:6" x14ac:dyDescent="0.25">
      <c r="A1306" s="1"/>
      <c r="C1306" s="1"/>
      <c r="D1306" s="1"/>
      <c r="E1306" s="1"/>
      <c r="F1306" s="1"/>
    </row>
    <row r="1307" spans="1:6" x14ac:dyDescent="0.25">
      <c r="A1307" s="1"/>
      <c r="C1307" s="1"/>
      <c r="D1307" s="1"/>
      <c r="E1307" s="1"/>
      <c r="F1307" s="1"/>
    </row>
    <row r="1308" spans="1:6" x14ac:dyDescent="0.25">
      <c r="A1308" s="1"/>
      <c r="C1308" s="1"/>
      <c r="D1308" s="1"/>
      <c r="E1308" s="1"/>
      <c r="F1308" s="1"/>
    </row>
    <row r="1309" spans="1:6" x14ac:dyDescent="0.25">
      <c r="A1309" s="1"/>
      <c r="C1309" s="1"/>
      <c r="D1309" s="1"/>
      <c r="E1309" s="1"/>
      <c r="F1309" s="1"/>
    </row>
    <row r="1310" spans="1:6" x14ac:dyDescent="0.25">
      <c r="A1310" s="1"/>
      <c r="C1310" s="1"/>
      <c r="D1310" s="1"/>
      <c r="E1310" s="1"/>
      <c r="F1310" s="1"/>
    </row>
    <row r="1311" spans="1:6" x14ac:dyDescent="0.25">
      <c r="A1311" s="1"/>
      <c r="C1311" s="1"/>
      <c r="D1311" s="1"/>
      <c r="E1311" s="1"/>
      <c r="F1311" s="1"/>
    </row>
    <row r="1312" spans="1:6" x14ac:dyDescent="0.25">
      <c r="A1312" s="1"/>
      <c r="C1312" s="1"/>
      <c r="D1312" s="1"/>
      <c r="E1312" s="1"/>
      <c r="F1312" s="1"/>
    </row>
    <row r="1313" spans="1:6" x14ac:dyDescent="0.25">
      <c r="A1313" s="1"/>
      <c r="C1313" s="1"/>
      <c r="D1313" s="1"/>
      <c r="E1313" s="1"/>
      <c r="F1313" s="1"/>
    </row>
    <row r="1314" spans="1:6" x14ac:dyDescent="0.25">
      <c r="A1314" s="1"/>
      <c r="C1314" s="1"/>
      <c r="D1314" s="1"/>
      <c r="E1314" s="1"/>
      <c r="F1314" s="1"/>
    </row>
    <row r="1315" spans="1:6" x14ac:dyDescent="0.25">
      <c r="A1315" s="1"/>
      <c r="C1315" s="1"/>
      <c r="D1315" s="1"/>
      <c r="E1315" s="1"/>
      <c r="F1315" s="1"/>
    </row>
    <row r="1316" spans="1:6" x14ac:dyDescent="0.25">
      <c r="A1316" s="1"/>
      <c r="C1316" s="1"/>
      <c r="D1316" s="1"/>
      <c r="E1316" s="1"/>
      <c r="F1316" s="1"/>
    </row>
    <row r="1317" spans="1:6" x14ac:dyDescent="0.25">
      <c r="A1317" s="1"/>
      <c r="C1317" s="1"/>
      <c r="D1317" s="1"/>
      <c r="E1317" s="1"/>
      <c r="F1317" s="1"/>
    </row>
    <row r="1318" spans="1:6" x14ac:dyDescent="0.25">
      <c r="A1318" s="1"/>
      <c r="C1318" s="1"/>
      <c r="D1318" s="1"/>
      <c r="E1318" s="1"/>
      <c r="F1318" s="1"/>
    </row>
    <row r="1319" spans="1:6" x14ac:dyDescent="0.25">
      <c r="A1319" s="1"/>
      <c r="C1319" s="1"/>
      <c r="D1319" s="1"/>
      <c r="E1319" s="1"/>
      <c r="F1319" s="1"/>
    </row>
    <row r="1320" spans="1:6" x14ac:dyDescent="0.25">
      <c r="A1320" s="1"/>
      <c r="C1320" s="1"/>
      <c r="D1320" s="1"/>
      <c r="E1320" s="1"/>
      <c r="F1320" s="1"/>
    </row>
    <row r="1321" spans="1:6" x14ac:dyDescent="0.25">
      <c r="A1321" s="1"/>
      <c r="C1321" s="1"/>
      <c r="D1321" s="1"/>
      <c r="E1321" s="1"/>
      <c r="F1321" s="1"/>
    </row>
    <row r="1322" spans="1:6" x14ac:dyDescent="0.25">
      <c r="A1322" s="1"/>
      <c r="C1322" s="1"/>
      <c r="D1322" s="1"/>
      <c r="E1322" s="1"/>
      <c r="F1322" s="1"/>
    </row>
    <row r="1323" spans="1:6" x14ac:dyDescent="0.25">
      <c r="A1323" s="1"/>
      <c r="C1323" s="1"/>
      <c r="D1323" s="1"/>
      <c r="E1323" s="1"/>
      <c r="F1323" s="1"/>
    </row>
    <row r="1324" spans="1:6" x14ac:dyDescent="0.25">
      <c r="A1324" s="1"/>
      <c r="C1324" s="1"/>
      <c r="D1324" s="1"/>
      <c r="E1324" s="1"/>
      <c r="F1324" s="1"/>
    </row>
    <row r="1325" spans="1:6" x14ac:dyDescent="0.25">
      <c r="A1325" s="1"/>
      <c r="C1325" s="1"/>
      <c r="D1325" s="1"/>
      <c r="E1325" s="1"/>
      <c r="F1325" s="1"/>
    </row>
    <row r="1326" spans="1:6" x14ac:dyDescent="0.25">
      <c r="A1326" s="1"/>
      <c r="C1326" s="1"/>
      <c r="D1326" s="1"/>
      <c r="E1326" s="1"/>
      <c r="F1326" s="1"/>
    </row>
    <row r="1327" spans="1:6" x14ac:dyDescent="0.25">
      <c r="A1327" s="1"/>
      <c r="C1327" s="1"/>
      <c r="D1327" s="1"/>
      <c r="E1327" s="1"/>
      <c r="F1327" s="1"/>
    </row>
    <row r="1328" spans="1:6" x14ac:dyDescent="0.25">
      <c r="A1328" s="1"/>
      <c r="C1328" s="1"/>
      <c r="D1328" s="1"/>
      <c r="E1328" s="1"/>
      <c r="F1328" s="1"/>
    </row>
    <row r="1329" spans="1:6" x14ac:dyDescent="0.25">
      <c r="A1329" s="1"/>
      <c r="C1329" s="1"/>
      <c r="D1329" s="1"/>
      <c r="E1329" s="1"/>
      <c r="F1329" s="1"/>
    </row>
    <row r="1330" spans="1:6" x14ac:dyDescent="0.25">
      <c r="A1330" s="1"/>
      <c r="C1330" s="1"/>
      <c r="D1330" s="1"/>
      <c r="E1330" s="1"/>
      <c r="F1330" s="1"/>
    </row>
    <row r="1331" spans="1:6" x14ac:dyDescent="0.25">
      <c r="A1331" s="1"/>
      <c r="C1331" s="1"/>
      <c r="D1331" s="1"/>
      <c r="E1331" s="1"/>
      <c r="F1331" s="1"/>
    </row>
    <row r="1332" spans="1:6" x14ac:dyDescent="0.25">
      <c r="A1332" s="1"/>
      <c r="C1332" s="1"/>
      <c r="D1332" s="1"/>
      <c r="E1332" s="1"/>
      <c r="F1332" s="1"/>
    </row>
    <row r="1333" spans="1:6" x14ac:dyDescent="0.25">
      <c r="A1333" s="1"/>
      <c r="C1333" s="1"/>
      <c r="D1333" s="1"/>
      <c r="E1333" s="1"/>
      <c r="F1333" s="1"/>
    </row>
    <row r="1334" spans="1:6" x14ac:dyDescent="0.25">
      <c r="A1334" s="1"/>
      <c r="C1334" s="1"/>
      <c r="D1334" s="1"/>
      <c r="E1334" s="1"/>
      <c r="F1334" s="1"/>
    </row>
    <row r="1335" spans="1:6" x14ac:dyDescent="0.25">
      <c r="A1335" s="1"/>
      <c r="C1335" s="1"/>
      <c r="D1335" s="1"/>
      <c r="E1335" s="1"/>
      <c r="F1335" s="1"/>
    </row>
    <row r="1336" spans="1:6" x14ac:dyDescent="0.25">
      <c r="A1336" s="1"/>
      <c r="C1336" s="1"/>
      <c r="D1336" s="1"/>
      <c r="E1336" s="1"/>
      <c r="F1336" s="1"/>
    </row>
    <row r="1337" spans="1:6" x14ac:dyDescent="0.25">
      <c r="A1337" s="1"/>
      <c r="C1337" s="1"/>
      <c r="D1337" s="1"/>
      <c r="E1337" s="1"/>
      <c r="F1337" s="1"/>
    </row>
    <row r="1338" spans="1:6" x14ac:dyDescent="0.25">
      <c r="A1338" s="1"/>
      <c r="C1338" s="1"/>
      <c r="D1338" s="1"/>
      <c r="E1338" s="1"/>
      <c r="F1338" s="1"/>
    </row>
    <row r="1339" spans="1:6" x14ac:dyDescent="0.25">
      <c r="A1339" s="1"/>
      <c r="C1339" s="1"/>
      <c r="D1339" s="1"/>
      <c r="E1339" s="1"/>
      <c r="F1339" s="1"/>
    </row>
    <row r="1340" spans="1:6" x14ac:dyDescent="0.25">
      <c r="A1340" s="1"/>
      <c r="C1340" s="1"/>
      <c r="D1340" s="1"/>
      <c r="E1340" s="1"/>
      <c r="F1340" s="1"/>
    </row>
    <row r="1341" spans="1:6" x14ac:dyDescent="0.25">
      <c r="A1341" s="1"/>
      <c r="C1341" s="1"/>
      <c r="D1341" s="1"/>
      <c r="E1341" s="1"/>
      <c r="F1341" s="1"/>
    </row>
    <row r="1342" spans="1:6" x14ac:dyDescent="0.25">
      <c r="A1342" s="1"/>
      <c r="C1342" s="1"/>
      <c r="D1342" s="1"/>
      <c r="E1342" s="1"/>
      <c r="F1342" s="1"/>
    </row>
    <row r="1343" spans="1:6" x14ac:dyDescent="0.25">
      <c r="A1343" s="1"/>
      <c r="C1343" s="1"/>
      <c r="D1343" s="1"/>
      <c r="E1343" s="1"/>
      <c r="F1343" s="1"/>
    </row>
    <row r="1344" spans="1:6" x14ac:dyDescent="0.25">
      <c r="A1344" s="1"/>
      <c r="C1344" s="1"/>
      <c r="D1344" s="1"/>
      <c r="E1344" s="1"/>
      <c r="F1344" s="1"/>
    </row>
    <row r="1345" spans="1:6" x14ac:dyDescent="0.25">
      <c r="A1345" s="1"/>
      <c r="C1345" s="1"/>
      <c r="D1345" s="1"/>
      <c r="E1345" s="1"/>
      <c r="F1345" s="1"/>
    </row>
    <row r="1346" spans="1:6" x14ac:dyDescent="0.25">
      <c r="A1346" s="1"/>
      <c r="C1346" s="1"/>
      <c r="D1346" s="1"/>
      <c r="E1346" s="1"/>
      <c r="F1346" s="1"/>
    </row>
    <row r="1347" spans="1:6" x14ac:dyDescent="0.25">
      <c r="A1347" s="1"/>
      <c r="C1347" s="1"/>
      <c r="D1347" s="1"/>
      <c r="E1347" s="1"/>
      <c r="F1347" s="1"/>
    </row>
    <row r="1348" spans="1:6" x14ac:dyDescent="0.25">
      <c r="A1348" s="1"/>
      <c r="C1348" s="1"/>
      <c r="D1348" s="1"/>
      <c r="E1348" s="1"/>
      <c r="F1348" s="1"/>
    </row>
    <row r="1349" spans="1:6" x14ac:dyDescent="0.25">
      <c r="A1349" s="1"/>
      <c r="C1349" s="1"/>
      <c r="D1349" s="1"/>
      <c r="E1349" s="1"/>
      <c r="F1349" s="1"/>
    </row>
    <row r="1350" spans="1:6" x14ac:dyDescent="0.25">
      <c r="A1350" s="1"/>
      <c r="C1350" s="1"/>
      <c r="D1350" s="1"/>
      <c r="E1350" s="1"/>
      <c r="F1350" s="1"/>
    </row>
    <row r="1351" spans="1:6" x14ac:dyDescent="0.25">
      <c r="A1351" s="1"/>
      <c r="C1351" s="1"/>
      <c r="D1351" s="1"/>
      <c r="E1351" s="1"/>
      <c r="F1351" s="1"/>
    </row>
    <row r="1352" spans="1:6" x14ac:dyDescent="0.25">
      <c r="A1352" s="1"/>
      <c r="C1352" s="1"/>
      <c r="D1352" s="1"/>
      <c r="E1352" s="1"/>
      <c r="F1352" s="1"/>
    </row>
    <row r="1353" spans="1:6" x14ac:dyDescent="0.25">
      <c r="A1353" s="1"/>
      <c r="C1353" s="1"/>
      <c r="D1353" s="1"/>
      <c r="E1353" s="1"/>
      <c r="F1353" s="1"/>
    </row>
    <row r="1354" spans="1:6" x14ac:dyDescent="0.25">
      <c r="A1354" s="1"/>
      <c r="C1354" s="1"/>
      <c r="D1354" s="1"/>
      <c r="E1354" s="1"/>
      <c r="F1354" s="1"/>
    </row>
    <row r="1355" spans="1:6" x14ac:dyDescent="0.25">
      <c r="A1355" s="1"/>
      <c r="C1355" s="1"/>
      <c r="D1355" s="1"/>
      <c r="E1355" s="1"/>
      <c r="F1355" s="1"/>
    </row>
    <row r="1356" spans="1:6" x14ac:dyDescent="0.25">
      <c r="A1356" s="1"/>
      <c r="C1356" s="1"/>
      <c r="D1356" s="1"/>
      <c r="E1356" s="1"/>
      <c r="F1356" s="1"/>
    </row>
    <row r="1357" spans="1:6" x14ac:dyDescent="0.25">
      <c r="A1357" s="1"/>
      <c r="C1357" s="1"/>
      <c r="D1357" s="1"/>
      <c r="E1357" s="1"/>
      <c r="F1357" s="1"/>
    </row>
    <row r="1358" spans="1:6" x14ac:dyDescent="0.25">
      <c r="A1358" s="1"/>
      <c r="C1358" s="1"/>
      <c r="D1358" s="1"/>
      <c r="E1358" s="1"/>
      <c r="F1358" s="1"/>
    </row>
    <row r="1359" spans="1:6" x14ac:dyDescent="0.25">
      <c r="A1359" s="1"/>
      <c r="C1359" s="1"/>
      <c r="D1359" s="1"/>
      <c r="E1359" s="1"/>
      <c r="F1359" s="1"/>
    </row>
    <row r="1360" spans="1:6" x14ac:dyDescent="0.25">
      <c r="A1360" s="1"/>
      <c r="C1360" s="1"/>
      <c r="D1360" s="1"/>
      <c r="E1360" s="1"/>
      <c r="F1360" s="1"/>
    </row>
    <row r="1361" spans="1:6" x14ac:dyDescent="0.25">
      <c r="A1361" s="1"/>
      <c r="C1361" s="1"/>
      <c r="D1361" s="1"/>
      <c r="E1361" s="1"/>
      <c r="F1361" s="1"/>
    </row>
    <row r="1362" spans="1:6" x14ac:dyDescent="0.25">
      <c r="A1362" s="1"/>
      <c r="C1362" s="1"/>
      <c r="D1362" s="1"/>
      <c r="E1362" s="1"/>
      <c r="F1362" s="1"/>
    </row>
    <row r="1363" spans="1:6" x14ac:dyDescent="0.25">
      <c r="A1363" s="1"/>
      <c r="C1363" s="1"/>
      <c r="D1363" s="1"/>
      <c r="E1363" s="1"/>
      <c r="F1363" s="1"/>
    </row>
    <row r="1364" spans="1:6" x14ac:dyDescent="0.25">
      <c r="A1364" s="1"/>
      <c r="C1364" s="1"/>
      <c r="D1364" s="1"/>
      <c r="E1364" s="1"/>
      <c r="F1364" s="1"/>
    </row>
    <row r="1365" spans="1:6" x14ac:dyDescent="0.25">
      <c r="A1365" s="1"/>
      <c r="C1365" s="1"/>
      <c r="D1365" s="1"/>
      <c r="E1365" s="1"/>
      <c r="F1365" s="1"/>
    </row>
    <row r="1366" spans="1:6" x14ac:dyDescent="0.25">
      <c r="A1366" s="1"/>
      <c r="C1366" s="1"/>
      <c r="D1366" s="1"/>
      <c r="E1366" s="1"/>
      <c r="F1366" s="1"/>
    </row>
    <row r="1367" spans="1:6" x14ac:dyDescent="0.25">
      <c r="A1367" s="1"/>
      <c r="C1367" s="1"/>
      <c r="D1367" s="1"/>
      <c r="E1367" s="1"/>
      <c r="F1367" s="1"/>
    </row>
    <row r="1368" spans="1:6" x14ac:dyDescent="0.25">
      <c r="A1368" s="1"/>
      <c r="C1368" s="1"/>
      <c r="D1368" s="1"/>
      <c r="E1368" s="1"/>
      <c r="F1368" s="1"/>
    </row>
    <row r="1369" spans="1:6" x14ac:dyDescent="0.25">
      <c r="A1369" s="1"/>
      <c r="C1369" s="1"/>
      <c r="D1369" s="1"/>
      <c r="E1369" s="1"/>
      <c r="F1369" s="1"/>
    </row>
    <row r="1370" spans="1:6" x14ac:dyDescent="0.25">
      <c r="A1370" s="1"/>
      <c r="C1370" s="1"/>
      <c r="D1370" s="1"/>
      <c r="E1370" s="1"/>
      <c r="F1370" s="1"/>
    </row>
    <row r="1371" spans="1:6" x14ac:dyDescent="0.25">
      <c r="A1371" s="1"/>
      <c r="C1371" s="1"/>
      <c r="D1371" s="1"/>
      <c r="E1371" s="1"/>
      <c r="F1371" s="1"/>
    </row>
    <row r="1372" spans="1:6" x14ac:dyDescent="0.25">
      <c r="A1372" s="1"/>
      <c r="C1372" s="1"/>
      <c r="D1372" s="1"/>
      <c r="E1372" s="1"/>
      <c r="F1372" s="1"/>
    </row>
    <row r="1373" spans="1:6" x14ac:dyDescent="0.25">
      <c r="A1373" s="1"/>
      <c r="C1373" s="1"/>
      <c r="D1373" s="1"/>
      <c r="E1373" s="1"/>
      <c r="F1373" s="1"/>
    </row>
    <row r="1374" spans="1:6" x14ac:dyDescent="0.25">
      <c r="A1374" s="1"/>
      <c r="C1374" s="1"/>
      <c r="D1374" s="1"/>
      <c r="E1374" s="1"/>
      <c r="F1374" s="1"/>
    </row>
    <row r="1375" spans="1:6" x14ac:dyDescent="0.25">
      <c r="A1375" s="1"/>
      <c r="C1375" s="1"/>
      <c r="D1375" s="1"/>
      <c r="E1375" s="1"/>
      <c r="F1375" s="1"/>
    </row>
    <row r="1376" spans="1:6" x14ac:dyDescent="0.25">
      <c r="A1376" s="1"/>
      <c r="C1376" s="1"/>
      <c r="D1376" s="1"/>
      <c r="E1376" s="1"/>
      <c r="F1376" s="1"/>
    </row>
    <row r="1377" spans="1:6" x14ac:dyDescent="0.25">
      <c r="A1377" s="1"/>
      <c r="C1377" s="1"/>
      <c r="D1377" s="1"/>
      <c r="E1377" s="1"/>
      <c r="F1377" s="1"/>
    </row>
    <row r="1378" spans="1:6" x14ac:dyDescent="0.25">
      <c r="A1378" s="1"/>
      <c r="C1378" s="1"/>
      <c r="D1378" s="1"/>
      <c r="E1378" s="1"/>
      <c r="F1378" s="1"/>
    </row>
    <row r="1379" spans="1:6" x14ac:dyDescent="0.25">
      <c r="A1379" s="1"/>
      <c r="C1379" s="1"/>
      <c r="D1379" s="1"/>
      <c r="E1379" s="1"/>
      <c r="F1379" s="1"/>
    </row>
    <row r="1380" spans="1:6" x14ac:dyDescent="0.25">
      <c r="A1380" s="1"/>
      <c r="C1380" s="1"/>
      <c r="D1380" s="1"/>
      <c r="E1380" s="1"/>
      <c r="F1380" s="1"/>
    </row>
    <row r="1381" spans="1:6" x14ac:dyDescent="0.25">
      <c r="A1381" s="1"/>
      <c r="C1381" s="1"/>
      <c r="D1381" s="1"/>
      <c r="E1381" s="1"/>
      <c r="F1381" s="1"/>
    </row>
    <row r="1382" spans="1:6" x14ac:dyDescent="0.25">
      <c r="A1382" s="1"/>
      <c r="C1382" s="1"/>
      <c r="D1382" s="1"/>
      <c r="E1382" s="1"/>
      <c r="F1382" s="1"/>
    </row>
    <row r="1383" spans="1:6" x14ac:dyDescent="0.25">
      <c r="A1383" s="1"/>
      <c r="C1383" s="1"/>
      <c r="D1383" s="1"/>
      <c r="E1383" s="1"/>
      <c r="F1383" s="1"/>
    </row>
    <row r="1384" spans="1:6" x14ac:dyDescent="0.25">
      <c r="A1384" s="1"/>
      <c r="C1384" s="1"/>
      <c r="D1384" s="1"/>
      <c r="E1384" s="1"/>
      <c r="F1384" s="1"/>
    </row>
    <row r="1385" spans="1:6" x14ac:dyDescent="0.25">
      <c r="A1385" s="1"/>
      <c r="C1385" s="1"/>
      <c r="D1385" s="1"/>
      <c r="E1385" s="1"/>
      <c r="F1385" s="1"/>
    </row>
    <row r="1386" spans="1:6" x14ac:dyDescent="0.25">
      <c r="A1386" s="1"/>
      <c r="C1386" s="1"/>
      <c r="D1386" s="1"/>
      <c r="E1386" s="1"/>
      <c r="F1386" s="1"/>
    </row>
    <row r="1387" spans="1:6" x14ac:dyDescent="0.25">
      <c r="A1387" s="1"/>
      <c r="C1387" s="1"/>
      <c r="D1387" s="1"/>
      <c r="E1387" s="1"/>
      <c r="F1387" s="1"/>
    </row>
    <row r="1388" spans="1:6" x14ac:dyDescent="0.25">
      <c r="A1388" s="1"/>
      <c r="C1388" s="1"/>
      <c r="D1388" s="1"/>
      <c r="E1388" s="1"/>
      <c r="F1388" s="1"/>
    </row>
    <row r="1389" spans="1:6" x14ac:dyDescent="0.25">
      <c r="A1389" s="1"/>
      <c r="C1389" s="1"/>
      <c r="D1389" s="1"/>
      <c r="E1389" s="1"/>
      <c r="F1389" s="1"/>
    </row>
    <row r="1390" spans="1:6" x14ac:dyDescent="0.25">
      <c r="A1390" s="1"/>
      <c r="C1390" s="1"/>
      <c r="D1390" s="1"/>
      <c r="E1390" s="1"/>
      <c r="F1390" s="1"/>
    </row>
    <row r="1391" spans="1:6" x14ac:dyDescent="0.25">
      <c r="A1391" s="1"/>
      <c r="C1391" s="1"/>
      <c r="D1391" s="1"/>
      <c r="E1391" s="1"/>
      <c r="F1391" s="1"/>
    </row>
    <row r="1392" spans="1:6" x14ac:dyDescent="0.25">
      <c r="A1392" s="1"/>
      <c r="C1392" s="1"/>
      <c r="D1392" s="1"/>
      <c r="E1392" s="1"/>
      <c r="F1392" s="1"/>
    </row>
    <row r="1393" spans="1:6" x14ac:dyDescent="0.25">
      <c r="A1393" s="1"/>
      <c r="C1393" s="1"/>
      <c r="D1393" s="1"/>
      <c r="E1393" s="1"/>
      <c r="F1393" s="1"/>
    </row>
    <row r="1394" spans="1:6" x14ac:dyDescent="0.25">
      <c r="A1394" s="1"/>
      <c r="C1394" s="1"/>
      <c r="D1394" s="1"/>
      <c r="E1394" s="1"/>
      <c r="F1394" s="1"/>
    </row>
    <row r="1395" spans="1:6" x14ac:dyDescent="0.25">
      <c r="A1395" s="1"/>
      <c r="C1395" s="1"/>
      <c r="D1395" s="1"/>
      <c r="E1395" s="1"/>
      <c r="F1395" s="1"/>
    </row>
    <row r="1396" spans="1:6" x14ac:dyDescent="0.25">
      <c r="A1396" s="1"/>
      <c r="C1396" s="1"/>
      <c r="D1396" s="1"/>
      <c r="E1396" s="1"/>
      <c r="F1396" s="1"/>
    </row>
    <row r="1397" spans="1:6" x14ac:dyDescent="0.25">
      <c r="A1397" s="1"/>
      <c r="C1397" s="1"/>
      <c r="D1397" s="1"/>
      <c r="E1397" s="1"/>
      <c r="F1397" s="1"/>
    </row>
    <row r="1398" spans="1:6" x14ac:dyDescent="0.25">
      <c r="A1398" s="1"/>
      <c r="C1398" s="1"/>
      <c r="D1398" s="1"/>
      <c r="E1398" s="1"/>
      <c r="F1398" s="1"/>
    </row>
    <row r="1399" spans="1:6" x14ac:dyDescent="0.25">
      <c r="A1399" s="1"/>
      <c r="C1399" s="1"/>
      <c r="D1399" s="1"/>
      <c r="E1399" s="1"/>
      <c r="F1399" s="1"/>
    </row>
    <row r="1400" spans="1:6" x14ac:dyDescent="0.25">
      <c r="A1400" s="1"/>
      <c r="C1400" s="1"/>
      <c r="D1400" s="1"/>
      <c r="E1400" s="1"/>
      <c r="F1400" s="1"/>
    </row>
    <row r="1401" spans="1:6" x14ac:dyDescent="0.25">
      <c r="A1401" s="1"/>
      <c r="C1401" s="1"/>
      <c r="D1401" s="1"/>
      <c r="E1401" s="1"/>
      <c r="F1401" s="1"/>
    </row>
    <row r="1402" spans="1:6" x14ac:dyDescent="0.25">
      <c r="A1402" s="1"/>
      <c r="C1402" s="1"/>
      <c r="D1402" s="1"/>
      <c r="E1402" s="1"/>
      <c r="F1402" s="1"/>
    </row>
    <row r="1403" spans="1:6" x14ac:dyDescent="0.25">
      <c r="A1403" s="1"/>
      <c r="C1403" s="1"/>
      <c r="D1403" s="1"/>
      <c r="E1403" s="1"/>
      <c r="F1403" s="1"/>
    </row>
    <row r="1404" spans="1:6" x14ac:dyDescent="0.25">
      <c r="A1404" s="1"/>
      <c r="C1404" s="1"/>
      <c r="D1404" s="1"/>
      <c r="E1404" s="1"/>
      <c r="F1404" s="1"/>
    </row>
    <row r="1405" spans="1:6" x14ac:dyDescent="0.25">
      <c r="A1405" s="1"/>
      <c r="C1405" s="1"/>
      <c r="D1405" s="1"/>
      <c r="E1405" s="1"/>
      <c r="F1405" s="1"/>
    </row>
    <row r="1406" spans="1:6" x14ac:dyDescent="0.25">
      <c r="A1406" s="1"/>
      <c r="C1406" s="1"/>
      <c r="D1406" s="1"/>
      <c r="E1406" s="1"/>
      <c r="F1406" s="1"/>
    </row>
    <row r="1407" spans="1:6" x14ac:dyDescent="0.25">
      <c r="A1407" s="1"/>
      <c r="C1407" s="1"/>
      <c r="D1407" s="1"/>
      <c r="E1407" s="1"/>
      <c r="F1407" s="1"/>
    </row>
    <row r="1408" spans="1:6" x14ac:dyDescent="0.25">
      <c r="A1408" s="1"/>
      <c r="C1408" s="1"/>
      <c r="D1408" s="1"/>
      <c r="E1408" s="1"/>
      <c r="F1408" s="1"/>
    </row>
    <row r="1409" spans="1:6" x14ac:dyDescent="0.25">
      <c r="A1409" s="1"/>
      <c r="C1409" s="1"/>
      <c r="D1409" s="1"/>
      <c r="E1409" s="1"/>
      <c r="F1409" s="1"/>
    </row>
    <row r="1410" spans="1:6" x14ac:dyDescent="0.25">
      <c r="A1410" s="1"/>
      <c r="C1410" s="1"/>
      <c r="D1410" s="1"/>
      <c r="E1410" s="1"/>
      <c r="F1410" s="1"/>
    </row>
    <row r="1411" spans="1:6" x14ac:dyDescent="0.25">
      <c r="A1411" s="1"/>
      <c r="C1411" s="1"/>
      <c r="D1411" s="1"/>
      <c r="E1411" s="1"/>
      <c r="F1411" s="1"/>
    </row>
    <row r="1412" spans="1:6" x14ac:dyDescent="0.25">
      <c r="A1412" s="1"/>
      <c r="C1412" s="1"/>
      <c r="D1412" s="1"/>
      <c r="E1412" s="1"/>
      <c r="F1412" s="1"/>
    </row>
    <row r="1413" spans="1:6" x14ac:dyDescent="0.25">
      <c r="A1413" s="1"/>
      <c r="C1413" s="1"/>
      <c r="D1413" s="1"/>
      <c r="E1413" s="1"/>
      <c r="F1413" s="1"/>
    </row>
    <row r="1414" spans="1:6" x14ac:dyDescent="0.25">
      <c r="A1414" s="1"/>
      <c r="C1414" s="1"/>
      <c r="D1414" s="1"/>
      <c r="E1414" s="1"/>
      <c r="F1414" s="1"/>
    </row>
    <row r="1415" spans="1:6" x14ac:dyDescent="0.25">
      <c r="A1415" s="1"/>
      <c r="C1415" s="1"/>
      <c r="D1415" s="1"/>
      <c r="E1415" s="1"/>
      <c r="F1415" s="1"/>
    </row>
    <row r="1416" spans="1:6" x14ac:dyDescent="0.25">
      <c r="A1416" s="1"/>
      <c r="C1416" s="1"/>
      <c r="D1416" s="1"/>
      <c r="E1416" s="1"/>
      <c r="F1416" s="1"/>
    </row>
    <row r="1417" spans="1:6" x14ac:dyDescent="0.25">
      <c r="A1417" s="1"/>
      <c r="C1417" s="1"/>
      <c r="D1417" s="1"/>
      <c r="E1417" s="1"/>
      <c r="F1417" s="1"/>
    </row>
    <row r="1418" spans="1:6" x14ac:dyDescent="0.25">
      <c r="A1418" s="1"/>
      <c r="C1418" s="1"/>
      <c r="D1418" s="1"/>
      <c r="E1418" s="1"/>
      <c r="F1418" s="1"/>
    </row>
    <row r="1419" spans="1:6" x14ac:dyDescent="0.25">
      <c r="A1419" s="1"/>
      <c r="C1419" s="1"/>
      <c r="D1419" s="1"/>
      <c r="E1419" s="1"/>
      <c r="F1419" s="1"/>
    </row>
    <row r="1420" spans="1:6" x14ac:dyDescent="0.25">
      <c r="A1420" s="1"/>
      <c r="C1420" s="1"/>
      <c r="D1420" s="1"/>
      <c r="E1420" s="1"/>
      <c r="F1420" s="1"/>
    </row>
    <row r="1421" spans="1:6" x14ac:dyDescent="0.25">
      <c r="A1421" s="1"/>
      <c r="C1421" s="1"/>
      <c r="D1421" s="1"/>
      <c r="E1421" s="1"/>
      <c r="F1421" s="1"/>
    </row>
    <row r="1422" spans="1:6" x14ac:dyDescent="0.25">
      <c r="A1422" s="1"/>
      <c r="C1422" s="1"/>
      <c r="D1422" s="1"/>
      <c r="E1422" s="1"/>
      <c r="F1422" s="1"/>
    </row>
    <row r="1423" spans="1:6" x14ac:dyDescent="0.25">
      <c r="A1423" s="1"/>
      <c r="C1423" s="1"/>
      <c r="D1423" s="1"/>
      <c r="E1423" s="1"/>
      <c r="F1423" s="1"/>
    </row>
    <row r="1424" spans="1:6" x14ac:dyDescent="0.25">
      <c r="A1424" s="1"/>
      <c r="C1424" s="1"/>
      <c r="D1424" s="1"/>
      <c r="E1424" s="1"/>
      <c r="F1424" s="1"/>
    </row>
    <row r="1425" spans="1:6" x14ac:dyDescent="0.25">
      <c r="A1425" s="1"/>
      <c r="C1425" s="1"/>
      <c r="D1425" s="1"/>
      <c r="E1425" s="1"/>
      <c r="F1425" s="1"/>
    </row>
    <row r="1426" spans="1:6" x14ac:dyDescent="0.25">
      <c r="A1426" s="1"/>
      <c r="C1426" s="1"/>
      <c r="D1426" s="1"/>
      <c r="E1426" s="1"/>
      <c r="F1426" s="1"/>
    </row>
    <row r="1427" spans="1:6" x14ac:dyDescent="0.25">
      <c r="A1427" s="1"/>
      <c r="C1427" s="1"/>
      <c r="D1427" s="1"/>
      <c r="E1427" s="1"/>
      <c r="F1427" s="1"/>
    </row>
    <row r="1428" spans="1:6" x14ac:dyDescent="0.25">
      <c r="A1428" s="1"/>
      <c r="C1428" s="1"/>
      <c r="D1428" s="1"/>
      <c r="E1428" s="1"/>
      <c r="F1428" s="1"/>
    </row>
    <row r="1429" spans="1:6" x14ac:dyDescent="0.25">
      <c r="A1429" s="1"/>
      <c r="C1429" s="1"/>
      <c r="D1429" s="1"/>
      <c r="E1429" s="1"/>
      <c r="F1429" s="1"/>
    </row>
    <row r="1430" spans="1:6" x14ac:dyDescent="0.25">
      <c r="A1430" s="1"/>
      <c r="C1430" s="1"/>
      <c r="D1430" s="1"/>
      <c r="E1430" s="1"/>
      <c r="F1430" s="1"/>
    </row>
    <row r="1431" spans="1:6" x14ac:dyDescent="0.25">
      <c r="A1431" s="1"/>
      <c r="C1431" s="1"/>
      <c r="D1431" s="1"/>
      <c r="E1431" s="1"/>
      <c r="F1431" s="1"/>
    </row>
    <row r="1432" spans="1:6" x14ac:dyDescent="0.25">
      <c r="A1432" s="1"/>
      <c r="C1432" s="1"/>
      <c r="D1432" s="1"/>
      <c r="E1432" s="1"/>
      <c r="F1432" s="1"/>
    </row>
    <row r="1433" spans="1:6" x14ac:dyDescent="0.25">
      <c r="A1433" s="1"/>
      <c r="C1433" s="1"/>
      <c r="D1433" s="1"/>
      <c r="E1433" s="1"/>
      <c r="F1433" s="1"/>
    </row>
    <row r="1434" spans="1:6" x14ac:dyDescent="0.25">
      <c r="A1434" s="1"/>
      <c r="C1434" s="1"/>
      <c r="D1434" s="1"/>
      <c r="E1434" s="1"/>
      <c r="F1434" s="1"/>
    </row>
    <row r="1435" spans="1:6" x14ac:dyDescent="0.25">
      <c r="A1435" s="1"/>
      <c r="C1435" s="1"/>
      <c r="D1435" s="1"/>
      <c r="E1435" s="1"/>
      <c r="F1435" s="1"/>
    </row>
    <row r="1436" spans="1:6" x14ac:dyDescent="0.25">
      <c r="A1436" s="1"/>
      <c r="C1436" s="1"/>
      <c r="D1436" s="1"/>
      <c r="E1436" s="1"/>
      <c r="F1436" s="1"/>
    </row>
    <row r="1437" spans="1:6" x14ac:dyDescent="0.25">
      <c r="A1437" s="1"/>
      <c r="C1437" s="1"/>
      <c r="D1437" s="1"/>
      <c r="E1437" s="1"/>
      <c r="F1437" s="1"/>
    </row>
    <row r="1438" spans="1:6" x14ac:dyDescent="0.25">
      <c r="A1438" s="1"/>
      <c r="C1438" s="1"/>
      <c r="D1438" s="1"/>
      <c r="E1438" s="1"/>
      <c r="F1438" s="1"/>
    </row>
    <row r="1439" spans="1:6" x14ac:dyDescent="0.25">
      <c r="A1439" s="1"/>
      <c r="C1439" s="1"/>
      <c r="D1439" s="1"/>
      <c r="E1439" s="1"/>
      <c r="F1439" s="1"/>
    </row>
    <row r="1440" spans="1:6" x14ac:dyDescent="0.25">
      <c r="A1440" s="1"/>
      <c r="C1440" s="1"/>
      <c r="D1440" s="1"/>
      <c r="E1440" s="1"/>
      <c r="F1440" s="1"/>
    </row>
    <row r="1441" spans="1:6" x14ac:dyDescent="0.25">
      <c r="A1441" s="1"/>
      <c r="C1441" s="1"/>
      <c r="D1441" s="1"/>
      <c r="E1441" s="1"/>
      <c r="F1441" s="1"/>
    </row>
    <row r="1442" spans="1:6" x14ac:dyDescent="0.25">
      <c r="A1442" s="1"/>
      <c r="C1442" s="1"/>
      <c r="D1442" s="1"/>
      <c r="E1442" s="1"/>
      <c r="F1442" s="1"/>
    </row>
    <row r="1443" spans="1:6" x14ac:dyDescent="0.25">
      <c r="A1443" s="1"/>
      <c r="C1443" s="1"/>
      <c r="D1443" s="1"/>
      <c r="E1443" s="1"/>
      <c r="F1443" s="1"/>
    </row>
    <row r="1444" spans="1:6" x14ac:dyDescent="0.25">
      <c r="A1444" s="1"/>
      <c r="C1444" s="1"/>
      <c r="D1444" s="1"/>
      <c r="E1444" s="1"/>
      <c r="F1444" s="1"/>
    </row>
    <row r="1445" spans="1:6" x14ac:dyDescent="0.25">
      <c r="A1445" s="1"/>
      <c r="C1445" s="1"/>
      <c r="D1445" s="1"/>
      <c r="E1445" s="1"/>
      <c r="F1445" s="1"/>
    </row>
    <row r="1446" spans="1:6" x14ac:dyDescent="0.25">
      <c r="A1446" s="1"/>
      <c r="C1446" s="1"/>
      <c r="D1446" s="1"/>
      <c r="E1446" s="1"/>
      <c r="F1446" s="1"/>
    </row>
    <row r="1447" spans="1:6" x14ac:dyDescent="0.25">
      <c r="A1447" s="1"/>
      <c r="C1447" s="1"/>
      <c r="D1447" s="1"/>
      <c r="E1447" s="1"/>
      <c r="F1447" s="1"/>
    </row>
    <row r="1448" spans="1:6" x14ac:dyDescent="0.25">
      <c r="A1448" s="1"/>
      <c r="C1448" s="1"/>
      <c r="D1448" s="1"/>
      <c r="E1448" s="1"/>
      <c r="F1448" s="1"/>
    </row>
    <row r="1449" spans="1:6" x14ac:dyDescent="0.25">
      <c r="A1449" s="1"/>
      <c r="C1449" s="1"/>
      <c r="D1449" s="1"/>
      <c r="E1449" s="1"/>
      <c r="F1449" s="1"/>
    </row>
    <row r="1450" spans="1:6" x14ac:dyDescent="0.25">
      <c r="A1450" s="1"/>
      <c r="C1450" s="1"/>
      <c r="D1450" s="1"/>
      <c r="E1450" s="1"/>
      <c r="F1450" s="1"/>
    </row>
    <row r="1451" spans="1:6" x14ac:dyDescent="0.25">
      <c r="A1451" s="1"/>
      <c r="C1451" s="1"/>
      <c r="D1451" s="1"/>
      <c r="E1451" s="1"/>
      <c r="F1451" s="1"/>
    </row>
    <row r="1452" spans="1:6" x14ac:dyDescent="0.25">
      <c r="A1452" s="1"/>
      <c r="C1452" s="1"/>
      <c r="D1452" s="1"/>
      <c r="E1452" s="1"/>
      <c r="F1452" s="1"/>
    </row>
    <row r="1453" spans="1:6" x14ac:dyDescent="0.25">
      <c r="A1453" s="1"/>
      <c r="C1453" s="1"/>
      <c r="D1453" s="1"/>
      <c r="E1453" s="1"/>
      <c r="F1453" s="1"/>
    </row>
    <row r="1454" spans="1:6" x14ac:dyDescent="0.25">
      <c r="A1454" s="1"/>
      <c r="C1454" s="1"/>
      <c r="D1454" s="1"/>
      <c r="E1454" s="1"/>
      <c r="F1454" s="1"/>
    </row>
    <row r="1455" spans="1:6" x14ac:dyDescent="0.25">
      <c r="A1455" s="1"/>
      <c r="C1455" s="1"/>
      <c r="D1455" s="1"/>
      <c r="E1455" s="1"/>
      <c r="F1455" s="1"/>
    </row>
    <row r="1456" spans="1:6" x14ac:dyDescent="0.25">
      <c r="A1456" s="1"/>
      <c r="C1456" s="1"/>
      <c r="D1456" s="1"/>
      <c r="E1456" s="1"/>
      <c r="F1456" s="1"/>
    </row>
    <row r="1457" spans="1:6" x14ac:dyDescent="0.25">
      <c r="A1457" s="1"/>
      <c r="C1457" s="1"/>
      <c r="D1457" s="1"/>
      <c r="E1457" s="1"/>
      <c r="F1457" s="1"/>
    </row>
    <row r="1458" spans="1:6" x14ac:dyDescent="0.25">
      <c r="A1458" s="1"/>
      <c r="C1458" s="1"/>
      <c r="D1458" s="1"/>
      <c r="E1458" s="1"/>
      <c r="F1458" s="1"/>
    </row>
    <row r="1459" spans="1:6" x14ac:dyDescent="0.25">
      <c r="A1459" s="1"/>
      <c r="C1459" s="1"/>
      <c r="D1459" s="1"/>
      <c r="E1459" s="1"/>
      <c r="F1459" s="1"/>
    </row>
    <row r="1460" spans="1:6" x14ac:dyDescent="0.25">
      <c r="A1460" s="1"/>
      <c r="C1460" s="1"/>
      <c r="D1460" s="1"/>
      <c r="E1460" s="1"/>
      <c r="F1460" s="1"/>
    </row>
    <row r="1461" spans="1:6" x14ac:dyDescent="0.25">
      <c r="A1461" s="1"/>
      <c r="C1461" s="1"/>
      <c r="D1461" s="1"/>
      <c r="E1461" s="1"/>
      <c r="F1461" s="1"/>
    </row>
    <row r="1462" spans="1:6" x14ac:dyDescent="0.25">
      <c r="A1462" s="1"/>
      <c r="C1462" s="1"/>
      <c r="D1462" s="1"/>
      <c r="E1462" s="1"/>
      <c r="F1462" s="1"/>
    </row>
    <row r="1463" spans="1:6" x14ac:dyDescent="0.25">
      <c r="A1463" s="1"/>
      <c r="C1463" s="1"/>
      <c r="D1463" s="1"/>
      <c r="E1463" s="1"/>
      <c r="F1463" s="1"/>
    </row>
    <row r="1464" spans="1:6" x14ac:dyDescent="0.25">
      <c r="A1464" s="1"/>
      <c r="C1464" s="1"/>
      <c r="D1464" s="1"/>
      <c r="E1464" s="1"/>
      <c r="F1464" s="1"/>
    </row>
    <row r="1465" spans="1:6" x14ac:dyDescent="0.25">
      <c r="A1465" s="1"/>
      <c r="C1465" s="1"/>
      <c r="D1465" s="1"/>
      <c r="E1465" s="1"/>
      <c r="F1465" s="1"/>
    </row>
    <row r="1466" spans="1:6" x14ac:dyDescent="0.25">
      <c r="A1466" s="1"/>
      <c r="C1466" s="1"/>
      <c r="D1466" s="1"/>
      <c r="E1466" s="1"/>
      <c r="F1466" s="1"/>
    </row>
    <row r="1467" spans="1:6" x14ac:dyDescent="0.25">
      <c r="A1467" s="1"/>
      <c r="C1467" s="1"/>
      <c r="D1467" s="1"/>
      <c r="E1467" s="1"/>
      <c r="F1467" s="1"/>
    </row>
    <row r="1468" spans="1:6" x14ac:dyDescent="0.25">
      <c r="A1468" s="1"/>
      <c r="C1468" s="1"/>
      <c r="D1468" s="1"/>
      <c r="E1468" s="1"/>
      <c r="F1468" s="1"/>
    </row>
    <row r="1469" spans="1:6" x14ac:dyDescent="0.25">
      <c r="A1469" s="1"/>
      <c r="C1469" s="1"/>
      <c r="D1469" s="1"/>
      <c r="E1469" s="1"/>
      <c r="F1469" s="1"/>
    </row>
    <row r="1470" spans="1:6" x14ac:dyDescent="0.25">
      <c r="A1470" s="1"/>
      <c r="C1470" s="1"/>
      <c r="D1470" s="1"/>
      <c r="E1470" s="1"/>
      <c r="F1470" s="1"/>
    </row>
    <row r="1471" spans="1:6" x14ac:dyDescent="0.25">
      <c r="A1471" s="1"/>
      <c r="C1471" s="1"/>
      <c r="D1471" s="1"/>
      <c r="E1471" s="1"/>
      <c r="F1471" s="1"/>
    </row>
    <row r="1472" spans="1:6" x14ac:dyDescent="0.25">
      <c r="A1472" s="1"/>
      <c r="C1472" s="1"/>
      <c r="D1472" s="1"/>
      <c r="E1472" s="1"/>
      <c r="F1472" s="1"/>
    </row>
    <row r="1473" spans="1:6" x14ac:dyDescent="0.25">
      <c r="A1473" s="1"/>
      <c r="C1473" s="1"/>
      <c r="D1473" s="1"/>
      <c r="E1473" s="1"/>
      <c r="F1473" s="1"/>
    </row>
    <row r="1474" spans="1:6" x14ac:dyDescent="0.25">
      <c r="A1474" s="1"/>
      <c r="C1474" s="1"/>
      <c r="D1474" s="1"/>
      <c r="E1474" s="1"/>
      <c r="F1474" s="1"/>
    </row>
    <row r="1475" spans="1:6" x14ac:dyDescent="0.25">
      <c r="A1475" s="1"/>
      <c r="C1475" s="1"/>
      <c r="D1475" s="1"/>
      <c r="E1475" s="1"/>
      <c r="F1475" s="1"/>
    </row>
    <row r="1476" spans="1:6" x14ac:dyDescent="0.25">
      <c r="A1476" s="1"/>
      <c r="C1476" s="1"/>
      <c r="D1476" s="1"/>
      <c r="E1476" s="1"/>
      <c r="F1476" s="1"/>
    </row>
    <row r="1477" spans="1:6" x14ac:dyDescent="0.25">
      <c r="A1477" s="1"/>
      <c r="C1477" s="1"/>
      <c r="D1477" s="1"/>
      <c r="E1477" s="1"/>
      <c r="F1477" s="1"/>
    </row>
    <row r="1478" spans="1:6" x14ac:dyDescent="0.25">
      <c r="A1478" s="1"/>
      <c r="C1478" s="1"/>
      <c r="D1478" s="1"/>
      <c r="E1478" s="1"/>
      <c r="F1478" s="1"/>
    </row>
    <row r="1479" spans="1:6" x14ac:dyDescent="0.25">
      <c r="A1479" s="1"/>
      <c r="C1479" s="1"/>
      <c r="D1479" s="1"/>
      <c r="E1479" s="1"/>
      <c r="F1479" s="1"/>
    </row>
    <row r="1480" spans="1:6" x14ac:dyDescent="0.25">
      <c r="A1480" s="1"/>
      <c r="C1480" s="1"/>
      <c r="D1480" s="1"/>
      <c r="E1480" s="1"/>
      <c r="F1480" s="1"/>
    </row>
    <row r="1481" spans="1:6" x14ac:dyDescent="0.25">
      <c r="A1481" s="1"/>
      <c r="C1481" s="1"/>
      <c r="D1481" s="1"/>
      <c r="E1481" s="1"/>
      <c r="F1481" s="1"/>
    </row>
    <row r="1482" spans="1:6" x14ac:dyDescent="0.25">
      <c r="A1482" s="1"/>
      <c r="C1482" s="1"/>
      <c r="D1482" s="1"/>
      <c r="E1482" s="1"/>
      <c r="F1482" s="1"/>
    </row>
    <row r="1483" spans="1:6" x14ac:dyDescent="0.25">
      <c r="A1483" s="1"/>
      <c r="C1483" s="1"/>
      <c r="D1483" s="1"/>
      <c r="E1483" s="1"/>
      <c r="F1483" s="1"/>
    </row>
    <row r="1484" spans="1:6" x14ac:dyDescent="0.25">
      <c r="A1484" s="1"/>
      <c r="C1484" s="1"/>
      <c r="D1484" s="1"/>
      <c r="E1484" s="1"/>
      <c r="F1484" s="1"/>
    </row>
    <row r="1485" spans="1:6" x14ac:dyDescent="0.25">
      <c r="A1485" s="1"/>
      <c r="C1485" s="1"/>
      <c r="D1485" s="1"/>
      <c r="E1485" s="1"/>
      <c r="F1485" s="1"/>
    </row>
    <row r="1486" spans="1:6" x14ac:dyDescent="0.25">
      <c r="A1486" s="1"/>
      <c r="C1486" s="1"/>
      <c r="D1486" s="1"/>
      <c r="E1486" s="1"/>
      <c r="F1486" s="1"/>
    </row>
    <row r="1487" spans="1:6" x14ac:dyDescent="0.25">
      <c r="A1487" s="1"/>
      <c r="C1487" s="1"/>
      <c r="D1487" s="1"/>
      <c r="E1487" s="1"/>
      <c r="F1487" s="1"/>
    </row>
    <row r="1488" spans="1:6" x14ac:dyDescent="0.25">
      <c r="A1488" s="1"/>
      <c r="C1488" s="1"/>
      <c r="D1488" s="1"/>
      <c r="E1488" s="1"/>
      <c r="F1488" s="1"/>
    </row>
    <row r="1489" spans="1:6" x14ac:dyDescent="0.25">
      <c r="A1489" s="1"/>
      <c r="C1489" s="1"/>
      <c r="D1489" s="1"/>
      <c r="E1489" s="1"/>
      <c r="F1489" s="1"/>
    </row>
    <row r="1490" spans="1:6" x14ac:dyDescent="0.25">
      <c r="A1490" s="1"/>
      <c r="C1490" s="1"/>
      <c r="D1490" s="1"/>
      <c r="E1490" s="1"/>
      <c r="F1490" s="1"/>
    </row>
    <row r="1491" spans="1:6" x14ac:dyDescent="0.25">
      <c r="A1491" s="1"/>
      <c r="C1491" s="1"/>
      <c r="D1491" s="1"/>
      <c r="E1491" s="1"/>
      <c r="F1491" s="1"/>
    </row>
    <row r="1492" spans="1:6" x14ac:dyDescent="0.25">
      <c r="A1492" s="1"/>
      <c r="C1492" s="1"/>
      <c r="D1492" s="1"/>
      <c r="E1492" s="1"/>
      <c r="F1492" s="1"/>
    </row>
    <row r="1493" spans="1:6" x14ac:dyDescent="0.25">
      <c r="A1493" s="1"/>
      <c r="C1493" s="1"/>
      <c r="D1493" s="1"/>
      <c r="E1493" s="1"/>
      <c r="F1493" s="1"/>
    </row>
    <row r="1494" spans="1:6" x14ac:dyDescent="0.25">
      <c r="A1494" s="1"/>
      <c r="C1494" s="1"/>
      <c r="D1494" s="1"/>
      <c r="E1494" s="1"/>
      <c r="F1494" s="1"/>
    </row>
    <row r="1495" spans="1:6" x14ac:dyDescent="0.25">
      <c r="A1495" s="1"/>
      <c r="C1495" s="1"/>
      <c r="D1495" s="1"/>
      <c r="E1495" s="1"/>
      <c r="F1495" s="1"/>
    </row>
    <row r="1496" spans="1:6" x14ac:dyDescent="0.25">
      <c r="A1496" s="1"/>
      <c r="C1496" s="1"/>
      <c r="D1496" s="1"/>
      <c r="E1496" s="1"/>
      <c r="F1496" s="1"/>
    </row>
    <row r="1497" spans="1:6" x14ac:dyDescent="0.25">
      <c r="A1497" s="1"/>
      <c r="C1497" s="1"/>
      <c r="D1497" s="1"/>
      <c r="E1497" s="1"/>
      <c r="F1497" s="1"/>
    </row>
    <row r="1498" spans="1:6" x14ac:dyDescent="0.25">
      <c r="A1498" s="1"/>
      <c r="C1498" s="1"/>
      <c r="D1498" s="1"/>
      <c r="E1498" s="1"/>
      <c r="F1498" s="1"/>
    </row>
    <row r="1499" spans="1:6" x14ac:dyDescent="0.25">
      <c r="A1499" s="1"/>
      <c r="C1499" s="1"/>
      <c r="D1499" s="1"/>
      <c r="E1499" s="1"/>
      <c r="F1499" s="1"/>
    </row>
    <row r="1500" spans="1:6" x14ac:dyDescent="0.25">
      <c r="A1500" s="1"/>
      <c r="C1500" s="1"/>
      <c r="D1500" s="1"/>
      <c r="E1500" s="1"/>
      <c r="F1500" s="1"/>
    </row>
    <row r="1501" spans="1:6" x14ac:dyDescent="0.25">
      <c r="A1501" s="1"/>
      <c r="C1501" s="1"/>
      <c r="D1501" s="1"/>
      <c r="E1501" s="1"/>
      <c r="F1501" s="1"/>
    </row>
    <row r="1502" spans="1:6" x14ac:dyDescent="0.25">
      <c r="A1502" s="1"/>
      <c r="C1502" s="1"/>
      <c r="D1502" s="1"/>
      <c r="E1502" s="1"/>
      <c r="F1502" s="1"/>
    </row>
    <row r="1503" spans="1:6" x14ac:dyDescent="0.25">
      <c r="A1503" s="1"/>
      <c r="C1503" s="1"/>
      <c r="D1503" s="1"/>
      <c r="E1503" s="1"/>
      <c r="F1503" s="1"/>
    </row>
    <row r="1504" spans="1:6" x14ac:dyDescent="0.25">
      <c r="A1504" s="1"/>
      <c r="C1504" s="1"/>
      <c r="D1504" s="1"/>
      <c r="E1504" s="1"/>
      <c r="F1504" s="1"/>
    </row>
    <row r="1505" spans="1:6" x14ac:dyDescent="0.25">
      <c r="A1505" s="1"/>
      <c r="C1505" s="1"/>
      <c r="D1505" s="1"/>
      <c r="E1505" s="1"/>
      <c r="F1505" s="1"/>
    </row>
    <row r="1506" spans="1:6" x14ac:dyDescent="0.25">
      <c r="A1506" s="1"/>
      <c r="C1506" s="1"/>
      <c r="D1506" s="1"/>
      <c r="E1506" s="1"/>
      <c r="F1506" s="1"/>
    </row>
    <row r="1507" spans="1:6" x14ac:dyDescent="0.25">
      <c r="A1507" s="1"/>
      <c r="C1507" s="1"/>
      <c r="D1507" s="1"/>
      <c r="E1507" s="1"/>
      <c r="F1507" s="1"/>
    </row>
    <row r="1508" spans="1:6" x14ac:dyDescent="0.25">
      <c r="A1508" s="1"/>
      <c r="C1508" s="1"/>
      <c r="D1508" s="1"/>
      <c r="E1508" s="1"/>
      <c r="F1508" s="1"/>
    </row>
    <row r="1509" spans="1:6" x14ac:dyDescent="0.25">
      <c r="A1509" s="1"/>
      <c r="C1509" s="1"/>
      <c r="D1509" s="1"/>
      <c r="E1509" s="1"/>
      <c r="F1509" s="1"/>
    </row>
    <row r="1510" spans="1:6" x14ac:dyDescent="0.25">
      <c r="A1510" s="1"/>
      <c r="C1510" s="1"/>
      <c r="D1510" s="1"/>
      <c r="E1510" s="1"/>
      <c r="F1510" s="1"/>
    </row>
    <row r="1511" spans="1:6" x14ac:dyDescent="0.25">
      <c r="A1511" s="1"/>
      <c r="C1511" s="1"/>
      <c r="D1511" s="1"/>
      <c r="E1511" s="1"/>
      <c r="F1511" s="1"/>
    </row>
    <row r="1512" spans="1:6" x14ac:dyDescent="0.25">
      <c r="A1512" s="1"/>
      <c r="C1512" s="1"/>
      <c r="D1512" s="1"/>
      <c r="E1512" s="1"/>
      <c r="F1512" s="1"/>
    </row>
    <row r="1513" spans="1:6" x14ac:dyDescent="0.25">
      <c r="A1513" s="1"/>
      <c r="C1513" s="1"/>
      <c r="D1513" s="1"/>
      <c r="E1513" s="1"/>
      <c r="F1513" s="1"/>
    </row>
    <row r="1514" spans="1:6" x14ac:dyDescent="0.25">
      <c r="A1514" s="1"/>
      <c r="C1514" s="1"/>
      <c r="D1514" s="1"/>
      <c r="E1514" s="1"/>
      <c r="F1514" s="1"/>
    </row>
    <row r="1515" spans="1:6" x14ac:dyDescent="0.25">
      <c r="A1515" s="1"/>
      <c r="C1515" s="1"/>
      <c r="D1515" s="1"/>
      <c r="E1515" s="1"/>
      <c r="F1515" s="1"/>
    </row>
    <row r="1516" spans="1:6" x14ac:dyDescent="0.25">
      <c r="A1516" s="1"/>
      <c r="C1516" s="1"/>
      <c r="D1516" s="1"/>
      <c r="E1516" s="1"/>
      <c r="F1516" s="1"/>
    </row>
    <row r="1517" spans="1:6" x14ac:dyDescent="0.25">
      <c r="A1517" s="1"/>
      <c r="C1517" s="1"/>
      <c r="D1517" s="1"/>
      <c r="E1517" s="1"/>
      <c r="F1517" s="1"/>
    </row>
    <row r="1518" spans="1:6" x14ac:dyDescent="0.25">
      <c r="A1518" s="1"/>
      <c r="C1518" s="1"/>
      <c r="D1518" s="1"/>
      <c r="E1518" s="1"/>
      <c r="F1518" s="1"/>
    </row>
    <row r="1519" spans="1:6" x14ac:dyDescent="0.25">
      <c r="A1519" s="1"/>
      <c r="C1519" s="1"/>
      <c r="D1519" s="1"/>
      <c r="E1519" s="1"/>
      <c r="F1519" s="1"/>
    </row>
    <row r="1520" spans="1:6" x14ac:dyDescent="0.25">
      <c r="A1520" s="1"/>
      <c r="C1520" s="1"/>
      <c r="D1520" s="1"/>
      <c r="E1520" s="1"/>
      <c r="F1520" s="1"/>
    </row>
    <row r="1521" spans="1:6" x14ac:dyDescent="0.25">
      <c r="A1521" s="1"/>
      <c r="C1521" s="1"/>
      <c r="D1521" s="1"/>
      <c r="E1521" s="1"/>
      <c r="F1521" s="1"/>
    </row>
    <row r="1522" spans="1:6" x14ac:dyDescent="0.25">
      <c r="A1522" s="1"/>
      <c r="C1522" s="1"/>
      <c r="D1522" s="1"/>
      <c r="E1522" s="1"/>
      <c r="F1522" s="1"/>
    </row>
    <row r="1523" spans="1:6" x14ac:dyDescent="0.25">
      <c r="A1523" s="1"/>
      <c r="C1523" s="1"/>
      <c r="D1523" s="1"/>
      <c r="E1523" s="1"/>
      <c r="F1523" s="1"/>
    </row>
    <row r="1524" spans="1:6" x14ac:dyDescent="0.25">
      <c r="A1524" s="1"/>
      <c r="C1524" s="1"/>
      <c r="D1524" s="1"/>
      <c r="E1524" s="1"/>
      <c r="F1524" s="1"/>
    </row>
    <row r="1525" spans="1:6" x14ac:dyDescent="0.25">
      <c r="A1525" s="1"/>
      <c r="C1525" s="1"/>
      <c r="D1525" s="1"/>
      <c r="E1525" s="1"/>
      <c r="F1525" s="1"/>
    </row>
    <row r="1526" spans="1:6" x14ac:dyDescent="0.25">
      <c r="A1526" s="1"/>
      <c r="C1526" s="1"/>
      <c r="D1526" s="1"/>
      <c r="E1526" s="1"/>
      <c r="F1526" s="1"/>
    </row>
    <row r="1527" spans="1:6" x14ac:dyDescent="0.25">
      <c r="A1527" s="1"/>
      <c r="C1527" s="1"/>
      <c r="D1527" s="1"/>
      <c r="E1527" s="1"/>
      <c r="F1527" s="1"/>
    </row>
    <row r="1528" spans="1:6" x14ac:dyDescent="0.25">
      <c r="A1528" s="1"/>
      <c r="C1528" s="1"/>
      <c r="D1528" s="1"/>
      <c r="E1528" s="1"/>
      <c r="F1528" s="1"/>
    </row>
    <row r="1529" spans="1:6" x14ac:dyDescent="0.25">
      <c r="A1529" s="1"/>
      <c r="C1529" s="1"/>
      <c r="D1529" s="1"/>
      <c r="E1529" s="1"/>
      <c r="F1529" s="1"/>
    </row>
    <row r="1530" spans="1:6" x14ac:dyDescent="0.25">
      <c r="A1530" s="1"/>
      <c r="C1530" s="1"/>
      <c r="D1530" s="1"/>
      <c r="E1530" s="1"/>
      <c r="F1530" s="1"/>
    </row>
    <row r="1531" spans="1:6" x14ac:dyDescent="0.25">
      <c r="A1531" s="1"/>
      <c r="C1531" s="1"/>
      <c r="D1531" s="1"/>
      <c r="E1531" s="1"/>
      <c r="F1531" s="1"/>
    </row>
    <row r="1532" spans="1:6" x14ac:dyDescent="0.25">
      <c r="A1532" s="1"/>
      <c r="C1532" s="1"/>
      <c r="D1532" s="1"/>
      <c r="E1532" s="1"/>
      <c r="F1532" s="1"/>
    </row>
    <row r="1533" spans="1:6" x14ac:dyDescent="0.25">
      <c r="A1533" s="1"/>
      <c r="C1533" s="1"/>
      <c r="D1533" s="1"/>
      <c r="E1533" s="1"/>
      <c r="F1533" s="1"/>
    </row>
    <row r="1534" spans="1:6" x14ac:dyDescent="0.25">
      <c r="A1534" s="1"/>
      <c r="C1534" s="1"/>
      <c r="D1534" s="1"/>
      <c r="E1534" s="1"/>
      <c r="F1534" s="1"/>
    </row>
    <row r="1535" spans="1:6" x14ac:dyDescent="0.25">
      <c r="A1535" s="1"/>
      <c r="C1535" s="1"/>
      <c r="D1535" s="1"/>
      <c r="E1535" s="1"/>
      <c r="F1535" s="1"/>
    </row>
    <row r="1536" spans="1:6" x14ac:dyDescent="0.25">
      <c r="A1536" s="1"/>
      <c r="C1536" s="1"/>
      <c r="D1536" s="1"/>
      <c r="E1536" s="1"/>
      <c r="F1536" s="1"/>
    </row>
    <row r="1537" spans="1:6" x14ac:dyDescent="0.25">
      <c r="A1537" s="1"/>
      <c r="C1537" s="1"/>
      <c r="D1537" s="1"/>
      <c r="E1537" s="1"/>
      <c r="F1537" s="1"/>
    </row>
    <row r="1538" spans="1:6" x14ac:dyDescent="0.25">
      <c r="A1538" s="1"/>
      <c r="C1538" s="1"/>
      <c r="D1538" s="1"/>
      <c r="E1538" s="1"/>
      <c r="F1538" s="1"/>
    </row>
    <row r="1539" spans="1:6" x14ac:dyDescent="0.25">
      <c r="A1539" s="1"/>
      <c r="C1539" s="1"/>
      <c r="D1539" s="1"/>
      <c r="E1539" s="1"/>
      <c r="F1539" s="1"/>
    </row>
    <row r="1540" spans="1:6" x14ac:dyDescent="0.25">
      <c r="A1540" s="1"/>
      <c r="C1540" s="1"/>
      <c r="D1540" s="1"/>
      <c r="E1540" s="1"/>
      <c r="F1540" s="1"/>
    </row>
    <row r="1541" spans="1:6" x14ac:dyDescent="0.25">
      <c r="A1541" s="1"/>
      <c r="C1541" s="1"/>
      <c r="D1541" s="1"/>
      <c r="E1541" s="1"/>
      <c r="F1541" s="1"/>
    </row>
    <row r="1542" spans="1:6" x14ac:dyDescent="0.25">
      <c r="A1542" s="1"/>
      <c r="C1542" s="1"/>
      <c r="D1542" s="1"/>
      <c r="E1542" s="1"/>
      <c r="F1542" s="1"/>
    </row>
    <row r="1543" spans="1:6" x14ac:dyDescent="0.25">
      <c r="A1543" s="1"/>
      <c r="C1543" s="1"/>
      <c r="D1543" s="1"/>
      <c r="E1543" s="1"/>
      <c r="F1543" s="1"/>
    </row>
    <row r="1544" spans="1:6" x14ac:dyDescent="0.25">
      <c r="A1544" s="1"/>
      <c r="C1544" s="1"/>
      <c r="D1544" s="1"/>
      <c r="E1544" s="1"/>
      <c r="F1544" s="1"/>
    </row>
    <row r="1545" spans="1:6" x14ac:dyDescent="0.25">
      <c r="A1545" s="1"/>
      <c r="C1545" s="1"/>
      <c r="D1545" s="1"/>
      <c r="E1545" s="1"/>
      <c r="F1545" s="1"/>
    </row>
    <row r="1546" spans="1:6" x14ac:dyDescent="0.25">
      <c r="A1546" s="1"/>
      <c r="C1546" s="1"/>
      <c r="D1546" s="1"/>
      <c r="E1546" s="1"/>
      <c r="F1546" s="1"/>
    </row>
    <row r="1547" spans="1:6" x14ac:dyDescent="0.25">
      <c r="A1547" s="1"/>
      <c r="C1547" s="1"/>
      <c r="D1547" s="1"/>
      <c r="E1547" s="1"/>
      <c r="F1547" s="1"/>
    </row>
    <row r="1548" spans="1:6" x14ac:dyDescent="0.25">
      <c r="A1548" s="1"/>
      <c r="C1548" s="1"/>
      <c r="D1548" s="1"/>
      <c r="E1548" s="1"/>
      <c r="F1548" s="1"/>
    </row>
    <row r="1549" spans="1:6" x14ac:dyDescent="0.25">
      <c r="A1549" s="1"/>
      <c r="C1549" s="1"/>
      <c r="D1549" s="1"/>
      <c r="E1549" s="1"/>
      <c r="F1549" s="1"/>
    </row>
    <row r="1550" spans="1:6" x14ac:dyDescent="0.25">
      <c r="A1550" s="1"/>
      <c r="C1550" s="1"/>
      <c r="D1550" s="1"/>
      <c r="E1550" s="1"/>
      <c r="F1550" s="1"/>
    </row>
    <row r="1551" spans="1:6" x14ac:dyDescent="0.25">
      <c r="A1551" s="1"/>
      <c r="C1551" s="1"/>
      <c r="D1551" s="1"/>
      <c r="E1551" s="1"/>
      <c r="F1551" s="1"/>
    </row>
    <row r="1552" spans="1:6" x14ac:dyDescent="0.25">
      <c r="A1552" s="1"/>
      <c r="C1552" s="1"/>
      <c r="D1552" s="1"/>
      <c r="E1552" s="1"/>
      <c r="F1552" s="1"/>
    </row>
    <row r="1553" spans="1:6" x14ac:dyDescent="0.25">
      <c r="A1553" s="1"/>
      <c r="C1553" s="1"/>
      <c r="D1553" s="1"/>
      <c r="E1553" s="1"/>
      <c r="F1553" s="1"/>
    </row>
    <row r="1554" spans="1:6" x14ac:dyDescent="0.25">
      <c r="A1554" s="1"/>
      <c r="C1554" s="1"/>
      <c r="D1554" s="1"/>
      <c r="E1554" s="1"/>
      <c r="F1554" s="1"/>
    </row>
    <row r="1555" spans="1:6" x14ac:dyDescent="0.25">
      <c r="A1555" s="1"/>
      <c r="C1555" s="1"/>
      <c r="D1555" s="1"/>
      <c r="E1555" s="1"/>
      <c r="F1555" s="1"/>
    </row>
    <row r="1556" spans="1:6" x14ac:dyDescent="0.25">
      <c r="A1556" s="1"/>
      <c r="C1556" s="1"/>
      <c r="D1556" s="1"/>
      <c r="E1556" s="1"/>
      <c r="F1556" s="1"/>
    </row>
    <row r="1557" spans="1:6" x14ac:dyDescent="0.25">
      <c r="A1557" s="1"/>
      <c r="C1557" s="1"/>
      <c r="D1557" s="1"/>
      <c r="E1557" s="1"/>
      <c r="F1557" s="1"/>
    </row>
    <row r="1558" spans="1:6" x14ac:dyDescent="0.25">
      <c r="A1558" s="1"/>
      <c r="C1558" s="1"/>
      <c r="D1558" s="1"/>
      <c r="E1558" s="1"/>
      <c r="F1558" s="1"/>
    </row>
    <row r="1559" spans="1:6" x14ac:dyDescent="0.25">
      <c r="A1559" s="1"/>
      <c r="C1559" s="1"/>
      <c r="D1559" s="1"/>
      <c r="E1559" s="1"/>
      <c r="F1559" s="1"/>
    </row>
    <row r="1560" spans="1:6" x14ac:dyDescent="0.25">
      <c r="A1560" s="1"/>
      <c r="C1560" s="1"/>
      <c r="D1560" s="1"/>
      <c r="E1560" s="1"/>
      <c r="F1560" s="1"/>
    </row>
    <row r="1561" spans="1:6" x14ac:dyDescent="0.25">
      <c r="A1561" s="1"/>
      <c r="C1561" s="1"/>
      <c r="D1561" s="1"/>
      <c r="E1561" s="1"/>
      <c r="F1561" s="1"/>
    </row>
    <row r="1562" spans="1:6" x14ac:dyDescent="0.25">
      <c r="A1562" s="1"/>
      <c r="C1562" s="1"/>
      <c r="D1562" s="1"/>
      <c r="E1562" s="1"/>
      <c r="F1562" s="1"/>
    </row>
    <row r="1563" spans="1:6" x14ac:dyDescent="0.25">
      <c r="A1563" s="1"/>
      <c r="C1563" s="1"/>
      <c r="D1563" s="1"/>
      <c r="E1563" s="1"/>
      <c r="F1563" s="1"/>
    </row>
    <row r="1564" spans="1:6" x14ac:dyDescent="0.25">
      <c r="A1564" s="1"/>
      <c r="C1564" s="1"/>
      <c r="D1564" s="1"/>
      <c r="E1564" s="1"/>
      <c r="F1564" s="1"/>
    </row>
    <row r="1565" spans="1:6" x14ac:dyDescent="0.25">
      <c r="A1565" s="1"/>
      <c r="C1565" s="1"/>
      <c r="D1565" s="1"/>
      <c r="E1565" s="1"/>
      <c r="F1565" s="1"/>
    </row>
    <row r="1566" spans="1:6" x14ac:dyDescent="0.25">
      <c r="A1566" s="1"/>
      <c r="C1566" s="1"/>
      <c r="D1566" s="1"/>
      <c r="E1566" s="1"/>
      <c r="F1566" s="1"/>
    </row>
    <row r="1567" spans="1:6" x14ac:dyDescent="0.25">
      <c r="A1567" s="1"/>
      <c r="C1567" s="1"/>
      <c r="D1567" s="1"/>
      <c r="E1567" s="1"/>
      <c r="F1567" s="1"/>
    </row>
    <row r="1568" spans="1:6" x14ac:dyDescent="0.25">
      <c r="A1568" s="1"/>
      <c r="C1568" s="1"/>
      <c r="D1568" s="1"/>
      <c r="E1568" s="1"/>
      <c r="F1568" s="1"/>
    </row>
    <row r="1569" spans="1:6" x14ac:dyDescent="0.25">
      <c r="A1569" s="1"/>
      <c r="C1569" s="1"/>
      <c r="D1569" s="1"/>
      <c r="E1569" s="1"/>
      <c r="F1569" s="1"/>
    </row>
    <row r="1570" spans="1:6" x14ac:dyDescent="0.25">
      <c r="A1570" s="1"/>
      <c r="C1570" s="1"/>
      <c r="D1570" s="1"/>
      <c r="E1570" s="1"/>
      <c r="F1570" s="1"/>
    </row>
    <row r="1571" spans="1:6" x14ac:dyDescent="0.25">
      <c r="A1571" s="1"/>
      <c r="C1571" s="1"/>
      <c r="D1571" s="1"/>
      <c r="E1571" s="1"/>
      <c r="F1571" s="1"/>
    </row>
    <row r="1572" spans="1:6" x14ac:dyDescent="0.25">
      <c r="A1572" s="1"/>
      <c r="C1572" s="1"/>
      <c r="D1572" s="1"/>
      <c r="E1572" s="1"/>
      <c r="F1572" s="1"/>
    </row>
    <row r="1573" spans="1:6" x14ac:dyDescent="0.25">
      <c r="A1573" s="1"/>
      <c r="C1573" s="1"/>
      <c r="D1573" s="1"/>
      <c r="E1573" s="1"/>
      <c r="F1573" s="1"/>
    </row>
    <row r="1574" spans="1:6" x14ac:dyDescent="0.25">
      <c r="A1574" s="1"/>
      <c r="C1574" s="1"/>
      <c r="D1574" s="1"/>
      <c r="E1574" s="1"/>
      <c r="F1574" s="1"/>
    </row>
    <row r="1575" spans="1:6" x14ac:dyDescent="0.25">
      <c r="A1575" s="1"/>
      <c r="C1575" s="1"/>
      <c r="D1575" s="1"/>
      <c r="E1575" s="1"/>
      <c r="F1575" s="1"/>
    </row>
    <row r="1576" spans="1:6" x14ac:dyDescent="0.25">
      <c r="A1576" s="1"/>
      <c r="C1576" s="1"/>
      <c r="D1576" s="1"/>
      <c r="E1576" s="1"/>
      <c r="F1576" s="1"/>
    </row>
    <row r="1577" spans="1:6" x14ac:dyDescent="0.25">
      <c r="A1577" s="1"/>
      <c r="C1577" s="1"/>
      <c r="D1577" s="1"/>
      <c r="E1577" s="1"/>
      <c r="F1577" s="1"/>
    </row>
    <row r="1578" spans="1:6" x14ac:dyDescent="0.25">
      <c r="A1578" s="1"/>
      <c r="C1578" s="1"/>
      <c r="D1578" s="1"/>
      <c r="E1578" s="1"/>
      <c r="F1578" s="1"/>
    </row>
    <row r="1579" spans="1:6" x14ac:dyDescent="0.25">
      <c r="A1579" s="1"/>
      <c r="C1579" s="1"/>
      <c r="D1579" s="1"/>
      <c r="E1579" s="1"/>
      <c r="F1579" s="1"/>
    </row>
    <row r="1580" spans="1:6" x14ac:dyDescent="0.25">
      <c r="A1580" s="1"/>
      <c r="C1580" s="1"/>
      <c r="D1580" s="1"/>
      <c r="E1580" s="1"/>
      <c r="F1580" s="1"/>
    </row>
    <row r="1581" spans="1:6" x14ac:dyDescent="0.25">
      <c r="A1581" s="1"/>
      <c r="C1581" s="1"/>
      <c r="D1581" s="1"/>
      <c r="E1581" s="1"/>
      <c r="F1581" s="1"/>
    </row>
    <row r="1582" spans="1:6" x14ac:dyDescent="0.25">
      <c r="A1582" s="1"/>
      <c r="C1582" s="1"/>
      <c r="D1582" s="1"/>
      <c r="E1582" s="1"/>
      <c r="F1582" s="1"/>
    </row>
    <row r="1583" spans="1:6" x14ac:dyDescent="0.25">
      <c r="A1583" s="1"/>
      <c r="C1583" s="1"/>
      <c r="D1583" s="1"/>
      <c r="E1583" s="1"/>
      <c r="F1583" s="1"/>
    </row>
    <row r="1584" spans="1:6" x14ac:dyDescent="0.25">
      <c r="A1584" s="1"/>
      <c r="C1584" s="1"/>
      <c r="D1584" s="1"/>
      <c r="E1584" s="1"/>
      <c r="F1584" s="1"/>
    </row>
    <row r="1585" spans="1:6" x14ac:dyDescent="0.25">
      <c r="A1585" s="1"/>
      <c r="C1585" s="1"/>
      <c r="D1585" s="1"/>
      <c r="E1585" s="1"/>
      <c r="F1585" s="1"/>
    </row>
    <row r="1586" spans="1:6" x14ac:dyDescent="0.25">
      <c r="A1586" s="1"/>
      <c r="C1586" s="1"/>
      <c r="D1586" s="1"/>
      <c r="E1586" s="1"/>
      <c r="F1586" s="1"/>
    </row>
    <row r="1587" spans="1:6" x14ac:dyDescent="0.25">
      <c r="A1587" s="1"/>
      <c r="C1587" s="1"/>
      <c r="D1587" s="1"/>
      <c r="E1587" s="1"/>
      <c r="F1587" s="1"/>
    </row>
    <row r="1588" spans="1:6" x14ac:dyDescent="0.25">
      <c r="A1588" s="1"/>
      <c r="C1588" s="1"/>
      <c r="D1588" s="1"/>
      <c r="E1588" s="1"/>
      <c r="F1588" s="1"/>
    </row>
    <row r="1589" spans="1:6" x14ac:dyDescent="0.25">
      <c r="A1589" s="1"/>
      <c r="C1589" s="1"/>
      <c r="D1589" s="1"/>
      <c r="E1589" s="1"/>
      <c r="F1589" s="1"/>
    </row>
    <row r="1590" spans="1:6" x14ac:dyDescent="0.25">
      <c r="A1590" s="1"/>
      <c r="C1590" s="1"/>
      <c r="D1590" s="1"/>
      <c r="E1590" s="1"/>
      <c r="F1590" s="1"/>
    </row>
    <row r="1591" spans="1:6" x14ac:dyDescent="0.25">
      <c r="A1591" s="1"/>
      <c r="C1591" s="1"/>
      <c r="D1591" s="1"/>
      <c r="E1591" s="1"/>
      <c r="F1591" s="1"/>
    </row>
    <row r="1592" spans="1:6" x14ac:dyDescent="0.25">
      <c r="A1592" s="1"/>
      <c r="C1592" s="1"/>
      <c r="D1592" s="1"/>
      <c r="E1592" s="1"/>
      <c r="F1592" s="1"/>
    </row>
    <row r="1593" spans="1:6" x14ac:dyDescent="0.25">
      <c r="A1593" s="1"/>
      <c r="C1593" s="1"/>
      <c r="D1593" s="1"/>
      <c r="E1593" s="1"/>
      <c r="F1593" s="1"/>
    </row>
    <row r="1594" spans="1:6" x14ac:dyDescent="0.25">
      <c r="A1594" s="1"/>
      <c r="C1594" s="1"/>
      <c r="D1594" s="1"/>
      <c r="E1594" s="1"/>
      <c r="F1594" s="1"/>
    </row>
    <row r="1595" spans="1:6" x14ac:dyDescent="0.25">
      <c r="A1595" s="1"/>
      <c r="C1595" s="1"/>
      <c r="D1595" s="1"/>
      <c r="E1595" s="1"/>
      <c r="F1595" s="1"/>
    </row>
    <row r="1596" spans="1:6" x14ac:dyDescent="0.25">
      <c r="A1596" s="1"/>
      <c r="C1596" s="1"/>
      <c r="D1596" s="1"/>
      <c r="E1596" s="1"/>
      <c r="F1596" s="1"/>
    </row>
    <row r="1597" spans="1:6" x14ac:dyDescent="0.25">
      <c r="A1597" s="1"/>
      <c r="C1597" s="1"/>
      <c r="D1597" s="1"/>
      <c r="E1597" s="1"/>
      <c r="F1597" s="1"/>
    </row>
    <row r="1598" spans="1:6" x14ac:dyDescent="0.25">
      <c r="A1598" s="1"/>
      <c r="C1598" s="1"/>
      <c r="D1598" s="1"/>
      <c r="E1598" s="1"/>
      <c r="F1598" s="1"/>
    </row>
    <row r="1599" spans="1:6" x14ac:dyDescent="0.25">
      <c r="A1599" s="1"/>
      <c r="C1599" s="1"/>
      <c r="D1599" s="1"/>
      <c r="E1599" s="1"/>
      <c r="F1599" s="1"/>
    </row>
    <row r="1600" spans="1:6" x14ac:dyDescent="0.25">
      <c r="A1600" s="1"/>
      <c r="C1600" s="1"/>
      <c r="D1600" s="1"/>
      <c r="E1600" s="1"/>
      <c r="F1600" s="1"/>
    </row>
    <row r="1601" spans="1:6" x14ac:dyDescent="0.25">
      <c r="A1601" s="1"/>
      <c r="C1601" s="1"/>
      <c r="D1601" s="1"/>
      <c r="E1601" s="1"/>
      <c r="F1601" s="1"/>
    </row>
    <row r="1602" spans="1:6" x14ac:dyDescent="0.25">
      <c r="A1602" s="1"/>
      <c r="C1602" s="1"/>
      <c r="D1602" s="1"/>
      <c r="E1602" s="1"/>
      <c r="F1602" s="1"/>
    </row>
    <row r="1603" spans="1:6" x14ac:dyDescent="0.25">
      <c r="A1603" s="1"/>
      <c r="C1603" s="1"/>
      <c r="D1603" s="1"/>
      <c r="E1603" s="1"/>
      <c r="F1603" s="1"/>
    </row>
    <row r="1604" spans="1:6" x14ac:dyDescent="0.25">
      <c r="A1604" s="1"/>
      <c r="C1604" s="1"/>
      <c r="D1604" s="1"/>
      <c r="E1604" s="1"/>
      <c r="F1604" s="1"/>
    </row>
    <row r="1605" spans="1:6" x14ac:dyDescent="0.25">
      <c r="A1605" s="1"/>
      <c r="C1605" s="1"/>
      <c r="D1605" s="1"/>
      <c r="E1605" s="1"/>
      <c r="F1605" s="1"/>
    </row>
    <row r="1606" spans="1:6" x14ac:dyDescent="0.25">
      <c r="A1606" s="1"/>
      <c r="C1606" s="1"/>
      <c r="D1606" s="1"/>
      <c r="E1606" s="1"/>
      <c r="F1606" s="1"/>
    </row>
    <row r="1607" spans="1:6" x14ac:dyDescent="0.25">
      <c r="A1607" s="1"/>
      <c r="C1607" s="1"/>
      <c r="D1607" s="1"/>
      <c r="E1607" s="1"/>
      <c r="F1607" s="1"/>
    </row>
    <row r="1608" spans="1:6" x14ac:dyDescent="0.25">
      <c r="A1608" s="1"/>
      <c r="C1608" s="1"/>
      <c r="D1608" s="1"/>
      <c r="E1608" s="1"/>
      <c r="F1608" s="1"/>
    </row>
    <row r="1609" spans="1:6" x14ac:dyDescent="0.25">
      <c r="A1609" s="1"/>
      <c r="C1609" s="1"/>
      <c r="D1609" s="1"/>
      <c r="E1609" s="1"/>
      <c r="F1609" s="1"/>
    </row>
    <row r="1610" spans="1:6" x14ac:dyDescent="0.25">
      <c r="A1610" s="1"/>
      <c r="C1610" s="1"/>
      <c r="D1610" s="1"/>
      <c r="E1610" s="1"/>
      <c r="F1610" s="1"/>
    </row>
    <row r="1611" spans="1:6" x14ac:dyDescent="0.25">
      <c r="A1611" s="1"/>
      <c r="C1611" s="1"/>
      <c r="D1611" s="1"/>
      <c r="E1611" s="1"/>
      <c r="F1611" s="1"/>
    </row>
    <row r="1612" spans="1:6" x14ac:dyDescent="0.25">
      <c r="A1612" s="1"/>
      <c r="C1612" s="1"/>
      <c r="D1612" s="1"/>
      <c r="E1612" s="1"/>
      <c r="F1612" s="1"/>
    </row>
    <row r="1613" spans="1:6" x14ac:dyDescent="0.25">
      <c r="A1613" s="1"/>
      <c r="C1613" s="1"/>
      <c r="D1613" s="1"/>
      <c r="E1613" s="1"/>
      <c r="F1613" s="1"/>
    </row>
    <row r="1614" spans="1:6" x14ac:dyDescent="0.25">
      <c r="A1614" s="1"/>
      <c r="C1614" s="1"/>
      <c r="D1614" s="1"/>
      <c r="E1614" s="1"/>
      <c r="F1614" s="1"/>
    </row>
    <row r="1615" spans="1:6" x14ac:dyDescent="0.25">
      <c r="A1615" s="1"/>
      <c r="C1615" s="1"/>
      <c r="D1615" s="1"/>
      <c r="E1615" s="1"/>
      <c r="F1615" s="1"/>
    </row>
    <row r="1616" spans="1:6" x14ac:dyDescent="0.25">
      <c r="A1616" s="1"/>
      <c r="C1616" s="1"/>
      <c r="D1616" s="1"/>
      <c r="E1616" s="1"/>
      <c r="F1616" s="1"/>
    </row>
    <row r="1617" spans="1:6" x14ac:dyDescent="0.25">
      <c r="A1617" s="1"/>
      <c r="C1617" s="1"/>
      <c r="D1617" s="1"/>
      <c r="E1617" s="1"/>
      <c r="F1617" s="1"/>
    </row>
    <row r="1618" spans="1:6" x14ac:dyDescent="0.25">
      <c r="A1618" s="1"/>
      <c r="C1618" s="1"/>
      <c r="D1618" s="1"/>
      <c r="E1618" s="1"/>
      <c r="F1618" s="1"/>
    </row>
    <row r="1619" spans="1:6" x14ac:dyDescent="0.25">
      <c r="A1619" s="1"/>
      <c r="C1619" s="1"/>
      <c r="D1619" s="1"/>
      <c r="E1619" s="1"/>
      <c r="F1619" s="1"/>
    </row>
    <row r="1620" spans="1:6" x14ac:dyDescent="0.25">
      <c r="A1620" s="1"/>
      <c r="C1620" s="1"/>
      <c r="D1620" s="1"/>
      <c r="E1620" s="1"/>
      <c r="F1620" s="1"/>
    </row>
    <row r="1621" spans="1:6" x14ac:dyDescent="0.25">
      <c r="A1621" s="1"/>
      <c r="C1621" s="1"/>
      <c r="D1621" s="1"/>
      <c r="E1621" s="1"/>
      <c r="F1621" s="1"/>
    </row>
    <row r="1622" spans="1:6" x14ac:dyDescent="0.25">
      <c r="A1622" s="1"/>
      <c r="C1622" s="1"/>
      <c r="D1622" s="1"/>
      <c r="E1622" s="1"/>
      <c r="F1622" s="1"/>
    </row>
    <row r="1623" spans="1:6" x14ac:dyDescent="0.25">
      <c r="A1623" s="1"/>
      <c r="C1623" s="1"/>
      <c r="D1623" s="1"/>
      <c r="E1623" s="1"/>
      <c r="F1623" s="1"/>
    </row>
    <row r="1624" spans="1:6" x14ac:dyDescent="0.25">
      <c r="A1624" s="1"/>
      <c r="C1624" s="1"/>
      <c r="D1624" s="1"/>
      <c r="E1624" s="1"/>
      <c r="F1624" s="1"/>
    </row>
    <row r="1625" spans="1:6" x14ac:dyDescent="0.25">
      <c r="A1625" s="1"/>
      <c r="C1625" s="1"/>
      <c r="D1625" s="1"/>
      <c r="E1625" s="1"/>
      <c r="F1625" s="1"/>
    </row>
    <row r="1626" spans="1:6" x14ac:dyDescent="0.25">
      <c r="A1626" s="1"/>
      <c r="C1626" s="1"/>
      <c r="D1626" s="1"/>
      <c r="E1626" s="1"/>
      <c r="F1626" s="1"/>
    </row>
    <row r="1627" spans="1:6" x14ac:dyDescent="0.25">
      <c r="A1627" s="1"/>
      <c r="C1627" s="1"/>
      <c r="D1627" s="1"/>
      <c r="E1627" s="1"/>
      <c r="F1627" s="1"/>
    </row>
    <row r="1628" spans="1:6" x14ac:dyDescent="0.25">
      <c r="A1628" s="1"/>
      <c r="C1628" s="1"/>
      <c r="D1628" s="1"/>
      <c r="E1628" s="1"/>
      <c r="F1628" s="1"/>
    </row>
    <row r="1629" spans="1:6" x14ac:dyDescent="0.25">
      <c r="A1629" s="1"/>
      <c r="C1629" s="1"/>
      <c r="D1629" s="1"/>
      <c r="E1629" s="1"/>
      <c r="F1629" s="1"/>
    </row>
    <row r="1630" spans="1:6" x14ac:dyDescent="0.25">
      <c r="A1630" s="1"/>
      <c r="C1630" s="1"/>
      <c r="D1630" s="1"/>
      <c r="E1630" s="1"/>
      <c r="F1630" s="1"/>
    </row>
    <row r="1631" spans="1:6" x14ac:dyDescent="0.25">
      <c r="A1631" s="1"/>
      <c r="C1631" s="1"/>
      <c r="D1631" s="1"/>
      <c r="E1631" s="1"/>
      <c r="F1631" s="1"/>
    </row>
    <row r="1632" spans="1:6" x14ac:dyDescent="0.25">
      <c r="A1632" s="1"/>
      <c r="C1632" s="1"/>
      <c r="D1632" s="1"/>
      <c r="E1632" s="1"/>
      <c r="F1632" s="1"/>
    </row>
    <row r="1633" spans="1:6" x14ac:dyDescent="0.25">
      <c r="A1633" s="1"/>
      <c r="C1633" s="1"/>
      <c r="D1633" s="1"/>
      <c r="E1633" s="1"/>
      <c r="F1633" s="1"/>
    </row>
    <row r="1634" spans="1:6" x14ac:dyDescent="0.25">
      <c r="A1634" s="1"/>
      <c r="C1634" s="1"/>
      <c r="D1634" s="1"/>
      <c r="E1634" s="1"/>
      <c r="F1634" s="1"/>
    </row>
    <row r="1635" spans="1:6" x14ac:dyDescent="0.25">
      <c r="A1635" s="1"/>
      <c r="C1635" s="1"/>
      <c r="D1635" s="1"/>
      <c r="E1635" s="1"/>
      <c r="F1635" s="1"/>
    </row>
    <row r="1636" spans="1:6" x14ac:dyDescent="0.25">
      <c r="A1636" s="1"/>
      <c r="C1636" s="1"/>
      <c r="D1636" s="1"/>
      <c r="E1636" s="1"/>
      <c r="F1636" s="1"/>
    </row>
    <row r="1637" spans="1:6" x14ac:dyDescent="0.25">
      <c r="A1637" s="1"/>
      <c r="C1637" s="1"/>
      <c r="D1637" s="1"/>
      <c r="E1637" s="1"/>
      <c r="F1637" s="1"/>
    </row>
    <row r="1638" spans="1:6" x14ac:dyDescent="0.25">
      <c r="A1638" s="1"/>
      <c r="C1638" s="1"/>
      <c r="D1638" s="1"/>
      <c r="E1638" s="1"/>
      <c r="F1638" s="1"/>
    </row>
    <row r="1639" spans="1:6" x14ac:dyDescent="0.25">
      <c r="A1639" s="1"/>
      <c r="C1639" s="1"/>
      <c r="D1639" s="1"/>
      <c r="E1639" s="1"/>
      <c r="F1639" s="1"/>
    </row>
    <row r="1640" spans="1:6" x14ac:dyDescent="0.25">
      <c r="A1640" s="1"/>
      <c r="C1640" s="1"/>
      <c r="D1640" s="1"/>
      <c r="E1640" s="1"/>
      <c r="F1640" s="1"/>
    </row>
    <row r="1641" spans="1:6" x14ac:dyDescent="0.25">
      <c r="A1641" s="1"/>
      <c r="C1641" s="1"/>
      <c r="D1641" s="1"/>
      <c r="E1641" s="1"/>
      <c r="F1641" s="1"/>
    </row>
    <row r="1642" spans="1:6" x14ac:dyDescent="0.25">
      <c r="A1642" s="1"/>
      <c r="C1642" s="1"/>
      <c r="D1642" s="1"/>
      <c r="E1642" s="1"/>
      <c r="F1642" s="1"/>
    </row>
    <row r="1643" spans="1:6" x14ac:dyDescent="0.25">
      <c r="A1643" s="1"/>
      <c r="C1643" s="1"/>
      <c r="D1643" s="1"/>
      <c r="E1643" s="1"/>
      <c r="F1643" s="1"/>
    </row>
    <row r="1644" spans="1:6" x14ac:dyDescent="0.25">
      <c r="A1644" s="1"/>
      <c r="C1644" s="1"/>
      <c r="D1644" s="1"/>
      <c r="E1644" s="1"/>
      <c r="F1644" s="1"/>
    </row>
    <row r="1645" spans="1:6" x14ac:dyDescent="0.25">
      <c r="A1645" s="1"/>
      <c r="C1645" s="1"/>
      <c r="D1645" s="1"/>
      <c r="E1645" s="1"/>
      <c r="F1645" s="1"/>
    </row>
    <row r="1646" spans="1:6" x14ac:dyDescent="0.25">
      <c r="A1646" s="1"/>
      <c r="C1646" s="1"/>
      <c r="D1646" s="1"/>
      <c r="E1646" s="1"/>
      <c r="F1646" s="1"/>
    </row>
    <row r="1647" spans="1:6" x14ac:dyDescent="0.25">
      <c r="A1647" s="1"/>
      <c r="C1647" s="1"/>
      <c r="D1647" s="1"/>
      <c r="E1647" s="1"/>
      <c r="F1647" s="1"/>
    </row>
    <row r="1648" spans="1:6" x14ac:dyDescent="0.25">
      <c r="A1648" s="1"/>
      <c r="C1648" s="1"/>
      <c r="D1648" s="1"/>
      <c r="E1648" s="1"/>
      <c r="F1648" s="1"/>
    </row>
    <row r="1649" spans="1:6" x14ac:dyDescent="0.25">
      <c r="A1649" s="1"/>
      <c r="C1649" s="1"/>
      <c r="D1649" s="1"/>
      <c r="E1649" s="1"/>
      <c r="F1649" s="1"/>
    </row>
    <row r="1650" spans="1:6" x14ac:dyDescent="0.25">
      <c r="A1650" s="1"/>
      <c r="C1650" s="1"/>
      <c r="D1650" s="1"/>
      <c r="E1650" s="1"/>
      <c r="F1650" s="1"/>
    </row>
    <row r="1651" spans="1:6" x14ac:dyDescent="0.25">
      <c r="A1651" s="1"/>
      <c r="C1651" s="1"/>
      <c r="D1651" s="1"/>
      <c r="E1651" s="1"/>
      <c r="F1651" s="1"/>
    </row>
    <row r="1652" spans="1:6" x14ac:dyDescent="0.25">
      <c r="A1652" s="1"/>
      <c r="C1652" s="1"/>
      <c r="D1652" s="1"/>
      <c r="E1652" s="1"/>
      <c r="F1652" s="1"/>
    </row>
    <row r="1653" spans="1:6" x14ac:dyDescent="0.25">
      <c r="A1653" s="1"/>
      <c r="C1653" s="1"/>
      <c r="D1653" s="1"/>
      <c r="E1653" s="1"/>
      <c r="F1653" s="1"/>
    </row>
    <row r="1654" spans="1:6" x14ac:dyDescent="0.25">
      <c r="A1654" s="1"/>
      <c r="C1654" s="1"/>
      <c r="D1654" s="1"/>
      <c r="E1654" s="1"/>
      <c r="F1654" s="1"/>
    </row>
    <row r="1655" spans="1:6" x14ac:dyDescent="0.25">
      <c r="A1655" s="1"/>
      <c r="C1655" s="1"/>
      <c r="D1655" s="1"/>
      <c r="E1655" s="1"/>
      <c r="F1655" s="1"/>
    </row>
    <row r="1656" spans="1:6" x14ac:dyDescent="0.25">
      <c r="A1656" s="1"/>
      <c r="C1656" s="1"/>
      <c r="D1656" s="1"/>
      <c r="E1656" s="1"/>
      <c r="F1656" s="1"/>
    </row>
    <row r="1657" spans="1:6" x14ac:dyDescent="0.25">
      <c r="A1657" s="1"/>
      <c r="C1657" s="1"/>
      <c r="D1657" s="1"/>
      <c r="E1657" s="1"/>
      <c r="F1657" s="1"/>
    </row>
    <row r="1658" spans="1:6" x14ac:dyDescent="0.25">
      <c r="A1658" s="1"/>
      <c r="C1658" s="1"/>
      <c r="D1658" s="1"/>
      <c r="E1658" s="1"/>
      <c r="F1658" s="1"/>
    </row>
    <row r="1659" spans="1:6" x14ac:dyDescent="0.25">
      <c r="A1659" s="1"/>
      <c r="C1659" s="1"/>
      <c r="D1659" s="1"/>
      <c r="E1659" s="1"/>
      <c r="F1659" s="1"/>
    </row>
    <row r="1660" spans="1:6" x14ac:dyDescent="0.25">
      <c r="A1660" s="1"/>
      <c r="C1660" s="1"/>
      <c r="D1660" s="1"/>
      <c r="E1660" s="1"/>
      <c r="F1660" s="1"/>
    </row>
    <row r="1661" spans="1:6" x14ac:dyDescent="0.25">
      <c r="A1661" s="1"/>
      <c r="C1661" s="1"/>
      <c r="D1661" s="1"/>
      <c r="E1661" s="1"/>
      <c r="F1661" s="1"/>
    </row>
    <row r="1662" spans="1:6" x14ac:dyDescent="0.25">
      <c r="A1662" s="1"/>
      <c r="C1662" s="1"/>
      <c r="D1662" s="1"/>
      <c r="E1662" s="1"/>
      <c r="F1662" s="1"/>
    </row>
    <row r="1663" spans="1:6" x14ac:dyDescent="0.25">
      <c r="A1663" s="1"/>
      <c r="C1663" s="1"/>
      <c r="D1663" s="1"/>
      <c r="E1663" s="1"/>
      <c r="F1663" s="1"/>
    </row>
    <row r="1664" spans="1:6" x14ac:dyDescent="0.25">
      <c r="A1664" s="1"/>
      <c r="C1664" s="1"/>
      <c r="D1664" s="1"/>
      <c r="E1664" s="1"/>
      <c r="F1664" s="1"/>
    </row>
    <row r="1665" spans="1:6" x14ac:dyDescent="0.25">
      <c r="A1665" s="1"/>
      <c r="C1665" s="1"/>
      <c r="D1665" s="1"/>
      <c r="E1665" s="1"/>
      <c r="F1665" s="1"/>
    </row>
    <row r="1666" spans="1:6" x14ac:dyDescent="0.25">
      <c r="A1666" s="1"/>
      <c r="C1666" s="1"/>
      <c r="D1666" s="1"/>
      <c r="E1666" s="1"/>
      <c r="F1666" s="1"/>
    </row>
    <row r="1667" spans="1:6" x14ac:dyDescent="0.25">
      <c r="A1667" s="1"/>
      <c r="C1667" s="1"/>
      <c r="D1667" s="1"/>
      <c r="E1667" s="1"/>
      <c r="F1667" s="1"/>
    </row>
    <row r="1668" spans="1:6" x14ac:dyDescent="0.25">
      <c r="A1668" s="1"/>
      <c r="C1668" s="1"/>
      <c r="D1668" s="1"/>
      <c r="E1668" s="1"/>
      <c r="F1668" s="1"/>
    </row>
    <row r="1669" spans="1:6" x14ac:dyDescent="0.25">
      <c r="A1669" s="1"/>
      <c r="C1669" s="1"/>
      <c r="D1669" s="1"/>
      <c r="E1669" s="1"/>
      <c r="F1669" s="1"/>
    </row>
    <row r="1670" spans="1:6" x14ac:dyDescent="0.25">
      <c r="A1670" s="1"/>
      <c r="C1670" s="1"/>
      <c r="D1670" s="1"/>
      <c r="E1670" s="1"/>
      <c r="F1670" s="1"/>
    </row>
    <row r="1671" spans="1:6" x14ac:dyDescent="0.25">
      <c r="A1671" s="1"/>
      <c r="C1671" s="1"/>
      <c r="D1671" s="1"/>
      <c r="E1671" s="1"/>
      <c r="F1671" s="1"/>
    </row>
    <row r="1672" spans="1:6" x14ac:dyDescent="0.25">
      <c r="A1672" s="1"/>
      <c r="C1672" s="1"/>
      <c r="D1672" s="1"/>
      <c r="E1672" s="1"/>
      <c r="F1672" s="1"/>
    </row>
    <row r="1673" spans="1:6" x14ac:dyDescent="0.25">
      <c r="A1673" s="1"/>
      <c r="C1673" s="1"/>
      <c r="D1673" s="1"/>
      <c r="E1673" s="1"/>
      <c r="F1673" s="1"/>
    </row>
    <row r="1674" spans="1:6" x14ac:dyDescent="0.25">
      <c r="A1674" s="1"/>
      <c r="C1674" s="1"/>
      <c r="D1674" s="1"/>
      <c r="E1674" s="1"/>
      <c r="F1674" s="1"/>
    </row>
    <row r="1675" spans="1:6" x14ac:dyDescent="0.25">
      <c r="A1675" s="1"/>
      <c r="C1675" s="1"/>
      <c r="D1675" s="1"/>
      <c r="E1675" s="1"/>
      <c r="F1675" s="1"/>
    </row>
    <row r="1676" spans="1:6" x14ac:dyDescent="0.25">
      <c r="A1676" s="1"/>
      <c r="C1676" s="1"/>
      <c r="D1676" s="1"/>
      <c r="E1676" s="1"/>
      <c r="F1676" s="1"/>
    </row>
    <row r="1677" spans="1:6" x14ac:dyDescent="0.25">
      <c r="A1677" s="1"/>
      <c r="C1677" s="1"/>
      <c r="D1677" s="1"/>
      <c r="E1677" s="1"/>
      <c r="F1677" s="1"/>
    </row>
    <row r="1678" spans="1:6" x14ac:dyDescent="0.25">
      <c r="A1678" s="1"/>
      <c r="C1678" s="1"/>
      <c r="D1678" s="1"/>
      <c r="E1678" s="1"/>
      <c r="F1678" s="1"/>
    </row>
    <row r="1679" spans="1:6" x14ac:dyDescent="0.25">
      <c r="A1679" s="1"/>
      <c r="C1679" s="1"/>
      <c r="D1679" s="1"/>
      <c r="E1679" s="1"/>
      <c r="F1679" s="1"/>
    </row>
    <row r="1680" spans="1:6" x14ac:dyDescent="0.25">
      <c r="A1680" s="1"/>
      <c r="C1680" s="1"/>
      <c r="D1680" s="1"/>
      <c r="E1680" s="1"/>
      <c r="F1680" s="1"/>
    </row>
    <row r="1681" spans="1:6" x14ac:dyDescent="0.25">
      <c r="A1681" s="1"/>
      <c r="C1681" s="1"/>
      <c r="D1681" s="1"/>
      <c r="E1681" s="1"/>
      <c r="F1681" s="1"/>
    </row>
    <row r="1682" spans="1:6" x14ac:dyDescent="0.25">
      <c r="A1682" s="1"/>
      <c r="C1682" s="1"/>
      <c r="D1682" s="1"/>
      <c r="E1682" s="1"/>
      <c r="F1682" s="1"/>
    </row>
    <row r="1683" spans="1:6" x14ac:dyDescent="0.25">
      <c r="A1683" s="1"/>
      <c r="C1683" s="1"/>
      <c r="D1683" s="1"/>
      <c r="E1683" s="1"/>
      <c r="F1683" s="1"/>
    </row>
    <row r="1684" spans="1:6" x14ac:dyDescent="0.25">
      <c r="A1684" s="1"/>
      <c r="C1684" s="1"/>
      <c r="D1684" s="1"/>
      <c r="E1684" s="1"/>
      <c r="F1684" s="1"/>
    </row>
    <row r="1685" spans="1:6" x14ac:dyDescent="0.25">
      <c r="A1685" s="1"/>
      <c r="C1685" s="1"/>
      <c r="D1685" s="1"/>
      <c r="E1685" s="1"/>
      <c r="F1685" s="1"/>
    </row>
    <row r="1686" spans="1:6" x14ac:dyDescent="0.25">
      <c r="A1686" s="1"/>
      <c r="C1686" s="1"/>
      <c r="D1686" s="1"/>
      <c r="E1686" s="1"/>
      <c r="F1686" s="1"/>
    </row>
    <row r="1687" spans="1:6" x14ac:dyDescent="0.25">
      <c r="A1687" s="1"/>
      <c r="C1687" s="1"/>
      <c r="D1687" s="1"/>
      <c r="E1687" s="1"/>
      <c r="F1687" s="1"/>
    </row>
    <row r="1688" spans="1:6" x14ac:dyDescent="0.25">
      <c r="A1688" s="1"/>
      <c r="C1688" s="1"/>
      <c r="D1688" s="1"/>
      <c r="E1688" s="1"/>
      <c r="F1688" s="1"/>
    </row>
    <row r="1689" spans="1:6" x14ac:dyDescent="0.25">
      <c r="A1689" s="1"/>
      <c r="C1689" s="1"/>
      <c r="D1689" s="1"/>
      <c r="E1689" s="1"/>
      <c r="F1689" s="1"/>
    </row>
    <row r="1690" spans="1:6" x14ac:dyDescent="0.25">
      <c r="A1690" s="1"/>
      <c r="C1690" s="1"/>
      <c r="D1690" s="1"/>
      <c r="E1690" s="1"/>
      <c r="F1690" s="1"/>
    </row>
    <row r="1691" spans="1:6" x14ac:dyDescent="0.25">
      <c r="A1691" s="1"/>
      <c r="C1691" s="1"/>
      <c r="D1691" s="1"/>
      <c r="E1691" s="1"/>
      <c r="F1691" s="1"/>
    </row>
    <row r="1692" spans="1:6" x14ac:dyDescent="0.25">
      <c r="A1692" s="1"/>
      <c r="C1692" s="1"/>
      <c r="D1692" s="1"/>
      <c r="E1692" s="1"/>
      <c r="F1692" s="1"/>
    </row>
    <row r="1693" spans="1:6" x14ac:dyDescent="0.25">
      <c r="A1693" s="1"/>
      <c r="C1693" s="1"/>
      <c r="D1693" s="1"/>
      <c r="E1693" s="1"/>
      <c r="F1693" s="1"/>
    </row>
    <row r="1694" spans="1:6" x14ac:dyDescent="0.25">
      <c r="A1694" s="1"/>
      <c r="C1694" s="1"/>
      <c r="D1694" s="1"/>
      <c r="E1694" s="1"/>
      <c r="F1694" s="1"/>
    </row>
    <row r="1695" spans="1:6" x14ac:dyDescent="0.25">
      <c r="A1695" s="1"/>
      <c r="C1695" s="1"/>
      <c r="D1695" s="1"/>
      <c r="E1695" s="1"/>
      <c r="F1695" s="1"/>
    </row>
    <row r="1696" spans="1:6" x14ac:dyDescent="0.25">
      <c r="A1696" s="1"/>
      <c r="C1696" s="1"/>
      <c r="D1696" s="1"/>
      <c r="E1696" s="1"/>
      <c r="F1696" s="1"/>
    </row>
    <row r="1697" spans="1:6" x14ac:dyDescent="0.25">
      <c r="A1697" s="1"/>
      <c r="C1697" s="1"/>
      <c r="D1697" s="1"/>
      <c r="E1697" s="1"/>
      <c r="F1697" s="1"/>
    </row>
    <row r="1698" spans="1:6" x14ac:dyDescent="0.25">
      <c r="A1698" s="1"/>
      <c r="C1698" s="1"/>
      <c r="D1698" s="1"/>
      <c r="E1698" s="1"/>
      <c r="F1698" s="1"/>
    </row>
    <row r="1699" spans="1:6" x14ac:dyDescent="0.25">
      <c r="A1699" s="1"/>
      <c r="C1699" s="1"/>
      <c r="D1699" s="1"/>
      <c r="E1699" s="1"/>
      <c r="F1699" s="1"/>
    </row>
    <row r="1700" spans="1:6" x14ac:dyDescent="0.25">
      <c r="A1700" s="1"/>
      <c r="C1700" s="1"/>
      <c r="D1700" s="1"/>
      <c r="E1700" s="1"/>
      <c r="F1700" s="1"/>
    </row>
    <row r="1701" spans="1:6" x14ac:dyDescent="0.25">
      <c r="A1701" s="1"/>
      <c r="C1701" s="1"/>
      <c r="D1701" s="1"/>
      <c r="E1701" s="1"/>
      <c r="F1701" s="1"/>
    </row>
    <row r="1702" spans="1:6" x14ac:dyDescent="0.25">
      <c r="A1702" s="1"/>
      <c r="C1702" s="1"/>
      <c r="D1702" s="1"/>
      <c r="E1702" s="1"/>
      <c r="F1702" s="1"/>
    </row>
    <row r="1703" spans="1:6" x14ac:dyDescent="0.25">
      <c r="A1703" s="1"/>
      <c r="C1703" s="1"/>
      <c r="D1703" s="1"/>
      <c r="E1703" s="1"/>
      <c r="F1703" s="1"/>
    </row>
    <row r="1704" spans="1:6" x14ac:dyDescent="0.25">
      <c r="A1704" s="1"/>
      <c r="C1704" s="1"/>
      <c r="D1704" s="1"/>
      <c r="E1704" s="1"/>
      <c r="F1704" s="1"/>
    </row>
    <row r="1705" spans="1:6" x14ac:dyDescent="0.25">
      <c r="A1705" s="1"/>
      <c r="C1705" s="1"/>
      <c r="D1705" s="1"/>
      <c r="E1705" s="1"/>
      <c r="F1705" s="1"/>
    </row>
    <row r="1706" spans="1:6" x14ac:dyDescent="0.25">
      <c r="A1706" s="1"/>
      <c r="C1706" s="1"/>
      <c r="D1706" s="1"/>
      <c r="E1706" s="1"/>
      <c r="F1706" s="1"/>
    </row>
    <row r="1707" spans="1:6" x14ac:dyDescent="0.25">
      <c r="A1707" s="1"/>
      <c r="C1707" s="1"/>
      <c r="D1707" s="1"/>
      <c r="E1707" s="1"/>
      <c r="F1707" s="1"/>
    </row>
    <row r="1708" spans="1:6" x14ac:dyDescent="0.25">
      <c r="A1708" s="1"/>
      <c r="C1708" s="1"/>
      <c r="D1708" s="1"/>
      <c r="E1708" s="1"/>
      <c r="F1708" s="1"/>
    </row>
    <row r="1709" spans="1:6" x14ac:dyDescent="0.25">
      <c r="A1709" s="1"/>
      <c r="C1709" s="1"/>
      <c r="D1709" s="1"/>
      <c r="E1709" s="1"/>
      <c r="F1709" s="1"/>
    </row>
    <row r="1710" spans="1:6" x14ac:dyDescent="0.25">
      <c r="A1710" s="1"/>
      <c r="C1710" s="1"/>
      <c r="D1710" s="1"/>
      <c r="E1710" s="1"/>
      <c r="F1710" s="1"/>
    </row>
    <row r="1711" spans="1:6" x14ac:dyDescent="0.25">
      <c r="A1711" s="1"/>
      <c r="C1711" s="1"/>
      <c r="D1711" s="1"/>
      <c r="E1711" s="1"/>
      <c r="F1711" s="1"/>
    </row>
    <row r="1712" spans="1:6" x14ac:dyDescent="0.25">
      <c r="A1712" s="1"/>
      <c r="C1712" s="1"/>
      <c r="D1712" s="1"/>
      <c r="E1712" s="1"/>
      <c r="F1712" s="1"/>
    </row>
    <row r="1713" spans="1:6" x14ac:dyDescent="0.25">
      <c r="A1713" s="1"/>
      <c r="C1713" s="1"/>
      <c r="D1713" s="1"/>
      <c r="E1713" s="1"/>
      <c r="F1713" s="1"/>
    </row>
    <row r="1714" spans="1:6" x14ac:dyDescent="0.25">
      <c r="A1714" s="1"/>
      <c r="C1714" s="1"/>
      <c r="D1714" s="1"/>
      <c r="E1714" s="1"/>
      <c r="F1714" s="1"/>
    </row>
    <row r="1715" spans="1:6" x14ac:dyDescent="0.25">
      <c r="A1715" s="1"/>
      <c r="C1715" s="1"/>
      <c r="D1715" s="1"/>
      <c r="E1715" s="1"/>
      <c r="F1715" s="1"/>
    </row>
    <row r="1716" spans="1:6" x14ac:dyDescent="0.25">
      <c r="A1716" s="1"/>
      <c r="C1716" s="1"/>
      <c r="D1716" s="1"/>
      <c r="E1716" s="1"/>
      <c r="F1716" s="1"/>
    </row>
    <row r="1717" spans="1:6" x14ac:dyDescent="0.25">
      <c r="A1717" s="1"/>
      <c r="C1717" s="1"/>
      <c r="D1717" s="1"/>
      <c r="E1717" s="1"/>
      <c r="F1717" s="1"/>
    </row>
    <row r="1718" spans="1:6" x14ac:dyDescent="0.25">
      <c r="A1718" s="1"/>
      <c r="C1718" s="1"/>
      <c r="D1718" s="1"/>
      <c r="E1718" s="1"/>
      <c r="F1718" s="1"/>
    </row>
    <row r="1719" spans="1:6" x14ac:dyDescent="0.25">
      <c r="A1719" s="1"/>
      <c r="C1719" s="1"/>
      <c r="D1719" s="1"/>
      <c r="E1719" s="1"/>
      <c r="F1719" s="1"/>
    </row>
    <row r="1720" spans="1:6" x14ac:dyDescent="0.25">
      <c r="A1720" s="1"/>
      <c r="C1720" s="1"/>
      <c r="D1720" s="1"/>
      <c r="E1720" s="1"/>
      <c r="F1720" s="1"/>
    </row>
    <row r="1721" spans="1:6" x14ac:dyDescent="0.25">
      <c r="A1721" s="1"/>
      <c r="C1721" s="1"/>
      <c r="D1721" s="1"/>
      <c r="E1721" s="1"/>
      <c r="F1721" s="1"/>
    </row>
    <row r="1722" spans="1:6" x14ac:dyDescent="0.25">
      <c r="A1722" s="1"/>
      <c r="C1722" s="1"/>
      <c r="D1722" s="1"/>
      <c r="E1722" s="1"/>
      <c r="F1722" s="1"/>
    </row>
    <row r="1723" spans="1:6" x14ac:dyDescent="0.25">
      <c r="A1723" s="1"/>
      <c r="C1723" s="1"/>
      <c r="D1723" s="1"/>
      <c r="E1723" s="1"/>
      <c r="F1723" s="1"/>
    </row>
    <row r="1724" spans="1:6" x14ac:dyDescent="0.25">
      <c r="A1724" s="1"/>
      <c r="C1724" s="1"/>
      <c r="D1724" s="1"/>
      <c r="E1724" s="1"/>
      <c r="F1724" s="1"/>
    </row>
    <row r="1725" spans="1:6" x14ac:dyDescent="0.25">
      <c r="A1725" s="1"/>
      <c r="C1725" s="1"/>
      <c r="D1725" s="1"/>
      <c r="E1725" s="1"/>
      <c r="F1725" s="1"/>
    </row>
    <row r="1726" spans="1:6" x14ac:dyDescent="0.25">
      <c r="A1726" s="1"/>
      <c r="C1726" s="1"/>
      <c r="D1726" s="1"/>
      <c r="E1726" s="1"/>
      <c r="F1726" s="1"/>
    </row>
    <row r="1727" spans="1:6" x14ac:dyDescent="0.25">
      <c r="A1727" s="1"/>
      <c r="C1727" s="1"/>
      <c r="D1727" s="1"/>
      <c r="E1727" s="1"/>
      <c r="F1727" s="1"/>
    </row>
    <row r="1728" spans="1:6" x14ac:dyDescent="0.25">
      <c r="A1728" s="1"/>
      <c r="C1728" s="1"/>
      <c r="D1728" s="1"/>
      <c r="E1728" s="1"/>
      <c r="F1728" s="1"/>
    </row>
    <row r="1729" spans="1:6" x14ac:dyDescent="0.25">
      <c r="A1729" s="1"/>
      <c r="C1729" s="1"/>
      <c r="D1729" s="1"/>
      <c r="E1729" s="1"/>
      <c r="F1729" s="1"/>
    </row>
    <row r="1730" spans="1:6" x14ac:dyDescent="0.25">
      <c r="A1730" s="1"/>
      <c r="C1730" s="1"/>
      <c r="D1730" s="1"/>
      <c r="E1730" s="1"/>
      <c r="F1730" s="1"/>
    </row>
    <row r="1731" spans="1:6" x14ac:dyDescent="0.25">
      <c r="A1731" s="1"/>
      <c r="C1731" s="1"/>
      <c r="D1731" s="1"/>
      <c r="E1731" s="1"/>
      <c r="F1731" s="1"/>
    </row>
    <row r="1732" spans="1:6" x14ac:dyDescent="0.25">
      <c r="A1732" s="1"/>
      <c r="C1732" s="1"/>
      <c r="D1732" s="1"/>
      <c r="E1732" s="1"/>
      <c r="F1732" s="1"/>
    </row>
    <row r="1733" spans="1:6" x14ac:dyDescent="0.25">
      <c r="A1733" s="1"/>
      <c r="C1733" s="1"/>
      <c r="D1733" s="1"/>
      <c r="E1733" s="1"/>
      <c r="F1733" s="1"/>
    </row>
    <row r="1734" spans="1:6" x14ac:dyDescent="0.25">
      <c r="A1734" s="1"/>
      <c r="C1734" s="1"/>
      <c r="D1734" s="1"/>
      <c r="E1734" s="1"/>
      <c r="F1734" s="1"/>
    </row>
    <row r="1735" spans="1:6" x14ac:dyDescent="0.25">
      <c r="A1735" s="1"/>
      <c r="C1735" s="1"/>
      <c r="D1735" s="1"/>
      <c r="E1735" s="1"/>
      <c r="F1735" s="1"/>
    </row>
    <row r="1736" spans="1:6" x14ac:dyDescent="0.25">
      <c r="A1736" s="1"/>
      <c r="C1736" s="1"/>
      <c r="D1736" s="1"/>
      <c r="E1736" s="1"/>
      <c r="F1736" s="1"/>
    </row>
    <row r="1737" spans="1:6" x14ac:dyDescent="0.25">
      <c r="A1737" s="1"/>
      <c r="C1737" s="1"/>
      <c r="D1737" s="1"/>
      <c r="E1737" s="1"/>
      <c r="F1737" s="1"/>
    </row>
    <row r="1738" spans="1:6" x14ac:dyDescent="0.25">
      <c r="A1738" s="1"/>
      <c r="C1738" s="1"/>
      <c r="D1738" s="1"/>
      <c r="E1738" s="1"/>
      <c r="F1738" s="1"/>
    </row>
    <row r="1739" spans="1:6" x14ac:dyDescent="0.25">
      <c r="A1739" s="1"/>
      <c r="C1739" s="1"/>
      <c r="D1739" s="1"/>
      <c r="E1739" s="1"/>
      <c r="F1739" s="1"/>
    </row>
    <row r="1740" spans="1:6" x14ac:dyDescent="0.25">
      <c r="A1740" s="1"/>
      <c r="C1740" s="1"/>
      <c r="D1740" s="1"/>
      <c r="E1740" s="1"/>
      <c r="F1740" s="1"/>
    </row>
    <row r="1741" spans="1:6" x14ac:dyDescent="0.25">
      <c r="A1741" s="1"/>
      <c r="C1741" s="1"/>
      <c r="D1741" s="1"/>
      <c r="E1741" s="1"/>
      <c r="F1741" s="1"/>
    </row>
    <row r="1742" spans="1:6" x14ac:dyDescent="0.25">
      <c r="A1742" s="1"/>
      <c r="C1742" s="1"/>
      <c r="D1742" s="1"/>
      <c r="E1742" s="1"/>
      <c r="F1742" s="1"/>
    </row>
    <row r="1743" spans="1:6" x14ac:dyDescent="0.25">
      <c r="A1743" s="1"/>
      <c r="C1743" s="1"/>
      <c r="D1743" s="1"/>
      <c r="E1743" s="1"/>
      <c r="F1743" s="1"/>
    </row>
    <row r="1744" spans="1:6" x14ac:dyDescent="0.25">
      <c r="A1744" s="1"/>
      <c r="C1744" s="1"/>
      <c r="D1744" s="1"/>
      <c r="E1744" s="1"/>
      <c r="F1744" s="1"/>
    </row>
    <row r="1745" spans="1:6" x14ac:dyDescent="0.25">
      <c r="A1745" s="1"/>
      <c r="C1745" s="1"/>
      <c r="D1745" s="1"/>
      <c r="E1745" s="1"/>
      <c r="F1745" s="1"/>
    </row>
    <row r="1746" spans="1:6" x14ac:dyDescent="0.25">
      <c r="A1746" s="1"/>
      <c r="C1746" s="1"/>
      <c r="D1746" s="1"/>
      <c r="E1746" s="1"/>
      <c r="F1746" s="1"/>
    </row>
    <row r="1747" spans="1:6" x14ac:dyDescent="0.25">
      <c r="A1747" s="1"/>
      <c r="C1747" s="1"/>
      <c r="D1747" s="1"/>
      <c r="E1747" s="1"/>
      <c r="F1747" s="1"/>
    </row>
    <row r="1748" spans="1:6" x14ac:dyDescent="0.25">
      <c r="A1748" s="1"/>
      <c r="C1748" s="1"/>
      <c r="D1748" s="1"/>
      <c r="E1748" s="1"/>
      <c r="F1748" s="1"/>
    </row>
    <row r="1749" spans="1:6" x14ac:dyDescent="0.25">
      <c r="A1749" s="1"/>
      <c r="C1749" s="1"/>
      <c r="D1749" s="1"/>
      <c r="E1749" s="1"/>
      <c r="F1749" s="1"/>
    </row>
    <row r="1750" spans="1:6" x14ac:dyDescent="0.25">
      <c r="A1750" s="1"/>
      <c r="C1750" s="1"/>
      <c r="D1750" s="1"/>
      <c r="E1750" s="1"/>
      <c r="F1750" s="1"/>
    </row>
    <row r="1751" spans="1:6" x14ac:dyDescent="0.25">
      <c r="A1751" s="1"/>
      <c r="C1751" s="1"/>
      <c r="D1751" s="1"/>
      <c r="E1751" s="1"/>
      <c r="F1751" s="1"/>
    </row>
    <row r="1752" spans="1:6" x14ac:dyDescent="0.25">
      <c r="A1752" s="1"/>
      <c r="C1752" s="1"/>
      <c r="D1752" s="1"/>
      <c r="E1752" s="1"/>
      <c r="F1752" s="1"/>
    </row>
    <row r="1753" spans="1:6" x14ac:dyDescent="0.25">
      <c r="A1753" s="1"/>
      <c r="C1753" s="1"/>
      <c r="D1753" s="1"/>
      <c r="E1753" s="1"/>
      <c r="F1753" s="1"/>
    </row>
    <row r="1754" spans="1:6" x14ac:dyDescent="0.25">
      <c r="A1754" s="1"/>
      <c r="C1754" s="1"/>
      <c r="D1754" s="1"/>
      <c r="E1754" s="1"/>
      <c r="F1754" s="1"/>
    </row>
    <row r="1755" spans="1:6" x14ac:dyDescent="0.25">
      <c r="A1755" s="1"/>
      <c r="C1755" s="1"/>
      <c r="D1755" s="1"/>
      <c r="E1755" s="1"/>
      <c r="F1755" s="1"/>
    </row>
    <row r="1756" spans="1:6" x14ac:dyDescent="0.25">
      <c r="A1756" s="1"/>
      <c r="C1756" s="1"/>
      <c r="D1756" s="1"/>
      <c r="E1756" s="1"/>
      <c r="F1756" s="1"/>
    </row>
    <row r="1757" spans="1:6" x14ac:dyDescent="0.25">
      <c r="A1757" s="1"/>
      <c r="C1757" s="1"/>
      <c r="D1757" s="1"/>
      <c r="E1757" s="1"/>
      <c r="F1757" s="1"/>
    </row>
    <row r="1758" spans="1:6" x14ac:dyDescent="0.25">
      <c r="A1758" s="1"/>
      <c r="C1758" s="1"/>
      <c r="D1758" s="1"/>
      <c r="E1758" s="1"/>
      <c r="F1758" s="1"/>
    </row>
    <row r="1759" spans="1:6" x14ac:dyDescent="0.25">
      <c r="A1759" s="1"/>
      <c r="C1759" s="1"/>
      <c r="D1759" s="1"/>
      <c r="E1759" s="1"/>
      <c r="F1759" s="1"/>
    </row>
    <row r="1760" spans="1:6" x14ac:dyDescent="0.25">
      <c r="A1760" s="1"/>
      <c r="C1760" s="1"/>
      <c r="D1760" s="1"/>
      <c r="E1760" s="1"/>
      <c r="F1760" s="1"/>
    </row>
    <row r="1761" spans="1:6" x14ac:dyDescent="0.25">
      <c r="A1761" s="1"/>
      <c r="C1761" s="1"/>
      <c r="D1761" s="1"/>
      <c r="E1761" s="1"/>
      <c r="F1761" s="1"/>
    </row>
    <row r="1762" spans="1:6" x14ac:dyDescent="0.25">
      <c r="A1762" s="1"/>
      <c r="C1762" s="1"/>
      <c r="D1762" s="1"/>
      <c r="E1762" s="1"/>
      <c r="F1762" s="1"/>
    </row>
    <row r="1763" spans="1:6" x14ac:dyDescent="0.25">
      <c r="A1763" s="1"/>
      <c r="C1763" s="1"/>
      <c r="D1763" s="1"/>
      <c r="E1763" s="1"/>
      <c r="F1763" s="1"/>
    </row>
    <row r="1764" spans="1:6" x14ac:dyDescent="0.25">
      <c r="A1764" s="1"/>
      <c r="C1764" s="1"/>
      <c r="D1764" s="1"/>
      <c r="E1764" s="1"/>
      <c r="F1764" s="1"/>
    </row>
    <row r="1765" spans="1:6" x14ac:dyDescent="0.25">
      <c r="A1765" s="1"/>
      <c r="C1765" s="1"/>
      <c r="D1765" s="1"/>
      <c r="E1765" s="1"/>
      <c r="F1765" s="1"/>
    </row>
    <row r="1766" spans="1:6" x14ac:dyDescent="0.25">
      <c r="A1766" s="1"/>
      <c r="C1766" s="1"/>
      <c r="D1766" s="1"/>
      <c r="E1766" s="1"/>
      <c r="F1766" s="1"/>
    </row>
    <row r="1767" spans="1:6" x14ac:dyDescent="0.25">
      <c r="A1767" s="1"/>
      <c r="C1767" s="1"/>
      <c r="D1767" s="1"/>
      <c r="E1767" s="1"/>
      <c r="F1767" s="1"/>
    </row>
    <row r="1768" spans="1:6" x14ac:dyDescent="0.25">
      <c r="A1768" s="1"/>
      <c r="C1768" s="1"/>
      <c r="D1768" s="1"/>
      <c r="E1768" s="1"/>
      <c r="F1768" s="1"/>
    </row>
    <row r="1769" spans="1:6" x14ac:dyDescent="0.25">
      <c r="A1769" s="1"/>
      <c r="C1769" s="1"/>
      <c r="D1769" s="1"/>
      <c r="E1769" s="1"/>
      <c r="F1769" s="1"/>
    </row>
    <row r="1770" spans="1:6" x14ac:dyDescent="0.25">
      <c r="A1770" s="1"/>
      <c r="C1770" s="1"/>
      <c r="D1770" s="1"/>
      <c r="E1770" s="1"/>
      <c r="F1770" s="1"/>
    </row>
    <row r="1771" spans="1:6" x14ac:dyDescent="0.25">
      <c r="A1771" s="1"/>
      <c r="C1771" s="1"/>
      <c r="D1771" s="1"/>
      <c r="E1771" s="1"/>
      <c r="F1771" s="1"/>
    </row>
    <row r="1772" spans="1:6" x14ac:dyDescent="0.25">
      <c r="A1772" s="1"/>
      <c r="C1772" s="1"/>
      <c r="D1772" s="1"/>
      <c r="E1772" s="1"/>
      <c r="F1772" s="1"/>
    </row>
    <row r="1773" spans="1:6" x14ac:dyDescent="0.25">
      <c r="A1773" s="1"/>
      <c r="C1773" s="1"/>
      <c r="D1773" s="1"/>
      <c r="E1773" s="1"/>
      <c r="F1773" s="1"/>
    </row>
    <row r="1774" spans="1:6" x14ac:dyDescent="0.25">
      <c r="A1774" s="1"/>
      <c r="C1774" s="1"/>
      <c r="D1774" s="1"/>
      <c r="E1774" s="1"/>
      <c r="F1774" s="1"/>
    </row>
    <row r="1775" spans="1:6" x14ac:dyDescent="0.25">
      <c r="A1775" s="1"/>
      <c r="C1775" s="1"/>
      <c r="D1775" s="1"/>
      <c r="E1775" s="1"/>
      <c r="F1775" s="1"/>
    </row>
    <row r="1776" spans="1:6" x14ac:dyDescent="0.25">
      <c r="A1776" s="1"/>
      <c r="C1776" s="1"/>
      <c r="D1776" s="1"/>
      <c r="E1776" s="1"/>
      <c r="F1776" s="1"/>
    </row>
    <row r="1777" spans="1:6" x14ac:dyDescent="0.25">
      <c r="A1777" s="1"/>
      <c r="C1777" s="1"/>
      <c r="D1777" s="1"/>
      <c r="E1777" s="1"/>
      <c r="F1777" s="1"/>
    </row>
    <row r="1778" spans="1:6" x14ac:dyDescent="0.25">
      <c r="A1778" s="1"/>
      <c r="C1778" s="1"/>
      <c r="D1778" s="1"/>
      <c r="E1778" s="1"/>
      <c r="F1778" s="1"/>
    </row>
    <row r="1779" spans="1:6" x14ac:dyDescent="0.25">
      <c r="A1779" s="1"/>
      <c r="C1779" s="1"/>
      <c r="D1779" s="1"/>
      <c r="E1779" s="1"/>
      <c r="F1779" s="1"/>
    </row>
    <row r="1780" spans="1:6" x14ac:dyDescent="0.25">
      <c r="A1780" s="1"/>
      <c r="C1780" s="1"/>
      <c r="D1780" s="1"/>
      <c r="E1780" s="1"/>
      <c r="F1780" s="1"/>
    </row>
    <row r="1781" spans="1:6" x14ac:dyDescent="0.25">
      <c r="A1781" s="1"/>
      <c r="C1781" s="1"/>
      <c r="D1781" s="1"/>
      <c r="E1781" s="1"/>
      <c r="F1781" s="1"/>
    </row>
    <row r="1782" spans="1:6" x14ac:dyDescent="0.25">
      <c r="A1782" s="1"/>
      <c r="C1782" s="1"/>
      <c r="D1782" s="1"/>
      <c r="E1782" s="1"/>
      <c r="F1782" s="1"/>
    </row>
    <row r="1783" spans="1:6" x14ac:dyDescent="0.25">
      <c r="A1783" s="1"/>
      <c r="C1783" s="1"/>
      <c r="D1783" s="1"/>
      <c r="E1783" s="1"/>
      <c r="F1783" s="1"/>
    </row>
    <row r="1784" spans="1:6" x14ac:dyDescent="0.25">
      <c r="A1784" s="1"/>
      <c r="C1784" s="1"/>
      <c r="D1784" s="1"/>
      <c r="E1784" s="1"/>
      <c r="F1784" s="1"/>
    </row>
    <row r="1785" spans="1:6" x14ac:dyDescent="0.25">
      <c r="A1785" s="1"/>
      <c r="C1785" s="1"/>
      <c r="D1785" s="1"/>
      <c r="E1785" s="1"/>
      <c r="F1785" s="1"/>
    </row>
    <row r="1786" spans="1:6" x14ac:dyDescent="0.25">
      <c r="A1786" s="1"/>
      <c r="C1786" s="1"/>
      <c r="D1786" s="1"/>
      <c r="E1786" s="1"/>
      <c r="F1786" s="1"/>
    </row>
    <row r="1787" spans="1:6" x14ac:dyDescent="0.25">
      <c r="A1787" s="1"/>
      <c r="C1787" s="1"/>
      <c r="D1787" s="1"/>
      <c r="E1787" s="1"/>
      <c r="F1787" s="1"/>
    </row>
    <row r="1788" spans="1:6" x14ac:dyDescent="0.25">
      <c r="A1788" s="1"/>
      <c r="C1788" s="1"/>
      <c r="D1788" s="1"/>
      <c r="E1788" s="1"/>
      <c r="F1788" s="1"/>
    </row>
    <row r="1789" spans="1:6" x14ac:dyDescent="0.25">
      <c r="A1789" s="1"/>
      <c r="C1789" s="1"/>
      <c r="D1789" s="1"/>
      <c r="E1789" s="1"/>
      <c r="F1789" s="1"/>
    </row>
    <row r="1790" spans="1:6" x14ac:dyDescent="0.25">
      <c r="A1790" s="1"/>
      <c r="C1790" s="1"/>
      <c r="D1790" s="1"/>
      <c r="E1790" s="1"/>
      <c r="F1790" s="1"/>
    </row>
    <row r="1791" spans="1:6" x14ac:dyDescent="0.25">
      <c r="A1791" s="1"/>
      <c r="C1791" s="1"/>
      <c r="D1791" s="1"/>
      <c r="E1791" s="1"/>
      <c r="F1791" s="1"/>
    </row>
    <row r="1792" spans="1:6" x14ac:dyDescent="0.25">
      <c r="A1792" s="1"/>
      <c r="C1792" s="1"/>
      <c r="D1792" s="1"/>
      <c r="E1792" s="1"/>
      <c r="F1792" s="1"/>
    </row>
    <row r="1793" spans="1:6" x14ac:dyDescent="0.25">
      <c r="A1793" s="1"/>
      <c r="C1793" s="1"/>
      <c r="D1793" s="1"/>
      <c r="E1793" s="1"/>
      <c r="F1793" s="1"/>
    </row>
    <row r="1794" spans="1:6" x14ac:dyDescent="0.25">
      <c r="A1794" s="1"/>
      <c r="C1794" s="1"/>
      <c r="D1794" s="1"/>
      <c r="E1794" s="1"/>
      <c r="F1794" s="1"/>
    </row>
    <row r="1795" spans="1:6" x14ac:dyDescent="0.25">
      <c r="A1795" s="1"/>
      <c r="C1795" s="1"/>
      <c r="D1795" s="1"/>
      <c r="E1795" s="1"/>
      <c r="F1795" s="1"/>
    </row>
    <row r="1796" spans="1:6" x14ac:dyDescent="0.25">
      <c r="A1796" s="1"/>
      <c r="C1796" s="1"/>
      <c r="D1796" s="1"/>
      <c r="E1796" s="1"/>
      <c r="F1796" s="1"/>
    </row>
    <row r="1797" spans="1:6" x14ac:dyDescent="0.25">
      <c r="A1797" s="1"/>
      <c r="C1797" s="1"/>
      <c r="D1797" s="1"/>
      <c r="E1797" s="1"/>
      <c r="F1797" s="1"/>
    </row>
    <row r="1798" spans="1:6" x14ac:dyDescent="0.25">
      <c r="A1798" s="1"/>
      <c r="C1798" s="1"/>
      <c r="D1798" s="1"/>
      <c r="E1798" s="1"/>
      <c r="F1798" s="1"/>
    </row>
    <row r="1799" spans="1:6" x14ac:dyDescent="0.25">
      <c r="A1799" s="1"/>
      <c r="C1799" s="1"/>
      <c r="D1799" s="1"/>
      <c r="E1799" s="1"/>
      <c r="F1799" s="1"/>
    </row>
    <row r="1800" spans="1:6" x14ac:dyDescent="0.25">
      <c r="A1800" s="1"/>
      <c r="C1800" s="1"/>
      <c r="D1800" s="1"/>
      <c r="E1800" s="1"/>
      <c r="F1800" s="1"/>
    </row>
    <row r="1801" spans="1:6" x14ac:dyDescent="0.25">
      <c r="A1801" s="1"/>
      <c r="C1801" s="1"/>
      <c r="D1801" s="1"/>
      <c r="E1801" s="1"/>
      <c r="F1801" s="1"/>
    </row>
    <row r="1802" spans="1:6" x14ac:dyDescent="0.25">
      <c r="A1802" s="1"/>
      <c r="C1802" s="1"/>
      <c r="D1802" s="1"/>
      <c r="E1802" s="1"/>
      <c r="F1802" s="1"/>
    </row>
    <row r="1803" spans="1:6" x14ac:dyDescent="0.25">
      <c r="A1803" s="1"/>
      <c r="C1803" s="1"/>
      <c r="D1803" s="1"/>
      <c r="E1803" s="1"/>
      <c r="F1803" s="1"/>
    </row>
    <row r="1804" spans="1:6" x14ac:dyDescent="0.25">
      <c r="A1804" s="1"/>
      <c r="C1804" s="1"/>
      <c r="D1804" s="1"/>
      <c r="E1804" s="1"/>
      <c r="F1804" s="1"/>
    </row>
    <row r="1805" spans="1:6" x14ac:dyDescent="0.25">
      <c r="A1805" s="1"/>
      <c r="C1805" s="1"/>
      <c r="D1805" s="1"/>
      <c r="E1805" s="1"/>
      <c r="F1805" s="1"/>
    </row>
    <row r="1806" spans="1:6" x14ac:dyDescent="0.25">
      <c r="A1806" s="1"/>
      <c r="C1806" s="1"/>
      <c r="D1806" s="1"/>
      <c r="E1806" s="1"/>
      <c r="F1806" s="1"/>
    </row>
    <row r="1807" spans="1:6" x14ac:dyDescent="0.25">
      <c r="A1807" s="1"/>
      <c r="C1807" s="1"/>
      <c r="D1807" s="1"/>
      <c r="E1807" s="1"/>
      <c r="F1807" s="1"/>
    </row>
    <row r="1808" spans="1:6" x14ac:dyDescent="0.25">
      <c r="A1808" s="1"/>
      <c r="C1808" s="1"/>
      <c r="D1808" s="1"/>
      <c r="E1808" s="1"/>
      <c r="F1808" s="1"/>
    </row>
    <row r="1809" spans="1:6" x14ac:dyDescent="0.25">
      <c r="A1809" s="1"/>
      <c r="C1809" s="1"/>
      <c r="D1809" s="1"/>
      <c r="E1809" s="1"/>
      <c r="F1809" s="1"/>
    </row>
    <row r="1810" spans="1:6" x14ac:dyDescent="0.25">
      <c r="A1810" s="1"/>
      <c r="C1810" s="1"/>
      <c r="D1810" s="1"/>
      <c r="E1810" s="1"/>
      <c r="F1810" s="1"/>
    </row>
    <row r="1811" spans="1:6" x14ac:dyDescent="0.25">
      <c r="A1811" s="1"/>
      <c r="C1811" s="1"/>
      <c r="D1811" s="1"/>
      <c r="E1811" s="1"/>
      <c r="F1811" s="1"/>
    </row>
    <row r="1812" spans="1:6" x14ac:dyDescent="0.25">
      <c r="A1812" s="1"/>
      <c r="C1812" s="1"/>
      <c r="D1812" s="1"/>
      <c r="E1812" s="1"/>
      <c r="F1812" s="1"/>
    </row>
    <row r="1813" spans="1:6" x14ac:dyDescent="0.25">
      <c r="A1813" s="1"/>
      <c r="C1813" s="1"/>
      <c r="D1813" s="1"/>
      <c r="E1813" s="1"/>
      <c r="F1813" s="1"/>
    </row>
    <row r="1814" spans="1:6" x14ac:dyDescent="0.25">
      <c r="A1814" s="1"/>
      <c r="C1814" s="1"/>
      <c r="D1814" s="1"/>
      <c r="E1814" s="1"/>
      <c r="F1814" s="1"/>
    </row>
    <row r="1815" spans="1:6" x14ac:dyDescent="0.25">
      <c r="A1815" s="1"/>
      <c r="C1815" s="1"/>
      <c r="D1815" s="1"/>
      <c r="E1815" s="1"/>
      <c r="F1815" s="1"/>
    </row>
    <row r="1816" spans="1:6" x14ac:dyDescent="0.25">
      <c r="A1816" s="1"/>
      <c r="C1816" s="1"/>
      <c r="D1816" s="1"/>
      <c r="E1816" s="1"/>
      <c r="F1816" s="1"/>
    </row>
    <row r="1817" spans="1:6" x14ac:dyDescent="0.25">
      <c r="A1817" s="1"/>
      <c r="C1817" s="1"/>
      <c r="D1817" s="1"/>
      <c r="E1817" s="1"/>
      <c r="F1817" s="1"/>
    </row>
    <row r="1818" spans="1:6" x14ac:dyDescent="0.25">
      <c r="A1818" s="1"/>
      <c r="C1818" s="1"/>
      <c r="D1818" s="1"/>
      <c r="E1818" s="1"/>
      <c r="F1818" s="1"/>
    </row>
    <row r="1819" spans="1:6" x14ac:dyDescent="0.25">
      <c r="A1819" s="1"/>
      <c r="C1819" s="1"/>
      <c r="D1819" s="1"/>
      <c r="E1819" s="1"/>
      <c r="F1819" s="1"/>
    </row>
    <row r="1820" spans="1:6" x14ac:dyDescent="0.25">
      <c r="A1820" s="1"/>
      <c r="C1820" s="1"/>
      <c r="D1820" s="1"/>
      <c r="E1820" s="1"/>
      <c r="F1820" s="1"/>
    </row>
    <row r="1821" spans="1:6" x14ac:dyDescent="0.25">
      <c r="A1821" s="1"/>
      <c r="C1821" s="1"/>
      <c r="D1821" s="1"/>
      <c r="E1821" s="1"/>
      <c r="F1821" s="1"/>
    </row>
    <row r="1822" spans="1:6" x14ac:dyDescent="0.25">
      <c r="A1822" s="1"/>
      <c r="C1822" s="1"/>
      <c r="D1822" s="1"/>
      <c r="E1822" s="1"/>
      <c r="F1822" s="1"/>
    </row>
    <row r="1823" spans="1:6" x14ac:dyDescent="0.25">
      <c r="A1823" s="1"/>
      <c r="C1823" s="1"/>
      <c r="D1823" s="1"/>
      <c r="E1823" s="1"/>
      <c r="F1823" s="1"/>
    </row>
    <row r="1824" spans="1:6" x14ac:dyDescent="0.25">
      <c r="A1824" s="1"/>
      <c r="C1824" s="1"/>
      <c r="D1824" s="1"/>
      <c r="E1824" s="1"/>
      <c r="F1824" s="1"/>
    </row>
    <row r="1825" spans="1:6" x14ac:dyDescent="0.25">
      <c r="A1825" s="1"/>
      <c r="C1825" s="1"/>
      <c r="D1825" s="1"/>
      <c r="E1825" s="1"/>
      <c r="F1825" s="1"/>
    </row>
    <row r="1826" spans="1:6" x14ac:dyDescent="0.25">
      <c r="A1826" s="1"/>
      <c r="C1826" s="1"/>
      <c r="D1826" s="1"/>
      <c r="E1826" s="1"/>
      <c r="F1826" s="1"/>
    </row>
    <row r="1827" spans="1:6" x14ac:dyDescent="0.25">
      <c r="A1827" s="1"/>
      <c r="C1827" s="1"/>
      <c r="D1827" s="1"/>
      <c r="E1827" s="1"/>
      <c r="F1827" s="1"/>
    </row>
    <row r="1828" spans="1:6" x14ac:dyDescent="0.25">
      <c r="A1828" s="1"/>
      <c r="C1828" s="1"/>
      <c r="D1828" s="1"/>
      <c r="E1828" s="1"/>
      <c r="F1828" s="1"/>
    </row>
    <row r="1829" spans="1:6" x14ac:dyDescent="0.25">
      <c r="A1829" s="1"/>
      <c r="C1829" s="1"/>
      <c r="D1829" s="1"/>
      <c r="E1829" s="1"/>
      <c r="F1829" s="1"/>
    </row>
    <row r="1830" spans="1:6" x14ac:dyDescent="0.25">
      <c r="A1830" s="1"/>
      <c r="C1830" s="1"/>
      <c r="D1830" s="1"/>
      <c r="E1830" s="1"/>
      <c r="F1830" s="1"/>
    </row>
    <row r="1831" spans="1:6" x14ac:dyDescent="0.25">
      <c r="A1831" s="1"/>
      <c r="C1831" s="1"/>
      <c r="D1831" s="1"/>
      <c r="E1831" s="1"/>
      <c r="F1831" s="1"/>
    </row>
    <row r="1832" spans="1:6" x14ac:dyDescent="0.25">
      <c r="A1832" s="1"/>
      <c r="C1832" s="1"/>
      <c r="D1832" s="1"/>
      <c r="E1832" s="1"/>
      <c r="F1832" s="1"/>
    </row>
    <row r="1833" spans="1:6" x14ac:dyDescent="0.25">
      <c r="A1833" s="1"/>
      <c r="C1833" s="1"/>
      <c r="D1833" s="1"/>
      <c r="E1833" s="1"/>
      <c r="F1833" s="1"/>
    </row>
    <row r="1834" spans="1:6" x14ac:dyDescent="0.25">
      <c r="A1834" s="1"/>
      <c r="C1834" s="1"/>
      <c r="D1834" s="1"/>
      <c r="E1834" s="1"/>
      <c r="F1834" s="1"/>
    </row>
    <row r="1835" spans="1:6" x14ac:dyDescent="0.25">
      <c r="A1835" s="1"/>
      <c r="C1835" s="1"/>
      <c r="D1835" s="1"/>
      <c r="E1835" s="1"/>
      <c r="F1835" s="1"/>
    </row>
    <row r="1836" spans="1:6" x14ac:dyDescent="0.25">
      <c r="A1836" s="1"/>
      <c r="C1836" s="1"/>
      <c r="D1836" s="1"/>
      <c r="E1836" s="1"/>
      <c r="F1836" s="1"/>
    </row>
    <row r="1837" spans="1:6" x14ac:dyDescent="0.25">
      <c r="A1837" s="1"/>
      <c r="C1837" s="1"/>
      <c r="D1837" s="1"/>
      <c r="E1837" s="1"/>
      <c r="F1837" s="1"/>
    </row>
    <row r="1838" spans="1:6" x14ac:dyDescent="0.25">
      <c r="A1838" s="1"/>
      <c r="C1838" s="1"/>
      <c r="D1838" s="1"/>
      <c r="E1838" s="1"/>
      <c r="F1838" s="1"/>
    </row>
    <row r="1839" spans="1:6" x14ac:dyDescent="0.25">
      <c r="A1839" s="1"/>
      <c r="C1839" s="1"/>
      <c r="D1839" s="1"/>
      <c r="E1839" s="1"/>
      <c r="F1839" s="1"/>
    </row>
    <row r="1840" spans="1:6" x14ac:dyDescent="0.25">
      <c r="A1840" s="1"/>
      <c r="C1840" s="1"/>
      <c r="D1840" s="1"/>
      <c r="E1840" s="1"/>
      <c r="F1840" s="1"/>
    </row>
    <row r="1841" spans="1:6" x14ac:dyDescent="0.25">
      <c r="A1841" s="1"/>
      <c r="C1841" s="1"/>
      <c r="D1841" s="1"/>
      <c r="E1841" s="1"/>
      <c r="F1841" s="1"/>
    </row>
    <row r="1842" spans="1:6" x14ac:dyDescent="0.25">
      <c r="A1842" s="1"/>
      <c r="C1842" s="1"/>
      <c r="D1842" s="1"/>
      <c r="E1842" s="1"/>
      <c r="F1842" s="1"/>
    </row>
    <row r="1843" spans="1:6" x14ac:dyDescent="0.25">
      <c r="A1843" s="1"/>
      <c r="C1843" s="1"/>
      <c r="D1843" s="1"/>
      <c r="E1843" s="1"/>
      <c r="F1843" s="1"/>
    </row>
    <row r="1844" spans="1:6" x14ac:dyDescent="0.25">
      <c r="A1844" s="1"/>
      <c r="C1844" s="1"/>
      <c r="D1844" s="1"/>
      <c r="E1844" s="1"/>
      <c r="F1844" s="1"/>
    </row>
    <row r="1845" spans="1:6" x14ac:dyDescent="0.25">
      <c r="A1845" s="1"/>
      <c r="C1845" s="1"/>
      <c r="D1845" s="1"/>
      <c r="E1845" s="1"/>
      <c r="F1845" s="1"/>
    </row>
    <row r="1846" spans="1:6" x14ac:dyDescent="0.25">
      <c r="A1846" s="1"/>
      <c r="C1846" s="1"/>
      <c r="D1846" s="1"/>
      <c r="E1846" s="1"/>
      <c r="F1846" s="1"/>
    </row>
    <row r="1847" spans="1:6" x14ac:dyDescent="0.25">
      <c r="A1847" s="1"/>
      <c r="C1847" s="1"/>
      <c r="D1847" s="1"/>
      <c r="E1847" s="1"/>
      <c r="F1847" s="1"/>
    </row>
    <row r="1848" spans="1:6" x14ac:dyDescent="0.25">
      <c r="A1848" s="1"/>
      <c r="C1848" s="1"/>
      <c r="D1848" s="1"/>
      <c r="E1848" s="1"/>
      <c r="F1848" s="1"/>
    </row>
    <row r="1849" spans="1:6" x14ac:dyDescent="0.25">
      <c r="A1849" s="1"/>
      <c r="C1849" s="1"/>
      <c r="D1849" s="1"/>
      <c r="E1849" s="1"/>
      <c r="F1849" s="1"/>
    </row>
    <row r="1850" spans="1:6" x14ac:dyDescent="0.25">
      <c r="A1850" s="1"/>
      <c r="C1850" s="1"/>
      <c r="D1850" s="1"/>
      <c r="E1850" s="1"/>
      <c r="F1850" s="1"/>
    </row>
    <row r="1851" spans="1:6" x14ac:dyDescent="0.25">
      <c r="A1851" s="1"/>
      <c r="C1851" s="1"/>
      <c r="D1851" s="1"/>
      <c r="E1851" s="1"/>
      <c r="F1851" s="1"/>
    </row>
    <row r="1852" spans="1:6" x14ac:dyDescent="0.25">
      <c r="A1852" s="1"/>
      <c r="C1852" s="1"/>
      <c r="D1852" s="1"/>
      <c r="E1852" s="1"/>
      <c r="F1852" s="1"/>
    </row>
    <row r="1853" spans="1:6" x14ac:dyDescent="0.25">
      <c r="A1853" s="1"/>
      <c r="C1853" s="1"/>
      <c r="D1853" s="1"/>
      <c r="E1853" s="1"/>
      <c r="F1853" s="1"/>
    </row>
    <row r="1854" spans="1:6" x14ac:dyDescent="0.25">
      <c r="A1854" s="1"/>
      <c r="C1854" s="1"/>
      <c r="D1854" s="1"/>
      <c r="E1854" s="1"/>
      <c r="F1854" s="1"/>
    </row>
    <row r="1855" spans="1:6" x14ac:dyDescent="0.25">
      <c r="A1855" s="1"/>
      <c r="C1855" s="1"/>
      <c r="D1855" s="1"/>
      <c r="E1855" s="1"/>
      <c r="F1855" s="1"/>
    </row>
    <row r="1856" spans="1:6" x14ac:dyDescent="0.25">
      <c r="A1856" s="1"/>
      <c r="C1856" s="1"/>
      <c r="D1856" s="1"/>
      <c r="E1856" s="1"/>
      <c r="F1856" s="1"/>
    </row>
    <row r="1857" spans="1:6" x14ac:dyDescent="0.25">
      <c r="A1857" s="1"/>
      <c r="C1857" s="1"/>
      <c r="D1857" s="1"/>
      <c r="E1857" s="1"/>
      <c r="F1857" s="1"/>
    </row>
    <row r="1858" spans="1:6" x14ac:dyDescent="0.25">
      <c r="A1858" s="1"/>
      <c r="C1858" s="1"/>
      <c r="D1858" s="1"/>
      <c r="E1858" s="1"/>
      <c r="F1858" s="1"/>
    </row>
    <row r="1859" spans="1:6" x14ac:dyDescent="0.25">
      <c r="A1859" s="1"/>
      <c r="C1859" s="1"/>
      <c r="D1859" s="1"/>
      <c r="E1859" s="1"/>
      <c r="F1859" s="1"/>
    </row>
    <row r="1860" spans="1:6" x14ac:dyDescent="0.25">
      <c r="A1860" s="1"/>
      <c r="C1860" s="1"/>
      <c r="D1860" s="1"/>
      <c r="E1860" s="1"/>
      <c r="F1860" s="1"/>
    </row>
    <row r="1861" spans="1:6" x14ac:dyDescent="0.25">
      <c r="A1861" s="1"/>
      <c r="C1861" s="1"/>
      <c r="D1861" s="1"/>
      <c r="E1861" s="1"/>
      <c r="F1861" s="1"/>
    </row>
    <row r="1862" spans="1:6" x14ac:dyDescent="0.25">
      <c r="A1862" s="1"/>
      <c r="C1862" s="1"/>
      <c r="D1862" s="1"/>
      <c r="E1862" s="1"/>
      <c r="F1862" s="1"/>
    </row>
    <row r="1863" spans="1:6" x14ac:dyDescent="0.25">
      <c r="A1863" s="1"/>
      <c r="C1863" s="1"/>
      <c r="D1863" s="1"/>
      <c r="E1863" s="1"/>
      <c r="F1863" s="1"/>
    </row>
    <row r="1864" spans="1:6" x14ac:dyDescent="0.25">
      <c r="A1864" s="1"/>
      <c r="C1864" s="1"/>
      <c r="D1864" s="1"/>
      <c r="E1864" s="1"/>
      <c r="F1864" s="1"/>
    </row>
    <row r="1865" spans="1:6" x14ac:dyDescent="0.25">
      <c r="A1865" s="1"/>
      <c r="C1865" s="1"/>
      <c r="D1865" s="1"/>
      <c r="E1865" s="1"/>
      <c r="F1865" s="1"/>
    </row>
    <row r="1866" spans="1:6" x14ac:dyDescent="0.25">
      <c r="A1866" s="1"/>
      <c r="C1866" s="1"/>
      <c r="D1866" s="1"/>
      <c r="E1866" s="1"/>
      <c r="F1866" s="1"/>
    </row>
    <row r="1867" spans="1:6" x14ac:dyDescent="0.25">
      <c r="A1867" s="1"/>
      <c r="C1867" s="1"/>
      <c r="D1867" s="1"/>
      <c r="E1867" s="1"/>
      <c r="F1867" s="1"/>
    </row>
    <row r="1868" spans="1:6" x14ac:dyDescent="0.25">
      <c r="A1868" s="1"/>
      <c r="C1868" s="1"/>
      <c r="D1868" s="1"/>
      <c r="E1868" s="1"/>
      <c r="F1868" s="1"/>
    </row>
    <row r="1869" spans="1:6" x14ac:dyDescent="0.25">
      <c r="A1869" s="1"/>
      <c r="C1869" s="1"/>
      <c r="D1869" s="1"/>
      <c r="E1869" s="1"/>
      <c r="F1869" s="1"/>
    </row>
    <row r="1870" spans="1:6" x14ac:dyDescent="0.25">
      <c r="A1870" s="1"/>
      <c r="C1870" s="1"/>
      <c r="D1870" s="1"/>
      <c r="E1870" s="1"/>
      <c r="F1870" s="1"/>
    </row>
    <row r="1871" spans="1:6" x14ac:dyDescent="0.25">
      <c r="A1871" s="1"/>
      <c r="C1871" s="1"/>
      <c r="D1871" s="1"/>
      <c r="E1871" s="1"/>
      <c r="F1871" s="1"/>
    </row>
    <row r="1872" spans="1:6" x14ac:dyDescent="0.25">
      <c r="A1872" s="1"/>
      <c r="C1872" s="1"/>
      <c r="D1872" s="1"/>
      <c r="E1872" s="1"/>
      <c r="F1872" s="1"/>
    </row>
    <row r="1873" spans="1:6" x14ac:dyDescent="0.25">
      <c r="A1873" s="1"/>
      <c r="C1873" s="1"/>
      <c r="D1873" s="1"/>
      <c r="E1873" s="1"/>
      <c r="F1873" s="1"/>
    </row>
    <row r="1874" spans="1:6" x14ac:dyDescent="0.25">
      <c r="A1874" s="1"/>
      <c r="C1874" s="1"/>
      <c r="D1874" s="1"/>
      <c r="E1874" s="1"/>
      <c r="F1874" s="1"/>
    </row>
    <row r="1875" spans="1:6" x14ac:dyDescent="0.25">
      <c r="A1875" s="1"/>
      <c r="C1875" s="1"/>
      <c r="D1875" s="1"/>
      <c r="E1875" s="1"/>
      <c r="F1875" s="1"/>
    </row>
    <row r="1876" spans="1:6" x14ac:dyDescent="0.25">
      <c r="A1876" s="1"/>
      <c r="C1876" s="1"/>
      <c r="D1876" s="1"/>
      <c r="E1876" s="1"/>
      <c r="F1876" s="1"/>
    </row>
    <row r="1877" spans="1:6" x14ac:dyDescent="0.25">
      <c r="A1877" s="1"/>
      <c r="C1877" s="1"/>
      <c r="D1877" s="1"/>
      <c r="E1877" s="1"/>
      <c r="F1877" s="1"/>
    </row>
    <row r="1878" spans="1:6" x14ac:dyDescent="0.25">
      <c r="A1878" s="1"/>
      <c r="C1878" s="1"/>
      <c r="D1878" s="1"/>
      <c r="E1878" s="1"/>
      <c r="F1878" s="1"/>
    </row>
    <row r="1879" spans="1:6" x14ac:dyDescent="0.25">
      <c r="A1879" s="1"/>
      <c r="C1879" s="1"/>
      <c r="D1879" s="1"/>
      <c r="E1879" s="1"/>
      <c r="F1879" s="1"/>
    </row>
    <row r="1880" spans="1:6" x14ac:dyDescent="0.25">
      <c r="A1880" s="1"/>
      <c r="C1880" s="1"/>
      <c r="D1880" s="1"/>
      <c r="E1880" s="1"/>
      <c r="F1880" s="1"/>
    </row>
    <row r="1881" spans="1:6" x14ac:dyDescent="0.25">
      <c r="A1881" s="1"/>
      <c r="C1881" s="1"/>
      <c r="D1881" s="1"/>
      <c r="E1881" s="1"/>
      <c r="F1881" s="1"/>
    </row>
    <row r="1882" spans="1:6" x14ac:dyDescent="0.25">
      <c r="A1882" s="1"/>
      <c r="C1882" s="1"/>
      <c r="D1882" s="1"/>
      <c r="E1882" s="1"/>
      <c r="F1882" s="1"/>
    </row>
    <row r="1883" spans="1:6" x14ac:dyDescent="0.25">
      <c r="A1883" s="1"/>
      <c r="C1883" s="1"/>
      <c r="D1883" s="1"/>
      <c r="E1883" s="1"/>
      <c r="F1883" s="1"/>
    </row>
    <row r="1884" spans="1:6" x14ac:dyDescent="0.25">
      <c r="A1884" s="1"/>
      <c r="C1884" s="1"/>
      <c r="D1884" s="1"/>
      <c r="E1884" s="1"/>
      <c r="F1884" s="1"/>
    </row>
    <row r="1885" spans="1:6" x14ac:dyDescent="0.25">
      <c r="A1885" s="1"/>
      <c r="C1885" s="1"/>
      <c r="D1885" s="1"/>
      <c r="E1885" s="1"/>
      <c r="F1885" s="1"/>
    </row>
    <row r="1886" spans="1:6" x14ac:dyDescent="0.25">
      <c r="A1886" s="1"/>
      <c r="C1886" s="1"/>
      <c r="D1886" s="1"/>
      <c r="E1886" s="1"/>
      <c r="F1886" s="1"/>
    </row>
    <row r="1887" spans="1:6" x14ac:dyDescent="0.25">
      <c r="A1887" s="1"/>
      <c r="C1887" s="1"/>
      <c r="D1887" s="1"/>
      <c r="E1887" s="1"/>
      <c r="F1887" s="1"/>
    </row>
    <row r="1888" spans="1:6" x14ac:dyDescent="0.25">
      <c r="A1888" s="1"/>
      <c r="C1888" s="1"/>
      <c r="D1888" s="1"/>
      <c r="E1888" s="1"/>
      <c r="F1888" s="1"/>
    </row>
    <row r="1889" spans="1:6" x14ac:dyDescent="0.25">
      <c r="A1889" s="1"/>
      <c r="C1889" s="1"/>
      <c r="D1889" s="1"/>
      <c r="E1889" s="1"/>
      <c r="F1889" s="1"/>
    </row>
    <row r="1890" spans="1:6" x14ac:dyDescent="0.25">
      <c r="A1890" s="1"/>
      <c r="C1890" s="1"/>
      <c r="D1890" s="1"/>
      <c r="E1890" s="1"/>
      <c r="F1890" s="1"/>
    </row>
    <row r="1891" spans="1:6" x14ac:dyDescent="0.25">
      <c r="A1891" s="1"/>
      <c r="C1891" s="1"/>
      <c r="D1891" s="1"/>
      <c r="E1891" s="1"/>
      <c r="F1891" s="1"/>
    </row>
    <row r="1892" spans="1:6" x14ac:dyDescent="0.25">
      <c r="A1892" s="1"/>
      <c r="C1892" s="1"/>
      <c r="D1892" s="1"/>
      <c r="E1892" s="1"/>
      <c r="F1892" s="1"/>
    </row>
    <row r="1893" spans="1:6" x14ac:dyDescent="0.25">
      <c r="A1893" s="1"/>
      <c r="C1893" s="1"/>
      <c r="D1893" s="1"/>
      <c r="E1893" s="1"/>
      <c r="F1893" s="1"/>
    </row>
    <row r="1894" spans="1:6" x14ac:dyDescent="0.25">
      <c r="A1894" s="1"/>
      <c r="C1894" s="1"/>
      <c r="D1894" s="1"/>
      <c r="E1894" s="1"/>
      <c r="F1894" s="1"/>
    </row>
    <row r="1895" spans="1:6" x14ac:dyDescent="0.25">
      <c r="A1895" s="1"/>
      <c r="C1895" s="1"/>
      <c r="D1895" s="1"/>
      <c r="E1895" s="1"/>
      <c r="F1895" s="1"/>
    </row>
    <row r="1896" spans="1:6" x14ac:dyDescent="0.25">
      <c r="A1896" s="1"/>
      <c r="C1896" s="1"/>
      <c r="D1896" s="1"/>
      <c r="E1896" s="1"/>
      <c r="F1896" s="1"/>
    </row>
    <row r="1897" spans="1:6" x14ac:dyDescent="0.25">
      <c r="A1897" s="1"/>
      <c r="C1897" s="1"/>
      <c r="D1897" s="1"/>
      <c r="E1897" s="1"/>
      <c r="F1897" s="1"/>
    </row>
    <row r="1898" spans="1:6" x14ac:dyDescent="0.25">
      <c r="A1898" s="1"/>
      <c r="C1898" s="1"/>
      <c r="D1898" s="1"/>
      <c r="E1898" s="1"/>
      <c r="F1898" s="1"/>
    </row>
    <row r="1899" spans="1:6" x14ac:dyDescent="0.25">
      <c r="A1899" s="1"/>
      <c r="C1899" s="1"/>
      <c r="D1899" s="1"/>
      <c r="E1899" s="1"/>
      <c r="F1899" s="1"/>
    </row>
    <row r="1900" spans="1:6" x14ac:dyDescent="0.25">
      <c r="A1900" s="1"/>
      <c r="C1900" s="1"/>
      <c r="D1900" s="1"/>
      <c r="E1900" s="1"/>
      <c r="F1900" s="1"/>
    </row>
    <row r="1901" spans="1:6" x14ac:dyDescent="0.25">
      <c r="A1901" s="1"/>
      <c r="C1901" s="1"/>
      <c r="D1901" s="1"/>
      <c r="E1901" s="1"/>
      <c r="F1901" s="1"/>
    </row>
    <row r="1902" spans="1:6" x14ac:dyDescent="0.25">
      <c r="A1902" s="1"/>
      <c r="C1902" s="1"/>
      <c r="D1902" s="1"/>
      <c r="E1902" s="1"/>
      <c r="F1902" s="1"/>
    </row>
    <row r="1903" spans="1:6" x14ac:dyDescent="0.25">
      <c r="A1903" s="1"/>
      <c r="C1903" s="1"/>
      <c r="D1903" s="1"/>
      <c r="E1903" s="1"/>
      <c r="F1903" s="1"/>
    </row>
    <row r="1904" spans="1:6" x14ac:dyDescent="0.25">
      <c r="A1904" s="1"/>
      <c r="C1904" s="1"/>
      <c r="D1904" s="1"/>
      <c r="E1904" s="1"/>
      <c r="F1904" s="1"/>
    </row>
    <row r="1905" spans="1:6" x14ac:dyDescent="0.25">
      <c r="A1905" s="1"/>
      <c r="C1905" s="1"/>
      <c r="D1905" s="1"/>
      <c r="E1905" s="1"/>
      <c r="F1905" s="1"/>
    </row>
    <row r="1906" spans="1:6" x14ac:dyDescent="0.25">
      <c r="A1906" s="1"/>
      <c r="C1906" s="1"/>
      <c r="D1906" s="1"/>
      <c r="E1906" s="1"/>
      <c r="F1906" s="1"/>
    </row>
    <row r="1907" spans="1:6" x14ac:dyDescent="0.25">
      <c r="A1907" s="1"/>
      <c r="C1907" s="1"/>
      <c r="D1907" s="1"/>
      <c r="E1907" s="1"/>
      <c r="F1907" s="1"/>
    </row>
    <row r="1908" spans="1:6" x14ac:dyDescent="0.25">
      <c r="A1908" s="1"/>
      <c r="C1908" s="1"/>
      <c r="D1908" s="1"/>
      <c r="E1908" s="1"/>
      <c r="F1908" s="1"/>
    </row>
    <row r="1909" spans="1:6" x14ac:dyDescent="0.25">
      <c r="A1909" s="1"/>
      <c r="C1909" s="1"/>
      <c r="D1909" s="1"/>
      <c r="E1909" s="1"/>
      <c r="F1909" s="1"/>
    </row>
    <row r="1910" spans="1:6" x14ac:dyDescent="0.25">
      <c r="A1910" s="1"/>
      <c r="C1910" s="1"/>
      <c r="D1910" s="1"/>
      <c r="E1910" s="1"/>
      <c r="F1910" s="1"/>
    </row>
    <row r="1911" spans="1:6" x14ac:dyDescent="0.25">
      <c r="A1911" s="1"/>
      <c r="C1911" s="1"/>
      <c r="D1911" s="1"/>
      <c r="E1911" s="1"/>
      <c r="F1911" s="1"/>
    </row>
    <row r="1912" spans="1:6" x14ac:dyDescent="0.25">
      <c r="A1912" s="1"/>
      <c r="C1912" s="1"/>
      <c r="D1912" s="1"/>
      <c r="E1912" s="1"/>
      <c r="F1912" s="1"/>
    </row>
    <row r="1913" spans="1:6" x14ac:dyDescent="0.25">
      <c r="A1913" s="1"/>
      <c r="C1913" s="1"/>
      <c r="D1913" s="1"/>
      <c r="E1913" s="1"/>
      <c r="F1913" s="1"/>
    </row>
    <row r="1914" spans="1:6" x14ac:dyDescent="0.25">
      <c r="A1914" s="1"/>
      <c r="C1914" s="1"/>
      <c r="D1914" s="1"/>
      <c r="E1914" s="1"/>
      <c r="F1914" s="1"/>
    </row>
    <row r="1915" spans="1:6" x14ac:dyDescent="0.25">
      <c r="A1915" s="1"/>
      <c r="C1915" s="1"/>
      <c r="D1915" s="1"/>
      <c r="E1915" s="1"/>
      <c r="F1915" s="1"/>
    </row>
    <row r="1916" spans="1:6" x14ac:dyDescent="0.25">
      <c r="A1916" s="1"/>
      <c r="C1916" s="1"/>
      <c r="D1916" s="1"/>
      <c r="E1916" s="1"/>
      <c r="F1916" s="1"/>
    </row>
    <row r="1917" spans="1:6" x14ac:dyDescent="0.25">
      <c r="A1917" s="1"/>
      <c r="C1917" s="1"/>
      <c r="D1917" s="1"/>
      <c r="E1917" s="1"/>
      <c r="F1917" s="1"/>
    </row>
    <row r="1918" spans="1:6" x14ac:dyDescent="0.25">
      <c r="A1918" s="1"/>
      <c r="C1918" s="1"/>
      <c r="D1918" s="1"/>
      <c r="E1918" s="1"/>
      <c r="F1918" s="1"/>
    </row>
    <row r="1919" spans="1:6" x14ac:dyDescent="0.25">
      <c r="A1919" s="1"/>
      <c r="C1919" s="1"/>
      <c r="D1919" s="1"/>
      <c r="E1919" s="1"/>
      <c r="F1919" s="1"/>
    </row>
    <row r="1920" spans="1:6" x14ac:dyDescent="0.25">
      <c r="A1920" s="1"/>
      <c r="C1920" s="1"/>
      <c r="D1920" s="1"/>
      <c r="E1920" s="1"/>
      <c r="F1920" s="1"/>
    </row>
    <row r="1921" spans="1:6" x14ac:dyDescent="0.25">
      <c r="A1921" s="1"/>
      <c r="C1921" s="1"/>
      <c r="D1921" s="1"/>
      <c r="E1921" s="1"/>
      <c r="F1921" s="1"/>
    </row>
    <row r="1922" spans="1:6" x14ac:dyDescent="0.25">
      <c r="A1922" s="1"/>
      <c r="C1922" s="1"/>
      <c r="D1922" s="1"/>
      <c r="E1922" s="1"/>
      <c r="F1922" s="1"/>
    </row>
    <row r="1923" spans="1:6" x14ac:dyDescent="0.25">
      <c r="A1923" s="1"/>
      <c r="C1923" s="1"/>
      <c r="D1923" s="1"/>
      <c r="E1923" s="1"/>
      <c r="F1923" s="1"/>
    </row>
    <row r="1924" spans="1:6" x14ac:dyDescent="0.25">
      <c r="A1924" s="1"/>
      <c r="C1924" s="1"/>
      <c r="D1924" s="1"/>
      <c r="E1924" s="1"/>
      <c r="F1924" s="1"/>
    </row>
    <row r="1925" spans="1:6" x14ac:dyDescent="0.25">
      <c r="A1925" s="1"/>
      <c r="C1925" s="1"/>
      <c r="D1925" s="1"/>
      <c r="E1925" s="1"/>
      <c r="F1925" s="1"/>
    </row>
    <row r="1926" spans="1:6" x14ac:dyDescent="0.25">
      <c r="A1926" s="1"/>
      <c r="C1926" s="1"/>
      <c r="D1926" s="1"/>
      <c r="E1926" s="1"/>
      <c r="F1926" s="1"/>
    </row>
    <row r="1927" spans="1:6" x14ac:dyDescent="0.25">
      <c r="A1927" s="1"/>
      <c r="C1927" s="1"/>
      <c r="D1927" s="1"/>
      <c r="E1927" s="1"/>
      <c r="F1927" s="1"/>
    </row>
    <row r="1928" spans="1:6" x14ac:dyDescent="0.25">
      <c r="A1928" s="1"/>
      <c r="C1928" s="1"/>
      <c r="D1928" s="1"/>
      <c r="E1928" s="1"/>
      <c r="F1928" s="1"/>
    </row>
    <row r="1929" spans="1:6" x14ac:dyDescent="0.25">
      <c r="A1929" s="1"/>
      <c r="C1929" s="1"/>
      <c r="D1929" s="1"/>
      <c r="E1929" s="1"/>
      <c r="F1929" s="1"/>
    </row>
    <row r="1930" spans="1:6" x14ac:dyDescent="0.25">
      <c r="A1930" s="1"/>
      <c r="C1930" s="1"/>
      <c r="D1930" s="1"/>
      <c r="E1930" s="1"/>
      <c r="F1930" s="1"/>
    </row>
    <row r="1931" spans="1:6" x14ac:dyDescent="0.25">
      <c r="A1931" s="1"/>
      <c r="C1931" s="1"/>
      <c r="D1931" s="1"/>
      <c r="E1931" s="1"/>
      <c r="F1931" s="1"/>
    </row>
    <row r="1932" spans="1:6" x14ac:dyDescent="0.25">
      <c r="A1932" s="1"/>
      <c r="C1932" s="1"/>
      <c r="D1932" s="1"/>
      <c r="E1932" s="1"/>
      <c r="F1932" s="1"/>
    </row>
    <row r="1933" spans="1:6" x14ac:dyDescent="0.25">
      <c r="A1933" s="1"/>
      <c r="C1933" s="1"/>
      <c r="D1933" s="1"/>
      <c r="E1933" s="1"/>
      <c r="F1933" s="1"/>
    </row>
    <row r="1934" spans="1:6" x14ac:dyDescent="0.25">
      <c r="A1934" s="1"/>
      <c r="C1934" s="1"/>
      <c r="D1934" s="1"/>
      <c r="E1934" s="1"/>
      <c r="F1934" s="1"/>
    </row>
    <row r="1935" spans="1:6" x14ac:dyDescent="0.25">
      <c r="A1935" s="1"/>
      <c r="C1935" s="1"/>
      <c r="D1935" s="1"/>
      <c r="E1935" s="1"/>
      <c r="F1935" s="1"/>
    </row>
    <row r="1936" spans="1:6" x14ac:dyDescent="0.25">
      <c r="A1936" s="1"/>
      <c r="C1936" s="1"/>
      <c r="D1936" s="1"/>
      <c r="E1936" s="1"/>
      <c r="F1936" s="1"/>
    </row>
    <row r="1937" spans="1:6" x14ac:dyDescent="0.25">
      <c r="A1937" s="1"/>
      <c r="C1937" s="1"/>
      <c r="D1937" s="1"/>
      <c r="E1937" s="1"/>
      <c r="F1937" s="1"/>
    </row>
    <row r="1938" spans="1:6" x14ac:dyDescent="0.25">
      <c r="A1938" s="1"/>
      <c r="C1938" s="1"/>
      <c r="D1938" s="1"/>
      <c r="E1938" s="1"/>
      <c r="F1938" s="1"/>
    </row>
    <row r="1939" spans="1:6" x14ac:dyDescent="0.25">
      <c r="A1939" s="1"/>
      <c r="C1939" s="1"/>
      <c r="D1939" s="1"/>
      <c r="E1939" s="1"/>
      <c r="F1939" s="1"/>
    </row>
    <row r="1940" spans="1:6" x14ac:dyDescent="0.25">
      <c r="A1940" s="1"/>
      <c r="C1940" s="1"/>
      <c r="D1940" s="1"/>
      <c r="E1940" s="1"/>
      <c r="F1940" s="1"/>
    </row>
    <row r="1941" spans="1:6" x14ac:dyDescent="0.25">
      <c r="A1941" s="1"/>
      <c r="C1941" s="1"/>
      <c r="D1941" s="1"/>
      <c r="E1941" s="1"/>
      <c r="F1941" s="1"/>
    </row>
    <row r="1942" spans="1:6" x14ac:dyDescent="0.25">
      <c r="A1942" s="1"/>
      <c r="C1942" s="1"/>
      <c r="D1942" s="1"/>
      <c r="E1942" s="1"/>
      <c r="F1942" s="1"/>
    </row>
    <row r="1943" spans="1:6" x14ac:dyDescent="0.25">
      <c r="A1943" s="1"/>
      <c r="C1943" s="1"/>
      <c r="D1943" s="1"/>
      <c r="E1943" s="1"/>
      <c r="F1943" s="1"/>
    </row>
    <row r="1944" spans="1:6" x14ac:dyDescent="0.25">
      <c r="A1944" s="1"/>
      <c r="C1944" s="1"/>
      <c r="D1944" s="1"/>
      <c r="E1944" s="1"/>
      <c r="F1944" s="1"/>
    </row>
    <row r="1945" spans="1:6" x14ac:dyDescent="0.25">
      <c r="A1945" s="1"/>
      <c r="C1945" s="1"/>
      <c r="D1945" s="1"/>
      <c r="E1945" s="1"/>
      <c r="F1945" s="1"/>
    </row>
    <row r="1946" spans="1:6" x14ac:dyDescent="0.25">
      <c r="A1946" s="1"/>
      <c r="C1946" s="1"/>
      <c r="D1946" s="1"/>
      <c r="E1946" s="1"/>
      <c r="F1946" s="1"/>
    </row>
    <row r="1947" spans="1:6" x14ac:dyDescent="0.25">
      <c r="A1947" s="1"/>
      <c r="C1947" s="1"/>
      <c r="D1947" s="1"/>
      <c r="E1947" s="1"/>
      <c r="F1947" s="1"/>
    </row>
    <row r="1948" spans="1:6" x14ac:dyDescent="0.25">
      <c r="A1948" s="1"/>
      <c r="C1948" s="1"/>
      <c r="D1948" s="1"/>
      <c r="E1948" s="1"/>
      <c r="F1948" s="1"/>
    </row>
    <row r="1949" spans="1:6" x14ac:dyDescent="0.25">
      <c r="A1949" s="1"/>
      <c r="C1949" s="1"/>
      <c r="D1949" s="1"/>
      <c r="E1949" s="1"/>
      <c r="F1949" s="1"/>
    </row>
    <row r="1950" spans="1:6" x14ac:dyDescent="0.25">
      <c r="A1950" s="1"/>
      <c r="C1950" s="1"/>
      <c r="D1950" s="1"/>
      <c r="E1950" s="1"/>
      <c r="F1950" s="1"/>
    </row>
    <row r="1951" spans="1:6" x14ac:dyDescent="0.25">
      <c r="A1951" s="1"/>
      <c r="C1951" s="1"/>
      <c r="D1951" s="1"/>
      <c r="E1951" s="1"/>
      <c r="F1951" s="1"/>
    </row>
    <row r="1952" spans="1:6" x14ac:dyDescent="0.25">
      <c r="A1952" s="1"/>
      <c r="C1952" s="1"/>
      <c r="D1952" s="1"/>
      <c r="E1952" s="1"/>
      <c r="F1952" s="1"/>
    </row>
    <row r="1953" spans="1:6" x14ac:dyDescent="0.25">
      <c r="A1953" s="1"/>
      <c r="C1953" s="1"/>
      <c r="D1953" s="1"/>
      <c r="E1953" s="1"/>
      <c r="F1953" s="1"/>
    </row>
    <row r="1954" spans="1:6" x14ac:dyDescent="0.25">
      <c r="A1954" s="1"/>
      <c r="C1954" s="1"/>
      <c r="D1954" s="1"/>
      <c r="E1954" s="1"/>
      <c r="F1954" s="1"/>
    </row>
    <row r="1955" spans="1:6" x14ac:dyDescent="0.25">
      <c r="A1955" s="1"/>
      <c r="C1955" s="1"/>
      <c r="D1955" s="1"/>
      <c r="E1955" s="1"/>
      <c r="F1955" s="1"/>
    </row>
    <row r="1956" spans="1:6" x14ac:dyDescent="0.25">
      <c r="A1956" s="1"/>
      <c r="C1956" s="1"/>
      <c r="D1956" s="1"/>
      <c r="E1956" s="1"/>
      <c r="F1956" s="1"/>
    </row>
    <row r="1957" spans="1:6" x14ac:dyDescent="0.25">
      <c r="A1957" s="1"/>
      <c r="C1957" s="1"/>
      <c r="D1957" s="1"/>
      <c r="E1957" s="1"/>
      <c r="F1957" s="1"/>
    </row>
    <row r="1958" spans="1:6" x14ac:dyDescent="0.25">
      <c r="A1958" s="1"/>
      <c r="C1958" s="1"/>
      <c r="D1958" s="1"/>
      <c r="E1958" s="1"/>
      <c r="F1958" s="1"/>
    </row>
    <row r="1959" spans="1:6" x14ac:dyDescent="0.25">
      <c r="A1959" s="1"/>
      <c r="C1959" s="1"/>
      <c r="D1959" s="1"/>
      <c r="E1959" s="1"/>
      <c r="F1959" s="1"/>
    </row>
    <row r="1960" spans="1:6" x14ac:dyDescent="0.25">
      <c r="A1960" s="1"/>
      <c r="C1960" s="1"/>
      <c r="D1960" s="1"/>
      <c r="E1960" s="1"/>
      <c r="F1960" s="1"/>
    </row>
    <row r="1961" spans="1:6" x14ac:dyDescent="0.25">
      <c r="A1961" s="1"/>
      <c r="C1961" s="1"/>
      <c r="D1961" s="1"/>
      <c r="E1961" s="1"/>
      <c r="F1961" s="1"/>
    </row>
    <row r="1962" spans="1:6" x14ac:dyDescent="0.25">
      <c r="A1962" s="1"/>
      <c r="C1962" s="1"/>
      <c r="D1962" s="1"/>
      <c r="E1962" s="1"/>
      <c r="F1962" s="1"/>
    </row>
    <row r="1963" spans="1:6" x14ac:dyDescent="0.25">
      <c r="A1963" s="1"/>
      <c r="C1963" s="1"/>
      <c r="D1963" s="1"/>
      <c r="E1963" s="1"/>
      <c r="F1963" s="1"/>
    </row>
    <row r="1964" spans="1:6" x14ac:dyDescent="0.25">
      <c r="A1964" s="1"/>
      <c r="C1964" s="1"/>
      <c r="D1964" s="1"/>
      <c r="E1964" s="1"/>
      <c r="F1964" s="1"/>
    </row>
    <row r="1965" spans="1:6" x14ac:dyDescent="0.25">
      <c r="A1965" s="1"/>
      <c r="C1965" s="1"/>
      <c r="D1965" s="1"/>
      <c r="E1965" s="1"/>
      <c r="F1965" s="1"/>
    </row>
    <row r="1966" spans="1:6" x14ac:dyDescent="0.25">
      <c r="A1966" s="1"/>
      <c r="C1966" s="1"/>
      <c r="D1966" s="1"/>
      <c r="E1966" s="1"/>
      <c r="F1966" s="1"/>
    </row>
    <row r="1967" spans="1:6" x14ac:dyDescent="0.25">
      <c r="A1967" s="1"/>
      <c r="C1967" s="1"/>
      <c r="D1967" s="1"/>
      <c r="E1967" s="1"/>
      <c r="F1967" s="1"/>
    </row>
    <row r="1968" spans="1:6" x14ac:dyDescent="0.25">
      <c r="A1968" s="1"/>
      <c r="C1968" s="1"/>
      <c r="D1968" s="1"/>
      <c r="E1968" s="1"/>
      <c r="F1968" s="1"/>
    </row>
    <row r="1969" spans="1:6" x14ac:dyDescent="0.25">
      <c r="A1969" s="1"/>
      <c r="C1969" s="1"/>
      <c r="D1969" s="1"/>
      <c r="E1969" s="1"/>
      <c r="F1969" s="1"/>
    </row>
    <row r="1970" spans="1:6" x14ac:dyDescent="0.25">
      <c r="A1970" s="1"/>
      <c r="C1970" s="1"/>
      <c r="D1970" s="1"/>
      <c r="E1970" s="1"/>
      <c r="F1970" s="1"/>
    </row>
    <row r="1971" spans="1:6" x14ac:dyDescent="0.25">
      <c r="A1971" s="1"/>
      <c r="C1971" s="1"/>
      <c r="D1971" s="1"/>
      <c r="E1971" s="1"/>
      <c r="F1971" s="1"/>
    </row>
    <row r="1972" spans="1:6" x14ac:dyDescent="0.25">
      <c r="A1972" s="1"/>
      <c r="C1972" s="1"/>
      <c r="D1972" s="1"/>
      <c r="E1972" s="1"/>
      <c r="F1972" s="1"/>
    </row>
    <row r="1973" spans="1:6" x14ac:dyDescent="0.25">
      <c r="A1973" s="1"/>
      <c r="C1973" s="1"/>
      <c r="D1973" s="1"/>
      <c r="E1973" s="1"/>
      <c r="F1973" s="1"/>
    </row>
    <row r="1974" spans="1:6" x14ac:dyDescent="0.25">
      <c r="A1974" s="1"/>
      <c r="C1974" s="1"/>
      <c r="D1974" s="1"/>
      <c r="E1974" s="1"/>
      <c r="F1974" s="1"/>
    </row>
    <row r="1975" spans="1:6" x14ac:dyDescent="0.25">
      <c r="A1975" s="1"/>
      <c r="C1975" s="1"/>
      <c r="D1975" s="1"/>
      <c r="E1975" s="1"/>
      <c r="F1975" s="1"/>
    </row>
    <row r="1976" spans="1:6" x14ac:dyDescent="0.25">
      <c r="A1976" s="1"/>
      <c r="C1976" s="1"/>
      <c r="D1976" s="1"/>
      <c r="E1976" s="1"/>
      <c r="F1976" s="1"/>
    </row>
    <row r="1977" spans="1:6" x14ac:dyDescent="0.25">
      <c r="A1977" s="1"/>
      <c r="C1977" s="1"/>
      <c r="D1977" s="1"/>
      <c r="E1977" s="1"/>
      <c r="F1977" s="1"/>
    </row>
    <row r="1978" spans="1:6" x14ac:dyDescent="0.25">
      <c r="A1978" s="1"/>
      <c r="C1978" s="1"/>
      <c r="D1978" s="1"/>
      <c r="E1978" s="1"/>
      <c r="F1978" s="1"/>
    </row>
    <row r="1979" spans="1:6" x14ac:dyDescent="0.25">
      <c r="A1979" s="1"/>
      <c r="C1979" s="1"/>
      <c r="D1979" s="1"/>
      <c r="E1979" s="1"/>
      <c r="F1979" s="1"/>
    </row>
    <row r="1980" spans="1:6" x14ac:dyDescent="0.25">
      <c r="A1980" s="1"/>
      <c r="C1980" s="1"/>
      <c r="D1980" s="1"/>
      <c r="E1980" s="1"/>
      <c r="F1980" s="1"/>
    </row>
    <row r="1981" spans="1:6" x14ac:dyDescent="0.25">
      <c r="A1981" s="1"/>
      <c r="C1981" s="1"/>
      <c r="D1981" s="1"/>
      <c r="E1981" s="1"/>
      <c r="F1981" s="1"/>
    </row>
    <row r="1982" spans="1:6" x14ac:dyDescent="0.25">
      <c r="A1982" s="1"/>
      <c r="C1982" s="1"/>
      <c r="D1982" s="1"/>
      <c r="E1982" s="1"/>
      <c r="F1982" s="1"/>
    </row>
    <row r="1983" spans="1:6" x14ac:dyDescent="0.25">
      <c r="A1983" s="1"/>
      <c r="C1983" s="1"/>
      <c r="D1983" s="1"/>
      <c r="E1983" s="1"/>
      <c r="F1983" s="1"/>
    </row>
    <row r="1984" spans="1:6" x14ac:dyDescent="0.25">
      <c r="A1984" s="1"/>
      <c r="C1984" s="1"/>
      <c r="D1984" s="1"/>
      <c r="E1984" s="1"/>
      <c r="F1984" s="1"/>
    </row>
    <row r="1985" spans="1:6" x14ac:dyDescent="0.25">
      <c r="A1985" s="1"/>
      <c r="C1985" s="1"/>
      <c r="D1985" s="1"/>
      <c r="E1985" s="1"/>
      <c r="F1985" s="1"/>
    </row>
    <row r="1986" spans="1:6" x14ac:dyDescent="0.25">
      <c r="A1986" s="1"/>
      <c r="C1986" s="1"/>
      <c r="D1986" s="1"/>
      <c r="E1986" s="1"/>
      <c r="F1986" s="1"/>
    </row>
    <row r="1987" spans="1:6" x14ac:dyDescent="0.25">
      <c r="A1987" s="1"/>
      <c r="C1987" s="1"/>
      <c r="D1987" s="1"/>
      <c r="E1987" s="1"/>
      <c r="F1987" s="1"/>
    </row>
    <row r="1988" spans="1:6" x14ac:dyDescent="0.25">
      <c r="A1988" s="1"/>
      <c r="C1988" s="1"/>
      <c r="D1988" s="1"/>
      <c r="E1988" s="1"/>
      <c r="F1988" s="1"/>
    </row>
    <row r="1989" spans="1:6" x14ac:dyDescent="0.25">
      <c r="A1989" s="1"/>
      <c r="C1989" s="1"/>
      <c r="D1989" s="1"/>
      <c r="E1989" s="1"/>
      <c r="F1989" s="1"/>
    </row>
    <row r="1990" spans="1:6" x14ac:dyDescent="0.25">
      <c r="A1990" s="1"/>
      <c r="C1990" s="1"/>
      <c r="D1990" s="1"/>
      <c r="E1990" s="1"/>
      <c r="F1990" s="1"/>
    </row>
    <row r="1991" spans="1:6" x14ac:dyDescent="0.25">
      <c r="A1991" s="1"/>
      <c r="C1991" s="1"/>
      <c r="D1991" s="1"/>
      <c r="E1991" s="1"/>
      <c r="F1991" s="1"/>
    </row>
    <row r="1992" spans="1:6" x14ac:dyDescent="0.25">
      <c r="A1992" s="1"/>
      <c r="C1992" s="1"/>
      <c r="D1992" s="1"/>
      <c r="E1992" s="1"/>
      <c r="F1992" s="1"/>
    </row>
    <row r="1993" spans="1:6" x14ac:dyDescent="0.25">
      <c r="A1993" s="1"/>
      <c r="C1993" s="1"/>
      <c r="D1993" s="1"/>
      <c r="E1993" s="1"/>
      <c r="F1993" s="1"/>
    </row>
    <row r="1994" spans="1:6" x14ac:dyDescent="0.25">
      <c r="A1994" s="1"/>
      <c r="C1994" s="1"/>
      <c r="D1994" s="1"/>
      <c r="E1994" s="1"/>
      <c r="F1994" s="1"/>
    </row>
    <row r="1995" spans="1:6" x14ac:dyDescent="0.25">
      <c r="A1995" s="1"/>
      <c r="C1995" s="1"/>
      <c r="D1995" s="1"/>
      <c r="E1995" s="1"/>
      <c r="F1995" s="1"/>
    </row>
    <row r="1996" spans="1:6" x14ac:dyDescent="0.25">
      <c r="A1996" s="1"/>
      <c r="C1996" s="1"/>
      <c r="D1996" s="1"/>
      <c r="E1996" s="1"/>
      <c r="F1996" s="1"/>
    </row>
    <row r="1997" spans="1:6" x14ac:dyDescent="0.25">
      <c r="A1997" s="1"/>
      <c r="C1997" s="1"/>
      <c r="D1997" s="1"/>
      <c r="E1997" s="1"/>
      <c r="F1997" s="1"/>
    </row>
    <row r="1998" spans="1:6" x14ac:dyDescent="0.25">
      <c r="A1998" s="1"/>
      <c r="C1998" s="1"/>
      <c r="D1998" s="1"/>
      <c r="E1998" s="1"/>
      <c r="F1998" s="1"/>
    </row>
    <row r="1999" spans="1:6" x14ac:dyDescent="0.25">
      <c r="A1999" s="1"/>
      <c r="C1999" s="1"/>
      <c r="D1999" s="1"/>
      <c r="E1999" s="1"/>
      <c r="F1999" s="1"/>
    </row>
    <row r="2000" spans="1:6" x14ac:dyDescent="0.25">
      <c r="A2000" s="1"/>
      <c r="C2000" s="1"/>
      <c r="D2000" s="1"/>
      <c r="E2000" s="1"/>
      <c r="F2000" s="1"/>
    </row>
    <row r="2001" spans="1:6" x14ac:dyDescent="0.25">
      <c r="A2001" s="1"/>
      <c r="C2001" s="1"/>
      <c r="D2001" s="1"/>
      <c r="E2001" s="1"/>
      <c r="F2001" s="1"/>
    </row>
    <row r="2002" spans="1:6" x14ac:dyDescent="0.25">
      <c r="A2002" s="1"/>
      <c r="C2002" s="1"/>
      <c r="D2002" s="1"/>
      <c r="E2002" s="1"/>
      <c r="F2002" s="1"/>
    </row>
    <row r="2003" spans="1:6" x14ac:dyDescent="0.25">
      <c r="A2003" s="1"/>
      <c r="C2003" s="1"/>
      <c r="D2003" s="1"/>
      <c r="E2003" s="1"/>
      <c r="F2003" s="1"/>
    </row>
    <row r="2004" spans="1:6" x14ac:dyDescent="0.25">
      <c r="A2004" s="1"/>
      <c r="C2004" s="1"/>
      <c r="D2004" s="1"/>
      <c r="E2004" s="1"/>
      <c r="F2004" s="1"/>
    </row>
    <row r="2005" spans="1:6" x14ac:dyDescent="0.25">
      <c r="A2005" s="1"/>
      <c r="C2005" s="1"/>
      <c r="D2005" s="1"/>
      <c r="E2005" s="1"/>
      <c r="F2005" s="1"/>
    </row>
    <row r="2006" spans="1:6" x14ac:dyDescent="0.25">
      <c r="A2006" s="1"/>
      <c r="C2006" s="1"/>
      <c r="D2006" s="1"/>
      <c r="E2006" s="1"/>
      <c r="F2006" s="1"/>
    </row>
    <row r="2007" spans="1:6" x14ac:dyDescent="0.25">
      <c r="A2007" s="1"/>
      <c r="C2007" s="1"/>
      <c r="D2007" s="1"/>
      <c r="E2007" s="1"/>
      <c r="F2007" s="1"/>
    </row>
    <row r="2008" spans="1:6" x14ac:dyDescent="0.25">
      <c r="A2008" s="1"/>
      <c r="C2008" s="1"/>
      <c r="D2008" s="1"/>
      <c r="E2008" s="1"/>
      <c r="F2008" s="1"/>
    </row>
    <row r="2009" spans="1:6" x14ac:dyDescent="0.25">
      <c r="A2009" s="1"/>
      <c r="C2009" s="1"/>
      <c r="D2009" s="1"/>
      <c r="E2009" s="1"/>
      <c r="F2009" s="1"/>
    </row>
    <row r="2010" spans="1:6" x14ac:dyDescent="0.25">
      <c r="A2010" s="1"/>
      <c r="C2010" s="1"/>
      <c r="D2010" s="1"/>
      <c r="E2010" s="1"/>
      <c r="F2010" s="1"/>
    </row>
    <row r="2011" spans="1:6" x14ac:dyDescent="0.25">
      <c r="A2011" s="1"/>
      <c r="C2011" s="1"/>
      <c r="D2011" s="1"/>
      <c r="E2011" s="1"/>
      <c r="F2011" s="1"/>
    </row>
    <row r="2012" spans="1:6" x14ac:dyDescent="0.25">
      <c r="A2012" s="1"/>
      <c r="C2012" s="1"/>
      <c r="D2012" s="1"/>
      <c r="E2012" s="1"/>
      <c r="F2012" s="1"/>
    </row>
    <row r="2013" spans="1:6" x14ac:dyDescent="0.25">
      <c r="A2013" s="1"/>
      <c r="C2013" s="1"/>
      <c r="D2013" s="1"/>
      <c r="E2013" s="1"/>
      <c r="F2013" s="1"/>
    </row>
    <row r="2014" spans="1:6" x14ac:dyDescent="0.25">
      <c r="A2014" s="1"/>
      <c r="C2014" s="1"/>
      <c r="D2014" s="1"/>
      <c r="E2014" s="1"/>
      <c r="F2014" s="1"/>
    </row>
    <row r="2015" spans="1:6" x14ac:dyDescent="0.25">
      <c r="A2015" s="1"/>
      <c r="C2015" s="1"/>
      <c r="D2015" s="1"/>
      <c r="E2015" s="1"/>
      <c r="F2015" s="1"/>
    </row>
    <row r="2016" spans="1:6" x14ac:dyDescent="0.25">
      <c r="A2016" s="1"/>
      <c r="C2016" s="1"/>
      <c r="D2016" s="1"/>
      <c r="E2016" s="1"/>
      <c r="F2016" s="1"/>
    </row>
    <row r="2017" spans="1:6" x14ac:dyDescent="0.25">
      <c r="A2017" s="1"/>
      <c r="C2017" s="1"/>
      <c r="D2017" s="1"/>
      <c r="E2017" s="1"/>
      <c r="F2017" s="1"/>
    </row>
    <row r="2018" spans="1:6" x14ac:dyDescent="0.25">
      <c r="A2018" s="1"/>
      <c r="C2018" s="1"/>
      <c r="D2018" s="1"/>
      <c r="E2018" s="1"/>
      <c r="F2018" s="1"/>
    </row>
    <row r="2019" spans="1:6" x14ac:dyDescent="0.25">
      <c r="A2019" s="1"/>
      <c r="C2019" s="1"/>
      <c r="D2019" s="1"/>
      <c r="E2019" s="1"/>
      <c r="F2019" s="1"/>
    </row>
    <row r="2020" spans="1:6" x14ac:dyDescent="0.25">
      <c r="A2020" s="1"/>
      <c r="C2020" s="1"/>
      <c r="D2020" s="1"/>
      <c r="E2020" s="1"/>
      <c r="F2020" s="1"/>
    </row>
    <row r="2021" spans="1:6" x14ac:dyDescent="0.25">
      <c r="A2021" s="1"/>
      <c r="C2021" s="1"/>
      <c r="D2021" s="1"/>
      <c r="E2021" s="1"/>
      <c r="F2021" s="1"/>
    </row>
    <row r="2022" spans="1:6" x14ac:dyDescent="0.25">
      <c r="A2022" s="1"/>
      <c r="C2022" s="1"/>
      <c r="D2022" s="1"/>
      <c r="E2022" s="1"/>
      <c r="F2022" s="1"/>
    </row>
    <row r="2023" spans="1:6" x14ac:dyDescent="0.25">
      <c r="A2023" s="1"/>
      <c r="C2023" s="1"/>
      <c r="D2023" s="1"/>
      <c r="E2023" s="1"/>
      <c r="F2023" s="1"/>
    </row>
    <row r="2024" spans="1:6" x14ac:dyDescent="0.25">
      <c r="A2024" s="1"/>
      <c r="C2024" s="1"/>
      <c r="D2024" s="1"/>
      <c r="E2024" s="1"/>
      <c r="F2024" s="1"/>
    </row>
    <row r="2025" spans="1:6" x14ac:dyDescent="0.25">
      <c r="A2025" s="1"/>
      <c r="C2025" s="1"/>
      <c r="D2025" s="1"/>
      <c r="E2025" s="1"/>
      <c r="F2025" s="1"/>
    </row>
    <row r="2026" spans="1:6" x14ac:dyDescent="0.25">
      <c r="A2026" s="1"/>
      <c r="C2026" s="1"/>
      <c r="D2026" s="1"/>
      <c r="E2026" s="1"/>
      <c r="F2026" s="1"/>
    </row>
    <row r="2027" spans="1:6" x14ac:dyDescent="0.25">
      <c r="A2027" s="1"/>
      <c r="C2027" s="1"/>
      <c r="D2027" s="1"/>
      <c r="E2027" s="1"/>
      <c r="F2027" s="1"/>
    </row>
    <row r="2028" spans="1:6" x14ac:dyDescent="0.25">
      <c r="A2028" s="1"/>
      <c r="C2028" s="1"/>
      <c r="D2028" s="1"/>
      <c r="E2028" s="1"/>
      <c r="F2028" s="1"/>
    </row>
    <row r="2029" spans="1:6" x14ac:dyDescent="0.25">
      <c r="A2029" s="1"/>
      <c r="C2029" s="1"/>
      <c r="D2029" s="1"/>
      <c r="E2029" s="1"/>
      <c r="F2029" s="1"/>
    </row>
    <row r="2030" spans="1:6" x14ac:dyDescent="0.25">
      <c r="A2030" s="1"/>
      <c r="C2030" s="1"/>
      <c r="D2030" s="1"/>
      <c r="E2030" s="1"/>
      <c r="F2030" s="1"/>
    </row>
    <row r="2031" spans="1:6" x14ac:dyDescent="0.25">
      <c r="A2031" s="1"/>
      <c r="C2031" s="1"/>
      <c r="D2031" s="1"/>
      <c r="E2031" s="1"/>
      <c r="F2031" s="1"/>
    </row>
    <row r="2032" spans="1:6" x14ac:dyDescent="0.25">
      <c r="A2032" s="1"/>
      <c r="C2032" s="1"/>
      <c r="D2032" s="1"/>
      <c r="E2032" s="1"/>
      <c r="F2032" s="1"/>
    </row>
    <row r="2033" spans="1:6" x14ac:dyDescent="0.25">
      <c r="A2033" s="1"/>
      <c r="C2033" s="1"/>
      <c r="D2033" s="1"/>
      <c r="E2033" s="1"/>
      <c r="F2033" s="1"/>
    </row>
    <row r="2034" spans="1:6" x14ac:dyDescent="0.25">
      <c r="A2034" s="1"/>
      <c r="C2034" s="1"/>
      <c r="D2034" s="1"/>
      <c r="E2034" s="1"/>
      <c r="F2034" s="1"/>
    </row>
    <row r="2035" spans="1:6" x14ac:dyDescent="0.25">
      <c r="A2035" s="1"/>
      <c r="C2035" s="1"/>
      <c r="D2035" s="1"/>
      <c r="E2035" s="1"/>
      <c r="F2035" s="1"/>
    </row>
    <row r="2036" spans="1:6" x14ac:dyDescent="0.25">
      <c r="A2036" s="1"/>
      <c r="C2036" s="1"/>
      <c r="D2036" s="1"/>
      <c r="E2036" s="1"/>
      <c r="F2036" s="1"/>
    </row>
    <row r="2037" spans="1:6" x14ac:dyDescent="0.25">
      <c r="A2037" s="1"/>
      <c r="C2037" s="1"/>
      <c r="D2037" s="1"/>
      <c r="E2037" s="1"/>
      <c r="F2037" s="1"/>
    </row>
    <row r="2038" spans="1:6" x14ac:dyDescent="0.25">
      <c r="A2038" s="1"/>
      <c r="C2038" s="1"/>
      <c r="D2038" s="1"/>
      <c r="E2038" s="1"/>
      <c r="F2038" s="1"/>
    </row>
    <row r="2039" spans="1:6" x14ac:dyDescent="0.25">
      <c r="A2039" s="1"/>
      <c r="C2039" s="1"/>
      <c r="D2039" s="1"/>
      <c r="E2039" s="1"/>
      <c r="F2039" s="1"/>
    </row>
    <row r="2040" spans="1:6" x14ac:dyDescent="0.25">
      <c r="A2040" s="1"/>
      <c r="C2040" s="1"/>
      <c r="D2040" s="1"/>
      <c r="E2040" s="1"/>
      <c r="F2040" s="1"/>
    </row>
    <row r="2041" spans="1:6" x14ac:dyDescent="0.25">
      <c r="A2041" s="1"/>
      <c r="C2041" s="1"/>
      <c r="D2041" s="1"/>
      <c r="E2041" s="1"/>
      <c r="F2041" s="1"/>
    </row>
    <row r="2042" spans="1:6" x14ac:dyDescent="0.25">
      <c r="A2042" s="1"/>
      <c r="C2042" s="1"/>
      <c r="D2042" s="1"/>
      <c r="E2042" s="1"/>
      <c r="F2042" s="1"/>
    </row>
    <row r="2043" spans="1:6" x14ac:dyDescent="0.25">
      <c r="A2043" s="1"/>
      <c r="C2043" s="1"/>
      <c r="D2043" s="1"/>
      <c r="E2043" s="1"/>
      <c r="F2043" s="1"/>
    </row>
    <row r="2044" spans="1:6" x14ac:dyDescent="0.25">
      <c r="A2044" s="1"/>
      <c r="C2044" s="1"/>
      <c r="D2044" s="1"/>
      <c r="E2044" s="1"/>
      <c r="F2044" s="1"/>
    </row>
    <row r="2045" spans="1:6" x14ac:dyDescent="0.25">
      <c r="A2045" s="1"/>
      <c r="C2045" s="1"/>
      <c r="D2045" s="1"/>
      <c r="E2045" s="1"/>
      <c r="F2045" s="1"/>
    </row>
    <row r="2046" spans="1:6" x14ac:dyDescent="0.25">
      <c r="A2046" s="1"/>
      <c r="C2046" s="1"/>
      <c r="D2046" s="1"/>
      <c r="E2046" s="1"/>
      <c r="F2046" s="1"/>
    </row>
    <row r="2047" spans="1:6" x14ac:dyDescent="0.25">
      <c r="A2047" s="1"/>
      <c r="C2047" s="1"/>
      <c r="D2047" s="1"/>
      <c r="E2047" s="1"/>
      <c r="F2047" s="1"/>
    </row>
    <row r="2048" spans="1:6" x14ac:dyDescent="0.25">
      <c r="A2048" s="1"/>
      <c r="C2048" s="1"/>
      <c r="D2048" s="1"/>
      <c r="E2048" s="1"/>
      <c r="F2048" s="1"/>
    </row>
    <row r="2049" spans="1:6" x14ac:dyDescent="0.25">
      <c r="A2049" s="1"/>
      <c r="C2049" s="1"/>
      <c r="D2049" s="1"/>
      <c r="E2049" s="1"/>
      <c r="F2049" s="1"/>
    </row>
    <row r="2050" spans="1:6" x14ac:dyDescent="0.25">
      <c r="A2050" s="1"/>
      <c r="C2050" s="1"/>
      <c r="D2050" s="1"/>
      <c r="E2050" s="1"/>
      <c r="F2050" s="1"/>
    </row>
    <row r="2051" spans="1:6" x14ac:dyDescent="0.25">
      <c r="A2051" s="1"/>
      <c r="C2051" s="1"/>
      <c r="D2051" s="1"/>
      <c r="E2051" s="1"/>
      <c r="F2051" s="1"/>
    </row>
    <row r="2052" spans="1:6" x14ac:dyDescent="0.25">
      <c r="A2052" s="1"/>
      <c r="C2052" s="1"/>
      <c r="D2052" s="1"/>
      <c r="E2052" s="1"/>
      <c r="F2052" s="1"/>
    </row>
    <row r="2053" spans="1:6" x14ac:dyDescent="0.25">
      <c r="A2053" s="1"/>
      <c r="C2053" s="1"/>
      <c r="D2053" s="1"/>
      <c r="E2053" s="1"/>
      <c r="F2053" s="1"/>
    </row>
    <row r="2054" spans="1:6" x14ac:dyDescent="0.25">
      <c r="A2054" s="1"/>
      <c r="C2054" s="1"/>
      <c r="D2054" s="1"/>
      <c r="E2054" s="1"/>
      <c r="F2054" s="1"/>
    </row>
    <row r="2055" spans="1:6" x14ac:dyDescent="0.25">
      <c r="A2055" s="1"/>
      <c r="C2055" s="1"/>
      <c r="D2055" s="1"/>
      <c r="E2055" s="1"/>
      <c r="F2055" s="1"/>
    </row>
    <row r="2056" spans="1:6" x14ac:dyDescent="0.25">
      <c r="A2056" s="1"/>
      <c r="C2056" s="1"/>
      <c r="D2056" s="1"/>
      <c r="E2056" s="1"/>
      <c r="F2056" s="1"/>
    </row>
    <row r="2057" spans="1:6" x14ac:dyDescent="0.25">
      <c r="A2057" s="1"/>
      <c r="C2057" s="1"/>
      <c r="D2057" s="1"/>
      <c r="E2057" s="1"/>
      <c r="F2057" s="1"/>
    </row>
    <row r="2058" spans="1:6" x14ac:dyDescent="0.25">
      <c r="A2058" s="1"/>
      <c r="C2058" s="1"/>
      <c r="D2058" s="1"/>
      <c r="E2058" s="1"/>
      <c r="F2058" s="1"/>
    </row>
    <row r="2059" spans="1:6" x14ac:dyDescent="0.25">
      <c r="A2059" s="1"/>
      <c r="C2059" s="1"/>
      <c r="D2059" s="1"/>
      <c r="E2059" s="1"/>
      <c r="F2059" s="1"/>
    </row>
    <row r="2060" spans="1:6" x14ac:dyDescent="0.25">
      <c r="A2060" s="1"/>
      <c r="C2060" s="1"/>
      <c r="D2060" s="1"/>
      <c r="E2060" s="1"/>
      <c r="F2060" s="1"/>
    </row>
    <row r="2061" spans="1:6" x14ac:dyDescent="0.25">
      <c r="A2061" s="1"/>
      <c r="C2061" s="1"/>
      <c r="D2061" s="1"/>
      <c r="E2061" s="1"/>
      <c r="F2061" s="1"/>
    </row>
    <row r="2062" spans="1:6" x14ac:dyDescent="0.25">
      <c r="A2062" s="1"/>
      <c r="C2062" s="1"/>
      <c r="D2062" s="1"/>
      <c r="E2062" s="1"/>
      <c r="F2062" s="1"/>
    </row>
    <row r="2063" spans="1:6" x14ac:dyDescent="0.25">
      <c r="A2063" s="1"/>
      <c r="C2063" s="1"/>
      <c r="D2063" s="1"/>
      <c r="E2063" s="1"/>
      <c r="F2063" s="1"/>
    </row>
    <row r="2064" spans="1:6" x14ac:dyDescent="0.25">
      <c r="A2064" s="1"/>
      <c r="C2064" s="1"/>
      <c r="D2064" s="1"/>
      <c r="E2064" s="1"/>
      <c r="F2064" s="1"/>
    </row>
    <row r="2065" spans="1:6" x14ac:dyDescent="0.25">
      <c r="A2065" s="1"/>
      <c r="C2065" s="1"/>
      <c r="D2065" s="1"/>
      <c r="E2065" s="1"/>
      <c r="F2065" s="1"/>
    </row>
    <row r="2066" spans="1:6" x14ac:dyDescent="0.25">
      <c r="A2066" s="1"/>
      <c r="C2066" s="1"/>
      <c r="D2066" s="1"/>
      <c r="E2066" s="1"/>
      <c r="F2066" s="1"/>
    </row>
    <row r="2067" spans="1:6" x14ac:dyDescent="0.25">
      <c r="A2067" s="1"/>
      <c r="C2067" s="1"/>
      <c r="D2067" s="1"/>
      <c r="E2067" s="1"/>
      <c r="F2067" s="1"/>
    </row>
    <row r="2068" spans="1:6" x14ac:dyDescent="0.25">
      <c r="A2068" s="1"/>
      <c r="C2068" s="1"/>
      <c r="D2068" s="1"/>
      <c r="E2068" s="1"/>
      <c r="F2068" s="1"/>
    </row>
    <row r="2069" spans="1:6" x14ac:dyDescent="0.25">
      <c r="A2069" s="1"/>
      <c r="C2069" s="1"/>
      <c r="D2069" s="1"/>
      <c r="E2069" s="1"/>
      <c r="F2069" s="1"/>
    </row>
    <row r="2070" spans="1:6" x14ac:dyDescent="0.25">
      <c r="A2070" s="1"/>
      <c r="C2070" s="1"/>
      <c r="D2070" s="1"/>
      <c r="E2070" s="1"/>
      <c r="F2070" s="1"/>
    </row>
    <row r="2071" spans="1:6" x14ac:dyDescent="0.25">
      <c r="A2071" s="1"/>
      <c r="C2071" s="1"/>
      <c r="D2071" s="1"/>
      <c r="E2071" s="1"/>
      <c r="F2071" s="1"/>
    </row>
    <row r="2072" spans="1:6" x14ac:dyDescent="0.25">
      <c r="A2072" s="1"/>
      <c r="C2072" s="1"/>
      <c r="D2072" s="1"/>
      <c r="E2072" s="1"/>
      <c r="F2072" s="1"/>
    </row>
    <row r="2073" spans="1:6" x14ac:dyDescent="0.25">
      <c r="A2073" s="1"/>
      <c r="C2073" s="1"/>
      <c r="D2073" s="1"/>
      <c r="E2073" s="1"/>
      <c r="F2073" s="1"/>
    </row>
    <row r="2074" spans="1:6" x14ac:dyDescent="0.25">
      <c r="A2074" s="1"/>
      <c r="C2074" s="1"/>
      <c r="D2074" s="1"/>
      <c r="E2074" s="1"/>
      <c r="F2074" s="1"/>
    </row>
    <row r="2075" spans="1:6" x14ac:dyDescent="0.25">
      <c r="A2075" s="1"/>
      <c r="C2075" s="1"/>
      <c r="D2075" s="1"/>
      <c r="E2075" s="1"/>
      <c r="F2075" s="1"/>
    </row>
    <row r="2076" spans="1:6" x14ac:dyDescent="0.25">
      <c r="A2076" s="1"/>
      <c r="C2076" s="1"/>
      <c r="D2076" s="1"/>
      <c r="E2076" s="1"/>
      <c r="F2076" s="1"/>
    </row>
    <row r="2077" spans="1:6" x14ac:dyDescent="0.25">
      <c r="A2077" s="1"/>
      <c r="C2077" s="1"/>
      <c r="D2077" s="1"/>
      <c r="E2077" s="1"/>
      <c r="F2077" s="1"/>
    </row>
    <row r="2078" spans="1:6" x14ac:dyDescent="0.25">
      <c r="A2078" s="1"/>
      <c r="C2078" s="1"/>
      <c r="D2078" s="1"/>
      <c r="E2078" s="1"/>
      <c r="F2078" s="1"/>
    </row>
    <row r="2079" spans="1:6" x14ac:dyDescent="0.25">
      <c r="A2079" s="1"/>
      <c r="C2079" s="1"/>
      <c r="D2079" s="1"/>
      <c r="E2079" s="1"/>
      <c r="F2079" s="1"/>
    </row>
    <row r="2080" spans="1:6" x14ac:dyDescent="0.25">
      <c r="A2080" s="1"/>
      <c r="C2080" s="1"/>
      <c r="D2080" s="1"/>
      <c r="E2080" s="1"/>
      <c r="F2080" s="1"/>
    </row>
    <row r="2081" spans="1:6" x14ac:dyDescent="0.25">
      <c r="A2081" s="1"/>
      <c r="C2081" s="1"/>
      <c r="D2081" s="1"/>
      <c r="E2081" s="1"/>
      <c r="F2081" s="1"/>
    </row>
    <row r="2082" spans="1:6" x14ac:dyDescent="0.25">
      <c r="A2082" s="1"/>
      <c r="C2082" s="1"/>
      <c r="D2082" s="1"/>
      <c r="E2082" s="1"/>
      <c r="F2082" s="1"/>
    </row>
    <row r="2083" spans="1:6" x14ac:dyDescent="0.25">
      <c r="A2083" s="1"/>
      <c r="C2083" s="1"/>
      <c r="D2083" s="1"/>
      <c r="E2083" s="1"/>
      <c r="F2083" s="1"/>
    </row>
    <row r="2084" spans="1:6" x14ac:dyDescent="0.25">
      <c r="A2084" s="1"/>
      <c r="C2084" s="1"/>
      <c r="D2084" s="1"/>
      <c r="E2084" s="1"/>
      <c r="F2084" s="1"/>
    </row>
    <row r="2085" spans="1:6" x14ac:dyDescent="0.25">
      <c r="A2085" s="1"/>
      <c r="C2085" s="1"/>
      <c r="D2085" s="1"/>
      <c r="E2085" s="1"/>
      <c r="F2085" s="1"/>
    </row>
    <row r="2086" spans="1:6" x14ac:dyDescent="0.25">
      <c r="A2086" s="1"/>
      <c r="C2086" s="1"/>
      <c r="D2086" s="1"/>
      <c r="E2086" s="1"/>
      <c r="F2086" s="1"/>
    </row>
    <row r="2087" spans="1:6" x14ac:dyDescent="0.25">
      <c r="A2087" s="1"/>
      <c r="C2087" s="1"/>
      <c r="D2087" s="1"/>
      <c r="E2087" s="1"/>
      <c r="F2087" s="1"/>
    </row>
    <row r="2088" spans="1:6" x14ac:dyDescent="0.25">
      <c r="A2088" s="1"/>
      <c r="C2088" s="1"/>
      <c r="D2088" s="1"/>
      <c r="E2088" s="1"/>
      <c r="F2088" s="1"/>
    </row>
    <row r="2089" spans="1:6" x14ac:dyDescent="0.25">
      <c r="A2089" s="1"/>
      <c r="C2089" s="1"/>
      <c r="D2089" s="1"/>
      <c r="E2089" s="1"/>
      <c r="F2089" s="1"/>
    </row>
    <row r="2090" spans="1:6" x14ac:dyDescent="0.25">
      <c r="A2090" s="1"/>
      <c r="C2090" s="1"/>
      <c r="D2090" s="1"/>
      <c r="E2090" s="1"/>
      <c r="F2090" s="1"/>
    </row>
    <row r="2091" spans="1:6" x14ac:dyDescent="0.25">
      <c r="A2091" s="1"/>
      <c r="C2091" s="1"/>
      <c r="D2091" s="1"/>
      <c r="E2091" s="1"/>
      <c r="F2091" s="1"/>
    </row>
    <row r="2092" spans="1:6" x14ac:dyDescent="0.25">
      <c r="A2092" s="1"/>
      <c r="C2092" s="1"/>
      <c r="D2092" s="1"/>
      <c r="E2092" s="1"/>
      <c r="F2092" s="1"/>
    </row>
    <row r="2093" spans="1:6" x14ac:dyDescent="0.25">
      <c r="A2093" s="1"/>
      <c r="C2093" s="1"/>
      <c r="D2093" s="1"/>
      <c r="E2093" s="1"/>
      <c r="F2093" s="1"/>
    </row>
    <row r="2094" spans="1:6" x14ac:dyDescent="0.25">
      <c r="A2094" s="1"/>
      <c r="C2094" s="1"/>
      <c r="D2094" s="1"/>
      <c r="E2094" s="1"/>
      <c r="F2094" s="1"/>
    </row>
    <row r="2095" spans="1:6" x14ac:dyDescent="0.25">
      <c r="A2095" s="1"/>
      <c r="C2095" s="1"/>
      <c r="D2095" s="1"/>
      <c r="E2095" s="1"/>
      <c r="F2095" s="1"/>
    </row>
    <row r="2096" spans="1:6" x14ac:dyDescent="0.25">
      <c r="A2096" s="1"/>
      <c r="C2096" s="1"/>
      <c r="D2096" s="1"/>
      <c r="E2096" s="1"/>
      <c r="F2096" s="1"/>
    </row>
    <row r="2097" spans="1:6" x14ac:dyDescent="0.25">
      <c r="A2097" s="1"/>
      <c r="C2097" s="1"/>
      <c r="D2097" s="1"/>
      <c r="E2097" s="1"/>
      <c r="F2097" s="1"/>
    </row>
    <row r="2098" spans="1:6" x14ac:dyDescent="0.25">
      <c r="A2098" s="1"/>
      <c r="C2098" s="1"/>
      <c r="D2098" s="1"/>
      <c r="E2098" s="1"/>
      <c r="F2098" s="1"/>
    </row>
    <row r="2099" spans="1:6" x14ac:dyDescent="0.25">
      <c r="A2099" s="1"/>
      <c r="C2099" s="1"/>
      <c r="D2099" s="1"/>
      <c r="E2099" s="1"/>
      <c r="F2099" s="1"/>
    </row>
    <row r="2100" spans="1:6" x14ac:dyDescent="0.25">
      <c r="A2100" s="1"/>
      <c r="C2100" s="1"/>
      <c r="D2100" s="1"/>
      <c r="E2100" s="1"/>
      <c r="F2100" s="1"/>
    </row>
    <row r="2101" spans="1:6" x14ac:dyDescent="0.25">
      <c r="A2101" s="1"/>
      <c r="C2101" s="1"/>
      <c r="D2101" s="1"/>
      <c r="E2101" s="1"/>
      <c r="F2101" s="1"/>
    </row>
    <row r="2102" spans="1:6" x14ac:dyDescent="0.25">
      <c r="A2102" s="1"/>
      <c r="C2102" s="1"/>
      <c r="D2102" s="1"/>
      <c r="E2102" s="1"/>
      <c r="F2102" s="1"/>
    </row>
    <row r="2103" spans="1:6" x14ac:dyDescent="0.25">
      <c r="A2103" s="1"/>
      <c r="C2103" s="1"/>
      <c r="D2103" s="1"/>
      <c r="E2103" s="1"/>
      <c r="F2103" s="1"/>
    </row>
    <row r="2104" spans="1:6" x14ac:dyDescent="0.25">
      <c r="A2104" s="1"/>
      <c r="C2104" s="1"/>
      <c r="D2104" s="1"/>
      <c r="E2104" s="1"/>
      <c r="F2104" s="1"/>
    </row>
    <row r="2105" spans="1:6" x14ac:dyDescent="0.25">
      <c r="A2105" s="1"/>
      <c r="C2105" s="1"/>
      <c r="D2105" s="1"/>
      <c r="E2105" s="1"/>
      <c r="F2105" s="1"/>
    </row>
    <row r="2106" spans="1:6" x14ac:dyDescent="0.25">
      <c r="A2106" s="1"/>
      <c r="C2106" s="1"/>
      <c r="D2106" s="1"/>
      <c r="E2106" s="1"/>
      <c r="F2106" s="1"/>
    </row>
    <row r="2107" spans="1:6" x14ac:dyDescent="0.25">
      <c r="A2107" s="1"/>
      <c r="C2107" s="1"/>
      <c r="D2107" s="1"/>
      <c r="E2107" s="1"/>
      <c r="F2107" s="1"/>
    </row>
    <row r="2108" spans="1:6" x14ac:dyDescent="0.25">
      <c r="A2108" s="1"/>
      <c r="C2108" s="1"/>
      <c r="D2108" s="1"/>
      <c r="E2108" s="1"/>
      <c r="F2108" s="1"/>
    </row>
    <row r="2109" spans="1:6" x14ac:dyDescent="0.25">
      <c r="A2109" s="1"/>
      <c r="C2109" s="1"/>
      <c r="D2109" s="1"/>
      <c r="E2109" s="1"/>
      <c r="F2109" s="1"/>
    </row>
    <row r="2110" spans="1:6" x14ac:dyDescent="0.25">
      <c r="A2110" s="1"/>
      <c r="C2110" s="1"/>
      <c r="D2110" s="1"/>
      <c r="E2110" s="1"/>
      <c r="F2110" s="1"/>
    </row>
    <row r="2111" spans="1:6" x14ac:dyDescent="0.25">
      <c r="A2111" s="1"/>
      <c r="C2111" s="1"/>
      <c r="D2111" s="1"/>
      <c r="E2111" s="1"/>
      <c r="F2111" s="1"/>
    </row>
    <row r="2112" spans="1:6" x14ac:dyDescent="0.25">
      <c r="A2112" s="1"/>
      <c r="C2112" s="1"/>
      <c r="D2112" s="1"/>
      <c r="E2112" s="1"/>
      <c r="F2112" s="1"/>
    </row>
    <row r="2113" spans="1:6" x14ac:dyDescent="0.25">
      <c r="A2113" s="1"/>
      <c r="C2113" s="1"/>
      <c r="D2113" s="1"/>
      <c r="E2113" s="1"/>
      <c r="F2113" s="1"/>
    </row>
    <row r="2114" spans="1:6" x14ac:dyDescent="0.25">
      <c r="A2114" s="1"/>
      <c r="C2114" s="1"/>
      <c r="D2114" s="1"/>
      <c r="E2114" s="1"/>
      <c r="F2114" s="1"/>
    </row>
    <row r="2115" spans="1:6" x14ac:dyDescent="0.25">
      <c r="A2115" s="1"/>
      <c r="C2115" s="1"/>
      <c r="D2115" s="1"/>
      <c r="E2115" s="1"/>
      <c r="F2115" s="1"/>
    </row>
    <row r="2116" spans="1:6" x14ac:dyDescent="0.25">
      <c r="A2116" s="1"/>
      <c r="C2116" s="1"/>
      <c r="D2116" s="1"/>
      <c r="E2116" s="1"/>
      <c r="F2116" s="1"/>
    </row>
    <row r="2117" spans="1:6" x14ac:dyDescent="0.25">
      <c r="A2117" s="1"/>
      <c r="C2117" s="1"/>
      <c r="D2117" s="1"/>
      <c r="E2117" s="1"/>
      <c r="F2117" s="1"/>
    </row>
    <row r="2118" spans="1:6" x14ac:dyDescent="0.25">
      <c r="A2118" s="1"/>
      <c r="C2118" s="1"/>
      <c r="D2118" s="1"/>
      <c r="E2118" s="1"/>
      <c r="F2118" s="1"/>
    </row>
    <row r="2119" spans="1:6" x14ac:dyDescent="0.25">
      <c r="A2119" s="1"/>
      <c r="C2119" s="1"/>
      <c r="D2119" s="1"/>
      <c r="E2119" s="1"/>
      <c r="F2119" s="1"/>
    </row>
    <row r="2120" spans="1:6" x14ac:dyDescent="0.25">
      <c r="A2120" s="1"/>
      <c r="C2120" s="1"/>
      <c r="D2120" s="1"/>
      <c r="E2120" s="1"/>
      <c r="F2120" s="1"/>
    </row>
    <row r="2121" spans="1:6" x14ac:dyDescent="0.25">
      <c r="A2121" s="1"/>
      <c r="C2121" s="1"/>
      <c r="D2121" s="1"/>
      <c r="E2121" s="1"/>
      <c r="F2121" s="1"/>
    </row>
    <row r="2122" spans="1:6" x14ac:dyDescent="0.25">
      <c r="A2122" s="1"/>
      <c r="C2122" s="1"/>
      <c r="D2122" s="1"/>
      <c r="E2122" s="1"/>
      <c r="F2122" s="1"/>
    </row>
    <row r="2123" spans="1:6" x14ac:dyDescent="0.25">
      <c r="A2123" s="1"/>
      <c r="C2123" s="1"/>
      <c r="D2123" s="1"/>
      <c r="E2123" s="1"/>
      <c r="F2123" s="1"/>
    </row>
    <row r="2124" spans="1:6" x14ac:dyDescent="0.25">
      <c r="A2124" s="1"/>
      <c r="C2124" s="1"/>
      <c r="D2124" s="1"/>
      <c r="E2124" s="1"/>
      <c r="F2124" s="1"/>
    </row>
    <row r="2125" spans="1:6" x14ac:dyDescent="0.25">
      <c r="A2125" s="1"/>
      <c r="C2125" s="1"/>
      <c r="D2125" s="1"/>
      <c r="E2125" s="1"/>
      <c r="F2125" s="1"/>
    </row>
    <row r="2126" spans="1:6" x14ac:dyDescent="0.25">
      <c r="A2126" s="1"/>
      <c r="C2126" s="1"/>
      <c r="D2126" s="1"/>
      <c r="E2126" s="1"/>
      <c r="F2126" s="1"/>
    </row>
    <row r="2127" spans="1:6" x14ac:dyDescent="0.25">
      <c r="A2127" s="1"/>
      <c r="C2127" s="1"/>
      <c r="D2127" s="1"/>
      <c r="E2127" s="1"/>
      <c r="F2127" s="1"/>
    </row>
    <row r="2128" spans="1:6" x14ac:dyDescent="0.25">
      <c r="A2128" s="1"/>
      <c r="C2128" s="1"/>
      <c r="D2128" s="1"/>
      <c r="E2128" s="1"/>
      <c r="F2128" s="1"/>
    </row>
    <row r="2129" spans="1:6" x14ac:dyDescent="0.25">
      <c r="A2129" s="1"/>
      <c r="C2129" s="1"/>
      <c r="D2129" s="1"/>
      <c r="E2129" s="1"/>
      <c r="F2129" s="1"/>
    </row>
    <row r="2130" spans="1:6" x14ac:dyDescent="0.25">
      <c r="A2130" s="1"/>
      <c r="C2130" s="1"/>
      <c r="D2130" s="1"/>
      <c r="E2130" s="1"/>
      <c r="F2130" s="1"/>
    </row>
    <row r="2131" spans="1:6" x14ac:dyDescent="0.25">
      <c r="A2131" s="1"/>
      <c r="C2131" s="1"/>
      <c r="D2131" s="1"/>
      <c r="E2131" s="1"/>
      <c r="F2131" s="1"/>
    </row>
    <row r="2132" spans="1:6" x14ac:dyDescent="0.25">
      <c r="A2132" s="1"/>
      <c r="C2132" s="1"/>
      <c r="D2132" s="1"/>
      <c r="E2132" s="1"/>
      <c r="F2132" s="1"/>
    </row>
    <row r="2133" spans="1:6" x14ac:dyDescent="0.25">
      <c r="A2133" s="1"/>
      <c r="C2133" s="1"/>
      <c r="D2133" s="1"/>
      <c r="E2133" s="1"/>
      <c r="F2133" s="1"/>
    </row>
    <row r="2134" spans="1:6" x14ac:dyDescent="0.25">
      <c r="A2134" s="1"/>
      <c r="C2134" s="1"/>
      <c r="D2134" s="1"/>
      <c r="E2134" s="1"/>
      <c r="F2134" s="1"/>
    </row>
    <row r="2135" spans="1:6" x14ac:dyDescent="0.25">
      <c r="A2135" s="1"/>
      <c r="C2135" s="1"/>
      <c r="D2135" s="1"/>
      <c r="E2135" s="1"/>
      <c r="F2135" s="1"/>
    </row>
    <row r="2136" spans="1:6" x14ac:dyDescent="0.25">
      <c r="A2136" s="1"/>
      <c r="C2136" s="1"/>
      <c r="D2136" s="1"/>
      <c r="E2136" s="1"/>
      <c r="F2136" s="1"/>
    </row>
    <row r="2137" spans="1:6" x14ac:dyDescent="0.25">
      <c r="A2137" s="1"/>
      <c r="C2137" s="1"/>
      <c r="D2137" s="1"/>
      <c r="E2137" s="1"/>
      <c r="F2137" s="1"/>
    </row>
    <row r="2138" spans="1:6" x14ac:dyDescent="0.25">
      <c r="A2138" s="1"/>
      <c r="C2138" s="1"/>
      <c r="D2138" s="1"/>
      <c r="E2138" s="1"/>
      <c r="F2138" s="1"/>
    </row>
    <row r="2139" spans="1:6" x14ac:dyDescent="0.25">
      <c r="A2139" s="1"/>
      <c r="C2139" s="1"/>
      <c r="D2139" s="1"/>
      <c r="E2139" s="1"/>
      <c r="F2139" s="1"/>
    </row>
    <row r="2140" spans="1:6" x14ac:dyDescent="0.25">
      <c r="A2140" s="1"/>
      <c r="C2140" s="1"/>
      <c r="D2140" s="1"/>
      <c r="E2140" s="1"/>
      <c r="F2140" s="1"/>
    </row>
    <row r="2141" spans="1:6" x14ac:dyDescent="0.25">
      <c r="A2141" s="1"/>
      <c r="C2141" s="1"/>
      <c r="D2141" s="1"/>
      <c r="E2141" s="1"/>
      <c r="F2141" s="1"/>
    </row>
    <row r="2142" spans="1:6" x14ac:dyDescent="0.25">
      <c r="A2142" s="1"/>
      <c r="C2142" s="1"/>
      <c r="D2142" s="1"/>
      <c r="E2142" s="1"/>
      <c r="F2142" s="1"/>
    </row>
    <row r="2143" spans="1:6" x14ac:dyDescent="0.25">
      <c r="A2143" s="1"/>
      <c r="C2143" s="1"/>
      <c r="D2143" s="1"/>
      <c r="E2143" s="1"/>
      <c r="F2143" s="1"/>
    </row>
    <row r="2144" spans="1:6" x14ac:dyDescent="0.25">
      <c r="A2144" s="1"/>
      <c r="C2144" s="1"/>
      <c r="D2144" s="1"/>
      <c r="E2144" s="1"/>
      <c r="F2144" s="1"/>
    </row>
    <row r="2145" spans="1:6" x14ac:dyDescent="0.25">
      <c r="A2145" s="1"/>
      <c r="C2145" s="1"/>
      <c r="D2145" s="1"/>
      <c r="E2145" s="1"/>
      <c r="F2145" s="1"/>
    </row>
    <row r="2146" spans="1:6" x14ac:dyDescent="0.25">
      <c r="A2146" s="1"/>
      <c r="C2146" s="1"/>
      <c r="D2146" s="1"/>
      <c r="E2146" s="1"/>
      <c r="F2146" s="1"/>
    </row>
    <row r="2147" spans="1:6" x14ac:dyDescent="0.25">
      <c r="A2147" s="1"/>
      <c r="C2147" s="1"/>
      <c r="D2147" s="1"/>
      <c r="E2147" s="1"/>
      <c r="F2147" s="1"/>
    </row>
    <row r="2148" spans="1:6" x14ac:dyDescent="0.25">
      <c r="A2148" s="1"/>
      <c r="C2148" s="1"/>
      <c r="D2148" s="1"/>
      <c r="E2148" s="1"/>
      <c r="F2148" s="1"/>
    </row>
    <row r="2149" spans="1:6" x14ac:dyDescent="0.25">
      <c r="A2149" s="1"/>
      <c r="C2149" s="1"/>
      <c r="D2149" s="1"/>
      <c r="E2149" s="1"/>
      <c r="F2149" s="1"/>
    </row>
    <row r="2150" spans="1:6" x14ac:dyDescent="0.25">
      <c r="A2150" s="1"/>
      <c r="C2150" s="1"/>
      <c r="D2150" s="1"/>
      <c r="E2150" s="1"/>
      <c r="F2150" s="1"/>
    </row>
    <row r="2151" spans="1:6" x14ac:dyDescent="0.25">
      <c r="A2151" s="1"/>
      <c r="C2151" s="1"/>
      <c r="D2151" s="1"/>
      <c r="E2151" s="1"/>
      <c r="F2151" s="1"/>
    </row>
    <row r="2152" spans="1:6" x14ac:dyDescent="0.25">
      <c r="A2152" s="1"/>
      <c r="C2152" s="1"/>
      <c r="D2152" s="1"/>
      <c r="E2152" s="1"/>
      <c r="F2152" s="1"/>
    </row>
    <row r="2153" spans="1:6" x14ac:dyDescent="0.25">
      <c r="A2153" s="1"/>
      <c r="C2153" s="1"/>
      <c r="D2153" s="1"/>
      <c r="E2153" s="1"/>
      <c r="F2153" s="1"/>
    </row>
    <row r="2154" spans="1:6" x14ac:dyDescent="0.25">
      <c r="A2154" s="1"/>
      <c r="C2154" s="1"/>
      <c r="D2154" s="1"/>
      <c r="E2154" s="1"/>
      <c r="F2154" s="1"/>
    </row>
    <row r="2155" spans="1:6" x14ac:dyDescent="0.25">
      <c r="A2155" s="1"/>
      <c r="C2155" s="1"/>
      <c r="D2155" s="1"/>
      <c r="E2155" s="1"/>
      <c r="F2155" s="1"/>
    </row>
    <row r="2156" spans="1:6" x14ac:dyDescent="0.25">
      <c r="A2156" s="1"/>
      <c r="C2156" s="1"/>
      <c r="D2156" s="1"/>
      <c r="E2156" s="1"/>
      <c r="F2156" s="1"/>
    </row>
    <row r="2157" spans="1:6" x14ac:dyDescent="0.25">
      <c r="A2157" s="1"/>
      <c r="C2157" s="1"/>
      <c r="D2157" s="1"/>
      <c r="E2157" s="1"/>
      <c r="F2157" s="1"/>
    </row>
    <row r="2158" spans="1:6" x14ac:dyDescent="0.25">
      <c r="A2158" s="1"/>
      <c r="C2158" s="1"/>
      <c r="D2158" s="1"/>
      <c r="E2158" s="1"/>
      <c r="F2158" s="1"/>
    </row>
    <row r="2159" spans="1:6" x14ac:dyDescent="0.25">
      <c r="A2159" s="1"/>
      <c r="C2159" s="1"/>
      <c r="D2159" s="1"/>
      <c r="E2159" s="1"/>
      <c r="F2159" s="1"/>
    </row>
    <row r="2160" spans="1:6" x14ac:dyDescent="0.25">
      <c r="A2160" s="1"/>
      <c r="C2160" s="1"/>
      <c r="D2160" s="1"/>
      <c r="E2160" s="1"/>
      <c r="F2160" s="1"/>
    </row>
    <row r="2161" spans="1:6" x14ac:dyDescent="0.25">
      <c r="A2161" s="1"/>
      <c r="C2161" s="1"/>
      <c r="D2161" s="1"/>
      <c r="E2161" s="1"/>
      <c r="F2161" s="1"/>
    </row>
    <row r="2162" spans="1:6" x14ac:dyDescent="0.25">
      <c r="A2162" s="1"/>
      <c r="C2162" s="1"/>
      <c r="D2162" s="1"/>
      <c r="E2162" s="1"/>
      <c r="F2162" s="1"/>
    </row>
    <row r="2163" spans="1:6" x14ac:dyDescent="0.25">
      <c r="A2163" s="1"/>
      <c r="C2163" s="1"/>
      <c r="D2163" s="1"/>
      <c r="E2163" s="1"/>
      <c r="F2163" s="1"/>
    </row>
    <row r="2164" spans="1:6" x14ac:dyDescent="0.25">
      <c r="A2164" s="1"/>
      <c r="C2164" s="1"/>
      <c r="D2164" s="1"/>
      <c r="E2164" s="1"/>
      <c r="F2164" s="1"/>
    </row>
    <row r="2165" spans="1:6" x14ac:dyDescent="0.25">
      <c r="A2165" s="1"/>
      <c r="C2165" s="1"/>
      <c r="D2165" s="1"/>
      <c r="E2165" s="1"/>
      <c r="F2165" s="1"/>
    </row>
    <row r="2166" spans="1:6" x14ac:dyDescent="0.25">
      <c r="A2166" s="1"/>
      <c r="C2166" s="1"/>
      <c r="D2166" s="1"/>
      <c r="E2166" s="1"/>
      <c r="F2166" s="1"/>
    </row>
    <row r="2167" spans="1:6" x14ac:dyDescent="0.25">
      <c r="A2167" s="1"/>
      <c r="C2167" s="1"/>
      <c r="D2167" s="1"/>
      <c r="E2167" s="1"/>
      <c r="F2167" s="1"/>
    </row>
    <row r="2168" spans="1:6" x14ac:dyDescent="0.25">
      <c r="A2168" s="1"/>
      <c r="C2168" s="1"/>
      <c r="D2168" s="1"/>
      <c r="E2168" s="1"/>
      <c r="F2168" s="1"/>
    </row>
    <row r="2169" spans="1:6" x14ac:dyDescent="0.25">
      <c r="A2169" s="1"/>
      <c r="C2169" s="1"/>
      <c r="D2169" s="1"/>
      <c r="E2169" s="1"/>
      <c r="F2169" s="1"/>
    </row>
    <row r="2170" spans="1:6" x14ac:dyDescent="0.25">
      <c r="A2170" s="1"/>
      <c r="C2170" s="1"/>
      <c r="D2170" s="1"/>
      <c r="E2170" s="1"/>
      <c r="F2170" s="1"/>
    </row>
    <row r="2171" spans="1:6" x14ac:dyDescent="0.25">
      <c r="A2171" s="1"/>
      <c r="C2171" s="1"/>
      <c r="D2171" s="1"/>
      <c r="E2171" s="1"/>
      <c r="F2171" s="1"/>
    </row>
    <row r="2172" spans="1:6" x14ac:dyDescent="0.25">
      <c r="A2172" s="1"/>
      <c r="C2172" s="1"/>
      <c r="D2172" s="1"/>
      <c r="E2172" s="1"/>
      <c r="F2172" s="1"/>
    </row>
    <row r="2173" spans="1:6" x14ac:dyDescent="0.25">
      <c r="A2173" s="1"/>
      <c r="C2173" s="1"/>
      <c r="D2173" s="1"/>
      <c r="E2173" s="1"/>
      <c r="F2173" s="1"/>
    </row>
    <row r="2174" spans="1:6" x14ac:dyDescent="0.25">
      <c r="A2174" s="1"/>
      <c r="C2174" s="1"/>
      <c r="D2174" s="1"/>
      <c r="E2174" s="1"/>
      <c r="F2174" s="1"/>
    </row>
    <row r="2175" spans="1:6" x14ac:dyDescent="0.25">
      <c r="A2175" s="1"/>
      <c r="C2175" s="1"/>
      <c r="D2175" s="1"/>
      <c r="E2175" s="1"/>
      <c r="F2175" s="1"/>
    </row>
    <row r="2176" spans="1:6" x14ac:dyDescent="0.25">
      <c r="A2176" s="1"/>
      <c r="C2176" s="1"/>
      <c r="D2176" s="1"/>
      <c r="E2176" s="1"/>
      <c r="F2176" s="1"/>
    </row>
    <row r="2177" spans="1:6" x14ac:dyDescent="0.25">
      <c r="A2177" s="1"/>
      <c r="C2177" s="1"/>
      <c r="D2177" s="1"/>
      <c r="E2177" s="1"/>
      <c r="F2177" s="1"/>
    </row>
    <row r="2178" spans="1:6" x14ac:dyDescent="0.25">
      <c r="A2178" s="1"/>
      <c r="C2178" s="1"/>
      <c r="D2178" s="1"/>
      <c r="E2178" s="1"/>
      <c r="F2178" s="1"/>
    </row>
    <row r="2179" spans="1:6" x14ac:dyDescent="0.25">
      <c r="A2179" s="1"/>
      <c r="C2179" s="1"/>
      <c r="D2179" s="1"/>
      <c r="E2179" s="1"/>
      <c r="F2179" s="1"/>
    </row>
    <row r="2180" spans="1:6" x14ac:dyDescent="0.25">
      <c r="A2180" s="1"/>
      <c r="C2180" s="1"/>
      <c r="D2180" s="1"/>
      <c r="E2180" s="1"/>
      <c r="F2180" s="1"/>
    </row>
    <row r="2181" spans="1:6" x14ac:dyDescent="0.25">
      <c r="A2181" s="1"/>
      <c r="C2181" s="1"/>
      <c r="D2181" s="1"/>
      <c r="E2181" s="1"/>
      <c r="F2181" s="1"/>
    </row>
    <row r="2182" spans="1:6" x14ac:dyDescent="0.25">
      <c r="A2182" s="1"/>
      <c r="C2182" s="1"/>
      <c r="D2182" s="1"/>
      <c r="E2182" s="1"/>
      <c r="F2182" s="1"/>
    </row>
    <row r="2183" spans="1:6" x14ac:dyDescent="0.25">
      <c r="A2183" s="1"/>
      <c r="C2183" s="1"/>
      <c r="D2183" s="1"/>
      <c r="E2183" s="1"/>
      <c r="F2183" s="1"/>
    </row>
    <row r="2184" spans="1:6" x14ac:dyDescent="0.25">
      <c r="A2184" s="1"/>
      <c r="C2184" s="1"/>
      <c r="D2184" s="1"/>
      <c r="E2184" s="1"/>
      <c r="F2184" s="1"/>
    </row>
    <row r="2185" spans="1:6" x14ac:dyDescent="0.25">
      <c r="A2185" s="1"/>
      <c r="C2185" s="1"/>
      <c r="D2185" s="1"/>
      <c r="E2185" s="1"/>
      <c r="F2185" s="1"/>
    </row>
    <row r="2186" spans="1:6" x14ac:dyDescent="0.25">
      <c r="A2186" s="1"/>
      <c r="C2186" s="1"/>
      <c r="D2186" s="1"/>
      <c r="E2186" s="1"/>
      <c r="F2186" s="1"/>
    </row>
    <row r="2187" spans="1:6" x14ac:dyDescent="0.25">
      <c r="A2187" s="1"/>
      <c r="C2187" s="1"/>
      <c r="D2187" s="1"/>
      <c r="E2187" s="1"/>
      <c r="F2187" s="1"/>
    </row>
    <row r="2188" spans="1:6" x14ac:dyDescent="0.25">
      <c r="A2188" s="1"/>
      <c r="C2188" s="1"/>
      <c r="D2188" s="1"/>
      <c r="E2188" s="1"/>
      <c r="F2188" s="1"/>
    </row>
    <row r="2189" spans="1:6" x14ac:dyDescent="0.25">
      <c r="A2189" s="1"/>
      <c r="C2189" s="1"/>
      <c r="D2189" s="1"/>
      <c r="E2189" s="1"/>
      <c r="F2189" s="1"/>
    </row>
    <row r="2190" spans="1:6" x14ac:dyDescent="0.25">
      <c r="A2190" s="1"/>
      <c r="C2190" s="1"/>
      <c r="D2190" s="1"/>
      <c r="E2190" s="1"/>
      <c r="F2190" s="1"/>
    </row>
    <row r="2191" spans="1:6" x14ac:dyDescent="0.25">
      <c r="A2191" s="1"/>
      <c r="C2191" s="1"/>
      <c r="D2191" s="1"/>
      <c r="E2191" s="1"/>
      <c r="F2191" s="1"/>
    </row>
    <row r="2192" spans="1:6" x14ac:dyDescent="0.25">
      <c r="A2192" s="1"/>
      <c r="C2192" s="1"/>
      <c r="D2192" s="1"/>
      <c r="E2192" s="1"/>
      <c r="F2192" s="1"/>
    </row>
    <row r="2193" spans="1:6" x14ac:dyDescent="0.25">
      <c r="A2193" s="1"/>
      <c r="C2193" s="1"/>
      <c r="D2193" s="1"/>
      <c r="E2193" s="1"/>
      <c r="F2193" s="1"/>
    </row>
    <row r="2194" spans="1:6" x14ac:dyDescent="0.25">
      <c r="A2194" s="1"/>
      <c r="C2194" s="1"/>
      <c r="D2194" s="1"/>
      <c r="E2194" s="1"/>
      <c r="F2194" s="1"/>
    </row>
    <row r="2195" spans="1:6" x14ac:dyDescent="0.25">
      <c r="A2195" s="1"/>
      <c r="C2195" s="1"/>
      <c r="D2195" s="1"/>
      <c r="E2195" s="1"/>
      <c r="F2195" s="1"/>
    </row>
    <row r="2196" spans="1:6" x14ac:dyDescent="0.25">
      <c r="A2196" s="1"/>
      <c r="C2196" s="1"/>
      <c r="D2196" s="1"/>
      <c r="E2196" s="1"/>
      <c r="F2196" s="1"/>
    </row>
    <row r="2197" spans="1:6" x14ac:dyDescent="0.25">
      <c r="A2197" s="1"/>
      <c r="C2197" s="1"/>
      <c r="D2197" s="1"/>
      <c r="E2197" s="1"/>
      <c r="F2197" s="1"/>
    </row>
    <row r="2198" spans="1:6" x14ac:dyDescent="0.25">
      <c r="A2198" s="1"/>
      <c r="C2198" s="1"/>
      <c r="D2198" s="1"/>
      <c r="E2198" s="1"/>
      <c r="F2198" s="1"/>
    </row>
    <row r="2199" spans="1:6" x14ac:dyDescent="0.25">
      <c r="A2199" s="1"/>
      <c r="C2199" s="1"/>
      <c r="D2199" s="1"/>
      <c r="E2199" s="1"/>
      <c r="F2199" s="1"/>
    </row>
    <row r="2200" spans="1:6" x14ac:dyDescent="0.25">
      <c r="A2200" s="1"/>
      <c r="C2200" s="1"/>
      <c r="D2200" s="1"/>
      <c r="E2200" s="1"/>
      <c r="F2200" s="1"/>
    </row>
    <row r="2201" spans="1:6" x14ac:dyDescent="0.25">
      <c r="A2201" s="1"/>
      <c r="C2201" s="1"/>
      <c r="D2201" s="1"/>
      <c r="E2201" s="1"/>
      <c r="F2201" s="1"/>
    </row>
    <row r="2202" spans="1:6" x14ac:dyDescent="0.25">
      <c r="A2202" s="1"/>
      <c r="C2202" s="1"/>
      <c r="D2202" s="1"/>
      <c r="E2202" s="1"/>
      <c r="F2202" s="1"/>
    </row>
    <row r="2203" spans="1:6" x14ac:dyDescent="0.25">
      <c r="A2203" s="1"/>
      <c r="C2203" s="1"/>
      <c r="D2203" s="1"/>
      <c r="E2203" s="1"/>
      <c r="F2203" s="1"/>
    </row>
    <row r="2204" spans="1:6" x14ac:dyDescent="0.25">
      <c r="A2204" s="1"/>
      <c r="C2204" s="1"/>
      <c r="D2204" s="1"/>
      <c r="E2204" s="1"/>
      <c r="F2204" s="1"/>
    </row>
    <row r="2205" spans="1:6" x14ac:dyDescent="0.25">
      <c r="A2205" s="1"/>
      <c r="C2205" s="1"/>
      <c r="D2205" s="1"/>
      <c r="E2205" s="1"/>
      <c r="F2205" s="1"/>
    </row>
    <row r="2206" spans="1:6" x14ac:dyDescent="0.25">
      <c r="A2206" s="1"/>
      <c r="C2206" s="1"/>
      <c r="D2206" s="1"/>
      <c r="E2206" s="1"/>
      <c r="F2206" s="1"/>
    </row>
    <row r="2207" spans="1:6" x14ac:dyDescent="0.25">
      <c r="A2207" s="1"/>
      <c r="C2207" s="1"/>
      <c r="D2207" s="1"/>
      <c r="E2207" s="1"/>
      <c r="F2207" s="1"/>
    </row>
    <row r="2208" spans="1:6" x14ac:dyDescent="0.25">
      <c r="A2208" s="1"/>
      <c r="C2208" s="1"/>
      <c r="D2208" s="1"/>
      <c r="E2208" s="1"/>
      <c r="F2208" s="1"/>
    </row>
    <row r="2209" spans="1:6" x14ac:dyDescent="0.25">
      <c r="A2209" s="1"/>
      <c r="C2209" s="1"/>
      <c r="D2209" s="1"/>
      <c r="E2209" s="1"/>
      <c r="F2209" s="1"/>
    </row>
    <row r="2210" spans="1:6" x14ac:dyDescent="0.25">
      <c r="A2210" s="1"/>
      <c r="C2210" s="1"/>
      <c r="D2210" s="1"/>
      <c r="E2210" s="1"/>
      <c r="F2210" s="1"/>
    </row>
    <row r="2211" spans="1:6" x14ac:dyDescent="0.25">
      <c r="A2211" s="1"/>
      <c r="C2211" s="1"/>
      <c r="D2211" s="1"/>
      <c r="E2211" s="1"/>
      <c r="F2211" s="1"/>
    </row>
    <row r="2212" spans="1:6" x14ac:dyDescent="0.25">
      <c r="A2212" s="1"/>
      <c r="C2212" s="1"/>
      <c r="D2212" s="1"/>
      <c r="E2212" s="1"/>
      <c r="F2212" s="1"/>
    </row>
    <row r="2213" spans="1:6" x14ac:dyDescent="0.25">
      <c r="A2213" s="1"/>
      <c r="C2213" s="1"/>
      <c r="D2213" s="1"/>
      <c r="E2213" s="1"/>
      <c r="F2213" s="1"/>
    </row>
    <row r="2214" spans="1:6" x14ac:dyDescent="0.25">
      <c r="A2214" s="1"/>
      <c r="C2214" s="1"/>
      <c r="D2214" s="1"/>
      <c r="E2214" s="1"/>
      <c r="F2214" s="1"/>
    </row>
    <row r="2215" spans="1:6" x14ac:dyDescent="0.25">
      <c r="A2215" s="1"/>
      <c r="C2215" s="1"/>
      <c r="D2215" s="1"/>
      <c r="E2215" s="1"/>
      <c r="F2215" s="1"/>
    </row>
    <row r="2216" spans="1:6" x14ac:dyDescent="0.25">
      <c r="A2216" s="1"/>
      <c r="C2216" s="1"/>
      <c r="D2216" s="1"/>
      <c r="E2216" s="1"/>
      <c r="F2216" s="1"/>
    </row>
    <row r="2217" spans="1:6" x14ac:dyDescent="0.25">
      <c r="A2217" s="1"/>
      <c r="C2217" s="1"/>
      <c r="D2217" s="1"/>
      <c r="E2217" s="1"/>
      <c r="F2217" s="1"/>
    </row>
    <row r="2218" spans="1:6" x14ac:dyDescent="0.25">
      <c r="A2218" s="1"/>
      <c r="C2218" s="1"/>
      <c r="D2218" s="1"/>
      <c r="E2218" s="1"/>
      <c r="F2218" s="1"/>
    </row>
    <row r="2219" spans="1:6" x14ac:dyDescent="0.25">
      <c r="A2219" s="1"/>
      <c r="C2219" s="1"/>
      <c r="D2219" s="1"/>
      <c r="E2219" s="1"/>
      <c r="F2219" s="1"/>
    </row>
    <row r="2220" spans="1:6" x14ac:dyDescent="0.25">
      <c r="A2220" s="1"/>
      <c r="C2220" s="1"/>
      <c r="D2220" s="1"/>
      <c r="E2220" s="1"/>
      <c r="F2220" s="1"/>
    </row>
    <row r="2221" spans="1:6" x14ac:dyDescent="0.25">
      <c r="A2221" s="1"/>
      <c r="C2221" s="1"/>
      <c r="D2221" s="1"/>
      <c r="E2221" s="1"/>
      <c r="F2221" s="1"/>
    </row>
    <row r="2222" spans="1:6" x14ac:dyDescent="0.25">
      <c r="A2222" s="1"/>
      <c r="C2222" s="1"/>
      <c r="D2222" s="1"/>
      <c r="E2222" s="1"/>
      <c r="F2222" s="1"/>
    </row>
    <row r="2223" spans="1:6" x14ac:dyDescent="0.25">
      <c r="A2223" s="1"/>
      <c r="C2223" s="1"/>
      <c r="D2223" s="1"/>
      <c r="E2223" s="1"/>
      <c r="F2223" s="1"/>
    </row>
    <row r="2224" spans="1:6" x14ac:dyDescent="0.25">
      <c r="A2224" s="1"/>
      <c r="C2224" s="1"/>
      <c r="D2224" s="1"/>
      <c r="E2224" s="1"/>
      <c r="F2224" s="1"/>
    </row>
    <row r="2225" spans="1:6" x14ac:dyDescent="0.25">
      <c r="A2225" s="1"/>
      <c r="C2225" s="1"/>
      <c r="D2225" s="1"/>
      <c r="E2225" s="1"/>
      <c r="F2225" s="1"/>
    </row>
    <row r="2226" spans="1:6" x14ac:dyDescent="0.25">
      <c r="A2226" s="1"/>
      <c r="C2226" s="1"/>
      <c r="D2226" s="1"/>
      <c r="E2226" s="1"/>
      <c r="F2226" s="1"/>
    </row>
    <row r="2227" spans="1:6" x14ac:dyDescent="0.25">
      <c r="A2227" s="1"/>
      <c r="C2227" s="1"/>
      <c r="D2227" s="1"/>
      <c r="E2227" s="1"/>
      <c r="F2227" s="1"/>
    </row>
    <row r="2228" spans="1:6" x14ac:dyDescent="0.25">
      <c r="A2228" s="1"/>
      <c r="C2228" s="1"/>
      <c r="D2228" s="1"/>
      <c r="E2228" s="1"/>
      <c r="F2228" s="1"/>
    </row>
    <row r="2229" spans="1:6" x14ac:dyDescent="0.25">
      <c r="A2229" s="1"/>
      <c r="C2229" s="1"/>
      <c r="D2229" s="1"/>
      <c r="E2229" s="1"/>
      <c r="F2229" s="1"/>
    </row>
    <row r="2230" spans="1:6" x14ac:dyDescent="0.25">
      <c r="A2230" s="1"/>
      <c r="C2230" s="1"/>
      <c r="D2230" s="1"/>
      <c r="E2230" s="1"/>
      <c r="F2230" s="1"/>
    </row>
    <row r="2231" spans="1:6" x14ac:dyDescent="0.25">
      <c r="A2231" s="1"/>
      <c r="C2231" s="1"/>
      <c r="D2231" s="1"/>
      <c r="E2231" s="1"/>
      <c r="F2231" s="1"/>
    </row>
    <row r="2232" spans="1:6" x14ac:dyDescent="0.25">
      <c r="A2232" s="1"/>
      <c r="C2232" s="1"/>
      <c r="D2232" s="1"/>
      <c r="E2232" s="1"/>
      <c r="F2232" s="1"/>
    </row>
    <row r="2233" spans="1:6" x14ac:dyDescent="0.25">
      <c r="A2233" s="1"/>
      <c r="C2233" s="1"/>
      <c r="D2233" s="1"/>
      <c r="E2233" s="1"/>
      <c r="F2233" s="1"/>
    </row>
    <row r="2234" spans="1:6" x14ac:dyDescent="0.25">
      <c r="A2234" s="1"/>
      <c r="C2234" s="1"/>
      <c r="D2234" s="1"/>
      <c r="E2234" s="1"/>
      <c r="F2234" s="1"/>
    </row>
    <row r="2235" spans="1:6" x14ac:dyDescent="0.25">
      <c r="A2235" s="1"/>
      <c r="C2235" s="1"/>
      <c r="D2235" s="1"/>
      <c r="E2235" s="1"/>
      <c r="F2235" s="1"/>
    </row>
    <row r="2236" spans="1:6" x14ac:dyDescent="0.25">
      <c r="A2236" s="1"/>
      <c r="C2236" s="1"/>
      <c r="D2236" s="1"/>
      <c r="E2236" s="1"/>
      <c r="F2236" s="1"/>
    </row>
    <row r="2237" spans="1:6" x14ac:dyDescent="0.25">
      <c r="A2237" s="1"/>
      <c r="C2237" s="1"/>
      <c r="D2237" s="1"/>
      <c r="E2237" s="1"/>
      <c r="F2237" s="1"/>
    </row>
    <row r="2238" spans="1:6" x14ac:dyDescent="0.25">
      <c r="A2238" s="1"/>
      <c r="C2238" s="1"/>
      <c r="D2238" s="1"/>
      <c r="E2238" s="1"/>
      <c r="F2238" s="1"/>
    </row>
    <row r="2239" spans="1:6" x14ac:dyDescent="0.25">
      <c r="A2239" s="1"/>
      <c r="C2239" s="1"/>
      <c r="D2239" s="1"/>
      <c r="E2239" s="1"/>
      <c r="F2239" s="1"/>
    </row>
    <row r="2240" spans="1:6" x14ac:dyDescent="0.25">
      <c r="A2240" s="1"/>
      <c r="C2240" s="1"/>
      <c r="D2240" s="1"/>
      <c r="E2240" s="1"/>
      <c r="F2240" s="1"/>
    </row>
    <row r="2241" spans="1:6" x14ac:dyDescent="0.25">
      <c r="A2241" s="1"/>
      <c r="C2241" s="1"/>
      <c r="D2241" s="1"/>
      <c r="E2241" s="1"/>
      <c r="F2241" s="1"/>
    </row>
    <row r="2242" spans="1:6" x14ac:dyDescent="0.25">
      <c r="A2242" s="1"/>
      <c r="C2242" s="1"/>
      <c r="D2242" s="1"/>
      <c r="E2242" s="1"/>
      <c r="F2242" s="1"/>
    </row>
    <row r="2243" spans="1:6" x14ac:dyDescent="0.25">
      <c r="A2243" s="1"/>
      <c r="C2243" s="1"/>
      <c r="D2243" s="1"/>
      <c r="E2243" s="1"/>
      <c r="F2243" s="1"/>
    </row>
    <row r="2244" spans="1:6" x14ac:dyDescent="0.25">
      <c r="A2244" s="1"/>
      <c r="C2244" s="1"/>
      <c r="D2244" s="1"/>
      <c r="E2244" s="1"/>
      <c r="F2244" s="1"/>
    </row>
    <row r="2245" spans="1:6" x14ac:dyDescent="0.25">
      <c r="A2245" s="1"/>
      <c r="C2245" s="1"/>
      <c r="D2245" s="1"/>
      <c r="E2245" s="1"/>
      <c r="F2245" s="1"/>
    </row>
    <row r="2246" spans="1:6" x14ac:dyDescent="0.25">
      <c r="A2246" s="1"/>
      <c r="C2246" s="1"/>
      <c r="D2246" s="1"/>
      <c r="E2246" s="1"/>
      <c r="F2246" s="1"/>
    </row>
    <row r="2247" spans="1:6" x14ac:dyDescent="0.25">
      <c r="A2247" s="1"/>
      <c r="C2247" s="1"/>
      <c r="D2247" s="1"/>
      <c r="E2247" s="1"/>
      <c r="F2247" s="1"/>
    </row>
    <row r="2248" spans="1:6" x14ac:dyDescent="0.25">
      <c r="A2248" s="1"/>
      <c r="C2248" s="1"/>
      <c r="D2248" s="1"/>
      <c r="E2248" s="1"/>
      <c r="F2248" s="1"/>
    </row>
    <row r="2249" spans="1:6" x14ac:dyDescent="0.25">
      <c r="A2249" s="1"/>
      <c r="C2249" s="1"/>
      <c r="D2249" s="1"/>
      <c r="E2249" s="1"/>
      <c r="F2249" s="1"/>
    </row>
    <row r="2250" spans="1:6" x14ac:dyDescent="0.25">
      <c r="A2250" s="1"/>
      <c r="C2250" s="1"/>
      <c r="D2250" s="1"/>
      <c r="E2250" s="1"/>
      <c r="F2250" s="1"/>
    </row>
    <row r="2251" spans="1:6" x14ac:dyDescent="0.25">
      <c r="A2251" s="1"/>
      <c r="C2251" s="1"/>
      <c r="D2251" s="1"/>
      <c r="E2251" s="1"/>
      <c r="F2251" s="1"/>
    </row>
    <row r="2252" spans="1:6" x14ac:dyDescent="0.25">
      <c r="A2252" s="1"/>
      <c r="C2252" s="1"/>
      <c r="D2252" s="1"/>
      <c r="E2252" s="1"/>
      <c r="F2252" s="1"/>
    </row>
    <row r="2253" spans="1:6" x14ac:dyDescent="0.25">
      <c r="A2253" s="1"/>
      <c r="C2253" s="1"/>
      <c r="D2253" s="1"/>
      <c r="E2253" s="1"/>
      <c r="F2253" s="1"/>
    </row>
    <row r="2254" spans="1:6" x14ac:dyDescent="0.25">
      <c r="A2254" s="1"/>
      <c r="C2254" s="1"/>
      <c r="D2254" s="1"/>
      <c r="E2254" s="1"/>
      <c r="F2254" s="1"/>
    </row>
    <row r="2255" spans="1:6" x14ac:dyDescent="0.25">
      <c r="A2255" s="1"/>
      <c r="C2255" s="1"/>
      <c r="D2255" s="1"/>
      <c r="E2255" s="1"/>
      <c r="F2255" s="1"/>
    </row>
    <row r="2256" spans="1:6" x14ac:dyDescent="0.25">
      <c r="A2256" s="1"/>
      <c r="C2256" s="1"/>
      <c r="D2256" s="1"/>
      <c r="E2256" s="1"/>
      <c r="F2256" s="1"/>
    </row>
    <row r="2257" spans="1:6" x14ac:dyDescent="0.25">
      <c r="A2257" s="1"/>
      <c r="C2257" s="1"/>
      <c r="D2257" s="1"/>
      <c r="E2257" s="1"/>
      <c r="F2257" s="1"/>
    </row>
    <row r="2258" spans="1:6" x14ac:dyDescent="0.25">
      <c r="A2258" s="1"/>
      <c r="C2258" s="1"/>
      <c r="D2258" s="1"/>
      <c r="E2258" s="1"/>
      <c r="F2258" s="1"/>
    </row>
    <row r="2259" spans="1:6" x14ac:dyDescent="0.25">
      <c r="A2259" s="1"/>
      <c r="C2259" s="1"/>
      <c r="D2259" s="1"/>
      <c r="E2259" s="1"/>
      <c r="F2259" s="1"/>
    </row>
    <row r="2260" spans="1:6" x14ac:dyDescent="0.25">
      <c r="A2260" s="1"/>
      <c r="C2260" s="1"/>
      <c r="D2260" s="1"/>
      <c r="E2260" s="1"/>
      <c r="F2260" s="1"/>
    </row>
    <row r="2261" spans="1:6" x14ac:dyDescent="0.25">
      <c r="A2261" s="1"/>
      <c r="C2261" s="1"/>
      <c r="D2261" s="1"/>
      <c r="E2261" s="1"/>
      <c r="F2261" s="1"/>
    </row>
    <row r="2262" spans="1:6" x14ac:dyDescent="0.25">
      <c r="A2262" s="1"/>
      <c r="C2262" s="1"/>
      <c r="D2262" s="1"/>
      <c r="E2262" s="1"/>
      <c r="F2262" s="1"/>
    </row>
    <row r="2263" spans="1:6" x14ac:dyDescent="0.25">
      <c r="A2263" s="1"/>
      <c r="C2263" s="1"/>
      <c r="D2263" s="1"/>
      <c r="E2263" s="1"/>
      <c r="F2263" s="1"/>
    </row>
    <row r="2264" spans="1:6" x14ac:dyDescent="0.25">
      <c r="A2264" s="1"/>
      <c r="C2264" s="1"/>
      <c r="D2264" s="1"/>
      <c r="E2264" s="1"/>
      <c r="F2264" s="1"/>
    </row>
    <row r="2265" spans="1:6" x14ac:dyDescent="0.25">
      <c r="A2265" s="1"/>
      <c r="C2265" s="1"/>
      <c r="D2265" s="1"/>
      <c r="E2265" s="1"/>
      <c r="F2265" s="1"/>
    </row>
    <row r="2266" spans="1:6" x14ac:dyDescent="0.25">
      <c r="A2266" s="1"/>
      <c r="C2266" s="1"/>
      <c r="D2266" s="1"/>
      <c r="E2266" s="1"/>
      <c r="F2266" s="1"/>
    </row>
    <row r="2267" spans="1:6" x14ac:dyDescent="0.25">
      <c r="A2267" s="1"/>
      <c r="C2267" s="1"/>
      <c r="D2267" s="1"/>
      <c r="E2267" s="1"/>
      <c r="F2267" s="1"/>
    </row>
    <row r="2268" spans="1:6" x14ac:dyDescent="0.25">
      <c r="A2268" s="1"/>
      <c r="C2268" s="1"/>
      <c r="D2268" s="1"/>
      <c r="E2268" s="1"/>
      <c r="F2268" s="1"/>
    </row>
    <row r="2269" spans="1:6" x14ac:dyDescent="0.25">
      <c r="A2269" s="1"/>
      <c r="C2269" s="1"/>
      <c r="D2269" s="1"/>
      <c r="E2269" s="1"/>
      <c r="F2269" s="1"/>
    </row>
    <row r="2270" spans="1:6" x14ac:dyDescent="0.25">
      <c r="A2270" s="1"/>
      <c r="C2270" s="1"/>
      <c r="D2270" s="1"/>
      <c r="E2270" s="1"/>
      <c r="F2270" s="1"/>
    </row>
    <row r="2271" spans="1:6" x14ac:dyDescent="0.25">
      <c r="A2271" s="1"/>
      <c r="C2271" s="1"/>
      <c r="D2271" s="1"/>
      <c r="E2271" s="1"/>
      <c r="F2271" s="1"/>
    </row>
    <row r="2272" spans="1:6" x14ac:dyDescent="0.25">
      <c r="A2272" s="1"/>
      <c r="C2272" s="1"/>
      <c r="D2272" s="1"/>
      <c r="E2272" s="1"/>
      <c r="F2272" s="1"/>
    </row>
    <row r="2273" spans="1:6" x14ac:dyDescent="0.25">
      <c r="A2273" s="1"/>
      <c r="C2273" s="1"/>
      <c r="D2273" s="1"/>
      <c r="E2273" s="1"/>
      <c r="F2273" s="1"/>
    </row>
    <row r="2274" spans="1:6" x14ac:dyDescent="0.25">
      <c r="A2274" s="1"/>
      <c r="C2274" s="1"/>
      <c r="D2274" s="1"/>
      <c r="E2274" s="1"/>
      <c r="F2274" s="1"/>
    </row>
    <row r="2275" spans="1:6" x14ac:dyDescent="0.25">
      <c r="A2275" s="1"/>
      <c r="C2275" s="1"/>
      <c r="D2275" s="1"/>
      <c r="E2275" s="1"/>
      <c r="F2275" s="1"/>
    </row>
    <row r="2276" spans="1:6" x14ac:dyDescent="0.25">
      <c r="A2276" s="1"/>
      <c r="C2276" s="1"/>
      <c r="D2276" s="1"/>
      <c r="E2276" s="1"/>
      <c r="F2276" s="1"/>
    </row>
    <row r="2277" spans="1:6" x14ac:dyDescent="0.25">
      <c r="A2277" s="1"/>
      <c r="C2277" s="1"/>
      <c r="D2277" s="1"/>
      <c r="E2277" s="1"/>
      <c r="F2277" s="1"/>
    </row>
    <row r="2278" spans="1:6" x14ac:dyDescent="0.25">
      <c r="A2278" s="1"/>
      <c r="C2278" s="1"/>
      <c r="D2278" s="1"/>
      <c r="E2278" s="1"/>
      <c r="F2278" s="1"/>
    </row>
    <row r="2279" spans="1:6" x14ac:dyDescent="0.25">
      <c r="A2279" s="1"/>
      <c r="C2279" s="1"/>
      <c r="D2279" s="1"/>
      <c r="E2279" s="1"/>
      <c r="F2279" s="1"/>
    </row>
    <row r="2280" spans="1:6" x14ac:dyDescent="0.25">
      <c r="A2280" s="1"/>
      <c r="C2280" s="1"/>
      <c r="D2280" s="1"/>
      <c r="E2280" s="1"/>
      <c r="F2280" s="1"/>
    </row>
    <row r="2281" spans="1:6" x14ac:dyDescent="0.25">
      <c r="A2281" s="1"/>
      <c r="C2281" s="1"/>
      <c r="D2281" s="1"/>
      <c r="E2281" s="1"/>
      <c r="F2281" s="1"/>
    </row>
    <row r="2282" spans="1:6" x14ac:dyDescent="0.25">
      <c r="A2282" s="1"/>
      <c r="C2282" s="1"/>
      <c r="D2282" s="1"/>
      <c r="E2282" s="1"/>
      <c r="F2282" s="1"/>
    </row>
    <row r="2283" spans="1:6" x14ac:dyDescent="0.25">
      <c r="A2283" s="1"/>
      <c r="C2283" s="1"/>
      <c r="D2283" s="1"/>
      <c r="E2283" s="1"/>
      <c r="F2283" s="1"/>
    </row>
    <row r="2284" spans="1:6" x14ac:dyDescent="0.25">
      <c r="A2284" s="1"/>
      <c r="C2284" s="1"/>
      <c r="D2284" s="1"/>
      <c r="E2284" s="1"/>
      <c r="F2284" s="1"/>
    </row>
    <row r="2285" spans="1:6" x14ac:dyDescent="0.25">
      <c r="A2285" s="1"/>
      <c r="C2285" s="1"/>
      <c r="D2285" s="1"/>
      <c r="E2285" s="1"/>
      <c r="F2285" s="1"/>
    </row>
    <row r="2286" spans="1:6" x14ac:dyDescent="0.25">
      <c r="A2286" s="1"/>
      <c r="C2286" s="1"/>
      <c r="D2286" s="1"/>
      <c r="E2286" s="1"/>
      <c r="F2286" s="1"/>
    </row>
    <row r="2287" spans="1:6" x14ac:dyDescent="0.25">
      <c r="A2287" s="1"/>
      <c r="C2287" s="1"/>
      <c r="D2287" s="1"/>
      <c r="E2287" s="1"/>
      <c r="F2287" s="1"/>
    </row>
    <row r="2288" spans="1:6" x14ac:dyDescent="0.25">
      <c r="A2288" s="1"/>
      <c r="C2288" s="1"/>
      <c r="D2288" s="1"/>
      <c r="E2288" s="1"/>
      <c r="F2288" s="1"/>
    </row>
    <row r="2289" spans="1:6" x14ac:dyDescent="0.25">
      <c r="A2289" s="1"/>
      <c r="C2289" s="1"/>
      <c r="D2289" s="1"/>
      <c r="E2289" s="1"/>
      <c r="F2289" s="1"/>
    </row>
    <row r="2290" spans="1:6" x14ac:dyDescent="0.25">
      <c r="A2290" s="1"/>
      <c r="C2290" s="1"/>
      <c r="D2290" s="1"/>
      <c r="E2290" s="1"/>
      <c r="F2290" s="1"/>
    </row>
    <row r="2291" spans="1:6" x14ac:dyDescent="0.25">
      <c r="A2291" s="1"/>
      <c r="C2291" s="1"/>
      <c r="D2291" s="1"/>
      <c r="E2291" s="1"/>
      <c r="F2291" s="1"/>
    </row>
    <row r="2292" spans="1:6" x14ac:dyDescent="0.25">
      <c r="A2292" s="1"/>
      <c r="C2292" s="1"/>
      <c r="D2292" s="1"/>
      <c r="E2292" s="1"/>
      <c r="F2292" s="1"/>
    </row>
    <row r="2293" spans="1:6" x14ac:dyDescent="0.25">
      <c r="A2293" s="1"/>
      <c r="C2293" s="1"/>
      <c r="D2293" s="1"/>
      <c r="E2293" s="1"/>
      <c r="F2293" s="1"/>
    </row>
    <row r="2294" spans="1:6" x14ac:dyDescent="0.25">
      <c r="A2294" s="1"/>
      <c r="C2294" s="1"/>
      <c r="D2294" s="1"/>
      <c r="E2294" s="1"/>
      <c r="F2294" s="1"/>
    </row>
    <row r="2295" spans="1:6" x14ac:dyDescent="0.25">
      <c r="A2295" s="1"/>
      <c r="C2295" s="1"/>
      <c r="D2295" s="1"/>
      <c r="E2295" s="1"/>
      <c r="F2295" s="1"/>
    </row>
    <row r="2296" spans="1:6" x14ac:dyDescent="0.25">
      <c r="A2296" s="1"/>
      <c r="C2296" s="1"/>
      <c r="D2296" s="1"/>
      <c r="E2296" s="1"/>
      <c r="F2296" s="1"/>
    </row>
    <row r="2297" spans="1:6" x14ac:dyDescent="0.25">
      <c r="A2297" s="1"/>
      <c r="C2297" s="1"/>
      <c r="D2297" s="1"/>
      <c r="E2297" s="1"/>
      <c r="F2297" s="1"/>
    </row>
    <row r="2298" spans="1:6" x14ac:dyDescent="0.25">
      <c r="A2298" s="1"/>
      <c r="C2298" s="1"/>
      <c r="D2298" s="1"/>
      <c r="E2298" s="1"/>
      <c r="F2298" s="1"/>
    </row>
    <row r="2299" spans="1:6" x14ac:dyDescent="0.25">
      <c r="A2299" s="1"/>
      <c r="C2299" s="1"/>
      <c r="D2299" s="1"/>
      <c r="E2299" s="1"/>
      <c r="F2299" s="1"/>
    </row>
    <row r="2300" spans="1:6" x14ac:dyDescent="0.25">
      <c r="A2300" s="1"/>
      <c r="C2300" s="1"/>
      <c r="D2300" s="1"/>
      <c r="E2300" s="1"/>
      <c r="F2300" s="1"/>
    </row>
    <row r="2301" spans="1:6" x14ac:dyDescent="0.25">
      <c r="A2301" s="1"/>
      <c r="C2301" s="1"/>
      <c r="D2301" s="1"/>
      <c r="E2301" s="1"/>
      <c r="F2301" s="1"/>
    </row>
    <row r="2302" spans="1:6" x14ac:dyDescent="0.25">
      <c r="A2302" s="1"/>
      <c r="C2302" s="1"/>
      <c r="D2302" s="1"/>
      <c r="E2302" s="1"/>
      <c r="F2302" s="1"/>
    </row>
    <row r="2303" spans="1:6" x14ac:dyDescent="0.25">
      <c r="A2303" s="1"/>
      <c r="C2303" s="1"/>
      <c r="D2303" s="1"/>
      <c r="E2303" s="1"/>
      <c r="F2303" s="1"/>
    </row>
    <row r="2304" spans="1:6" x14ac:dyDescent="0.25">
      <c r="A2304" s="1"/>
      <c r="C2304" s="1"/>
      <c r="D2304" s="1"/>
      <c r="E2304" s="1"/>
      <c r="F2304" s="1"/>
    </row>
    <row r="2305" spans="1:6" x14ac:dyDescent="0.25">
      <c r="A2305" s="1"/>
      <c r="C2305" s="1"/>
      <c r="D2305" s="1"/>
      <c r="E2305" s="1"/>
      <c r="F2305" s="1"/>
    </row>
    <row r="2306" spans="1:6" x14ac:dyDescent="0.25">
      <c r="A2306" s="1"/>
      <c r="C2306" s="1"/>
      <c r="D2306" s="1"/>
      <c r="E2306" s="1"/>
      <c r="F2306" s="1"/>
    </row>
    <row r="2307" spans="1:6" x14ac:dyDescent="0.25">
      <c r="A2307" s="1"/>
      <c r="C2307" s="1"/>
      <c r="D2307" s="1"/>
      <c r="E2307" s="1"/>
      <c r="F2307" s="1"/>
    </row>
    <row r="2308" spans="1:6" x14ac:dyDescent="0.25">
      <c r="A2308" s="1"/>
      <c r="C2308" s="1"/>
      <c r="D2308" s="1"/>
      <c r="E2308" s="1"/>
      <c r="F2308" s="1"/>
    </row>
    <row r="2309" spans="1:6" x14ac:dyDescent="0.25">
      <c r="A2309" s="1"/>
      <c r="C2309" s="1"/>
      <c r="D2309" s="1"/>
      <c r="E2309" s="1"/>
      <c r="F2309" s="1"/>
    </row>
    <row r="2310" spans="1:6" x14ac:dyDescent="0.25">
      <c r="A2310" s="1"/>
      <c r="C2310" s="1"/>
      <c r="D2310" s="1"/>
      <c r="E2310" s="1"/>
      <c r="F2310" s="1"/>
    </row>
    <row r="2311" spans="1:6" x14ac:dyDescent="0.25">
      <c r="A2311" s="1"/>
      <c r="C2311" s="1"/>
      <c r="D2311" s="1"/>
      <c r="E2311" s="1"/>
      <c r="F2311" s="1"/>
    </row>
    <row r="2312" spans="1:6" x14ac:dyDescent="0.25">
      <c r="A2312" s="1"/>
      <c r="C2312" s="1"/>
      <c r="D2312" s="1"/>
      <c r="E2312" s="1"/>
      <c r="F2312" s="1"/>
    </row>
    <row r="2313" spans="1:6" x14ac:dyDescent="0.25">
      <c r="A2313" s="1"/>
      <c r="C2313" s="1"/>
      <c r="D2313" s="1"/>
      <c r="E2313" s="1"/>
      <c r="F2313" s="1"/>
    </row>
    <row r="2314" spans="1:6" x14ac:dyDescent="0.25">
      <c r="A2314" s="1"/>
      <c r="C2314" s="1"/>
      <c r="D2314" s="1"/>
      <c r="E2314" s="1"/>
      <c r="F2314" s="1"/>
    </row>
    <row r="2315" spans="1:6" x14ac:dyDescent="0.25">
      <c r="A2315" s="1"/>
      <c r="C2315" s="1"/>
      <c r="D2315" s="1"/>
      <c r="E2315" s="1"/>
      <c r="F2315" s="1"/>
    </row>
    <row r="2316" spans="1:6" x14ac:dyDescent="0.25">
      <c r="A2316" s="1"/>
      <c r="C2316" s="1"/>
      <c r="D2316" s="1"/>
      <c r="E2316" s="1"/>
      <c r="F2316" s="1"/>
    </row>
    <row r="2317" spans="1:6" x14ac:dyDescent="0.25">
      <c r="A2317" s="1"/>
      <c r="C2317" s="1"/>
      <c r="D2317" s="1"/>
      <c r="E2317" s="1"/>
      <c r="F2317" s="1"/>
    </row>
    <row r="2318" spans="1:6" x14ac:dyDescent="0.25">
      <c r="A2318" s="1"/>
      <c r="C2318" s="1"/>
      <c r="D2318" s="1"/>
      <c r="E2318" s="1"/>
      <c r="F2318" s="1"/>
    </row>
    <row r="2319" spans="1:6" x14ac:dyDescent="0.25">
      <c r="A2319" s="1"/>
      <c r="C2319" s="1"/>
      <c r="D2319" s="1"/>
      <c r="E2319" s="1"/>
      <c r="F2319" s="1"/>
    </row>
    <row r="2320" spans="1:6" x14ac:dyDescent="0.25">
      <c r="A2320" s="1"/>
      <c r="C2320" s="1"/>
      <c r="D2320" s="1"/>
      <c r="E2320" s="1"/>
      <c r="F2320" s="1"/>
    </row>
    <row r="2321" spans="1:6" x14ac:dyDescent="0.25">
      <c r="A2321" s="1"/>
      <c r="C2321" s="1"/>
      <c r="D2321" s="1"/>
      <c r="E2321" s="1"/>
      <c r="F2321" s="1"/>
    </row>
    <row r="2322" spans="1:6" x14ac:dyDescent="0.25">
      <c r="A2322" s="1"/>
      <c r="C2322" s="1"/>
      <c r="D2322" s="1"/>
      <c r="E2322" s="1"/>
      <c r="F2322" s="1"/>
    </row>
    <row r="2323" spans="1:6" x14ac:dyDescent="0.25">
      <c r="A2323" s="1"/>
      <c r="C2323" s="1"/>
      <c r="D2323" s="1"/>
      <c r="E2323" s="1"/>
      <c r="F2323" s="1"/>
    </row>
    <row r="2324" spans="1:6" x14ac:dyDescent="0.25">
      <c r="A2324" s="1"/>
      <c r="C2324" s="1"/>
      <c r="D2324" s="1"/>
      <c r="E2324" s="1"/>
      <c r="F2324" s="1"/>
    </row>
    <row r="2325" spans="1:6" x14ac:dyDescent="0.25">
      <c r="A2325" s="1"/>
      <c r="C2325" s="1"/>
      <c r="D2325" s="1"/>
      <c r="E2325" s="1"/>
      <c r="F2325" s="1"/>
    </row>
    <row r="2326" spans="1:6" x14ac:dyDescent="0.25">
      <c r="A2326" s="1"/>
      <c r="C2326" s="1"/>
      <c r="D2326" s="1"/>
      <c r="E2326" s="1"/>
      <c r="F2326" s="1"/>
    </row>
    <row r="2327" spans="1:6" x14ac:dyDescent="0.25">
      <c r="A2327" s="1"/>
      <c r="C2327" s="1"/>
      <c r="D2327" s="1"/>
      <c r="E2327" s="1"/>
      <c r="F2327" s="1"/>
    </row>
    <row r="2328" spans="1:6" x14ac:dyDescent="0.25">
      <c r="A2328" s="1"/>
      <c r="C2328" s="1"/>
      <c r="D2328" s="1"/>
      <c r="E2328" s="1"/>
      <c r="F2328" s="1"/>
    </row>
    <row r="2329" spans="1:6" x14ac:dyDescent="0.25">
      <c r="A2329" s="1"/>
      <c r="C2329" s="1"/>
      <c r="D2329" s="1"/>
      <c r="E2329" s="1"/>
      <c r="F2329" s="1"/>
    </row>
    <row r="2330" spans="1:6" x14ac:dyDescent="0.25">
      <c r="A2330" s="1"/>
      <c r="C2330" s="1"/>
      <c r="D2330" s="1"/>
      <c r="E2330" s="1"/>
      <c r="F2330" s="1"/>
    </row>
    <row r="2331" spans="1:6" x14ac:dyDescent="0.25">
      <c r="A2331" s="1"/>
      <c r="C2331" s="1"/>
      <c r="D2331" s="1"/>
      <c r="E2331" s="1"/>
      <c r="F2331" s="1"/>
    </row>
    <row r="2332" spans="1:6" x14ac:dyDescent="0.25">
      <c r="A2332" s="1"/>
      <c r="C2332" s="1"/>
      <c r="D2332" s="1"/>
      <c r="E2332" s="1"/>
      <c r="F2332" s="1"/>
    </row>
    <row r="2333" spans="1:6" x14ac:dyDescent="0.25">
      <c r="A2333" s="1"/>
      <c r="C2333" s="1"/>
      <c r="D2333" s="1"/>
      <c r="E2333" s="1"/>
      <c r="F2333" s="1"/>
    </row>
    <row r="2334" spans="1:6" x14ac:dyDescent="0.25">
      <c r="A2334" s="1"/>
      <c r="C2334" s="1"/>
      <c r="D2334" s="1"/>
      <c r="E2334" s="1"/>
      <c r="F2334" s="1"/>
    </row>
    <row r="2335" spans="1:6" x14ac:dyDescent="0.25">
      <c r="A2335" s="1"/>
      <c r="C2335" s="1"/>
      <c r="D2335" s="1"/>
      <c r="E2335" s="1"/>
      <c r="F2335" s="1"/>
    </row>
    <row r="2336" spans="1:6" x14ac:dyDescent="0.25">
      <c r="A2336" s="1"/>
      <c r="C2336" s="1"/>
      <c r="D2336" s="1"/>
      <c r="E2336" s="1"/>
      <c r="F2336" s="1"/>
    </row>
    <row r="2337" spans="1:6" x14ac:dyDescent="0.25">
      <c r="A2337" s="1"/>
      <c r="C2337" s="1"/>
      <c r="D2337" s="1"/>
      <c r="E2337" s="1"/>
      <c r="F2337" s="1"/>
    </row>
    <row r="2338" spans="1:6" x14ac:dyDescent="0.25">
      <c r="A2338" s="1"/>
      <c r="C2338" s="1"/>
      <c r="D2338" s="1"/>
      <c r="E2338" s="1"/>
      <c r="F2338" s="1"/>
    </row>
    <row r="2339" spans="1:6" x14ac:dyDescent="0.25">
      <c r="A2339" s="1"/>
      <c r="C2339" s="1"/>
      <c r="D2339" s="1"/>
      <c r="E2339" s="1"/>
      <c r="F2339" s="1"/>
    </row>
    <row r="2340" spans="1:6" x14ac:dyDescent="0.25">
      <c r="A2340" s="1"/>
      <c r="C2340" s="1"/>
      <c r="D2340" s="1"/>
      <c r="E2340" s="1"/>
      <c r="F2340" s="1"/>
    </row>
    <row r="2341" spans="1:6" x14ac:dyDescent="0.25">
      <c r="A2341" s="1"/>
      <c r="C2341" s="1"/>
      <c r="D2341" s="1"/>
      <c r="E2341" s="1"/>
      <c r="F2341" s="1"/>
    </row>
    <row r="2342" spans="1:6" x14ac:dyDescent="0.25">
      <c r="A2342" s="1"/>
      <c r="C2342" s="1"/>
      <c r="D2342" s="1"/>
      <c r="E2342" s="1"/>
      <c r="F2342" s="1"/>
    </row>
    <row r="2343" spans="1:6" x14ac:dyDescent="0.25">
      <c r="A2343" s="1"/>
      <c r="C2343" s="1"/>
      <c r="D2343" s="1"/>
      <c r="E2343" s="1"/>
      <c r="F2343" s="1"/>
    </row>
    <row r="2344" spans="1:6" x14ac:dyDescent="0.25">
      <c r="A2344" s="1"/>
      <c r="C2344" s="1"/>
      <c r="D2344" s="1"/>
      <c r="E2344" s="1"/>
      <c r="F2344" s="1"/>
    </row>
    <row r="2345" spans="1:6" x14ac:dyDescent="0.25">
      <c r="A2345" s="1"/>
      <c r="C2345" s="1"/>
      <c r="D2345" s="1"/>
      <c r="E2345" s="1"/>
      <c r="F2345" s="1"/>
    </row>
    <row r="2346" spans="1:6" x14ac:dyDescent="0.25">
      <c r="A2346" s="1"/>
      <c r="C2346" s="1"/>
      <c r="D2346" s="1"/>
      <c r="E2346" s="1"/>
      <c r="F2346" s="1"/>
    </row>
    <row r="2347" spans="1:6" x14ac:dyDescent="0.25">
      <c r="A2347" s="1"/>
      <c r="C2347" s="1"/>
      <c r="D2347" s="1"/>
      <c r="E2347" s="1"/>
      <c r="F2347" s="1"/>
    </row>
    <row r="2348" spans="1:6" x14ac:dyDescent="0.25">
      <c r="A2348" s="1"/>
      <c r="C2348" s="1"/>
      <c r="D2348" s="1"/>
      <c r="E2348" s="1"/>
      <c r="F2348" s="1"/>
    </row>
    <row r="2349" spans="1:6" x14ac:dyDescent="0.25">
      <c r="A2349" s="1"/>
      <c r="C2349" s="1"/>
      <c r="D2349" s="1"/>
      <c r="E2349" s="1"/>
      <c r="F2349" s="1"/>
    </row>
    <row r="2350" spans="1:6" x14ac:dyDescent="0.25">
      <c r="A2350" s="1"/>
      <c r="C2350" s="1"/>
      <c r="D2350" s="1"/>
      <c r="E2350" s="1"/>
      <c r="F2350" s="1"/>
    </row>
    <row r="2351" spans="1:6" x14ac:dyDescent="0.25">
      <c r="A2351" s="1"/>
      <c r="C2351" s="1"/>
      <c r="D2351" s="1"/>
      <c r="E2351" s="1"/>
      <c r="F2351" s="1"/>
    </row>
    <row r="2352" spans="1:6" x14ac:dyDescent="0.25">
      <c r="A2352" s="1"/>
      <c r="C2352" s="1"/>
      <c r="D2352" s="1"/>
      <c r="E2352" s="1"/>
      <c r="F2352" s="1"/>
    </row>
    <row r="2353" spans="1:6" x14ac:dyDescent="0.25">
      <c r="A2353" s="1"/>
      <c r="C2353" s="1"/>
      <c r="D2353" s="1"/>
      <c r="E2353" s="1"/>
      <c r="F2353" s="1"/>
    </row>
    <row r="2354" spans="1:6" x14ac:dyDescent="0.25">
      <c r="A2354" s="1"/>
      <c r="C2354" s="1"/>
      <c r="D2354" s="1"/>
      <c r="E2354" s="1"/>
      <c r="F2354" s="1"/>
    </row>
    <row r="2355" spans="1:6" x14ac:dyDescent="0.25">
      <c r="A2355" s="1"/>
      <c r="C2355" s="1"/>
      <c r="D2355" s="1"/>
      <c r="E2355" s="1"/>
      <c r="F2355" s="1"/>
    </row>
    <row r="2356" spans="1:6" x14ac:dyDescent="0.25">
      <c r="A2356" s="1"/>
      <c r="C2356" s="1"/>
      <c r="D2356" s="1"/>
      <c r="E2356" s="1"/>
      <c r="F2356" s="1"/>
    </row>
    <row r="2357" spans="1:6" x14ac:dyDescent="0.25">
      <c r="A2357" s="1"/>
      <c r="C2357" s="1"/>
      <c r="D2357" s="1"/>
      <c r="E2357" s="1"/>
      <c r="F2357" s="1"/>
    </row>
    <row r="2358" spans="1:6" x14ac:dyDescent="0.25">
      <c r="A2358" s="1"/>
      <c r="C2358" s="1"/>
      <c r="D2358" s="1"/>
      <c r="E2358" s="1"/>
      <c r="F2358" s="1"/>
    </row>
    <row r="2359" spans="1:6" x14ac:dyDescent="0.25">
      <c r="A2359" s="1"/>
      <c r="C2359" s="1"/>
      <c r="D2359" s="1"/>
      <c r="E2359" s="1"/>
      <c r="F2359" s="1"/>
    </row>
    <row r="2360" spans="1:6" x14ac:dyDescent="0.25">
      <c r="A2360" s="1"/>
      <c r="C2360" s="1"/>
      <c r="D2360" s="1"/>
      <c r="E2360" s="1"/>
      <c r="F2360" s="1"/>
    </row>
    <row r="2361" spans="1:6" x14ac:dyDescent="0.25">
      <c r="A2361" s="1"/>
      <c r="C2361" s="1"/>
      <c r="D2361" s="1"/>
      <c r="E2361" s="1"/>
      <c r="F2361" s="1"/>
    </row>
    <row r="2362" spans="1:6" x14ac:dyDescent="0.25">
      <c r="A2362" s="1"/>
      <c r="C2362" s="1"/>
      <c r="D2362" s="1"/>
      <c r="E2362" s="1"/>
      <c r="F2362" s="1"/>
    </row>
    <row r="2363" spans="1:6" x14ac:dyDescent="0.25">
      <c r="A2363" s="1"/>
      <c r="C2363" s="1"/>
      <c r="D2363" s="1"/>
      <c r="E2363" s="1"/>
      <c r="F2363" s="1"/>
    </row>
    <row r="2364" spans="1:6" x14ac:dyDescent="0.25">
      <c r="A2364" s="1"/>
      <c r="C2364" s="1"/>
      <c r="D2364" s="1"/>
      <c r="E2364" s="1"/>
      <c r="F2364" s="1"/>
    </row>
    <row r="2365" spans="1:6" x14ac:dyDescent="0.25">
      <c r="A2365" s="1"/>
      <c r="C2365" s="1"/>
      <c r="D2365" s="1"/>
      <c r="E2365" s="1"/>
      <c r="F2365" s="1"/>
    </row>
    <row r="2366" spans="1:6" x14ac:dyDescent="0.25">
      <c r="A2366" s="1"/>
      <c r="C2366" s="1"/>
      <c r="D2366" s="1"/>
      <c r="E2366" s="1"/>
      <c r="F2366" s="1"/>
    </row>
    <row r="2367" spans="1:6" x14ac:dyDescent="0.25">
      <c r="A2367" s="1"/>
      <c r="C2367" s="1"/>
      <c r="D2367" s="1"/>
      <c r="E2367" s="1"/>
      <c r="F2367" s="1"/>
    </row>
    <row r="2368" spans="1:6" x14ac:dyDescent="0.25">
      <c r="A2368" s="1"/>
      <c r="C2368" s="1"/>
      <c r="D2368" s="1"/>
      <c r="E2368" s="1"/>
      <c r="F2368" s="1"/>
    </row>
    <row r="2369" spans="1:6" x14ac:dyDescent="0.25">
      <c r="A2369" s="1"/>
      <c r="C2369" s="1"/>
      <c r="D2369" s="1"/>
      <c r="E2369" s="1"/>
      <c r="F2369" s="1"/>
    </row>
    <row r="2370" spans="1:6" x14ac:dyDescent="0.25">
      <c r="A2370" s="1"/>
      <c r="C2370" s="1"/>
      <c r="D2370" s="1"/>
      <c r="E2370" s="1"/>
      <c r="F2370" s="1"/>
    </row>
    <row r="2371" spans="1:6" x14ac:dyDescent="0.25">
      <c r="A2371" s="1"/>
      <c r="C2371" s="1"/>
      <c r="D2371" s="1"/>
      <c r="E2371" s="1"/>
      <c r="F2371" s="1"/>
    </row>
    <row r="2372" spans="1:6" x14ac:dyDescent="0.25">
      <c r="A2372" s="1"/>
      <c r="C2372" s="1"/>
      <c r="D2372" s="1"/>
      <c r="E2372" s="1"/>
      <c r="F2372" s="1"/>
    </row>
    <row r="2373" spans="1:6" x14ac:dyDescent="0.25">
      <c r="A2373" s="1"/>
      <c r="C2373" s="1"/>
      <c r="D2373" s="1"/>
      <c r="E2373" s="1"/>
      <c r="F2373" s="1"/>
    </row>
    <row r="2374" spans="1:6" x14ac:dyDescent="0.25">
      <c r="A2374" s="1"/>
      <c r="C2374" s="1"/>
      <c r="D2374" s="1"/>
      <c r="E2374" s="1"/>
      <c r="F2374" s="1"/>
    </row>
    <row r="2375" spans="1:6" x14ac:dyDescent="0.25">
      <c r="A2375" s="1"/>
      <c r="C2375" s="1"/>
      <c r="D2375" s="1"/>
      <c r="E2375" s="1"/>
      <c r="F2375" s="1"/>
    </row>
    <row r="2376" spans="1:6" x14ac:dyDescent="0.25">
      <c r="A2376" s="1"/>
      <c r="C2376" s="1"/>
      <c r="D2376" s="1"/>
      <c r="E2376" s="1"/>
      <c r="F2376" s="1"/>
    </row>
    <row r="2377" spans="1:6" x14ac:dyDescent="0.25">
      <c r="A2377" s="1"/>
      <c r="C2377" s="1"/>
      <c r="D2377" s="1"/>
      <c r="E2377" s="1"/>
      <c r="F2377" s="1"/>
    </row>
    <row r="2378" spans="1:6" x14ac:dyDescent="0.25">
      <c r="A2378" s="1"/>
      <c r="C2378" s="1"/>
      <c r="D2378" s="1"/>
      <c r="E2378" s="1"/>
      <c r="F2378" s="1"/>
    </row>
    <row r="2379" spans="1:6" x14ac:dyDescent="0.25">
      <c r="A2379" s="1"/>
      <c r="C2379" s="1"/>
      <c r="D2379" s="1"/>
      <c r="E2379" s="1"/>
      <c r="F2379" s="1"/>
    </row>
    <row r="2380" spans="1:6" x14ac:dyDescent="0.25">
      <c r="A2380" s="1"/>
      <c r="C2380" s="1"/>
      <c r="D2380" s="1"/>
      <c r="E2380" s="1"/>
      <c r="F2380" s="1"/>
    </row>
    <row r="2381" spans="1:6" x14ac:dyDescent="0.25">
      <c r="A2381" s="1"/>
      <c r="C2381" s="1"/>
      <c r="D2381" s="1"/>
      <c r="E2381" s="1"/>
      <c r="F2381" s="1"/>
    </row>
    <row r="2382" spans="1:6" x14ac:dyDescent="0.25">
      <c r="A2382" s="1"/>
      <c r="C2382" s="1"/>
      <c r="D2382" s="1"/>
      <c r="E2382" s="1"/>
      <c r="F2382" s="1"/>
    </row>
    <row r="2383" spans="1:6" x14ac:dyDescent="0.25">
      <c r="A2383" s="1"/>
      <c r="C2383" s="1"/>
      <c r="D2383" s="1"/>
      <c r="E2383" s="1"/>
      <c r="F2383" s="1"/>
    </row>
    <row r="2384" spans="1:6" x14ac:dyDescent="0.25">
      <c r="A2384" s="1"/>
      <c r="C2384" s="1"/>
      <c r="D2384" s="1"/>
      <c r="E2384" s="1"/>
      <c r="F2384" s="1"/>
    </row>
    <row r="2385" spans="1:6" x14ac:dyDescent="0.25">
      <c r="A2385" s="1"/>
      <c r="C2385" s="1"/>
      <c r="D2385" s="1"/>
      <c r="E2385" s="1"/>
      <c r="F2385" s="1"/>
    </row>
    <row r="2386" spans="1:6" x14ac:dyDescent="0.25">
      <c r="A2386" s="1"/>
      <c r="C2386" s="1"/>
      <c r="D2386" s="1"/>
      <c r="E2386" s="1"/>
      <c r="F2386" s="1"/>
    </row>
    <row r="2387" spans="1:6" x14ac:dyDescent="0.25">
      <c r="A2387" s="1"/>
      <c r="C2387" s="1"/>
      <c r="D2387" s="1"/>
      <c r="E2387" s="1"/>
      <c r="F2387" s="1"/>
    </row>
    <row r="2388" spans="1:6" x14ac:dyDescent="0.25">
      <c r="A2388" s="1"/>
      <c r="C2388" s="1"/>
      <c r="D2388" s="1"/>
      <c r="E2388" s="1"/>
      <c r="F2388" s="1"/>
    </row>
    <row r="2389" spans="1:6" x14ac:dyDescent="0.25">
      <c r="A2389" s="1"/>
      <c r="C2389" s="1"/>
      <c r="D2389" s="1"/>
      <c r="E2389" s="1"/>
      <c r="F2389" s="1"/>
    </row>
    <row r="2390" spans="1:6" x14ac:dyDescent="0.25">
      <c r="A2390" s="1"/>
      <c r="C2390" s="1"/>
      <c r="D2390" s="1"/>
      <c r="E2390" s="1"/>
      <c r="F2390" s="1"/>
    </row>
    <row r="2391" spans="1:6" x14ac:dyDescent="0.25">
      <c r="A2391" s="1"/>
      <c r="C2391" s="1"/>
      <c r="D2391" s="1"/>
      <c r="E2391" s="1"/>
      <c r="F2391" s="1"/>
    </row>
    <row r="2392" spans="1:6" x14ac:dyDescent="0.25">
      <c r="A2392" s="1"/>
      <c r="C2392" s="1"/>
      <c r="D2392" s="1"/>
      <c r="E2392" s="1"/>
      <c r="F2392" s="1"/>
    </row>
    <row r="2393" spans="1:6" x14ac:dyDescent="0.25">
      <c r="A2393" s="1"/>
      <c r="C2393" s="1"/>
      <c r="D2393" s="1"/>
      <c r="E2393" s="1"/>
      <c r="F2393" s="1"/>
    </row>
    <row r="2394" spans="1:6" x14ac:dyDescent="0.25">
      <c r="A2394" s="1"/>
      <c r="C2394" s="1"/>
      <c r="D2394" s="1"/>
      <c r="E2394" s="1"/>
      <c r="F2394" s="1"/>
    </row>
    <row r="2395" spans="1:6" x14ac:dyDescent="0.25">
      <c r="A2395" s="1"/>
      <c r="C2395" s="1"/>
      <c r="D2395" s="1"/>
      <c r="E2395" s="1"/>
      <c r="F2395" s="1"/>
    </row>
    <row r="2396" spans="1:6" x14ac:dyDescent="0.25">
      <c r="A2396" s="1"/>
      <c r="C2396" s="1"/>
      <c r="D2396" s="1"/>
      <c r="E2396" s="1"/>
      <c r="F2396" s="1"/>
    </row>
    <row r="2397" spans="1:6" x14ac:dyDescent="0.25">
      <c r="A2397" s="1"/>
      <c r="C2397" s="1"/>
      <c r="D2397" s="1"/>
      <c r="E2397" s="1"/>
      <c r="F2397" s="1"/>
    </row>
    <row r="2398" spans="1:6" x14ac:dyDescent="0.25">
      <c r="A2398" s="1"/>
      <c r="C2398" s="1"/>
      <c r="D2398" s="1"/>
      <c r="E2398" s="1"/>
      <c r="F2398" s="1"/>
    </row>
    <row r="2399" spans="1:6" x14ac:dyDescent="0.25">
      <c r="A2399" s="1"/>
      <c r="C2399" s="1"/>
      <c r="D2399" s="1"/>
      <c r="E2399" s="1"/>
      <c r="F2399" s="1"/>
    </row>
    <row r="2400" spans="1:6" x14ac:dyDescent="0.25">
      <c r="A2400" s="1"/>
      <c r="C2400" s="1"/>
      <c r="D2400" s="1"/>
      <c r="E2400" s="1"/>
      <c r="F2400" s="1"/>
    </row>
    <row r="2401" spans="1:6" x14ac:dyDescent="0.25">
      <c r="A2401" s="1"/>
      <c r="C2401" s="1"/>
      <c r="D2401" s="1"/>
      <c r="E2401" s="1"/>
      <c r="F2401" s="1"/>
    </row>
    <row r="2402" spans="1:6" x14ac:dyDescent="0.25">
      <c r="A2402" s="1"/>
      <c r="C2402" s="1"/>
      <c r="D2402" s="1"/>
      <c r="E2402" s="1"/>
      <c r="F2402" s="1"/>
    </row>
    <row r="2403" spans="1:6" x14ac:dyDescent="0.25">
      <c r="A2403" s="1"/>
      <c r="C2403" s="1"/>
      <c r="D2403" s="1"/>
      <c r="E2403" s="1"/>
      <c r="F2403" s="1"/>
    </row>
    <row r="2404" spans="1:6" x14ac:dyDescent="0.25">
      <c r="A2404" s="1"/>
      <c r="C2404" s="1"/>
      <c r="D2404" s="1"/>
      <c r="E2404" s="1"/>
      <c r="F2404" s="1"/>
    </row>
    <row r="2405" spans="1:6" x14ac:dyDescent="0.25">
      <c r="A2405" s="1"/>
      <c r="C2405" s="1"/>
      <c r="D2405" s="1"/>
      <c r="E2405" s="1"/>
      <c r="F2405" s="1"/>
    </row>
    <row r="2406" spans="1:6" x14ac:dyDescent="0.25">
      <c r="A2406" s="1"/>
      <c r="C2406" s="1"/>
      <c r="D2406" s="1"/>
      <c r="E2406" s="1"/>
      <c r="F2406" s="1"/>
    </row>
    <row r="2407" spans="1:6" x14ac:dyDescent="0.25">
      <c r="A2407" s="1"/>
      <c r="C2407" s="1"/>
      <c r="D2407" s="1"/>
      <c r="E2407" s="1"/>
      <c r="F2407" s="1"/>
    </row>
    <row r="2408" spans="1:6" x14ac:dyDescent="0.25">
      <c r="A2408" s="1"/>
      <c r="C2408" s="1"/>
      <c r="D2408" s="1"/>
      <c r="E2408" s="1"/>
      <c r="F2408" s="1"/>
    </row>
    <row r="2409" spans="1:6" x14ac:dyDescent="0.25">
      <c r="A2409" s="1"/>
      <c r="C2409" s="1"/>
      <c r="D2409" s="1"/>
      <c r="E2409" s="1"/>
      <c r="F2409" s="1"/>
    </row>
    <row r="2410" spans="1:6" x14ac:dyDescent="0.25">
      <c r="A2410" s="1"/>
      <c r="C2410" s="1"/>
      <c r="D2410" s="1"/>
      <c r="E2410" s="1"/>
      <c r="F2410" s="1"/>
    </row>
    <row r="2411" spans="1:6" x14ac:dyDescent="0.25">
      <c r="A2411" s="1"/>
      <c r="C2411" s="1"/>
      <c r="D2411" s="1"/>
      <c r="E2411" s="1"/>
      <c r="F2411" s="1"/>
    </row>
    <row r="2412" spans="1:6" x14ac:dyDescent="0.25">
      <c r="A2412" s="1"/>
      <c r="C2412" s="1"/>
      <c r="D2412" s="1"/>
      <c r="E2412" s="1"/>
      <c r="F2412" s="1"/>
    </row>
    <row r="2413" spans="1:6" x14ac:dyDescent="0.25">
      <c r="A2413" s="1"/>
      <c r="C2413" s="1"/>
      <c r="D2413" s="1"/>
      <c r="E2413" s="1"/>
      <c r="F2413" s="1"/>
    </row>
    <row r="2414" spans="1:6" x14ac:dyDescent="0.25">
      <c r="A2414" s="1"/>
      <c r="C2414" s="1"/>
      <c r="D2414" s="1"/>
      <c r="E2414" s="1"/>
      <c r="F2414" s="1"/>
    </row>
    <row r="2415" spans="1:6" x14ac:dyDescent="0.25">
      <c r="A2415" s="1"/>
      <c r="C2415" s="1"/>
      <c r="D2415" s="1"/>
      <c r="E2415" s="1"/>
      <c r="F2415" s="1"/>
    </row>
    <row r="2416" spans="1:6" x14ac:dyDescent="0.25">
      <c r="A2416" s="1"/>
      <c r="C2416" s="1"/>
      <c r="D2416" s="1"/>
      <c r="E2416" s="1"/>
      <c r="F2416" s="1"/>
    </row>
    <row r="2417" spans="1:6" x14ac:dyDescent="0.25">
      <c r="A2417" s="1"/>
      <c r="C2417" s="1"/>
      <c r="D2417" s="1"/>
      <c r="E2417" s="1"/>
      <c r="F2417" s="1"/>
    </row>
    <row r="2418" spans="1:6" x14ac:dyDescent="0.25">
      <c r="A2418" s="1"/>
      <c r="C2418" s="1"/>
      <c r="D2418" s="1"/>
      <c r="E2418" s="1"/>
      <c r="F2418" s="1"/>
    </row>
    <row r="2419" spans="1:6" x14ac:dyDescent="0.25">
      <c r="A2419" s="1"/>
      <c r="C2419" s="1"/>
      <c r="D2419" s="1"/>
      <c r="E2419" s="1"/>
      <c r="F2419" s="1"/>
    </row>
    <row r="2420" spans="1:6" x14ac:dyDescent="0.25">
      <c r="A2420" s="1"/>
      <c r="C2420" s="1"/>
      <c r="D2420" s="1"/>
      <c r="E2420" s="1"/>
      <c r="F2420" s="1"/>
    </row>
    <row r="2421" spans="1:6" x14ac:dyDescent="0.25">
      <c r="A2421" s="1"/>
      <c r="C2421" s="1"/>
      <c r="D2421" s="1"/>
      <c r="E2421" s="1"/>
      <c r="F2421" s="1"/>
    </row>
    <row r="2422" spans="1:6" x14ac:dyDescent="0.25">
      <c r="A2422" s="1"/>
      <c r="C2422" s="1"/>
      <c r="D2422" s="1"/>
      <c r="E2422" s="1"/>
      <c r="F2422" s="1"/>
    </row>
    <row r="2423" spans="1:6" x14ac:dyDescent="0.25">
      <c r="A2423" s="1"/>
      <c r="C2423" s="1"/>
      <c r="D2423" s="1"/>
      <c r="E2423" s="1"/>
      <c r="F2423" s="1"/>
    </row>
    <row r="2424" spans="1:6" x14ac:dyDescent="0.25">
      <c r="A2424" s="1"/>
      <c r="C2424" s="1"/>
      <c r="D2424" s="1"/>
      <c r="E2424" s="1"/>
      <c r="F2424" s="1"/>
    </row>
    <row r="2425" spans="1:6" x14ac:dyDescent="0.25">
      <c r="A2425" s="1"/>
      <c r="C2425" s="1"/>
      <c r="D2425" s="1"/>
      <c r="E2425" s="1"/>
      <c r="F2425" s="1"/>
    </row>
    <row r="2426" spans="1:6" x14ac:dyDescent="0.25">
      <c r="A2426" s="1"/>
      <c r="C2426" s="1"/>
      <c r="D2426" s="1"/>
      <c r="E2426" s="1"/>
      <c r="F2426" s="1"/>
    </row>
    <row r="2427" spans="1:6" x14ac:dyDescent="0.25">
      <c r="A2427" s="1"/>
      <c r="C2427" s="1"/>
      <c r="D2427" s="1"/>
      <c r="E2427" s="1"/>
      <c r="F2427" s="1"/>
    </row>
    <row r="2428" spans="1:6" x14ac:dyDescent="0.25">
      <c r="A2428" s="1"/>
      <c r="C2428" s="1"/>
      <c r="D2428" s="1"/>
      <c r="E2428" s="1"/>
      <c r="F2428" s="1"/>
    </row>
    <row r="2429" spans="1:6" x14ac:dyDescent="0.25">
      <c r="A2429" s="1"/>
      <c r="C2429" s="1"/>
      <c r="D2429" s="1"/>
      <c r="E2429" s="1"/>
      <c r="F2429" s="1"/>
    </row>
    <row r="2430" spans="1:6" x14ac:dyDescent="0.25">
      <c r="A2430" s="1"/>
      <c r="C2430" s="1"/>
      <c r="D2430" s="1"/>
      <c r="E2430" s="1"/>
      <c r="F2430" s="1"/>
    </row>
    <row r="2431" spans="1:6" x14ac:dyDescent="0.25">
      <c r="A2431" s="1"/>
      <c r="C2431" s="1"/>
      <c r="D2431" s="1"/>
      <c r="E2431" s="1"/>
      <c r="F2431" s="1"/>
    </row>
    <row r="2432" spans="1:6" x14ac:dyDescent="0.25">
      <c r="A2432" s="1"/>
      <c r="C2432" s="1"/>
      <c r="D2432" s="1"/>
      <c r="E2432" s="1"/>
      <c r="F2432" s="1"/>
    </row>
    <row r="2433" spans="1:6" x14ac:dyDescent="0.25">
      <c r="A2433" s="1"/>
      <c r="C2433" s="1"/>
      <c r="D2433" s="1"/>
      <c r="E2433" s="1"/>
      <c r="F2433" s="1"/>
    </row>
    <row r="2434" spans="1:6" x14ac:dyDescent="0.25">
      <c r="A2434" s="1"/>
      <c r="C2434" s="1"/>
      <c r="D2434" s="1"/>
      <c r="E2434" s="1"/>
      <c r="F2434" s="1"/>
    </row>
    <row r="2435" spans="1:6" x14ac:dyDescent="0.25">
      <c r="A2435" s="1"/>
      <c r="C2435" s="1"/>
      <c r="D2435" s="1"/>
      <c r="E2435" s="1"/>
      <c r="F2435" s="1"/>
    </row>
    <row r="2436" spans="1:6" x14ac:dyDescent="0.25">
      <c r="A2436" s="1"/>
      <c r="C2436" s="1"/>
      <c r="D2436" s="1"/>
      <c r="E2436" s="1"/>
      <c r="F2436" s="1"/>
    </row>
    <row r="2437" spans="1:6" x14ac:dyDescent="0.25">
      <c r="A2437" s="1"/>
      <c r="C2437" s="1"/>
      <c r="D2437" s="1"/>
      <c r="E2437" s="1"/>
      <c r="F2437" s="1"/>
    </row>
    <row r="2438" spans="1:6" x14ac:dyDescent="0.25">
      <c r="A2438" s="1"/>
      <c r="C2438" s="1"/>
      <c r="D2438" s="1"/>
      <c r="E2438" s="1"/>
      <c r="F2438" s="1"/>
    </row>
    <row r="2439" spans="1:6" x14ac:dyDescent="0.25">
      <c r="A2439" s="1"/>
      <c r="C2439" s="1"/>
      <c r="D2439" s="1"/>
      <c r="E2439" s="1"/>
      <c r="F2439" s="1"/>
    </row>
    <row r="2440" spans="1:6" x14ac:dyDescent="0.25">
      <c r="A2440" s="1"/>
      <c r="C2440" s="1"/>
      <c r="D2440" s="1"/>
      <c r="E2440" s="1"/>
      <c r="F2440" s="1"/>
    </row>
    <row r="2441" spans="1:6" x14ac:dyDescent="0.25">
      <c r="A2441" s="1"/>
      <c r="C2441" s="1"/>
      <c r="D2441" s="1"/>
      <c r="E2441" s="1"/>
      <c r="F2441" s="1"/>
    </row>
    <row r="2442" spans="1:6" x14ac:dyDescent="0.25">
      <c r="A2442" s="1"/>
      <c r="C2442" s="1"/>
      <c r="D2442" s="1"/>
      <c r="E2442" s="1"/>
      <c r="F2442" s="1"/>
    </row>
    <row r="2443" spans="1:6" x14ac:dyDescent="0.25">
      <c r="A2443" s="1"/>
      <c r="C2443" s="1"/>
      <c r="D2443" s="1"/>
      <c r="E2443" s="1"/>
      <c r="F2443" s="1"/>
    </row>
    <row r="2444" spans="1:6" x14ac:dyDescent="0.25">
      <c r="A2444" s="1"/>
      <c r="C2444" s="1"/>
      <c r="D2444" s="1"/>
      <c r="E2444" s="1"/>
      <c r="F2444" s="1"/>
    </row>
    <row r="2445" spans="1:6" x14ac:dyDescent="0.25">
      <c r="A2445" s="1"/>
      <c r="C2445" s="1"/>
      <c r="D2445" s="1"/>
      <c r="E2445" s="1"/>
      <c r="F2445" s="1"/>
    </row>
    <row r="2446" spans="1:6" x14ac:dyDescent="0.25">
      <c r="A2446" s="1"/>
      <c r="C2446" s="1"/>
      <c r="D2446" s="1"/>
      <c r="E2446" s="1"/>
      <c r="F2446" s="1"/>
    </row>
    <row r="2447" spans="1:6" x14ac:dyDescent="0.25">
      <c r="A2447" s="1"/>
      <c r="C2447" s="1"/>
      <c r="D2447" s="1"/>
      <c r="E2447" s="1"/>
      <c r="F2447" s="1"/>
    </row>
    <row r="2448" spans="1:6" x14ac:dyDescent="0.25">
      <c r="A2448" s="1"/>
      <c r="C2448" s="1"/>
      <c r="D2448" s="1"/>
      <c r="E2448" s="1"/>
      <c r="F2448" s="1"/>
    </row>
    <row r="2449" spans="1:6" x14ac:dyDescent="0.25">
      <c r="A2449" s="1"/>
      <c r="C2449" s="1"/>
      <c r="D2449" s="1"/>
      <c r="E2449" s="1"/>
      <c r="F2449" s="1"/>
    </row>
    <row r="2450" spans="1:6" x14ac:dyDescent="0.25">
      <c r="A2450" s="1"/>
      <c r="C2450" s="1"/>
      <c r="D2450" s="1"/>
      <c r="E2450" s="1"/>
      <c r="F2450" s="1"/>
    </row>
    <row r="2451" spans="1:6" x14ac:dyDescent="0.25">
      <c r="A2451" s="1"/>
      <c r="C2451" s="1"/>
      <c r="D2451" s="1"/>
      <c r="E2451" s="1"/>
      <c r="F2451" s="1"/>
    </row>
    <row r="2452" spans="1:6" x14ac:dyDescent="0.25">
      <c r="A2452" s="1"/>
      <c r="C2452" s="1"/>
      <c r="D2452" s="1"/>
      <c r="E2452" s="1"/>
      <c r="F2452" s="1"/>
    </row>
    <row r="2453" spans="1:6" x14ac:dyDescent="0.25">
      <c r="A2453" s="1"/>
      <c r="C2453" s="1"/>
      <c r="D2453" s="1"/>
      <c r="E2453" s="1"/>
      <c r="F2453" s="1"/>
    </row>
    <row r="2454" spans="1:6" x14ac:dyDescent="0.25">
      <c r="A2454" s="1"/>
      <c r="C2454" s="1"/>
      <c r="D2454" s="1"/>
      <c r="E2454" s="1"/>
      <c r="F2454" s="1"/>
    </row>
    <row r="2455" spans="1:6" x14ac:dyDescent="0.25">
      <c r="A2455" s="1"/>
      <c r="C2455" s="1"/>
      <c r="D2455" s="1"/>
      <c r="E2455" s="1"/>
      <c r="F2455" s="1"/>
    </row>
    <row r="2456" spans="1:6" x14ac:dyDescent="0.25">
      <c r="A2456" s="1"/>
      <c r="C2456" s="1"/>
      <c r="D2456" s="1"/>
      <c r="E2456" s="1"/>
      <c r="F2456" s="1"/>
    </row>
    <row r="2457" spans="1:6" x14ac:dyDescent="0.25">
      <c r="A2457" s="1"/>
      <c r="C2457" s="1"/>
      <c r="D2457" s="1"/>
      <c r="E2457" s="1"/>
      <c r="F2457" s="1"/>
    </row>
    <row r="2458" spans="1:6" x14ac:dyDescent="0.25">
      <c r="A2458" s="1"/>
      <c r="C2458" s="1"/>
      <c r="D2458" s="1"/>
      <c r="E2458" s="1"/>
      <c r="F2458" s="1"/>
    </row>
    <row r="2459" spans="1:6" x14ac:dyDescent="0.25">
      <c r="A2459" s="1"/>
      <c r="C2459" s="1"/>
      <c r="D2459" s="1"/>
      <c r="E2459" s="1"/>
      <c r="F2459" s="1"/>
    </row>
    <row r="2460" spans="1:6" x14ac:dyDescent="0.25">
      <c r="A2460" s="1"/>
      <c r="C2460" s="1"/>
      <c r="D2460" s="1"/>
      <c r="E2460" s="1"/>
      <c r="F2460" s="1"/>
    </row>
    <row r="2461" spans="1:6" x14ac:dyDescent="0.25">
      <c r="A2461" s="1"/>
      <c r="C2461" s="1"/>
      <c r="D2461" s="1"/>
      <c r="E2461" s="1"/>
      <c r="F2461" s="1"/>
    </row>
    <row r="2462" spans="1:6" x14ac:dyDescent="0.25">
      <c r="A2462" s="1"/>
      <c r="C2462" s="1"/>
      <c r="D2462" s="1"/>
      <c r="E2462" s="1"/>
      <c r="F2462" s="1"/>
    </row>
    <row r="2463" spans="1:6" x14ac:dyDescent="0.25">
      <c r="A2463" s="1"/>
      <c r="C2463" s="1"/>
      <c r="D2463" s="1"/>
      <c r="E2463" s="1"/>
      <c r="F2463" s="1"/>
    </row>
    <row r="2464" spans="1:6" x14ac:dyDescent="0.25">
      <c r="A2464" s="1"/>
      <c r="C2464" s="1"/>
      <c r="D2464" s="1"/>
      <c r="E2464" s="1"/>
      <c r="F2464" s="1"/>
    </row>
    <row r="2465" spans="1:6" x14ac:dyDescent="0.25">
      <c r="A2465" s="1"/>
      <c r="C2465" s="1"/>
      <c r="D2465" s="1"/>
      <c r="E2465" s="1"/>
      <c r="F2465" s="1"/>
    </row>
    <row r="2466" spans="1:6" x14ac:dyDescent="0.25">
      <c r="A2466" s="1"/>
      <c r="C2466" s="1"/>
      <c r="D2466" s="1"/>
      <c r="E2466" s="1"/>
      <c r="F2466" s="1"/>
    </row>
    <row r="2467" spans="1:6" x14ac:dyDescent="0.25">
      <c r="A2467" s="1"/>
      <c r="C2467" s="1"/>
      <c r="D2467" s="1"/>
      <c r="E2467" s="1"/>
      <c r="F2467" s="1"/>
    </row>
    <row r="2468" spans="1:6" x14ac:dyDescent="0.25">
      <c r="A2468" s="1"/>
      <c r="C2468" s="1"/>
      <c r="D2468" s="1"/>
      <c r="E2468" s="1"/>
      <c r="F2468" s="1"/>
    </row>
    <row r="2469" spans="1:6" x14ac:dyDescent="0.25">
      <c r="A2469" s="1"/>
      <c r="C2469" s="1"/>
      <c r="D2469" s="1"/>
      <c r="E2469" s="1"/>
      <c r="F2469" s="1"/>
    </row>
    <row r="2470" spans="1:6" x14ac:dyDescent="0.25">
      <c r="A2470" s="1"/>
      <c r="C2470" s="1"/>
      <c r="D2470" s="1"/>
      <c r="E2470" s="1"/>
      <c r="F2470" s="1"/>
    </row>
    <row r="2471" spans="1:6" x14ac:dyDescent="0.25">
      <c r="A2471" s="1"/>
      <c r="C2471" s="1"/>
      <c r="D2471" s="1"/>
      <c r="E2471" s="1"/>
      <c r="F2471" s="1"/>
    </row>
    <row r="2472" spans="1:6" x14ac:dyDescent="0.25">
      <c r="A2472" s="1"/>
      <c r="C2472" s="1"/>
      <c r="D2472" s="1"/>
      <c r="E2472" s="1"/>
      <c r="F2472" s="1"/>
    </row>
    <row r="2473" spans="1:6" x14ac:dyDescent="0.25">
      <c r="A2473" s="1"/>
      <c r="C2473" s="1"/>
      <c r="D2473" s="1"/>
      <c r="E2473" s="1"/>
      <c r="F2473" s="1"/>
    </row>
    <row r="2474" spans="1:6" x14ac:dyDescent="0.25">
      <c r="A2474" s="1"/>
      <c r="C2474" s="1"/>
      <c r="D2474" s="1"/>
      <c r="E2474" s="1"/>
      <c r="F2474" s="1"/>
    </row>
    <row r="2475" spans="1:6" x14ac:dyDescent="0.25">
      <c r="A2475" s="1"/>
      <c r="C2475" s="1"/>
      <c r="D2475" s="1"/>
      <c r="E2475" s="1"/>
      <c r="F2475" s="1"/>
    </row>
    <row r="2476" spans="1:6" x14ac:dyDescent="0.25">
      <c r="A2476" s="1"/>
      <c r="C2476" s="1"/>
      <c r="D2476" s="1"/>
      <c r="E2476" s="1"/>
      <c r="F2476" s="1"/>
    </row>
    <row r="2477" spans="1:6" x14ac:dyDescent="0.25">
      <c r="A2477" s="1"/>
      <c r="C2477" s="1"/>
      <c r="D2477" s="1"/>
      <c r="E2477" s="1"/>
      <c r="F2477" s="1"/>
    </row>
    <row r="2478" spans="1:6" x14ac:dyDescent="0.25">
      <c r="A2478" s="1"/>
      <c r="C2478" s="1"/>
      <c r="D2478" s="1"/>
      <c r="E2478" s="1"/>
      <c r="F2478" s="1"/>
    </row>
    <row r="2479" spans="1:6" x14ac:dyDescent="0.25">
      <c r="A2479" s="1"/>
      <c r="C2479" s="1"/>
      <c r="D2479" s="1"/>
      <c r="E2479" s="1"/>
      <c r="F2479" s="1"/>
    </row>
    <row r="2480" spans="1:6" x14ac:dyDescent="0.25">
      <c r="A2480" s="1"/>
      <c r="C2480" s="1"/>
      <c r="D2480" s="1"/>
      <c r="E2480" s="1"/>
      <c r="F2480" s="1"/>
    </row>
    <row r="2481" spans="1:6" x14ac:dyDescent="0.25">
      <c r="A2481" s="1"/>
      <c r="C2481" s="1"/>
      <c r="D2481" s="1"/>
      <c r="E2481" s="1"/>
      <c r="F2481" s="1"/>
    </row>
    <row r="2482" spans="1:6" x14ac:dyDescent="0.25">
      <c r="A2482" s="1"/>
      <c r="C2482" s="1"/>
      <c r="D2482" s="1"/>
      <c r="E2482" s="1"/>
      <c r="F2482" s="1"/>
    </row>
    <row r="2483" spans="1:6" x14ac:dyDescent="0.25">
      <c r="A2483" s="1"/>
      <c r="C2483" s="1"/>
      <c r="D2483" s="1"/>
      <c r="E2483" s="1"/>
      <c r="F2483" s="1"/>
    </row>
    <row r="2484" spans="1:6" x14ac:dyDescent="0.25">
      <c r="A2484" s="1"/>
      <c r="C2484" s="1"/>
      <c r="D2484" s="1"/>
      <c r="E2484" s="1"/>
      <c r="F2484" s="1"/>
    </row>
    <row r="2485" spans="1:6" x14ac:dyDescent="0.25">
      <c r="A2485" s="1"/>
      <c r="C2485" s="1"/>
      <c r="D2485" s="1"/>
      <c r="E2485" s="1"/>
      <c r="F2485" s="1"/>
    </row>
    <row r="2486" spans="1:6" x14ac:dyDescent="0.25">
      <c r="A2486" s="1"/>
      <c r="C2486" s="1"/>
      <c r="D2486" s="1"/>
      <c r="E2486" s="1"/>
      <c r="F2486" s="1"/>
    </row>
    <row r="2487" spans="1:6" x14ac:dyDescent="0.25">
      <c r="A2487" s="1"/>
      <c r="C2487" s="1"/>
      <c r="D2487" s="1"/>
      <c r="E2487" s="1"/>
      <c r="F2487" s="1"/>
    </row>
    <row r="2488" spans="1:6" x14ac:dyDescent="0.25">
      <c r="A2488" s="1"/>
      <c r="C2488" s="1"/>
      <c r="D2488" s="1"/>
      <c r="E2488" s="1"/>
      <c r="F2488" s="1"/>
    </row>
    <row r="2489" spans="1:6" x14ac:dyDescent="0.25">
      <c r="A2489" s="1"/>
      <c r="C2489" s="1"/>
      <c r="D2489" s="1"/>
      <c r="E2489" s="1"/>
      <c r="F2489" s="1"/>
    </row>
    <row r="2490" spans="1:6" x14ac:dyDescent="0.25">
      <c r="A2490" s="1"/>
      <c r="C2490" s="1"/>
      <c r="D2490" s="1"/>
      <c r="E2490" s="1"/>
      <c r="F2490" s="1"/>
    </row>
    <row r="2491" spans="1:6" x14ac:dyDescent="0.25">
      <c r="A2491" s="1"/>
      <c r="C2491" s="1"/>
      <c r="D2491" s="1"/>
      <c r="E2491" s="1"/>
      <c r="F2491" s="1"/>
    </row>
    <row r="2492" spans="1:6" x14ac:dyDescent="0.25">
      <c r="A2492" s="1"/>
      <c r="C2492" s="1"/>
      <c r="D2492" s="1"/>
      <c r="E2492" s="1"/>
      <c r="F2492" s="1"/>
    </row>
    <row r="2493" spans="1:6" x14ac:dyDescent="0.25">
      <c r="A2493" s="1"/>
      <c r="C2493" s="1"/>
      <c r="D2493" s="1"/>
      <c r="E2493" s="1"/>
      <c r="F2493" s="1"/>
    </row>
    <row r="2494" spans="1:6" x14ac:dyDescent="0.25">
      <c r="A2494" s="1"/>
      <c r="C2494" s="1"/>
      <c r="D2494" s="1"/>
      <c r="E2494" s="1"/>
      <c r="F2494" s="1"/>
    </row>
    <row r="2495" spans="1:6" x14ac:dyDescent="0.25">
      <c r="A2495" s="1"/>
      <c r="C2495" s="1"/>
      <c r="D2495" s="1"/>
      <c r="E2495" s="1"/>
      <c r="F2495" s="1"/>
    </row>
    <row r="2496" spans="1:6" x14ac:dyDescent="0.25">
      <c r="A2496" s="1"/>
      <c r="C2496" s="1"/>
      <c r="D2496" s="1"/>
      <c r="E2496" s="1"/>
      <c r="F2496" s="1"/>
    </row>
    <row r="2497" spans="1:6" x14ac:dyDescent="0.25">
      <c r="A2497" s="1"/>
      <c r="C2497" s="1"/>
      <c r="D2497" s="1"/>
      <c r="E2497" s="1"/>
      <c r="F2497" s="1"/>
    </row>
    <row r="2498" spans="1:6" x14ac:dyDescent="0.25">
      <c r="A2498" s="1"/>
      <c r="C2498" s="1"/>
      <c r="D2498" s="1"/>
      <c r="E2498" s="1"/>
      <c r="F2498" s="1"/>
    </row>
    <row r="2499" spans="1:6" x14ac:dyDescent="0.25">
      <c r="A2499" s="1"/>
      <c r="C2499" s="1"/>
      <c r="D2499" s="1"/>
      <c r="E2499" s="1"/>
      <c r="F2499" s="1"/>
    </row>
    <row r="2500" spans="1:6" x14ac:dyDescent="0.25">
      <c r="A2500" s="1"/>
      <c r="C2500" s="1"/>
      <c r="D2500" s="1"/>
      <c r="E2500" s="1"/>
      <c r="F2500" s="1"/>
    </row>
    <row r="2501" spans="1:6" x14ac:dyDescent="0.25">
      <c r="A2501" s="1"/>
      <c r="C2501" s="1"/>
      <c r="D2501" s="1"/>
      <c r="E2501" s="1"/>
      <c r="F2501" s="1"/>
    </row>
    <row r="2502" spans="1:6" x14ac:dyDescent="0.25">
      <c r="A2502" s="1"/>
      <c r="C2502" s="1"/>
      <c r="D2502" s="1"/>
      <c r="E2502" s="1"/>
      <c r="F2502" s="1"/>
    </row>
    <row r="2503" spans="1:6" x14ac:dyDescent="0.25">
      <c r="A2503" s="1"/>
      <c r="C2503" s="1"/>
      <c r="D2503" s="1"/>
      <c r="E2503" s="1"/>
      <c r="F2503" s="1"/>
    </row>
    <row r="2504" spans="1:6" x14ac:dyDescent="0.25">
      <c r="A2504" s="1"/>
      <c r="C2504" s="1"/>
      <c r="D2504" s="1"/>
      <c r="E2504" s="1"/>
      <c r="F2504" s="1"/>
    </row>
    <row r="2505" spans="1:6" x14ac:dyDescent="0.25">
      <c r="A2505" s="1"/>
      <c r="C2505" s="1"/>
      <c r="D2505" s="1"/>
      <c r="E2505" s="1"/>
      <c r="F2505" s="1"/>
    </row>
    <row r="2506" spans="1:6" x14ac:dyDescent="0.25">
      <c r="A2506" s="1"/>
      <c r="C2506" s="1"/>
      <c r="D2506" s="1"/>
      <c r="E2506" s="1"/>
      <c r="F2506" s="1"/>
    </row>
    <row r="2507" spans="1:6" x14ac:dyDescent="0.25">
      <c r="A2507" s="1"/>
      <c r="C2507" s="1"/>
      <c r="D2507" s="1"/>
      <c r="E2507" s="1"/>
      <c r="F2507" s="1"/>
    </row>
    <row r="2508" spans="1:6" x14ac:dyDescent="0.25">
      <c r="A2508" s="1"/>
      <c r="C2508" s="1"/>
      <c r="D2508" s="1"/>
      <c r="E2508" s="1"/>
      <c r="F2508" s="1"/>
    </row>
    <row r="2509" spans="1:6" x14ac:dyDescent="0.25">
      <c r="A2509" s="1"/>
      <c r="C2509" s="1"/>
      <c r="D2509" s="1"/>
      <c r="E2509" s="1"/>
      <c r="F2509" s="1"/>
    </row>
    <row r="2510" spans="1:6" x14ac:dyDescent="0.25">
      <c r="A2510" s="1"/>
      <c r="C2510" s="1"/>
      <c r="D2510" s="1"/>
      <c r="E2510" s="1"/>
      <c r="F2510" s="1"/>
    </row>
    <row r="2511" spans="1:6" x14ac:dyDescent="0.25">
      <c r="A2511" s="1"/>
      <c r="C2511" s="1"/>
      <c r="D2511" s="1"/>
      <c r="E2511" s="1"/>
      <c r="F2511" s="1"/>
    </row>
    <row r="2512" spans="1:6" x14ac:dyDescent="0.25">
      <c r="A2512" s="1"/>
      <c r="C2512" s="1"/>
      <c r="D2512" s="1"/>
      <c r="E2512" s="1"/>
      <c r="F2512" s="1"/>
    </row>
    <row r="2513" spans="1:6" x14ac:dyDescent="0.25">
      <c r="A2513" s="1"/>
      <c r="C2513" s="1"/>
      <c r="D2513" s="1"/>
      <c r="E2513" s="1"/>
      <c r="F2513" s="1"/>
    </row>
    <row r="2514" spans="1:6" x14ac:dyDescent="0.25">
      <c r="A2514" s="1"/>
      <c r="C2514" s="1"/>
      <c r="D2514" s="1"/>
      <c r="E2514" s="1"/>
      <c r="F2514" s="1"/>
    </row>
    <row r="2515" spans="1:6" x14ac:dyDescent="0.25">
      <c r="A2515" s="1"/>
      <c r="C2515" s="1"/>
      <c r="D2515" s="1"/>
      <c r="E2515" s="1"/>
      <c r="F2515" s="1"/>
    </row>
    <row r="2516" spans="1:6" x14ac:dyDescent="0.25">
      <c r="A2516" s="1"/>
      <c r="C2516" s="1"/>
      <c r="D2516" s="1"/>
      <c r="E2516" s="1"/>
      <c r="F2516" s="1"/>
    </row>
    <row r="2517" spans="1:6" x14ac:dyDescent="0.25">
      <c r="A2517" s="1"/>
      <c r="C2517" s="1"/>
      <c r="D2517" s="1"/>
      <c r="E2517" s="1"/>
      <c r="F2517" s="1"/>
    </row>
    <row r="2518" spans="1:6" x14ac:dyDescent="0.25">
      <c r="A2518" s="1"/>
      <c r="C2518" s="1"/>
      <c r="D2518" s="1"/>
      <c r="E2518" s="1"/>
      <c r="F2518" s="1"/>
    </row>
    <row r="2519" spans="1:6" x14ac:dyDescent="0.25">
      <c r="A2519" s="1"/>
      <c r="C2519" s="1"/>
      <c r="D2519" s="1"/>
      <c r="E2519" s="1"/>
      <c r="F2519" s="1"/>
    </row>
    <row r="2520" spans="1:6" x14ac:dyDescent="0.25">
      <c r="A2520" s="1"/>
      <c r="C2520" s="1"/>
      <c r="D2520" s="1"/>
      <c r="E2520" s="1"/>
      <c r="F2520" s="1"/>
    </row>
    <row r="2521" spans="1:6" x14ac:dyDescent="0.25">
      <c r="A2521" s="1"/>
      <c r="C2521" s="1"/>
      <c r="D2521" s="1"/>
      <c r="E2521" s="1"/>
      <c r="F2521" s="1"/>
    </row>
    <row r="2522" spans="1:6" x14ac:dyDescent="0.25">
      <c r="A2522" s="1"/>
      <c r="C2522" s="1"/>
      <c r="D2522" s="1"/>
      <c r="E2522" s="1"/>
      <c r="F2522" s="1"/>
    </row>
    <row r="2523" spans="1:6" x14ac:dyDescent="0.25">
      <c r="A2523" s="1"/>
      <c r="C2523" s="1"/>
      <c r="D2523" s="1"/>
      <c r="E2523" s="1"/>
      <c r="F2523" s="1"/>
    </row>
    <row r="2524" spans="1:6" x14ac:dyDescent="0.25">
      <c r="A2524" s="1"/>
      <c r="C2524" s="1"/>
      <c r="D2524" s="1"/>
      <c r="E2524" s="1"/>
      <c r="F2524" s="1"/>
    </row>
    <row r="2525" spans="1:6" x14ac:dyDescent="0.25">
      <c r="A2525" s="1"/>
      <c r="C2525" s="1"/>
      <c r="D2525" s="1"/>
      <c r="E2525" s="1"/>
      <c r="F2525" s="1"/>
    </row>
    <row r="2526" spans="1:6" x14ac:dyDescent="0.25">
      <c r="A2526" s="1"/>
      <c r="C2526" s="1"/>
      <c r="D2526" s="1"/>
      <c r="E2526" s="1"/>
      <c r="F2526" s="1"/>
    </row>
    <row r="2527" spans="1:6" x14ac:dyDescent="0.25">
      <c r="A2527" s="1"/>
      <c r="C2527" s="1"/>
      <c r="D2527" s="1"/>
      <c r="E2527" s="1"/>
      <c r="F2527" s="1"/>
    </row>
    <row r="2528" spans="1:6" x14ac:dyDescent="0.25">
      <c r="A2528" s="1"/>
      <c r="C2528" s="1"/>
      <c r="D2528" s="1"/>
      <c r="E2528" s="1"/>
      <c r="F2528" s="1"/>
    </row>
    <row r="2529" spans="1:6" x14ac:dyDescent="0.25">
      <c r="A2529" s="1"/>
      <c r="C2529" s="1"/>
      <c r="D2529" s="1"/>
      <c r="E2529" s="1"/>
      <c r="F2529" s="1"/>
    </row>
    <row r="2530" spans="1:6" x14ac:dyDescent="0.25">
      <c r="A2530" s="1"/>
      <c r="C2530" s="1"/>
      <c r="D2530" s="1"/>
      <c r="E2530" s="1"/>
      <c r="F2530" s="1"/>
    </row>
    <row r="2531" spans="1:6" x14ac:dyDescent="0.25">
      <c r="A2531" s="1"/>
      <c r="C2531" s="1"/>
      <c r="D2531" s="1"/>
      <c r="E2531" s="1"/>
      <c r="F2531" s="1"/>
    </row>
    <row r="2532" spans="1:6" x14ac:dyDescent="0.25">
      <c r="A2532" s="1"/>
      <c r="C2532" s="1"/>
      <c r="D2532" s="1"/>
      <c r="E2532" s="1"/>
      <c r="F2532" s="1"/>
    </row>
    <row r="2533" spans="1:6" x14ac:dyDescent="0.25">
      <c r="A2533" s="1"/>
      <c r="C2533" s="1"/>
      <c r="D2533" s="1"/>
      <c r="E2533" s="1"/>
      <c r="F2533" s="1"/>
    </row>
    <row r="2534" spans="1:6" x14ac:dyDescent="0.25">
      <c r="A2534" s="1"/>
      <c r="C2534" s="1"/>
      <c r="D2534" s="1"/>
      <c r="E2534" s="1"/>
      <c r="F2534" s="1"/>
    </row>
    <row r="2535" spans="1:6" x14ac:dyDescent="0.25">
      <c r="A2535" s="1"/>
      <c r="C2535" s="1"/>
      <c r="D2535" s="1"/>
      <c r="E2535" s="1"/>
      <c r="F2535" s="1"/>
    </row>
    <row r="2536" spans="1:6" x14ac:dyDescent="0.25">
      <c r="A2536" s="1"/>
      <c r="C2536" s="1"/>
      <c r="D2536" s="1"/>
      <c r="E2536" s="1"/>
      <c r="F2536" s="1"/>
    </row>
    <row r="2537" spans="1:6" x14ac:dyDescent="0.25">
      <c r="A2537" s="1"/>
      <c r="C2537" s="1"/>
      <c r="D2537" s="1"/>
      <c r="E2537" s="1"/>
      <c r="F2537" s="1"/>
    </row>
    <row r="2538" spans="1:6" x14ac:dyDescent="0.25">
      <c r="A2538" s="1"/>
      <c r="C2538" s="1"/>
      <c r="D2538" s="1"/>
      <c r="E2538" s="1"/>
      <c r="F2538" s="1"/>
    </row>
    <row r="2539" spans="1:6" x14ac:dyDescent="0.25">
      <c r="A2539" s="1"/>
      <c r="C2539" s="1"/>
      <c r="D2539" s="1"/>
      <c r="E2539" s="1"/>
      <c r="F2539" s="1"/>
    </row>
    <row r="2540" spans="1:6" x14ac:dyDescent="0.25">
      <c r="A2540" s="1"/>
      <c r="C2540" s="1"/>
      <c r="D2540" s="1"/>
      <c r="E2540" s="1"/>
      <c r="F2540" s="1"/>
    </row>
    <row r="2541" spans="1:6" x14ac:dyDescent="0.25">
      <c r="A2541" s="1"/>
      <c r="C2541" s="1"/>
      <c r="D2541" s="1"/>
      <c r="E2541" s="1"/>
      <c r="F2541" s="1"/>
    </row>
    <row r="2542" spans="1:6" x14ac:dyDescent="0.25">
      <c r="A2542" s="1"/>
      <c r="C2542" s="1"/>
      <c r="D2542" s="1"/>
      <c r="E2542" s="1"/>
      <c r="F2542" s="1"/>
    </row>
    <row r="2543" spans="1:6" x14ac:dyDescent="0.25">
      <c r="A2543" s="1"/>
      <c r="C2543" s="1"/>
      <c r="D2543" s="1"/>
      <c r="E2543" s="1"/>
      <c r="F2543" s="1"/>
    </row>
    <row r="2544" spans="1:6" x14ac:dyDescent="0.25">
      <c r="A2544" s="1"/>
      <c r="C2544" s="1"/>
      <c r="D2544" s="1"/>
      <c r="E2544" s="1"/>
      <c r="F2544" s="1"/>
    </row>
    <row r="2545" spans="1:6" x14ac:dyDescent="0.25">
      <c r="A2545" s="1"/>
      <c r="C2545" s="1"/>
      <c r="D2545" s="1"/>
      <c r="E2545" s="1"/>
      <c r="F2545" s="1"/>
    </row>
    <row r="2546" spans="1:6" x14ac:dyDescent="0.25">
      <c r="A2546" s="1"/>
      <c r="C2546" s="1"/>
      <c r="D2546" s="1"/>
      <c r="E2546" s="1"/>
      <c r="F2546" s="1"/>
    </row>
    <row r="2547" spans="1:6" x14ac:dyDescent="0.25">
      <c r="A2547" s="1"/>
      <c r="C2547" s="1"/>
      <c r="D2547" s="1"/>
      <c r="E2547" s="1"/>
      <c r="F2547" s="1"/>
    </row>
    <row r="2548" spans="1:6" x14ac:dyDescent="0.25">
      <c r="A2548" s="1"/>
      <c r="C2548" s="1"/>
      <c r="D2548" s="1"/>
      <c r="E2548" s="1"/>
      <c r="F2548" s="1"/>
    </row>
    <row r="2549" spans="1:6" x14ac:dyDescent="0.25">
      <c r="A2549" s="1"/>
      <c r="C2549" s="1"/>
      <c r="D2549" s="1"/>
      <c r="E2549" s="1"/>
      <c r="F2549" s="1"/>
    </row>
    <row r="2550" spans="1:6" x14ac:dyDescent="0.25">
      <c r="A2550" s="1"/>
      <c r="C2550" s="1"/>
      <c r="D2550" s="1"/>
      <c r="E2550" s="1"/>
      <c r="F2550" s="1"/>
    </row>
    <row r="2551" spans="1:6" x14ac:dyDescent="0.25">
      <c r="A2551" s="1"/>
      <c r="C2551" s="1"/>
      <c r="D2551" s="1"/>
      <c r="E2551" s="1"/>
      <c r="F2551" s="1"/>
    </row>
    <row r="2552" spans="1:6" x14ac:dyDescent="0.25">
      <c r="A2552" s="1"/>
      <c r="C2552" s="1"/>
      <c r="D2552" s="1"/>
      <c r="E2552" s="1"/>
      <c r="F2552" s="1"/>
    </row>
    <row r="2553" spans="1:6" x14ac:dyDescent="0.25">
      <c r="A2553" s="1"/>
      <c r="C2553" s="1"/>
      <c r="D2553" s="1"/>
      <c r="E2553" s="1"/>
      <c r="F2553" s="1"/>
    </row>
    <row r="2554" spans="1:6" x14ac:dyDescent="0.25">
      <c r="A2554" s="1"/>
      <c r="C2554" s="1"/>
      <c r="D2554" s="1"/>
      <c r="E2554" s="1"/>
      <c r="F2554" s="1"/>
    </row>
    <row r="2555" spans="1:6" x14ac:dyDescent="0.25">
      <c r="A2555" s="1"/>
      <c r="C2555" s="1"/>
      <c r="D2555" s="1"/>
      <c r="E2555" s="1"/>
      <c r="F2555" s="1"/>
    </row>
    <row r="2556" spans="1:6" x14ac:dyDescent="0.25">
      <c r="A2556" s="1"/>
      <c r="C2556" s="1"/>
      <c r="D2556" s="1"/>
      <c r="E2556" s="1"/>
      <c r="F2556" s="1"/>
    </row>
    <row r="2557" spans="1:6" x14ac:dyDescent="0.25">
      <c r="A2557" s="1"/>
      <c r="C2557" s="1"/>
      <c r="D2557" s="1"/>
      <c r="E2557" s="1"/>
      <c r="F2557" s="1"/>
    </row>
    <row r="2558" spans="1:6" x14ac:dyDescent="0.25">
      <c r="A2558" s="1"/>
      <c r="C2558" s="1"/>
      <c r="D2558" s="1"/>
      <c r="E2558" s="1"/>
      <c r="F2558" s="1"/>
    </row>
    <row r="2559" spans="1:6" x14ac:dyDescent="0.25">
      <c r="A2559" s="1"/>
      <c r="C2559" s="1"/>
      <c r="D2559" s="1"/>
      <c r="E2559" s="1"/>
      <c r="F2559" s="1"/>
    </row>
    <row r="2560" spans="1:6" x14ac:dyDescent="0.25">
      <c r="A2560" s="1"/>
      <c r="C2560" s="1"/>
      <c r="D2560" s="1"/>
      <c r="E2560" s="1"/>
      <c r="F2560" s="1"/>
    </row>
    <row r="2561" spans="1:6" x14ac:dyDescent="0.25">
      <c r="A2561" s="1"/>
      <c r="C2561" s="1"/>
      <c r="D2561" s="1"/>
      <c r="E2561" s="1"/>
      <c r="F2561" s="1"/>
    </row>
    <row r="2562" spans="1:6" x14ac:dyDescent="0.25">
      <c r="A2562" s="1"/>
      <c r="C2562" s="1"/>
      <c r="D2562" s="1"/>
      <c r="E2562" s="1"/>
      <c r="F2562" s="1"/>
    </row>
    <row r="2563" spans="1:6" x14ac:dyDescent="0.25">
      <c r="A2563" s="1"/>
      <c r="C2563" s="1"/>
      <c r="D2563" s="1"/>
      <c r="E2563" s="1"/>
      <c r="F2563" s="1"/>
    </row>
    <row r="2564" spans="1:6" x14ac:dyDescent="0.25">
      <c r="A2564" s="1"/>
      <c r="C2564" s="1"/>
      <c r="D2564" s="1"/>
      <c r="E2564" s="1"/>
      <c r="F2564" s="1"/>
    </row>
    <row r="2565" spans="1:6" x14ac:dyDescent="0.25">
      <c r="A2565" s="1"/>
      <c r="C2565" s="1"/>
      <c r="D2565" s="1"/>
      <c r="E2565" s="1"/>
      <c r="F2565" s="1"/>
    </row>
    <row r="2566" spans="1:6" x14ac:dyDescent="0.25">
      <c r="A2566" s="1"/>
      <c r="C2566" s="1"/>
      <c r="D2566" s="1"/>
      <c r="E2566" s="1"/>
      <c r="F2566" s="1"/>
    </row>
    <row r="2567" spans="1:6" x14ac:dyDescent="0.25">
      <c r="A2567" s="1"/>
      <c r="C2567" s="1"/>
      <c r="D2567" s="1"/>
      <c r="E2567" s="1"/>
      <c r="F2567" s="1"/>
    </row>
    <row r="2568" spans="1:6" x14ac:dyDescent="0.25">
      <c r="A2568" s="1"/>
      <c r="C2568" s="1"/>
      <c r="D2568" s="1"/>
      <c r="E2568" s="1"/>
      <c r="F2568" s="1"/>
    </row>
    <row r="2569" spans="1:6" x14ac:dyDescent="0.25">
      <c r="A2569" s="1"/>
      <c r="C2569" s="1"/>
      <c r="D2569" s="1"/>
      <c r="E2569" s="1"/>
      <c r="F2569" s="1"/>
    </row>
    <row r="2570" spans="1:6" x14ac:dyDescent="0.25">
      <c r="A2570" s="1"/>
      <c r="C2570" s="1"/>
      <c r="D2570" s="1"/>
      <c r="E2570" s="1"/>
      <c r="F2570" s="1"/>
    </row>
    <row r="2571" spans="1:6" x14ac:dyDescent="0.25">
      <c r="A2571" s="1"/>
      <c r="C2571" s="1"/>
      <c r="D2571" s="1"/>
      <c r="E2571" s="1"/>
      <c r="F2571" s="1"/>
    </row>
    <row r="2572" spans="1:6" x14ac:dyDescent="0.25">
      <c r="A2572" s="1"/>
      <c r="C2572" s="1"/>
      <c r="D2572" s="1"/>
      <c r="E2572" s="1"/>
      <c r="F2572" s="1"/>
    </row>
    <row r="2573" spans="1:6" x14ac:dyDescent="0.25">
      <c r="A2573" s="1"/>
      <c r="C2573" s="1"/>
      <c r="D2573" s="1"/>
      <c r="E2573" s="1"/>
      <c r="F2573" s="1"/>
    </row>
    <row r="2574" spans="1:6" x14ac:dyDescent="0.25">
      <c r="A2574" s="1"/>
      <c r="C2574" s="1"/>
      <c r="D2574" s="1"/>
      <c r="E2574" s="1"/>
      <c r="F2574" s="1"/>
    </row>
    <row r="2575" spans="1:6" x14ac:dyDescent="0.25">
      <c r="A2575" s="1"/>
      <c r="C2575" s="1"/>
      <c r="D2575" s="1"/>
      <c r="E2575" s="1"/>
      <c r="F2575" s="1"/>
    </row>
    <row r="2576" spans="1:6" x14ac:dyDescent="0.25">
      <c r="A2576" s="1"/>
      <c r="C2576" s="1"/>
      <c r="D2576" s="1"/>
      <c r="E2576" s="1"/>
      <c r="F2576" s="1"/>
    </row>
    <row r="2577" spans="1:6" x14ac:dyDescent="0.25">
      <c r="A2577" s="1"/>
      <c r="C2577" s="1"/>
      <c r="D2577" s="1"/>
      <c r="E2577" s="1"/>
      <c r="F2577" s="1"/>
    </row>
    <row r="2578" spans="1:6" x14ac:dyDescent="0.25">
      <c r="A2578" s="1"/>
      <c r="C2578" s="1"/>
      <c r="D2578" s="1"/>
      <c r="E2578" s="1"/>
      <c r="F2578" s="1"/>
    </row>
    <row r="2579" spans="1:6" x14ac:dyDescent="0.25">
      <c r="A2579" s="1"/>
      <c r="C2579" s="1"/>
      <c r="D2579" s="1"/>
      <c r="E2579" s="1"/>
      <c r="F2579" s="1"/>
    </row>
    <row r="2580" spans="1:6" x14ac:dyDescent="0.25">
      <c r="A2580" s="1"/>
      <c r="C2580" s="1"/>
      <c r="D2580" s="1"/>
      <c r="E2580" s="1"/>
      <c r="F2580" s="1"/>
    </row>
    <row r="2581" spans="1:6" x14ac:dyDescent="0.25">
      <c r="A2581" s="1"/>
      <c r="C2581" s="1"/>
      <c r="D2581" s="1"/>
      <c r="E2581" s="1"/>
      <c r="F2581" s="1"/>
    </row>
    <row r="2582" spans="1:6" x14ac:dyDescent="0.25">
      <c r="A2582" s="1"/>
      <c r="C2582" s="1"/>
      <c r="D2582" s="1"/>
      <c r="E2582" s="1"/>
      <c r="F2582" s="1"/>
    </row>
    <row r="2583" spans="1:6" x14ac:dyDescent="0.25">
      <c r="A2583" s="1"/>
      <c r="C2583" s="1"/>
      <c r="D2583" s="1"/>
      <c r="E2583" s="1"/>
      <c r="F2583" s="1"/>
    </row>
    <row r="2584" spans="1:6" x14ac:dyDescent="0.25">
      <c r="A2584" s="1"/>
      <c r="C2584" s="1"/>
      <c r="D2584" s="1"/>
      <c r="E2584" s="1"/>
      <c r="F2584" s="1"/>
    </row>
    <row r="2585" spans="1:6" x14ac:dyDescent="0.25">
      <c r="A2585" s="1"/>
      <c r="C2585" s="1"/>
      <c r="D2585" s="1"/>
      <c r="E2585" s="1"/>
      <c r="F2585" s="1"/>
    </row>
    <row r="2586" spans="1:6" x14ac:dyDescent="0.25">
      <c r="A2586" s="1"/>
      <c r="C2586" s="1"/>
      <c r="D2586" s="1"/>
      <c r="E2586" s="1"/>
      <c r="F2586" s="1"/>
    </row>
    <row r="2587" spans="1:6" x14ac:dyDescent="0.25">
      <c r="A2587" s="1"/>
      <c r="C2587" s="1"/>
      <c r="D2587" s="1"/>
      <c r="E2587" s="1"/>
      <c r="F2587" s="1"/>
    </row>
    <row r="2588" spans="1:6" x14ac:dyDescent="0.25">
      <c r="A2588" s="1"/>
      <c r="C2588" s="1"/>
      <c r="D2588" s="1"/>
      <c r="E2588" s="1"/>
      <c r="F2588" s="1"/>
    </row>
    <row r="2589" spans="1:6" x14ac:dyDescent="0.25">
      <c r="A2589" s="1"/>
      <c r="C2589" s="1"/>
      <c r="D2589" s="1"/>
      <c r="E2589" s="1"/>
      <c r="F2589" s="1"/>
    </row>
    <row r="2590" spans="1:6" x14ac:dyDescent="0.25">
      <c r="A2590" s="1"/>
      <c r="C2590" s="1"/>
      <c r="D2590" s="1"/>
      <c r="E2590" s="1"/>
      <c r="F2590" s="1"/>
    </row>
    <row r="2591" spans="1:6" x14ac:dyDescent="0.25">
      <c r="A2591" s="1"/>
      <c r="C2591" s="1"/>
      <c r="D2591" s="1"/>
      <c r="E2591" s="1"/>
      <c r="F2591" s="1"/>
    </row>
    <row r="2592" spans="1:6" x14ac:dyDescent="0.25">
      <c r="A2592" s="1"/>
      <c r="C2592" s="1"/>
      <c r="D2592" s="1"/>
      <c r="E2592" s="1"/>
      <c r="F2592" s="1"/>
    </row>
    <row r="2593" spans="1:6" x14ac:dyDescent="0.25">
      <c r="A2593" s="1"/>
      <c r="C2593" s="1"/>
      <c r="D2593" s="1"/>
      <c r="E2593" s="1"/>
      <c r="F2593" s="1"/>
    </row>
    <row r="2594" spans="1:6" x14ac:dyDescent="0.25">
      <c r="A2594" s="1"/>
      <c r="C2594" s="1"/>
      <c r="D2594" s="1"/>
      <c r="E2594" s="1"/>
      <c r="F2594" s="1"/>
    </row>
    <row r="2595" spans="1:6" x14ac:dyDescent="0.25">
      <c r="A2595" s="1"/>
      <c r="C2595" s="1"/>
      <c r="D2595" s="1"/>
      <c r="E2595" s="1"/>
      <c r="F2595" s="1"/>
    </row>
    <row r="2596" spans="1:6" x14ac:dyDescent="0.25">
      <c r="A2596" s="1"/>
      <c r="C2596" s="1"/>
      <c r="D2596" s="1"/>
      <c r="E2596" s="1"/>
      <c r="F2596" s="1"/>
    </row>
    <row r="2597" spans="1:6" x14ac:dyDescent="0.25">
      <c r="A2597" s="1"/>
      <c r="C2597" s="1"/>
      <c r="D2597" s="1"/>
      <c r="E2597" s="1"/>
      <c r="F2597" s="1"/>
    </row>
    <row r="2598" spans="1:6" x14ac:dyDescent="0.25">
      <c r="A2598" s="1"/>
      <c r="C2598" s="1"/>
      <c r="D2598" s="1"/>
      <c r="E2598" s="1"/>
      <c r="F2598" s="1"/>
    </row>
    <row r="2599" spans="1:6" x14ac:dyDescent="0.25">
      <c r="A2599" s="1"/>
      <c r="C2599" s="1"/>
      <c r="D2599" s="1"/>
      <c r="E2599" s="1"/>
      <c r="F2599" s="1"/>
    </row>
    <row r="2600" spans="1:6" x14ac:dyDescent="0.25">
      <c r="A2600" s="1"/>
      <c r="C2600" s="1"/>
      <c r="D2600" s="1"/>
      <c r="E2600" s="1"/>
      <c r="F2600" s="1"/>
    </row>
    <row r="2601" spans="1:6" x14ac:dyDescent="0.25">
      <c r="A2601" s="1"/>
      <c r="C2601" s="1"/>
      <c r="D2601" s="1"/>
      <c r="E2601" s="1"/>
      <c r="F2601" s="1"/>
    </row>
    <row r="2602" spans="1:6" x14ac:dyDescent="0.25">
      <c r="A2602" s="1"/>
      <c r="C2602" s="1"/>
      <c r="D2602" s="1"/>
      <c r="E2602" s="1"/>
      <c r="F2602" s="1"/>
    </row>
    <row r="2603" spans="1:6" x14ac:dyDescent="0.25">
      <c r="A2603" s="1"/>
      <c r="C2603" s="1"/>
      <c r="D2603" s="1"/>
      <c r="E2603" s="1"/>
      <c r="F2603" s="1"/>
    </row>
    <row r="2604" spans="1:6" x14ac:dyDescent="0.25">
      <c r="A2604" s="1"/>
      <c r="C2604" s="1"/>
      <c r="D2604" s="1"/>
      <c r="E2604" s="1"/>
      <c r="F2604" s="1"/>
    </row>
    <row r="2605" spans="1:6" x14ac:dyDescent="0.25">
      <c r="A2605" s="1"/>
      <c r="C2605" s="1"/>
      <c r="D2605" s="1"/>
      <c r="E2605" s="1"/>
      <c r="F2605" s="1"/>
    </row>
    <row r="2606" spans="1:6" x14ac:dyDescent="0.25">
      <c r="A2606" s="1"/>
      <c r="C2606" s="1"/>
      <c r="D2606" s="1"/>
      <c r="E2606" s="1"/>
      <c r="F2606" s="1"/>
    </row>
    <row r="2607" spans="1:6" x14ac:dyDescent="0.25">
      <c r="A2607" s="1"/>
      <c r="C2607" s="1"/>
      <c r="D2607" s="1"/>
      <c r="E2607" s="1"/>
      <c r="F2607" s="1"/>
    </row>
    <row r="2608" spans="1:6" x14ac:dyDescent="0.25">
      <c r="A2608" s="1"/>
      <c r="C2608" s="1"/>
      <c r="D2608" s="1"/>
      <c r="E2608" s="1"/>
      <c r="F2608" s="1"/>
    </row>
    <row r="2609" spans="1:6" x14ac:dyDescent="0.25">
      <c r="A2609" s="1"/>
      <c r="C2609" s="1"/>
      <c r="D2609" s="1"/>
      <c r="E2609" s="1"/>
      <c r="F2609" s="1"/>
    </row>
    <row r="2610" spans="1:6" x14ac:dyDescent="0.25">
      <c r="A2610" s="1"/>
      <c r="C2610" s="1"/>
      <c r="D2610" s="1"/>
      <c r="E2610" s="1"/>
      <c r="F2610" s="1"/>
    </row>
    <row r="2611" spans="1:6" x14ac:dyDescent="0.25">
      <c r="A2611" s="1"/>
      <c r="C2611" s="1"/>
      <c r="D2611" s="1"/>
      <c r="E2611" s="1"/>
      <c r="F2611" s="1"/>
    </row>
    <row r="2612" spans="1:6" x14ac:dyDescent="0.25">
      <c r="A2612" s="1"/>
      <c r="C2612" s="1"/>
      <c r="D2612" s="1"/>
      <c r="E2612" s="1"/>
      <c r="F2612" s="1"/>
    </row>
    <row r="2613" spans="1:6" x14ac:dyDescent="0.25">
      <c r="A2613" s="1"/>
      <c r="C2613" s="1"/>
      <c r="D2613" s="1"/>
      <c r="E2613" s="1"/>
      <c r="F2613" s="1"/>
    </row>
    <row r="2614" spans="1:6" x14ac:dyDescent="0.25">
      <c r="A2614" s="1"/>
      <c r="C2614" s="1"/>
      <c r="D2614" s="1"/>
      <c r="E2614" s="1"/>
      <c r="F2614" s="1"/>
    </row>
    <row r="2615" spans="1:6" x14ac:dyDescent="0.25">
      <c r="A2615" s="1"/>
      <c r="C2615" s="1"/>
      <c r="D2615" s="1"/>
      <c r="E2615" s="1"/>
      <c r="F2615" s="1"/>
    </row>
    <row r="2616" spans="1:6" x14ac:dyDescent="0.25">
      <c r="A2616" s="1"/>
      <c r="C2616" s="1"/>
      <c r="D2616" s="1"/>
      <c r="E2616" s="1"/>
      <c r="F2616" s="1"/>
    </row>
    <row r="2617" spans="1:6" x14ac:dyDescent="0.25">
      <c r="A2617" s="1"/>
      <c r="C2617" s="1"/>
      <c r="D2617" s="1"/>
      <c r="E2617" s="1"/>
      <c r="F2617" s="1"/>
    </row>
    <row r="2618" spans="1:6" x14ac:dyDescent="0.25">
      <c r="A2618" s="1"/>
      <c r="C2618" s="1"/>
      <c r="D2618" s="1"/>
      <c r="E2618" s="1"/>
      <c r="F2618" s="1"/>
    </row>
    <row r="2619" spans="1:6" x14ac:dyDescent="0.25">
      <c r="A2619" s="1"/>
      <c r="C2619" s="1"/>
      <c r="D2619" s="1"/>
      <c r="E2619" s="1"/>
      <c r="F2619" s="1"/>
    </row>
    <row r="2620" spans="1:6" x14ac:dyDescent="0.25">
      <c r="A2620" s="1"/>
      <c r="C2620" s="1"/>
      <c r="D2620" s="1"/>
      <c r="E2620" s="1"/>
      <c r="F2620" s="1"/>
    </row>
    <row r="2621" spans="1:6" x14ac:dyDescent="0.25">
      <c r="A2621" s="1"/>
      <c r="C2621" s="1"/>
      <c r="D2621" s="1"/>
      <c r="E2621" s="1"/>
      <c r="F2621" s="1"/>
    </row>
    <row r="2622" spans="1:6" x14ac:dyDescent="0.25">
      <c r="A2622" s="1"/>
      <c r="C2622" s="1"/>
      <c r="D2622" s="1"/>
      <c r="E2622" s="1"/>
      <c r="F2622" s="1"/>
    </row>
    <row r="2623" spans="1:6" x14ac:dyDescent="0.25">
      <c r="A2623" s="1"/>
      <c r="C2623" s="1"/>
      <c r="D2623" s="1"/>
      <c r="E2623" s="1"/>
      <c r="F2623" s="1"/>
    </row>
    <row r="2624" spans="1:6" x14ac:dyDescent="0.25">
      <c r="A2624" s="1"/>
      <c r="C2624" s="1"/>
      <c r="D2624" s="1"/>
      <c r="E2624" s="1"/>
      <c r="F2624" s="1"/>
    </row>
    <row r="2625" spans="1:6" x14ac:dyDescent="0.25">
      <c r="A2625" s="1"/>
      <c r="C2625" s="1"/>
      <c r="D2625" s="1"/>
      <c r="E2625" s="1"/>
      <c r="F2625" s="1"/>
    </row>
    <row r="2626" spans="1:6" x14ac:dyDescent="0.25">
      <c r="A2626" s="1"/>
      <c r="C2626" s="1"/>
      <c r="D2626" s="1"/>
      <c r="E2626" s="1"/>
      <c r="F2626" s="1"/>
    </row>
    <row r="2627" spans="1:6" x14ac:dyDescent="0.25">
      <c r="A2627" s="1"/>
      <c r="C2627" s="1"/>
      <c r="D2627" s="1"/>
      <c r="E2627" s="1"/>
      <c r="F2627" s="1"/>
    </row>
    <row r="2628" spans="1:6" x14ac:dyDescent="0.25">
      <c r="A2628" s="1"/>
      <c r="C2628" s="1"/>
      <c r="D2628" s="1"/>
      <c r="E2628" s="1"/>
      <c r="F2628" s="1"/>
    </row>
    <row r="2629" spans="1:6" x14ac:dyDescent="0.25">
      <c r="A2629" s="1"/>
      <c r="C2629" s="1"/>
      <c r="D2629" s="1"/>
      <c r="E2629" s="1"/>
      <c r="F2629" s="1"/>
    </row>
    <row r="2630" spans="1:6" x14ac:dyDescent="0.25">
      <c r="A2630" s="1"/>
      <c r="C2630" s="1"/>
      <c r="D2630" s="1"/>
      <c r="E2630" s="1"/>
      <c r="F2630" s="1"/>
    </row>
    <row r="2631" spans="1:6" x14ac:dyDescent="0.25">
      <c r="A2631" s="1"/>
      <c r="C2631" s="1"/>
      <c r="D2631" s="1"/>
      <c r="E2631" s="1"/>
      <c r="F2631" s="1"/>
    </row>
    <row r="2632" spans="1:6" x14ac:dyDescent="0.25">
      <c r="A2632" s="1"/>
      <c r="C2632" s="1"/>
      <c r="D2632" s="1"/>
      <c r="E2632" s="1"/>
      <c r="F2632" s="1"/>
    </row>
    <row r="2633" spans="1:6" x14ac:dyDescent="0.25">
      <c r="A2633" s="1"/>
      <c r="C2633" s="1"/>
      <c r="D2633" s="1"/>
      <c r="E2633" s="1"/>
      <c r="F2633" s="1"/>
    </row>
    <row r="2634" spans="1:6" x14ac:dyDescent="0.25">
      <c r="A2634" s="1"/>
      <c r="C2634" s="1"/>
      <c r="D2634" s="1"/>
      <c r="E2634" s="1"/>
      <c r="F2634" s="1"/>
    </row>
    <row r="2635" spans="1:6" x14ac:dyDescent="0.25">
      <c r="A2635" s="1"/>
      <c r="C2635" s="1"/>
      <c r="D2635" s="1"/>
      <c r="E2635" s="1"/>
      <c r="F2635" s="1"/>
    </row>
    <row r="2636" spans="1:6" x14ac:dyDescent="0.25">
      <c r="A2636" s="1"/>
      <c r="C2636" s="1"/>
      <c r="D2636" s="1"/>
      <c r="E2636" s="1"/>
      <c r="F2636" s="1"/>
    </row>
    <row r="2637" spans="1:6" x14ac:dyDescent="0.25">
      <c r="A2637" s="1"/>
      <c r="C2637" s="1"/>
      <c r="D2637" s="1"/>
      <c r="E2637" s="1"/>
      <c r="F2637" s="1"/>
    </row>
    <row r="2638" spans="1:6" x14ac:dyDescent="0.25">
      <c r="A2638" s="1"/>
      <c r="C2638" s="1"/>
      <c r="D2638" s="1"/>
      <c r="E2638" s="1"/>
      <c r="F2638" s="1"/>
    </row>
    <row r="2639" spans="1:6" x14ac:dyDescent="0.25">
      <c r="A2639" s="1"/>
      <c r="C2639" s="1"/>
      <c r="D2639" s="1"/>
      <c r="E2639" s="1"/>
      <c r="F2639" s="1"/>
    </row>
    <row r="2640" spans="1:6" x14ac:dyDescent="0.25">
      <c r="A2640" s="1"/>
      <c r="C2640" s="1"/>
      <c r="D2640" s="1"/>
      <c r="E2640" s="1"/>
      <c r="F2640" s="1"/>
    </row>
    <row r="2641" spans="1:6" x14ac:dyDescent="0.25">
      <c r="A2641" s="1"/>
      <c r="C2641" s="1"/>
      <c r="D2641" s="1"/>
      <c r="E2641" s="1"/>
      <c r="F2641" s="1"/>
    </row>
    <row r="2642" spans="1:6" x14ac:dyDescent="0.25">
      <c r="A2642" s="1"/>
      <c r="C2642" s="1"/>
      <c r="D2642" s="1"/>
      <c r="E2642" s="1"/>
      <c r="F2642" s="1"/>
    </row>
    <row r="2643" spans="1:6" x14ac:dyDescent="0.25">
      <c r="A2643" s="1"/>
      <c r="C2643" s="1"/>
      <c r="D2643" s="1"/>
      <c r="E2643" s="1"/>
      <c r="F2643" s="1"/>
    </row>
    <row r="2644" spans="1:6" x14ac:dyDescent="0.25">
      <c r="A2644" s="1"/>
      <c r="C2644" s="1"/>
      <c r="D2644" s="1"/>
      <c r="E2644" s="1"/>
      <c r="F2644" s="1"/>
    </row>
    <row r="2645" spans="1:6" x14ac:dyDescent="0.25">
      <c r="A2645" s="1"/>
      <c r="C2645" s="1"/>
      <c r="D2645" s="1"/>
      <c r="E2645" s="1"/>
      <c r="F2645" s="1"/>
    </row>
    <row r="2646" spans="1:6" x14ac:dyDescent="0.25">
      <c r="A2646" s="1"/>
      <c r="C2646" s="1"/>
      <c r="D2646" s="1"/>
      <c r="E2646" s="1"/>
      <c r="F2646" s="1"/>
    </row>
    <row r="2647" spans="1:6" x14ac:dyDescent="0.25">
      <c r="A2647" s="1"/>
      <c r="C2647" s="1"/>
      <c r="D2647" s="1"/>
      <c r="E2647" s="1"/>
      <c r="F2647" s="1"/>
    </row>
    <row r="2648" spans="1:6" x14ac:dyDescent="0.25">
      <c r="A2648" s="1"/>
      <c r="C2648" s="1"/>
      <c r="D2648" s="1"/>
      <c r="E2648" s="1"/>
      <c r="F2648" s="1"/>
    </row>
    <row r="2649" spans="1:6" x14ac:dyDescent="0.25">
      <c r="A2649" s="1"/>
      <c r="C2649" s="1"/>
      <c r="D2649" s="1"/>
      <c r="E2649" s="1"/>
      <c r="F2649" s="1"/>
    </row>
    <row r="2650" spans="1:6" x14ac:dyDescent="0.25">
      <c r="A2650" s="1"/>
      <c r="C2650" s="1"/>
      <c r="D2650" s="1"/>
      <c r="E2650" s="1"/>
      <c r="F2650" s="1"/>
    </row>
    <row r="2651" spans="1:6" x14ac:dyDescent="0.25">
      <c r="A2651" s="1"/>
      <c r="C2651" s="1"/>
      <c r="D2651" s="1"/>
      <c r="E2651" s="1"/>
      <c r="F2651" s="1"/>
    </row>
    <row r="2652" spans="1:6" x14ac:dyDescent="0.25">
      <c r="A2652" s="1"/>
      <c r="C2652" s="1"/>
      <c r="D2652" s="1"/>
      <c r="E2652" s="1"/>
      <c r="F2652" s="1"/>
    </row>
    <row r="2653" spans="1:6" x14ac:dyDescent="0.25">
      <c r="A2653" s="1"/>
      <c r="C2653" s="1"/>
      <c r="D2653" s="1"/>
      <c r="E2653" s="1"/>
      <c r="F2653" s="1"/>
    </row>
    <row r="2654" spans="1:6" x14ac:dyDescent="0.25">
      <c r="A2654" s="1"/>
      <c r="C2654" s="1"/>
      <c r="D2654" s="1"/>
      <c r="E2654" s="1"/>
      <c r="F2654" s="1"/>
    </row>
    <row r="2655" spans="1:6" x14ac:dyDescent="0.25">
      <c r="A2655" s="1"/>
      <c r="C2655" s="1"/>
      <c r="D2655" s="1"/>
      <c r="E2655" s="1"/>
      <c r="F2655" s="1"/>
    </row>
    <row r="2656" spans="1:6" x14ac:dyDescent="0.25">
      <c r="A2656" s="1"/>
      <c r="C2656" s="1"/>
      <c r="D2656" s="1"/>
      <c r="E2656" s="1"/>
      <c r="F2656" s="1"/>
    </row>
    <row r="2657" spans="1:6" x14ac:dyDescent="0.25">
      <c r="A2657" s="1"/>
      <c r="C2657" s="1"/>
      <c r="D2657" s="1"/>
      <c r="E2657" s="1"/>
      <c r="F2657" s="1"/>
    </row>
    <row r="2658" spans="1:6" x14ac:dyDescent="0.25">
      <c r="A2658" s="1"/>
      <c r="C2658" s="1"/>
      <c r="D2658" s="1"/>
      <c r="E2658" s="1"/>
      <c r="F2658" s="1"/>
    </row>
    <row r="2659" spans="1:6" x14ac:dyDescent="0.25">
      <c r="A2659" s="1"/>
      <c r="C2659" s="1"/>
      <c r="D2659" s="1"/>
      <c r="E2659" s="1"/>
      <c r="F2659" s="1"/>
    </row>
    <row r="2660" spans="1:6" x14ac:dyDescent="0.25">
      <c r="A2660" s="1"/>
      <c r="C2660" s="1"/>
      <c r="D2660" s="1"/>
      <c r="E2660" s="1"/>
      <c r="F2660" s="1"/>
    </row>
    <row r="2661" spans="1:6" x14ac:dyDescent="0.25">
      <c r="A2661" s="1"/>
      <c r="C2661" s="1"/>
      <c r="D2661" s="1"/>
      <c r="E2661" s="1"/>
      <c r="F2661" s="1"/>
    </row>
    <row r="2662" spans="1:6" x14ac:dyDescent="0.25">
      <c r="A2662" s="1"/>
      <c r="C2662" s="1"/>
      <c r="D2662" s="1"/>
      <c r="E2662" s="1"/>
      <c r="F2662" s="1"/>
    </row>
    <row r="2663" spans="1:6" x14ac:dyDescent="0.25">
      <c r="A2663" s="1"/>
      <c r="C2663" s="1"/>
      <c r="D2663" s="1"/>
      <c r="E2663" s="1"/>
      <c r="F2663" s="1"/>
    </row>
    <row r="2664" spans="1:6" x14ac:dyDescent="0.25">
      <c r="A2664" s="1"/>
      <c r="C2664" s="1"/>
      <c r="D2664" s="1"/>
      <c r="E2664" s="1"/>
      <c r="F2664" s="1"/>
    </row>
    <row r="2665" spans="1:6" x14ac:dyDescent="0.25">
      <c r="A2665" s="1"/>
      <c r="C2665" s="1"/>
      <c r="D2665" s="1"/>
      <c r="E2665" s="1"/>
      <c r="F2665" s="1"/>
    </row>
    <row r="2666" spans="1:6" x14ac:dyDescent="0.25">
      <c r="A2666" s="1"/>
      <c r="C2666" s="1"/>
      <c r="D2666" s="1"/>
      <c r="E2666" s="1"/>
      <c r="F2666" s="1"/>
    </row>
    <row r="2667" spans="1:6" x14ac:dyDescent="0.25">
      <c r="A2667" s="1"/>
      <c r="C2667" s="1"/>
      <c r="D2667" s="1"/>
      <c r="E2667" s="1"/>
      <c r="F2667" s="1"/>
    </row>
    <row r="2668" spans="1:6" x14ac:dyDescent="0.25">
      <c r="A2668" s="1"/>
      <c r="C2668" s="1"/>
      <c r="D2668" s="1"/>
      <c r="E2668" s="1"/>
      <c r="F2668" s="1"/>
    </row>
    <row r="2669" spans="1:6" x14ac:dyDescent="0.25">
      <c r="A2669" s="1"/>
      <c r="C2669" s="1"/>
      <c r="D2669" s="1"/>
      <c r="E2669" s="1"/>
      <c r="F2669" s="1"/>
    </row>
    <row r="2670" spans="1:6" x14ac:dyDescent="0.25">
      <c r="A2670" s="1"/>
      <c r="C2670" s="1"/>
      <c r="D2670" s="1"/>
      <c r="E2670" s="1"/>
      <c r="F2670" s="1"/>
    </row>
    <row r="2671" spans="1:6" x14ac:dyDescent="0.25">
      <c r="A2671" s="1"/>
      <c r="C2671" s="1"/>
      <c r="D2671" s="1"/>
      <c r="E2671" s="1"/>
      <c r="F2671" s="1"/>
    </row>
    <row r="2672" spans="1:6" x14ac:dyDescent="0.25">
      <c r="A2672" s="1"/>
      <c r="C2672" s="1"/>
      <c r="D2672" s="1"/>
      <c r="E2672" s="1"/>
      <c r="F2672" s="1"/>
    </row>
    <row r="2673" spans="1:6" x14ac:dyDescent="0.25">
      <c r="A2673" s="1"/>
      <c r="C2673" s="1"/>
      <c r="D2673" s="1"/>
      <c r="E2673" s="1"/>
      <c r="F2673" s="1"/>
    </row>
    <row r="2674" spans="1:6" x14ac:dyDescent="0.25">
      <c r="A2674" s="1"/>
      <c r="C2674" s="1"/>
      <c r="D2674" s="1"/>
      <c r="E2674" s="1"/>
      <c r="F2674" s="1"/>
    </row>
    <row r="2675" spans="1:6" x14ac:dyDescent="0.25">
      <c r="A2675" s="1"/>
      <c r="C2675" s="1"/>
      <c r="D2675" s="1"/>
      <c r="E2675" s="1"/>
      <c r="F2675" s="1"/>
    </row>
    <row r="2676" spans="1:6" x14ac:dyDescent="0.25">
      <c r="A2676" s="1"/>
      <c r="C2676" s="1"/>
      <c r="D2676" s="1"/>
      <c r="E2676" s="1"/>
      <c r="F2676" s="1"/>
    </row>
    <row r="2677" spans="1:6" x14ac:dyDescent="0.25">
      <c r="A2677" s="1"/>
      <c r="C2677" s="1"/>
      <c r="D2677" s="1"/>
      <c r="E2677" s="1"/>
      <c r="F2677" s="1"/>
    </row>
    <row r="2678" spans="1:6" x14ac:dyDescent="0.25">
      <c r="A2678" s="1"/>
      <c r="C2678" s="1"/>
      <c r="D2678" s="1"/>
      <c r="E2678" s="1"/>
      <c r="F2678" s="1"/>
    </row>
    <row r="2679" spans="1:6" x14ac:dyDescent="0.25">
      <c r="A2679" s="1"/>
      <c r="C2679" s="1"/>
      <c r="D2679" s="1"/>
      <c r="E2679" s="1"/>
      <c r="F2679" s="1"/>
    </row>
    <row r="2680" spans="1:6" x14ac:dyDescent="0.25">
      <c r="A2680" s="1"/>
      <c r="C2680" s="1"/>
      <c r="D2680" s="1"/>
      <c r="E2680" s="1"/>
      <c r="F2680" s="1"/>
    </row>
    <row r="2681" spans="1:6" x14ac:dyDescent="0.25">
      <c r="A2681" s="1"/>
      <c r="C2681" s="1"/>
      <c r="D2681" s="1"/>
      <c r="E2681" s="1"/>
      <c r="F2681" s="1"/>
    </row>
    <row r="2682" spans="1:6" x14ac:dyDescent="0.25">
      <c r="A2682" s="1"/>
      <c r="C2682" s="1"/>
      <c r="D2682" s="1"/>
      <c r="E2682" s="1"/>
      <c r="F2682" s="1"/>
    </row>
    <row r="2683" spans="1:6" x14ac:dyDescent="0.25">
      <c r="A2683" s="1"/>
      <c r="C2683" s="1"/>
      <c r="D2683" s="1"/>
      <c r="E2683" s="1"/>
      <c r="F2683" s="1"/>
    </row>
    <row r="2684" spans="1:6" x14ac:dyDescent="0.25">
      <c r="A2684" s="1"/>
      <c r="C2684" s="1"/>
      <c r="D2684" s="1"/>
      <c r="E2684" s="1"/>
      <c r="F2684" s="1"/>
    </row>
    <row r="2685" spans="1:6" x14ac:dyDescent="0.25">
      <c r="A2685" s="1"/>
      <c r="C2685" s="1"/>
      <c r="D2685" s="1"/>
      <c r="E2685" s="1"/>
      <c r="F2685" s="1"/>
    </row>
    <row r="2686" spans="1:6" x14ac:dyDescent="0.25">
      <c r="A2686" s="1"/>
      <c r="C2686" s="1"/>
      <c r="D2686" s="1"/>
      <c r="E2686" s="1"/>
      <c r="F2686" s="1"/>
    </row>
    <row r="2687" spans="1:6" x14ac:dyDescent="0.25">
      <c r="A2687" s="1"/>
      <c r="C2687" s="1"/>
      <c r="D2687" s="1"/>
      <c r="E2687" s="1"/>
      <c r="F2687" s="1"/>
    </row>
    <row r="2688" spans="1:6" x14ac:dyDescent="0.25">
      <c r="A2688" s="1"/>
      <c r="C2688" s="1"/>
      <c r="D2688" s="1"/>
      <c r="E2688" s="1"/>
      <c r="F2688" s="1"/>
    </row>
    <row r="2689" spans="1:6" x14ac:dyDescent="0.25">
      <c r="A2689" s="1"/>
      <c r="C2689" s="1"/>
      <c r="D2689" s="1"/>
      <c r="E2689" s="1"/>
      <c r="F2689" s="1"/>
    </row>
    <row r="2690" spans="1:6" x14ac:dyDescent="0.25">
      <c r="A2690" s="1"/>
      <c r="C2690" s="1"/>
      <c r="D2690" s="1"/>
      <c r="E2690" s="1"/>
      <c r="F2690" s="1"/>
    </row>
    <row r="2691" spans="1:6" x14ac:dyDescent="0.25">
      <c r="A2691" s="1"/>
      <c r="C2691" s="1"/>
      <c r="D2691" s="1"/>
      <c r="E2691" s="1"/>
      <c r="F2691" s="1"/>
    </row>
    <row r="2692" spans="1:6" x14ac:dyDescent="0.25">
      <c r="A2692" s="1"/>
      <c r="C2692" s="1"/>
      <c r="D2692" s="1"/>
      <c r="E2692" s="1"/>
      <c r="F2692" s="1"/>
    </row>
    <row r="2693" spans="1:6" x14ac:dyDescent="0.25">
      <c r="A2693" s="1"/>
      <c r="C2693" s="1"/>
      <c r="D2693" s="1"/>
      <c r="E2693" s="1"/>
      <c r="F2693" s="1"/>
    </row>
    <row r="2694" spans="1:6" x14ac:dyDescent="0.25">
      <c r="A2694" s="1"/>
      <c r="C2694" s="1"/>
      <c r="D2694" s="1"/>
      <c r="E2694" s="1"/>
      <c r="F2694" s="1"/>
    </row>
    <row r="2695" spans="1:6" x14ac:dyDescent="0.25">
      <c r="A2695" s="1"/>
      <c r="C2695" s="1"/>
      <c r="D2695" s="1"/>
      <c r="E2695" s="1"/>
      <c r="F2695" s="1"/>
    </row>
    <row r="2696" spans="1:6" x14ac:dyDescent="0.25">
      <c r="A2696" s="1"/>
      <c r="C2696" s="1"/>
      <c r="D2696" s="1"/>
      <c r="E2696" s="1"/>
      <c r="F2696" s="1"/>
    </row>
    <row r="2697" spans="1:6" x14ac:dyDescent="0.25">
      <c r="A2697" s="1"/>
      <c r="C2697" s="1"/>
      <c r="D2697" s="1"/>
      <c r="E2697" s="1"/>
      <c r="F2697" s="1"/>
    </row>
    <row r="2698" spans="1:6" x14ac:dyDescent="0.25">
      <c r="A2698" s="1"/>
      <c r="C2698" s="1"/>
      <c r="D2698" s="1"/>
      <c r="E2698" s="1"/>
      <c r="F2698" s="1"/>
    </row>
    <row r="2699" spans="1:6" x14ac:dyDescent="0.25">
      <c r="A2699" s="1"/>
      <c r="C2699" s="1"/>
      <c r="D2699" s="1"/>
      <c r="E2699" s="1"/>
      <c r="F2699" s="1"/>
    </row>
    <row r="2700" spans="1:6" x14ac:dyDescent="0.25">
      <c r="A2700" s="1"/>
      <c r="C2700" s="1"/>
      <c r="D2700" s="1"/>
      <c r="E2700" s="1"/>
      <c r="F2700" s="1"/>
    </row>
    <row r="2701" spans="1:6" x14ac:dyDescent="0.25">
      <c r="A2701" s="1"/>
      <c r="C2701" s="1"/>
      <c r="D2701" s="1"/>
      <c r="E2701" s="1"/>
      <c r="F2701" s="1"/>
    </row>
    <row r="2702" spans="1:6" x14ac:dyDescent="0.25">
      <c r="A2702" s="1"/>
      <c r="C2702" s="1"/>
      <c r="D2702" s="1"/>
      <c r="E2702" s="1"/>
      <c r="F2702" s="1"/>
    </row>
    <row r="2703" spans="1:6" x14ac:dyDescent="0.25">
      <c r="A2703" s="1"/>
      <c r="C2703" s="1"/>
      <c r="D2703" s="1"/>
      <c r="E2703" s="1"/>
      <c r="F2703" s="1"/>
    </row>
    <row r="2704" spans="1:6" x14ac:dyDescent="0.25">
      <c r="A2704" s="1"/>
      <c r="C2704" s="1"/>
      <c r="D2704" s="1"/>
      <c r="E2704" s="1"/>
      <c r="F2704" s="1"/>
    </row>
    <row r="2705" spans="1:6" x14ac:dyDescent="0.25">
      <c r="A2705" s="1"/>
      <c r="C2705" s="1"/>
      <c r="D2705" s="1"/>
      <c r="E2705" s="1"/>
      <c r="F2705" s="1"/>
    </row>
    <row r="2706" spans="1:6" x14ac:dyDescent="0.25">
      <c r="A2706" s="1"/>
      <c r="C2706" s="1"/>
      <c r="D2706" s="1"/>
      <c r="E2706" s="1"/>
      <c r="F2706" s="1"/>
    </row>
    <row r="2707" spans="1:6" x14ac:dyDescent="0.25">
      <c r="A2707" s="1"/>
      <c r="C2707" s="1"/>
      <c r="D2707" s="1"/>
      <c r="E2707" s="1"/>
      <c r="F2707" s="1"/>
    </row>
    <row r="2708" spans="1:6" x14ac:dyDescent="0.25">
      <c r="A2708" s="1"/>
      <c r="C2708" s="1"/>
      <c r="D2708" s="1"/>
      <c r="E2708" s="1"/>
      <c r="F2708" s="1"/>
    </row>
    <row r="2709" spans="1:6" x14ac:dyDescent="0.25">
      <c r="A2709" s="1"/>
      <c r="C2709" s="1"/>
      <c r="D2709" s="1"/>
      <c r="E2709" s="1"/>
      <c r="F2709" s="1"/>
    </row>
    <row r="2710" spans="1:6" x14ac:dyDescent="0.25">
      <c r="A2710" s="1"/>
      <c r="C2710" s="1"/>
      <c r="D2710" s="1"/>
      <c r="E2710" s="1"/>
      <c r="F2710" s="1"/>
    </row>
    <row r="2711" spans="1:6" x14ac:dyDescent="0.25">
      <c r="A2711" s="1"/>
      <c r="C2711" s="1"/>
      <c r="D2711" s="1"/>
      <c r="E2711" s="1"/>
      <c r="F2711" s="1"/>
    </row>
    <row r="2712" spans="1:6" x14ac:dyDescent="0.25">
      <c r="A2712" s="1"/>
      <c r="C2712" s="1"/>
      <c r="D2712" s="1"/>
      <c r="E2712" s="1"/>
      <c r="F2712" s="1"/>
    </row>
    <row r="2713" spans="1:6" x14ac:dyDescent="0.25">
      <c r="A2713" s="1"/>
      <c r="C2713" s="1"/>
      <c r="D2713" s="1"/>
      <c r="E2713" s="1"/>
      <c r="F2713" s="1"/>
    </row>
    <row r="2714" spans="1:6" x14ac:dyDescent="0.25">
      <c r="A2714" s="1"/>
      <c r="C2714" s="1"/>
      <c r="D2714" s="1"/>
      <c r="E2714" s="1"/>
      <c r="F2714" s="1"/>
    </row>
    <row r="2715" spans="1:6" x14ac:dyDescent="0.25">
      <c r="A2715" s="1"/>
      <c r="C2715" s="1"/>
      <c r="D2715" s="1"/>
      <c r="E2715" s="1"/>
      <c r="F2715" s="1"/>
    </row>
    <row r="2716" spans="1:6" x14ac:dyDescent="0.25">
      <c r="A2716" s="1"/>
      <c r="C2716" s="1"/>
      <c r="D2716" s="1"/>
      <c r="E2716" s="1"/>
      <c r="F2716" s="1"/>
    </row>
    <row r="2717" spans="1:6" x14ac:dyDescent="0.25">
      <c r="A2717" s="1"/>
      <c r="C2717" s="1"/>
      <c r="D2717" s="1"/>
      <c r="E2717" s="1"/>
      <c r="F2717" s="1"/>
    </row>
    <row r="2718" spans="1:6" x14ac:dyDescent="0.25">
      <c r="A2718" s="1"/>
      <c r="C2718" s="1"/>
      <c r="D2718" s="1"/>
      <c r="E2718" s="1"/>
      <c r="F2718" s="1"/>
    </row>
    <row r="2719" spans="1:6" x14ac:dyDescent="0.25">
      <c r="A2719" s="1"/>
      <c r="C2719" s="1"/>
      <c r="D2719" s="1"/>
      <c r="E2719" s="1"/>
      <c r="F2719" s="1"/>
    </row>
    <row r="2720" spans="1:6" x14ac:dyDescent="0.25">
      <c r="A2720" s="1"/>
      <c r="C2720" s="1"/>
      <c r="D2720" s="1"/>
      <c r="E2720" s="1"/>
      <c r="F2720" s="1"/>
    </row>
    <row r="2721" spans="1:6" x14ac:dyDescent="0.25">
      <c r="A2721" s="1"/>
      <c r="C2721" s="1"/>
      <c r="D2721" s="1"/>
      <c r="E2721" s="1"/>
      <c r="F2721" s="1"/>
    </row>
    <row r="2722" spans="1:6" x14ac:dyDescent="0.25">
      <c r="A2722" s="1"/>
      <c r="C2722" s="1"/>
      <c r="D2722" s="1"/>
      <c r="E2722" s="1"/>
      <c r="F2722" s="1"/>
    </row>
    <row r="2723" spans="1:6" x14ac:dyDescent="0.25">
      <c r="A2723" s="1"/>
      <c r="C2723" s="1"/>
      <c r="D2723" s="1"/>
      <c r="E2723" s="1"/>
      <c r="F2723" s="1"/>
    </row>
    <row r="2724" spans="1:6" x14ac:dyDescent="0.25">
      <c r="A2724" s="1"/>
      <c r="C2724" s="1"/>
      <c r="D2724" s="1"/>
      <c r="E2724" s="1"/>
      <c r="F2724" s="1"/>
    </row>
    <row r="2725" spans="1:6" x14ac:dyDescent="0.25">
      <c r="A2725" s="1"/>
      <c r="C2725" s="1"/>
      <c r="D2725" s="1"/>
      <c r="E2725" s="1"/>
      <c r="F2725" s="1"/>
    </row>
    <row r="2726" spans="1:6" x14ac:dyDescent="0.25">
      <c r="A2726" s="1"/>
      <c r="C2726" s="1"/>
      <c r="D2726" s="1"/>
      <c r="E2726" s="1"/>
      <c r="F2726" s="1"/>
    </row>
    <row r="2727" spans="1:6" x14ac:dyDescent="0.25">
      <c r="A2727" s="1"/>
      <c r="C2727" s="1"/>
      <c r="D2727" s="1"/>
      <c r="E2727" s="1"/>
      <c r="F2727" s="1"/>
    </row>
    <row r="2728" spans="1:6" x14ac:dyDescent="0.25">
      <c r="A2728" s="1"/>
      <c r="C2728" s="1"/>
      <c r="D2728" s="1"/>
      <c r="E2728" s="1"/>
      <c r="F2728" s="1"/>
    </row>
    <row r="2729" spans="1:6" x14ac:dyDescent="0.25">
      <c r="A2729" s="1"/>
      <c r="C2729" s="1"/>
      <c r="D2729" s="1"/>
      <c r="E2729" s="1"/>
      <c r="F2729" s="1"/>
    </row>
    <row r="2730" spans="1:6" x14ac:dyDescent="0.25">
      <c r="A2730" s="1"/>
      <c r="C2730" s="1"/>
      <c r="D2730" s="1"/>
      <c r="E2730" s="1"/>
      <c r="F2730" s="1"/>
    </row>
    <row r="2731" spans="1:6" x14ac:dyDescent="0.25">
      <c r="A2731" s="1"/>
      <c r="C2731" s="1"/>
      <c r="D2731" s="1"/>
      <c r="E2731" s="1"/>
      <c r="F2731" s="1"/>
    </row>
    <row r="2732" spans="1:6" x14ac:dyDescent="0.25">
      <c r="A2732" s="1"/>
      <c r="C2732" s="1"/>
      <c r="D2732" s="1"/>
      <c r="E2732" s="1"/>
      <c r="F2732" s="1"/>
    </row>
    <row r="2733" spans="1:6" x14ac:dyDescent="0.25">
      <c r="A2733" s="1"/>
      <c r="C2733" s="1"/>
      <c r="D2733" s="1"/>
      <c r="E2733" s="1"/>
      <c r="F2733" s="1"/>
    </row>
    <row r="2734" spans="1:6" x14ac:dyDescent="0.25">
      <c r="A2734" s="1"/>
      <c r="C2734" s="1"/>
      <c r="D2734" s="1"/>
      <c r="E2734" s="1"/>
      <c r="F2734" s="1"/>
    </row>
    <row r="2735" spans="1:6" x14ac:dyDescent="0.25">
      <c r="A2735" s="1"/>
      <c r="C2735" s="1"/>
      <c r="D2735" s="1"/>
      <c r="E2735" s="1"/>
      <c r="F2735" s="1"/>
    </row>
    <row r="2736" spans="1:6" x14ac:dyDescent="0.25">
      <c r="A2736" s="1"/>
      <c r="C2736" s="1"/>
      <c r="D2736" s="1"/>
      <c r="E2736" s="1"/>
      <c r="F2736" s="1"/>
    </row>
    <row r="2737" spans="1:6" x14ac:dyDescent="0.25">
      <c r="A2737" s="1"/>
      <c r="C2737" s="1"/>
      <c r="D2737" s="1"/>
      <c r="E2737" s="1"/>
      <c r="F2737" s="1"/>
    </row>
    <row r="2738" spans="1:6" x14ac:dyDescent="0.25">
      <c r="A2738" s="1"/>
      <c r="C2738" s="1"/>
      <c r="D2738" s="1"/>
      <c r="E2738" s="1"/>
      <c r="F2738" s="1"/>
    </row>
    <row r="2739" spans="1:6" x14ac:dyDescent="0.25">
      <c r="A2739" s="1"/>
      <c r="C2739" s="1"/>
      <c r="D2739" s="1"/>
      <c r="E2739" s="1"/>
      <c r="F2739" s="1"/>
    </row>
    <row r="2740" spans="1:6" x14ac:dyDescent="0.25">
      <c r="A2740" s="1"/>
      <c r="C2740" s="1"/>
      <c r="D2740" s="1"/>
      <c r="E2740" s="1"/>
      <c r="F2740" s="1"/>
    </row>
    <row r="2741" spans="1:6" x14ac:dyDescent="0.25">
      <c r="A2741" s="1"/>
      <c r="C2741" s="1"/>
      <c r="D2741" s="1"/>
      <c r="E2741" s="1"/>
      <c r="F2741" s="1"/>
    </row>
    <row r="2742" spans="1:6" x14ac:dyDescent="0.25">
      <c r="A2742" s="1"/>
      <c r="C2742" s="1"/>
      <c r="D2742" s="1"/>
      <c r="E2742" s="1"/>
      <c r="F2742" s="1"/>
    </row>
    <row r="2743" spans="1:6" x14ac:dyDescent="0.25">
      <c r="A2743" s="1"/>
      <c r="C2743" s="1"/>
      <c r="D2743" s="1"/>
      <c r="E2743" s="1"/>
      <c r="F2743" s="1"/>
    </row>
    <row r="2744" spans="1:6" x14ac:dyDescent="0.25">
      <c r="A2744" s="1"/>
      <c r="C2744" s="1"/>
      <c r="D2744" s="1"/>
      <c r="E2744" s="1"/>
      <c r="F2744" s="1"/>
    </row>
    <row r="2745" spans="1:6" x14ac:dyDescent="0.25">
      <c r="A2745" s="1"/>
      <c r="C2745" s="1"/>
      <c r="D2745" s="1"/>
      <c r="E2745" s="1"/>
      <c r="F2745" s="1"/>
    </row>
    <row r="2746" spans="1:6" x14ac:dyDescent="0.25">
      <c r="A2746" s="1"/>
      <c r="C2746" s="1"/>
      <c r="D2746" s="1"/>
      <c r="E2746" s="1"/>
      <c r="F2746" s="1"/>
    </row>
    <row r="2747" spans="1:6" x14ac:dyDescent="0.25">
      <c r="A2747" s="1"/>
      <c r="C2747" s="1"/>
      <c r="D2747" s="1"/>
      <c r="E2747" s="1"/>
      <c r="F2747" s="1"/>
    </row>
    <row r="2748" spans="1:6" x14ac:dyDescent="0.25">
      <c r="A2748" s="1"/>
      <c r="C2748" s="1"/>
      <c r="D2748" s="1"/>
      <c r="E2748" s="1"/>
      <c r="F2748" s="1"/>
    </row>
    <row r="2749" spans="1:6" x14ac:dyDescent="0.25">
      <c r="A2749" s="1"/>
      <c r="C2749" s="1"/>
      <c r="D2749" s="1"/>
      <c r="E2749" s="1"/>
      <c r="F2749" s="1"/>
    </row>
    <row r="2750" spans="1:6" x14ac:dyDescent="0.25">
      <c r="A2750" s="1"/>
      <c r="C2750" s="1"/>
      <c r="D2750" s="1"/>
      <c r="E2750" s="1"/>
      <c r="F2750" s="1"/>
    </row>
    <row r="2751" spans="1:6" x14ac:dyDescent="0.25">
      <c r="A2751" s="1"/>
      <c r="C2751" s="1"/>
      <c r="D2751" s="1"/>
      <c r="E2751" s="1"/>
      <c r="F2751" s="1"/>
    </row>
    <row r="2752" spans="1:6" x14ac:dyDescent="0.25">
      <c r="A2752" s="1"/>
      <c r="C2752" s="1"/>
      <c r="D2752" s="1"/>
      <c r="E2752" s="1"/>
      <c r="F2752" s="1"/>
    </row>
    <row r="2753" spans="1:6" x14ac:dyDescent="0.25">
      <c r="A2753" s="1"/>
      <c r="C2753" s="1"/>
      <c r="D2753" s="1"/>
      <c r="E2753" s="1"/>
      <c r="F2753" s="1"/>
    </row>
    <row r="2754" spans="1:6" x14ac:dyDescent="0.25">
      <c r="A2754" s="1"/>
      <c r="C2754" s="1"/>
      <c r="D2754" s="1"/>
      <c r="E2754" s="1"/>
      <c r="F2754" s="1"/>
    </row>
    <row r="2755" spans="1:6" x14ac:dyDescent="0.25">
      <c r="A2755" s="1"/>
      <c r="C2755" s="1"/>
      <c r="D2755" s="1"/>
      <c r="E2755" s="1"/>
      <c r="F2755" s="1"/>
    </row>
    <row r="2756" spans="1:6" x14ac:dyDescent="0.25">
      <c r="A2756" s="1"/>
      <c r="C2756" s="1"/>
      <c r="D2756" s="1"/>
      <c r="E2756" s="1"/>
      <c r="F2756" s="1"/>
    </row>
    <row r="2757" spans="1:6" x14ac:dyDescent="0.25">
      <c r="A2757" s="1"/>
      <c r="C2757" s="1"/>
      <c r="D2757" s="1"/>
      <c r="E2757" s="1"/>
      <c r="F2757" s="1"/>
    </row>
    <row r="2758" spans="1:6" x14ac:dyDescent="0.25">
      <c r="A2758" s="1"/>
      <c r="C2758" s="1"/>
      <c r="D2758" s="1"/>
      <c r="E2758" s="1"/>
      <c r="F2758" s="1"/>
    </row>
    <row r="2759" spans="1:6" x14ac:dyDescent="0.25">
      <c r="A2759" s="1"/>
      <c r="C2759" s="1"/>
      <c r="D2759" s="1"/>
      <c r="E2759" s="1"/>
      <c r="F2759" s="1"/>
    </row>
    <row r="2760" spans="1:6" x14ac:dyDescent="0.25">
      <c r="A2760" s="1"/>
      <c r="C2760" s="1"/>
      <c r="D2760" s="1"/>
      <c r="E2760" s="1"/>
      <c r="F2760" s="1"/>
    </row>
    <row r="2761" spans="1:6" x14ac:dyDescent="0.25">
      <c r="A2761" s="1"/>
      <c r="C2761" s="1"/>
      <c r="D2761" s="1"/>
      <c r="E2761" s="1"/>
      <c r="F2761" s="1"/>
    </row>
    <row r="2762" spans="1:6" x14ac:dyDescent="0.25">
      <c r="A2762" s="1"/>
      <c r="C2762" s="1"/>
      <c r="D2762" s="1"/>
      <c r="E2762" s="1"/>
      <c r="F2762" s="1"/>
    </row>
    <row r="2763" spans="1:6" x14ac:dyDescent="0.25">
      <c r="A2763" s="1"/>
      <c r="C2763" s="1"/>
      <c r="D2763" s="1"/>
      <c r="E2763" s="1"/>
      <c r="F2763" s="1"/>
    </row>
    <row r="2764" spans="1:6" x14ac:dyDescent="0.25">
      <c r="A2764" s="1"/>
      <c r="C2764" s="1"/>
      <c r="D2764" s="1"/>
      <c r="E2764" s="1"/>
      <c r="F2764" s="1"/>
    </row>
    <row r="2765" spans="1:6" x14ac:dyDescent="0.25">
      <c r="A2765" s="1"/>
      <c r="C2765" s="1"/>
      <c r="D2765" s="1"/>
      <c r="E2765" s="1"/>
      <c r="F2765" s="1"/>
    </row>
    <row r="2766" spans="1:6" x14ac:dyDescent="0.25">
      <c r="A2766" s="1"/>
      <c r="C2766" s="1"/>
      <c r="D2766" s="1"/>
      <c r="E2766" s="1"/>
      <c r="F2766" s="1"/>
    </row>
    <row r="2767" spans="1:6" x14ac:dyDescent="0.25">
      <c r="A2767" s="1"/>
      <c r="C2767" s="1"/>
      <c r="D2767" s="1"/>
      <c r="E2767" s="1"/>
      <c r="F2767" s="1"/>
    </row>
    <row r="2768" spans="1:6" x14ac:dyDescent="0.25">
      <c r="A2768" s="1"/>
      <c r="C2768" s="1"/>
      <c r="D2768" s="1"/>
      <c r="E2768" s="1"/>
      <c r="F2768" s="1"/>
    </row>
    <row r="2769" spans="1:6" x14ac:dyDescent="0.25">
      <c r="A2769" s="1"/>
      <c r="C2769" s="1"/>
      <c r="D2769" s="1"/>
      <c r="E2769" s="1"/>
      <c r="F2769" s="1"/>
    </row>
    <row r="2770" spans="1:6" x14ac:dyDescent="0.25">
      <c r="A2770" s="1"/>
      <c r="C2770" s="1"/>
      <c r="D2770" s="1"/>
      <c r="E2770" s="1"/>
      <c r="F2770" s="1"/>
    </row>
    <row r="2771" spans="1:6" x14ac:dyDescent="0.25">
      <c r="A2771" s="1"/>
      <c r="C2771" s="1"/>
      <c r="D2771" s="1"/>
      <c r="E2771" s="1"/>
      <c r="F2771" s="1"/>
    </row>
    <row r="2772" spans="1:6" x14ac:dyDescent="0.25">
      <c r="A2772" s="1"/>
      <c r="C2772" s="1"/>
      <c r="D2772" s="1"/>
      <c r="E2772" s="1"/>
      <c r="F2772" s="1"/>
    </row>
    <row r="2773" spans="1:6" x14ac:dyDescent="0.25">
      <c r="A2773" s="1"/>
      <c r="C2773" s="1"/>
      <c r="D2773" s="1"/>
      <c r="E2773" s="1"/>
      <c r="F2773" s="1"/>
    </row>
    <row r="2774" spans="1:6" x14ac:dyDescent="0.25">
      <c r="A2774" s="1"/>
      <c r="C2774" s="1"/>
      <c r="D2774" s="1"/>
      <c r="E2774" s="1"/>
      <c r="F2774" s="1"/>
    </row>
    <row r="2775" spans="1:6" x14ac:dyDescent="0.25">
      <c r="A2775" s="1"/>
      <c r="C2775" s="1"/>
      <c r="D2775" s="1"/>
      <c r="E2775" s="1"/>
      <c r="F2775" s="1"/>
    </row>
    <row r="2776" spans="1:6" x14ac:dyDescent="0.25">
      <c r="A2776" s="1"/>
      <c r="C2776" s="1"/>
      <c r="D2776" s="1"/>
      <c r="E2776" s="1"/>
      <c r="F2776" s="1"/>
    </row>
    <row r="2777" spans="1:6" x14ac:dyDescent="0.25">
      <c r="A2777" s="1"/>
      <c r="C2777" s="1"/>
      <c r="D2777" s="1"/>
      <c r="E2777" s="1"/>
      <c r="F2777" s="1"/>
    </row>
    <row r="2778" spans="1:6" x14ac:dyDescent="0.25">
      <c r="A2778" s="1"/>
      <c r="C2778" s="1"/>
      <c r="D2778" s="1"/>
      <c r="E2778" s="1"/>
      <c r="F2778" s="1"/>
    </row>
    <row r="2779" spans="1:6" x14ac:dyDescent="0.25">
      <c r="A2779" s="1"/>
      <c r="C2779" s="1"/>
      <c r="D2779" s="1"/>
      <c r="E2779" s="1"/>
      <c r="F2779" s="1"/>
    </row>
    <row r="2780" spans="1:6" x14ac:dyDescent="0.25">
      <c r="A2780" s="1"/>
      <c r="C2780" s="1"/>
      <c r="D2780" s="1"/>
      <c r="E2780" s="1"/>
      <c r="F2780" s="1"/>
    </row>
    <row r="2781" spans="1:6" x14ac:dyDescent="0.25">
      <c r="A2781" s="1"/>
      <c r="C2781" s="1"/>
      <c r="D2781" s="1"/>
      <c r="E2781" s="1"/>
      <c r="F2781" s="1"/>
    </row>
    <row r="2782" spans="1:6" x14ac:dyDescent="0.25">
      <c r="A2782" s="1"/>
      <c r="C2782" s="1"/>
      <c r="D2782" s="1"/>
      <c r="E2782" s="1"/>
      <c r="F2782" s="1"/>
    </row>
    <row r="2783" spans="1:6" x14ac:dyDescent="0.25">
      <c r="A2783" s="1"/>
      <c r="C2783" s="1"/>
      <c r="D2783" s="1"/>
      <c r="E2783" s="1"/>
      <c r="F2783" s="1"/>
    </row>
    <row r="2784" spans="1:6" x14ac:dyDescent="0.25">
      <c r="A2784" s="1"/>
      <c r="C2784" s="1"/>
      <c r="D2784" s="1"/>
      <c r="E2784" s="1"/>
      <c r="F2784" s="1"/>
    </row>
    <row r="2785" spans="1:6" x14ac:dyDescent="0.25">
      <c r="A2785" s="1"/>
      <c r="C2785" s="1"/>
      <c r="D2785" s="1"/>
      <c r="E2785" s="1"/>
      <c r="F2785" s="1"/>
    </row>
    <row r="2786" spans="1:6" x14ac:dyDescent="0.25">
      <c r="A2786" s="1"/>
      <c r="C2786" s="1"/>
      <c r="D2786" s="1"/>
      <c r="E2786" s="1"/>
      <c r="F2786" s="1"/>
    </row>
    <row r="2787" spans="1:6" x14ac:dyDescent="0.25">
      <c r="A2787" s="1"/>
      <c r="C2787" s="1"/>
      <c r="D2787" s="1"/>
      <c r="E2787" s="1"/>
      <c r="F2787" s="1"/>
    </row>
    <row r="2788" spans="1:6" x14ac:dyDescent="0.25">
      <c r="A2788" s="1"/>
      <c r="C2788" s="1"/>
      <c r="D2788" s="1"/>
      <c r="E2788" s="1"/>
      <c r="F2788" s="1"/>
    </row>
    <row r="2789" spans="1:6" x14ac:dyDescent="0.25">
      <c r="A2789" s="1"/>
      <c r="C2789" s="1"/>
      <c r="D2789" s="1"/>
      <c r="E2789" s="1"/>
      <c r="F2789" s="1"/>
    </row>
    <row r="2790" spans="1:6" x14ac:dyDescent="0.25">
      <c r="A2790" s="1"/>
      <c r="C2790" s="1"/>
      <c r="D2790" s="1"/>
      <c r="E2790" s="1"/>
      <c r="F2790" s="1"/>
    </row>
    <row r="2791" spans="1:6" x14ac:dyDescent="0.25">
      <c r="A2791" s="1"/>
      <c r="C2791" s="1"/>
      <c r="D2791" s="1"/>
      <c r="E2791" s="1"/>
      <c r="F2791" s="1"/>
    </row>
    <row r="2792" spans="1:6" x14ac:dyDescent="0.25">
      <c r="A2792" s="1"/>
      <c r="C2792" s="1"/>
      <c r="D2792" s="1"/>
      <c r="E2792" s="1"/>
      <c r="F2792" s="1"/>
    </row>
    <row r="2793" spans="1:6" x14ac:dyDescent="0.25">
      <c r="A2793" s="1"/>
      <c r="C2793" s="1"/>
      <c r="D2793" s="1"/>
      <c r="E2793" s="1"/>
      <c r="F2793" s="1"/>
    </row>
    <row r="2794" spans="1:6" x14ac:dyDescent="0.25">
      <c r="A2794" s="1"/>
      <c r="C2794" s="1"/>
      <c r="D2794" s="1"/>
      <c r="E2794" s="1"/>
      <c r="F2794" s="1"/>
    </row>
    <row r="2795" spans="1:6" x14ac:dyDescent="0.25">
      <c r="A2795" s="1"/>
      <c r="C2795" s="1"/>
      <c r="D2795" s="1"/>
      <c r="E2795" s="1"/>
      <c r="F2795" s="1"/>
    </row>
    <row r="2796" spans="1:6" x14ac:dyDescent="0.25">
      <c r="A2796" s="1"/>
      <c r="C2796" s="1"/>
      <c r="D2796" s="1"/>
      <c r="E2796" s="1"/>
      <c r="F2796" s="1"/>
    </row>
    <row r="2797" spans="1:6" x14ac:dyDescent="0.25">
      <c r="A2797" s="1"/>
      <c r="C2797" s="1"/>
      <c r="D2797" s="1"/>
      <c r="E2797" s="1"/>
      <c r="F2797" s="1"/>
    </row>
    <row r="2798" spans="1:6" x14ac:dyDescent="0.25">
      <c r="A2798" s="1"/>
      <c r="C2798" s="1"/>
      <c r="D2798" s="1"/>
      <c r="E2798" s="1"/>
      <c r="F2798" s="1"/>
    </row>
    <row r="2799" spans="1:6" x14ac:dyDescent="0.25">
      <c r="A2799" s="1"/>
      <c r="C2799" s="1"/>
      <c r="D2799" s="1"/>
      <c r="E2799" s="1"/>
      <c r="F2799" s="1"/>
    </row>
    <row r="2800" spans="1:6" x14ac:dyDescent="0.25">
      <c r="A2800" s="1"/>
      <c r="C2800" s="1"/>
      <c r="D2800" s="1"/>
      <c r="E2800" s="1"/>
      <c r="F2800" s="1"/>
    </row>
    <row r="2801" spans="1:6" x14ac:dyDescent="0.25">
      <c r="A2801" s="1"/>
      <c r="C2801" s="1"/>
      <c r="D2801" s="1"/>
      <c r="E2801" s="1"/>
      <c r="F2801" s="1"/>
    </row>
    <row r="2802" spans="1:6" x14ac:dyDescent="0.25">
      <c r="A2802" s="1"/>
      <c r="C2802" s="1"/>
      <c r="D2802" s="1"/>
      <c r="E2802" s="1"/>
      <c r="F2802" s="1"/>
    </row>
    <row r="2803" spans="1:6" x14ac:dyDescent="0.25">
      <c r="A2803" s="1"/>
      <c r="C2803" s="1"/>
      <c r="D2803" s="1"/>
      <c r="E2803" s="1"/>
      <c r="F2803" s="1"/>
    </row>
    <row r="2804" spans="1:6" x14ac:dyDescent="0.25">
      <c r="A2804" s="1"/>
      <c r="C2804" s="1"/>
      <c r="D2804" s="1"/>
      <c r="E2804" s="1"/>
      <c r="F2804" s="1"/>
    </row>
    <row r="2805" spans="1:6" x14ac:dyDescent="0.25">
      <c r="A2805" s="1"/>
      <c r="C2805" s="1"/>
      <c r="D2805" s="1"/>
      <c r="E2805" s="1"/>
      <c r="F2805" s="1"/>
    </row>
    <row r="2806" spans="1:6" x14ac:dyDescent="0.25">
      <c r="A2806" s="1"/>
      <c r="C2806" s="1"/>
      <c r="D2806" s="1"/>
      <c r="E2806" s="1"/>
      <c r="F2806" s="1"/>
    </row>
    <row r="2807" spans="1:6" x14ac:dyDescent="0.25">
      <c r="A2807" s="1"/>
      <c r="C2807" s="1"/>
      <c r="D2807" s="1"/>
      <c r="E2807" s="1"/>
      <c r="F2807" s="1"/>
    </row>
    <row r="2808" spans="1:6" x14ac:dyDescent="0.25">
      <c r="A2808" s="1"/>
      <c r="C2808" s="1"/>
      <c r="D2808" s="1"/>
      <c r="E2808" s="1"/>
      <c r="F2808" s="1"/>
    </row>
    <row r="2809" spans="1:6" x14ac:dyDescent="0.25">
      <c r="A2809" s="1"/>
      <c r="C2809" s="1"/>
      <c r="D2809" s="1"/>
      <c r="E2809" s="1"/>
      <c r="F2809" s="1"/>
    </row>
    <row r="2810" spans="1:6" x14ac:dyDescent="0.25">
      <c r="A2810" s="1"/>
      <c r="C2810" s="1"/>
      <c r="D2810" s="1"/>
      <c r="E2810" s="1"/>
      <c r="F2810" s="1"/>
    </row>
    <row r="2811" spans="1:6" x14ac:dyDescent="0.25">
      <c r="A2811" s="1"/>
      <c r="C2811" s="1"/>
      <c r="D2811" s="1"/>
      <c r="E2811" s="1"/>
      <c r="F2811" s="1"/>
    </row>
    <row r="2812" spans="1:6" x14ac:dyDescent="0.25">
      <c r="A2812" s="1"/>
      <c r="C2812" s="1"/>
      <c r="D2812" s="1"/>
      <c r="E2812" s="1"/>
      <c r="F2812" s="1"/>
    </row>
    <row r="2813" spans="1:6" x14ac:dyDescent="0.25">
      <c r="A2813" s="1"/>
      <c r="C2813" s="1"/>
      <c r="D2813" s="1"/>
      <c r="E2813" s="1"/>
      <c r="F2813" s="1"/>
    </row>
    <row r="2814" spans="1:6" x14ac:dyDescent="0.25">
      <c r="A2814" s="1"/>
      <c r="C2814" s="1"/>
      <c r="D2814" s="1"/>
      <c r="E2814" s="1"/>
      <c r="F2814" s="1"/>
    </row>
    <row r="2815" spans="1:6" x14ac:dyDescent="0.25">
      <c r="A2815" s="1"/>
      <c r="C2815" s="1"/>
      <c r="D2815" s="1"/>
      <c r="E2815" s="1"/>
      <c r="F2815" s="1"/>
    </row>
    <row r="2816" spans="1:6" x14ac:dyDescent="0.25">
      <c r="A2816" s="1"/>
      <c r="C2816" s="1"/>
      <c r="D2816" s="1"/>
      <c r="E2816" s="1"/>
      <c r="F2816" s="1"/>
    </row>
    <row r="2817" spans="1:6" x14ac:dyDescent="0.25">
      <c r="A2817" s="1"/>
      <c r="C2817" s="1"/>
      <c r="D2817" s="1"/>
      <c r="E2817" s="1"/>
      <c r="F2817" s="1"/>
    </row>
    <row r="2818" spans="1:6" x14ac:dyDescent="0.25">
      <c r="A2818" s="1"/>
      <c r="C2818" s="1"/>
      <c r="D2818" s="1"/>
      <c r="E2818" s="1"/>
      <c r="F2818" s="1"/>
    </row>
    <row r="2819" spans="1:6" x14ac:dyDescent="0.25">
      <c r="A2819" s="1"/>
      <c r="C2819" s="1"/>
      <c r="D2819" s="1"/>
      <c r="E2819" s="1"/>
      <c r="F2819" s="1"/>
    </row>
    <row r="2820" spans="1:6" x14ac:dyDescent="0.25">
      <c r="A2820" s="1"/>
      <c r="C2820" s="1"/>
      <c r="D2820" s="1"/>
      <c r="E2820" s="1"/>
      <c r="F2820" s="1"/>
    </row>
    <row r="2821" spans="1:6" x14ac:dyDescent="0.25">
      <c r="A2821" s="1"/>
      <c r="C2821" s="1"/>
      <c r="D2821" s="1"/>
      <c r="E2821" s="1"/>
      <c r="F2821" s="1"/>
    </row>
    <row r="2822" spans="1:6" x14ac:dyDescent="0.25">
      <c r="A2822" s="1"/>
      <c r="C2822" s="1"/>
      <c r="D2822" s="1"/>
      <c r="E2822" s="1"/>
      <c r="F2822" s="1"/>
    </row>
    <row r="2823" spans="1:6" x14ac:dyDescent="0.25">
      <c r="A2823" s="1"/>
      <c r="C2823" s="1"/>
      <c r="D2823" s="1"/>
      <c r="E2823" s="1"/>
      <c r="F2823" s="1"/>
    </row>
    <row r="2824" spans="1:6" x14ac:dyDescent="0.25">
      <c r="A2824" s="1"/>
      <c r="C2824" s="1"/>
      <c r="D2824" s="1"/>
      <c r="E2824" s="1"/>
      <c r="F2824" s="1"/>
    </row>
    <row r="2825" spans="1:6" x14ac:dyDescent="0.25">
      <c r="A2825" s="1"/>
      <c r="C2825" s="1"/>
      <c r="D2825" s="1"/>
      <c r="E2825" s="1"/>
      <c r="F2825" s="1"/>
    </row>
    <row r="2826" spans="1:6" x14ac:dyDescent="0.25">
      <c r="A2826" s="1"/>
      <c r="C2826" s="1"/>
      <c r="D2826" s="1"/>
      <c r="E2826" s="1"/>
      <c r="F2826" s="1"/>
    </row>
    <row r="2827" spans="1:6" x14ac:dyDescent="0.25">
      <c r="A2827" s="1"/>
      <c r="C2827" s="1"/>
      <c r="D2827" s="1"/>
      <c r="E2827" s="1"/>
      <c r="F2827" s="1"/>
    </row>
    <row r="2828" spans="1:6" x14ac:dyDescent="0.25">
      <c r="A2828" s="1"/>
      <c r="C2828" s="1"/>
      <c r="D2828" s="1"/>
      <c r="E2828" s="1"/>
      <c r="F2828" s="1"/>
    </row>
    <row r="2829" spans="1:6" x14ac:dyDescent="0.25">
      <c r="A2829" s="1"/>
      <c r="C2829" s="1"/>
      <c r="D2829" s="1"/>
      <c r="E2829" s="1"/>
      <c r="F2829" s="1"/>
    </row>
    <row r="2830" spans="1:6" x14ac:dyDescent="0.25">
      <c r="A2830" s="1"/>
      <c r="C2830" s="1"/>
      <c r="D2830" s="1"/>
      <c r="E2830" s="1"/>
      <c r="F2830" s="1"/>
    </row>
    <row r="2831" spans="1:6" x14ac:dyDescent="0.25">
      <c r="A2831" s="1"/>
      <c r="C2831" s="1"/>
      <c r="D2831" s="1"/>
      <c r="E2831" s="1"/>
      <c r="F2831" s="1"/>
    </row>
    <row r="2832" spans="1:6" x14ac:dyDescent="0.25">
      <c r="A2832" s="1"/>
      <c r="C2832" s="1"/>
      <c r="D2832" s="1"/>
      <c r="E2832" s="1"/>
      <c r="F2832" s="1"/>
    </row>
    <row r="2833" spans="1:6" x14ac:dyDescent="0.25">
      <c r="A2833" s="1"/>
      <c r="C2833" s="1"/>
      <c r="D2833" s="1"/>
      <c r="E2833" s="1"/>
      <c r="F2833" s="1"/>
    </row>
    <row r="2834" spans="1:6" x14ac:dyDescent="0.25">
      <c r="A2834" s="1"/>
      <c r="C2834" s="1"/>
      <c r="D2834" s="1"/>
      <c r="E2834" s="1"/>
      <c r="F2834" s="1"/>
    </row>
    <row r="2835" spans="1:6" x14ac:dyDescent="0.25">
      <c r="A2835" s="1"/>
      <c r="C2835" s="1"/>
      <c r="D2835" s="1"/>
      <c r="E2835" s="1"/>
      <c r="F2835" s="1"/>
    </row>
    <row r="2836" spans="1:6" x14ac:dyDescent="0.25">
      <c r="A2836" s="1"/>
      <c r="C2836" s="1"/>
      <c r="D2836" s="1"/>
      <c r="E2836" s="1"/>
      <c r="F2836" s="1"/>
    </row>
    <row r="2837" spans="1:6" x14ac:dyDescent="0.25">
      <c r="A2837" s="1"/>
      <c r="C2837" s="1"/>
      <c r="D2837" s="1"/>
      <c r="E2837" s="1"/>
      <c r="F2837" s="1"/>
    </row>
    <row r="2838" spans="1:6" x14ac:dyDescent="0.25">
      <c r="A2838" s="1"/>
      <c r="C2838" s="1"/>
      <c r="D2838" s="1"/>
      <c r="E2838" s="1"/>
      <c r="F2838" s="1"/>
    </row>
    <row r="2839" spans="1:6" x14ac:dyDescent="0.25">
      <c r="A2839" s="1"/>
      <c r="C2839" s="1"/>
      <c r="D2839" s="1"/>
      <c r="E2839" s="1"/>
      <c r="F2839" s="1"/>
    </row>
    <row r="2840" spans="1:6" x14ac:dyDescent="0.25">
      <c r="A2840" s="1"/>
      <c r="C2840" s="1"/>
      <c r="D2840" s="1"/>
      <c r="E2840" s="1"/>
      <c r="F2840" s="1"/>
    </row>
    <row r="2841" spans="1:6" x14ac:dyDescent="0.25">
      <c r="A2841" s="1"/>
      <c r="C2841" s="1"/>
      <c r="D2841" s="1"/>
      <c r="E2841" s="1"/>
      <c r="F2841" s="1"/>
    </row>
    <row r="2842" spans="1:6" x14ac:dyDescent="0.25">
      <c r="A2842" s="1"/>
      <c r="C2842" s="1"/>
      <c r="D2842" s="1"/>
      <c r="E2842" s="1"/>
      <c r="F2842" s="1"/>
    </row>
    <row r="2843" spans="1:6" x14ac:dyDescent="0.25">
      <c r="A2843" s="1"/>
      <c r="C2843" s="1"/>
      <c r="D2843" s="1"/>
      <c r="E2843" s="1"/>
      <c r="F2843" s="1"/>
    </row>
    <row r="2844" spans="1:6" x14ac:dyDescent="0.25">
      <c r="A2844" s="1"/>
      <c r="C2844" s="1"/>
      <c r="D2844" s="1"/>
      <c r="E2844" s="1"/>
      <c r="F2844" s="1"/>
    </row>
    <row r="2845" spans="1:6" x14ac:dyDescent="0.25">
      <c r="A2845" s="1"/>
      <c r="C2845" s="1"/>
      <c r="D2845" s="1"/>
      <c r="E2845" s="1"/>
      <c r="F2845" s="1"/>
    </row>
    <row r="2846" spans="1:6" x14ac:dyDescent="0.25">
      <c r="A2846" s="1"/>
      <c r="C2846" s="1"/>
      <c r="D2846" s="1"/>
      <c r="E2846" s="1"/>
      <c r="F2846" s="1"/>
    </row>
    <row r="2847" spans="1:6" x14ac:dyDescent="0.25">
      <c r="A2847" s="1"/>
      <c r="C2847" s="1"/>
      <c r="D2847" s="1"/>
      <c r="E2847" s="1"/>
      <c r="F2847" s="1"/>
    </row>
    <row r="2848" spans="1:6" x14ac:dyDescent="0.25">
      <c r="A2848" s="1"/>
      <c r="C2848" s="1"/>
      <c r="D2848" s="1"/>
      <c r="E2848" s="1"/>
      <c r="F2848" s="1"/>
    </row>
    <row r="2849" spans="1:6" x14ac:dyDescent="0.25">
      <c r="A2849" s="1"/>
      <c r="C2849" s="1"/>
      <c r="D2849" s="1"/>
      <c r="E2849" s="1"/>
      <c r="F2849" s="1"/>
    </row>
    <row r="2850" spans="1:6" x14ac:dyDescent="0.25">
      <c r="A2850" s="1"/>
      <c r="C2850" s="1"/>
      <c r="D2850" s="1"/>
      <c r="E2850" s="1"/>
      <c r="F2850" s="1"/>
    </row>
    <row r="2851" spans="1:6" x14ac:dyDescent="0.25">
      <c r="A2851" s="1"/>
      <c r="C2851" s="1"/>
      <c r="D2851" s="1"/>
      <c r="E2851" s="1"/>
      <c r="F2851" s="1"/>
    </row>
    <row r="2852" spans="1:6" x14ac:dyDescent="0.25">
      <c r="A2852" s="1"/>
      <c r="C2852" s="1"/>
      <c r="D2852" s="1"/>
      <c r="E2852" s="1"/>
      <c r="F2852" s="1"/>
    </row>
    <row r="2853" spans="1:6" x14ac:dyDescent="0.25">
      <c r="A2853" s="1"/>
      <c r="C2853" s="1"/>
      <c r="D2853" s="1"/>
      <c r="E2853" s="1"/>
      <c r="F2853" s="1"/>
    </row>
    <row r="2854" spans="1:6" x14ac:dyDescent="0.25">
      <c r="A2854" s="1"/>
      <c r="C2854" s="1"/>
      <c r="D2854" s="1"/>
      <c r="E2854" s="1"/>
      <c r="F2854" s="1"/>
    </row>
    <row r="2855" spans="1:6" x14ac:dyDescent="0.25">
      <c r="A2855" s="1"/>
      <c r="C2855" s="1"/>
      <c r="D2855" s="1"/>
      <c r="E2855" s="1"/>
      <c r="F2855" s="1"/>
    </row>
    <row r="2856" spans="1:6" x14ac:dyDescent="0.25">
      <c r="A2856" s="1"/>
      <c r="C2856" s="1"/>
      <c r="D2856" s="1"/>
      <c r="E2856" s="1"/>
      <c r="F2856" s="1"/>
    </row>
    <row r="2857" spans="1:6" x14ac:dyDescent="0.25">
      <c r="A2857" s="1"/>
      <c r="C2857" s="1"/>
      <c r="D2857" s="1"/>
      <c r="E2857" s="1"/>
      <c r="F2857" s="1"/>
    </row>
    <row r="2858" spans="1:6" x14ac:dyDescent="0.25">
      <c r="A2858" s="1"/>
      <c r="C2858" s="1"/>
      <c r="D2858" s="1"/>
      <c r="E2858" s="1"/>
      <c r="F2858" s="1"/>
    </row>
    <row r="2859" spans="1:6" x14ac:dyDescent="0.25">
      <c r="A2859" s="1"/>
      <c r="C2859" s="1"/>
      <c r="D2859" s="1"/>
      <c r="E2859" s="1"/>
      <c r="F2859" s="1"/>
    </row>
    <row r="2860" spans="1:6" x14ac:dyDescent="0.25">
      <c r="A2860" s="1"/>
      <c r="C2860" s="1"/>
      <c r="D2860" s="1"/>
      <c r="E2860" s="1"/>
      <c r="F2860" s="1"/>
    </row>
    <row r="2861" spans="1:6" x14ac:dyDescent="0.25">
      <c r="A2861" s="1"/>
      <c r="C2861" s="1"/>
      <c r="D2861" s="1"/>
      <c r="E2861" s="1"/>
      <c r="F2861" s="1"/>
    </row>
    <row r="2862" spans="1:6" x14ac:dyDescent="0.25">
      <c r="A2862" s="1"/>
      <c r="C2862" s="1"/>
      <c r="D2862" s="1"/>
      <c r="E2862" s="1"/>
      <c r="F2862" s="1"/>
    </row>
    <row r="2863" spans="1:6" x14ac:dyDescent="0.25">
      <c r="A2863" s="1"/>
      <c r="C2863" s="1"/>
      <c r="D2863" s="1"/>
      <c r="E2863" s="1"/>
      <c r="F2863" s="1"/>
    </row>
    <row r="2864" spans="1:6" x14ac:dyDescent="0.25">
      <c r="A2864" s="1"/>
      <c r="C2864" s="1"/>
      <c r="D2864" s="1"/>
      <c r="E2864" s="1"/>
      <c r="F2864" s="1"/>
    </row>
    <row r="2865" spans="1:6" x14ac:dyDescent="0.25">
      <c r="A2865" s="1"/>
      <c r="C2865" s="1"/>
      <c r="D2865" s="1"/>
      <c r="E2865" s="1"/>
      <c r="F2865" s="1"/>
    </row>
    <row r="2866" spans="1:6" x14ac:dyDescent="0.25">
      <c r="A2866" s="1"/>
      <c r="C2866" s="1"/>
      <c r="D2866" s="1"/>
      <c r="E2866" s="1"/>
      <c r="F2866" s="1"/>
    </row>
    <row r="2867" spans="1:6" x14ac:dyDescent="0.25">
      <c r="A2867" s="1"/>
      <c r="C2867" s="1"/>
      <c r="D2867" s="1"/>
      <c r="E2867" s="1"/>
      <c r="F2867" s="1"/>
    </row>
    <row r="2868" spans="1:6" x14ac:dyDescent="0.25">
      <c r="A2868" s="1"/>
      <c r="C2868" s="1"/>
      <c r="D2868" s="1"/>
      <c r="E2868" s="1"/>
      <c r="F2868" s="1"/>
    </row>
    <row r="2869" spans="1:6" x14ac:dyDescent="0.25">
      <c r="A2869" s="1"/>
      <c r="C2869" s="1"/>
      <c r="D2869" s="1"/>
      <c r="E2869" s="1"/>
      <c r="F2869" s="1"/>
    </row>
    <row r="2870" spans="1:6" x14ac:dyDescent="0.25">
      <c r="A2870" s="1"/>
      <c r="C2870" s="1"/>
      <c r="D2870" s="1"/>
      <c r="E2870" s="1"/>
      <c r="F2870" s="1"/>
    </row>
    <row r="2871" spans="1:6" x14ac:dyDescent="0.25">
      <c r="A2871" s="1"/>
      <c r="C2871" s="1"/>
      <c r="D2871" s="1"/>
      <c r="E2871" s="1"/>
      <c r="F2871" s="1"/>
    </row>
    <row r="2872" spans="1:6" x14ac:dyDescent="0.25">
      <c r="A2872" s="1"/>
      <c r="C2872" s="1"/>
      <c r="D2872" s="1"/>
      <c r="E2872" s="1"/>
      <c r="F2872" s="1"/>
    </row>
    <row r="2873" spans="1:6" x14ac:dyDescent="0.25">
      <c r="A2873" s="1"/>
      <c r="C2873" s="1"/>
      <c r="D2873" s="1"/>
      <c r="E2873" s="1"/>
      <c r="F2873" s="1"/>
    </row>
    <row r="2874" spans="1:6" x14ac:dyDescent="0.25">
      <c r="A2874" s="1"/>
      <c r="C2874" s="1"/>
      <c r="D2874" s="1"/>
      <c r="E2874" s="1"/>
      <c r="F2874" s="1"/>
    </row>
    <row r="2875" spans="1:6" x14ac:dyDescent="0.25">
      <c r="A2875" s="1"/>
      <c r="C2875" s="1"/>
      <c r="D2875" s="1"/>
      <c r="E2875" s="1"/>
      <c r="F2875" s="1"/>
    </row>
    <row r="2876" spans="1:6" x14ac:dyDescent="0.25">
      <c r="A2876" s="1"/>
      <c r="C2876" s="1"/>
      <c r="D2876" s="1"/>
      <c r="E2876" s="1"/>
      <c r="F2876" s="1"/>
    </row>
    <row r="2877" spans="1:6" x14ac:dyDescent="0.25">
      <c r="A2877" s="1"/>
      <c r="C2877" s="1"/>
      <c r="D2877" s="1"/>
      <c r="E2877" s="1"/>
      <c r="F2877" s="1"/>
    </row>
    <row r="2878" spans="1:6" x14ac:dyDescent="0.25">
      <c r="A2878" s="1"/>
      <c r="C2878" s="1"/>
      <c r="D2878" s="1"/>
      <c r="E2878" s="1"/>
      <c r="F2878" s="1"/>
    </row>
    <row r="2879" spans="1:6" x14ac:dyDescent="0.25">
      <c r="A2879" s="1"/>
      <c r="C2879" s="1"/>
      <c r="D2879" s="1"/>
      <c r="E2879" s="1"/>
      <c r="F2879" s="1"/>
    </row>
    <row r="2880" spans="1:6" x14ac:dyDescent="0.25">
      <c r="A2880" s="1"/>
      <c r="C2880" s="1"/>
      <c r="D2880" s="1"/>
      <c r="E2880" s="1"/>
      <c r="F2880" s="1"/>
    </row>
    <row r="2881" spans="1:6" x14ac:dyDescent="0.25">
      <c r="A2881" s="1"/>
      <c r="C2881" s="1"/>
      <c r="D2881" s="1"/>
      <c r="E2881" s="1"/>
      <c r="F2881" s="1"/>
    </row>
    <row r="2882" spans="1:6" x14ac:dyDescent="0.25">
      <c r="A2882" s="1"/>
      <c r="C2882" s="1"/>
      <c r="D2882" s="1"/>
      <c r="E2882" s="1"/>
      <c r="F2882" s="1"/>
    </row>
    <row r="2883" spans="1:6" x14ac:dyDescent="0.25">
      <c r="A2883" s="1"/>
      <c r="C2883" s="1"/>
      <c r="D2883" s="1"/>
      <c r="E2883" s="1"/>
      <c r="F2883" s="1"/>
    </row>
    <row r="2884" spans="1:6" x14ac:dyDescent="0.25">
      <c r="A2884" s="1"/>
      <c r="C2884" s="1"/>
      <c r="D2884" s="1"/>
      <c r="E2884" s="1"/>
      <c r="F2884" s="1"/>
    </row>
    <row r="2885" spans="1:6" x14ac:dyDescent="0.25">
      <c r="A2885" s="1"/>
      <c r="C2885" s="1"/>
      <c r="D2885" s="1"/>
      <c r="E2885" s="1"/>
      <c r="F2885" s="1"/>
    </row>
    <row r="2886" spans="1:6" x14ac:dyDescent="0.25">
      <c r="A2886" s="1"/>
      <c r="C2886" s="1"/>
      <c r="D2886" s="1"/>
      <c r="E2886" s="1"/>
      <c r="F2886" s="1"/>
    </row>
    <row r="2887" spans="1:6" x14ac:dyDescent="0.25">
      <c r="A2887" s="1"/>
      <c r="C2887" s="1"/>
      <c r="D2887" s="1"/>
      <c r="E2887" s="1"/>
      <c r="F2887" s="1"/>
    </row>
    <row r="2888" spans="1:6" x14ac:dyDescent="0.25">
      <c r="A2888" s="1"/>
      <c r="C2888" s="1"/>
      <c r="D2888" s="1"/>
      <c r="E2888" s="1"/>
      <c r="F2888" s="1"/>
    </row>
    <row r="2889" spans="1:6" x14ac:dyDescent="0.25">
      <c r="A2889" s="1"/>
      <c r="C2889" s="1"/>
      <c r="D2889" s="1"/>
      <c r="E2889" s="1"/>
      <c r="F2889" s="1"/>
    </row>
    <row r="2890" spans="1:6" x14ac:dyDescent="0.25">
      <c r="A2890" s="1"/>
      <c r="C2890" s="1"/>
      <c r="D2890" s="1"/>
      <c r="E2890" s="1"/>
      <c r="F2890" s="1"/>
    </row>
    <row r="2891" spans="1:6" x14ac:dyDescent="0.25">
      <c r="A2891" s="1"/>
      <c r="C2891" s="1"/>
      <c r="D2891" s="1"/>
      <c r="E2891" s="1"/>
      <c r="F2891" s="1"/>
    </row>
    <row r="2892" spans="1:6" x14ac:dyDescent="0.25">
      <c r="A2892" s="1"/>
      <c r="C2892" s="1"/>
      <c r="D2892" s="1"/>
      <c r="E2892" s="1"/>
      <c r="F2892" s="1"/>
    </row>
    <row r="2893" spans="1:6" x14ac:dyDescent="0.25">
      <c r="A2893" s="1"/>
      <c r="C2893" s="1"/>
      <c r="D2893" s="1"/>
      <c r="E2893" s="1"/>
      <c r="F2893" s="1"/>
    </row>
    <row r="2894" spans="1:6" x14ac:dyDescent="0.25">
      <c r="A2894" s="1"/>
      <c r="C2894" s="1"/>
      <c r="D2894" s="1"/>
      <c r="E2894" s="1"/>
      <c r="F2894" s="1"/>
    </row>
    <row r="2895" spans="1:6" x14ac:dyDescent="0.25">
      <c r="A2895" s="1"/>
      <c r="C2895" s="1"/>
      <c r="D2895" s="1"/>
      <c r="E2895" s="1"/>
      <c r="F2895" s="1"/>
    </row>
    <row r="2896" spans="1:6" x14ac:dyDescent="0.25">
      <c r="A2896" s="1"/>
      <c r="C2896" s="1"/>
      <c r="D2896" s="1"/>
      <c r="E2896" s="1"/>
      <c r="F2896" s="1"/>
    </row>
    <row r="2897" spans="1:6" x14ac:dyDescent="0.25">
      <c r="A2897" s="1"/>
      <c r="C2897" s="1"/>
      <c r="D2897" s="1"/>
      <c r="E2897" s="1"/>
      <c r="F2897" s="1"/>
    </row>
    <row r="2898" spans="1:6" x14ac:dyDescent="0.25">
      <c r="A2898" s="1"/>
      <c r="C2898" s="1"/>
      <c r="D2898" s="1"/>
      <c r="E2898" s="1"/>
      <c r="F2898" s="1"/>
    </row>
    <row r="2899" spans="1:6" x14ac:dyDescent="0.25">
      <c r="A2899" s="1"/>
      <c r="C2899" s="1"/>
      <c r="D2899" s="1"/>
      <c r="E2899" s="1"/>
      <c r="F2899" s="1"/>
    </row>
    <row r="2900" spans="1:6" x14ac:dyDescent="0.25">
      <c r="A2900" s="1"/>
      <c r="C2900" s="1"/>
      <c r="D2900" s="1"/>
      <c r="E2900" s="1"/>
      <c r="F2900" s="1"/>
    </row>
    <row r="2901" spans="1:6" x14ac:dyDescent="0.25">
      <c r="A2901" s="1"/>
      <c r="C2901" s="1"/>
      <c r="D2901" s="1"/>
      <c r="E2901" s="1"/>
      <c r="F2901" s="1"/>
    </row>
    <row r="2902" spans="1:6" x14ac:dyDescent="0.25">
      <c r="A2902" s="1"/>
      <c r="C2902" s="1"/>
      <c r="D2902" s="1"/>
      <c r="E2902" s="1"/>
      <c r="F2902" s="1"/>
    </row>
    <row r="2903" spans="1:6" x14ac:dyDescent="0.25">
      <c r="A2903" s="1"/>
      <c r="C2903" s="1"/>
      <c r="D2903" s="1"/>
      <c r="E2903" s="1"/>
      <c r="F2903" s="1"/>
    </row>
    <row r="2904" spans="1:6" x14ac:dyDescent="0.25">
      <c r="A2904" s="1"/>
      <c r="C2904" s="1"/>
      <c r="D2904" s="1"/>
      <c r="E2904" s="1"/>
      <c r="F2904" s="1"/>
    </row>
    <row r="2905" spans="1:6" x14ac:dyDescent="0.25">
      <c r="A2905" s="1"/>
      <c r="C2905" s="1"/>
      <c r="D2905" s="1"/>
      <c r="E2905" s="1"/>
      <c r="F2905" s="1"/>
    </row>
    <row r="2906" spans="1:6" x14ac:dyDescent="0.25">
      <c r="A2906" s="1"/>
      <c r="C2906" s="1"/>
      <c r="D2906" s="1"/>
      <c r="E2906" s="1"/>
      <c r="F2906" s="1"/>
    </row>
    <row r="2907" spans="1:6" x14ac:dyDescent="0.25">
      <c r="A2907" s="1"/>
      <c r="C2907" s="1"/>
      <c r="D2907" s="1"/>
      <c r="E2907" s="1"/>
      <c r="F2907" s="1"/>
    </row>
    <row r="2908" spans="1:6" x14ac:dyDescent="0.25">
      <c r="A2908" s="1"/>
      <c r="C2908" s="1"/>
      <c r="D2908" s="1"/>
      <c r="E2908" s="1"/>
      <c r="F2908" s="1"/>
    </row>
    <row r="2909" spans="1:6" x14ac:dyDescent="0.25">
      <c r="A2909" s="1"/>
      <c r="C2909" s="1"/>
      <c r="D2909" s="1"/>
      <c r="E2909" s="1"/>
      <c r="F2909" s="1"/>
    </row>
    <row r="2910" spans="1:6" x14ac:dyDescent="0.25">
      <c r="A2910" s="1"/>
      <c r="C2910" s="1"/>
      <c r="D2910" s="1"/>
      <c r="E2910" s="1"/>
      <c r="F2910" s="1"/>
    </row>
    <row r="2911" spans="1:6" x14ac:dyDescent="0.25">
      <c r="A2911" s="1"/>
      <c r="C2911" s="1"/>
      <c r="D2911" s="1"/>
      <c r="E2911" s="1"/>
      <c r="F2911" s="1"/>
    </row>
    <row r="2912" spans="1:6" x14ac:dyDescent="0.25">
      <c r="A2912" s="1"/>
      <c r="C2912" s="1"/>
      <c r="D2912" s="1"/>
      <c r="E2912" s="1"/>
      <c r="F2912" s="1"/>
    </row>
    <row r="2913" spans="1:6" x14ac:dyDescent="0.25">
      <c r="A2913" s="1"/>
      <c r="C2913" s="1"/>
      <c r="D2913" s="1"/>
      <c r="E2913" s="1"/>
      <c r="F2913" s="1"/>
    </row>
    <row r="2914" spans="1:6" x14ac:dyDescent="0.25">
      <c r="A2914" s="1"/>
      <c r="C2914" s="1"/>
      <c r="D2914" s="1"/>
      <c r="E2914" s="1"/>
      <c r="F2914" s="1"/>
    </row>
    <row r="2915" spans="1:6" x14ac:dyDescent="0.25">
      <c r="A2915" s="1"/>
      <c r="C2915" s="1"/>
      <c r="D2915" s="1"/>
      <c r="E2915" s="1"/>
      <c r="F2915" s="1"/>
    </row>
    <row r="2916" spans="1:6" x14ac:dyDescent="0.25">
      <c r="A2916" s="1"/>
      <c r="C2916" s="1"/>
      <c r="D2916" s="1"/>
      <c r="E2916" s="1"/>
      <c r="F2916" s="1"/>
    </row>
    <row r="2917" spans="1:6" x14ac:dyDescent="0.25">
      <c r="A2917" s="1"/>
      <c r="C2917" s="1"/>
      <c r="D2917" s="1"/>
      <c r="E2917" s="1"/>
      <c r="F2917" s="1"/>
    </row>
    <row r="2918" spans="1:6" x14ac:dyDescent="0.25">
      <c r="A2918" s="1"/>
      <c r="C2918" s="1"/>
      <c r="D2918" s="1"/>
      <c r="E2918" s="1"/>
      <c r="F2918" s="1"/>
    </row>
    <row r="2919" spans="1:6" x14ac:dyDescent="0.25">
      <c r="A2919" s="1"/>
      <c r="C2919" s="1"/>
      <c r="D2919" s="1"/>
      <c r="E2919" s="1"/>
      <c r="F2919" s="1"/>
    </row>
    <row r="2920" spans="1:6" x14ac:dyDescent="0.25">
      <c r="A2920" s="1"/>
      <c r="C2920" s="1"/>
      <c r="D2920" s="1"/>
      <c r="E2920" s="1"/>
      <c r="F2920" s="1"/>
    </row>
    <row r="2921" spans="1:6" x14ac:dyDescent="0.25">
      <c r="A2921" s="1"/>
      <c r="C2921" s="1"/>
      <c r="D2921" s="1"/>
      <c r="E2921" s="1"/>
      <c r="F2921" s="1"/>
    </row>
    <row r="2922" spans="1:6" x14ac:dyDescent="0.25">
      <c r="A2922" s="1"/>
      <c r="C2922" s="1"/>
      <c r="D2922" s="1"/>
      <c r="E2922" s="1"/>
      <c r="F2922" s="1"/>
    </row>
    <row r="2923" spans="1:6" x14ac:dyDescent="0.25">
      <c r="A2923" s="1"/>
      <c r="C2923" s="1"/>
      <c r="D2923" s="1"/>
      <c r="E2923" s="1"/>
      <c r="F2923" s="1"/>
    </row>
    <row r="2924" spans="1:6" x14ac:dyDescent="0.25">
      <c r="A2924" s="1"/>
      <c r="C2924" s="1"/>
      <c r="D2924" s="1"/>
      <c r="E2924" s="1"/>
      <c r="F2924" s="1"/>
    </row>
    <row r="2925" spans="1:6" x14ac:dyDescent="0.25">
      <c r="A2925" s="1"/>
      <c r="C2925" s="1"/>
      <c r="D2925" s="1"/>
      <c r="E2925" s="1"/>
      <c r="F2925" s="1"/>
    </row>
    <row r="2926" spans="1:6" x14ac:dyDescent="0.25">
      <c r="A2926" s="1"/>
      <c r="C2926" s="1"/>
      <c r="D2926" s="1"/>
      <c r="E2926" s="1"/>
      <c r="F2926" s="1"/>
    </row>
    <row r="2927" spans="1:6" x14ac:dyDescent="0.25">
      <c r="A2927" s="1"/>
      <c r="C2927" s="1"/>
      <c r="D2927" s="1"/>
      <c r="E2927" s="1"/>
      <c r="F2927" s="1"/>
    </row>
    <row r="2928" spans="1:6" x14ac:dyDescent="0.25">
      <c r="A2928" s="1"/>
      <c r="C2928" s="1"/>
      <c r="D2928" s="1"/>
      <c r="E2928" s="1"/>
      <c r="F2928" s="1"/>
    </row>
    <row r="2929" spans="1:6" x14ac:dyDescent="0.25">
      <c r="A2929" s="1"/>
      <c r="C2929" s="1"/>
      <c r="D2929" s="1"/>
      <c r="E2929" s="1"/>
      <c r="F2929" s="1"/>
    </row>
    <row r="2930" spans="1:6" x14ac:dyDescent="0.25">
      <c r="A2930" s="1"/>
      <c r="C2930" s="1"/>
      <c r="D2930" s="1"/>
      <c r="E2930" s="1"/>
      <c r="F2930" s="1"/>
    </row>
    <row r="2931" spans="1:6" x14ac:dyDescent="0.25">
      <c r="A2931" s="1"/>
      <c r="C2931" s="1"/>
      <c r="D2931" s="1"/>
      <c r="E2931" s="1"/>
      <c r="F2931" s="1"/>
    </row>
    <row r="2932" spans="1:6" x14ac:dyDescent="0.25">
      <c r="A2932" s="1"/>
      <c r="C2932" s="1"/>
      <c r="D2932" s="1"/>
      <c r="E2932" s="1"/>
      <c r="F2932" s="1"/>
    </row>
    <row r="2933" spans="1:6" x14ac:dyDescent="0.25">
      <c r="A2933" s="1"/>
      <c r="C2933" s="1"/>
      <c r="D2933" s="1"/>
      <c r="E2933" s="1"/>
      <c r="F2933" s="1"/>
    </row>
    <row r="2934" spans="1:6" x14ac:dyDescent="0.25">
      <c r="A2934" s="1"/>
      <c r="C2934" s="1"/>
      <c r="D2934" s="1"/>
      <c r="E2934" s="1"/>
      <c r="F2934" s="1"/>
    </row>
    <row r="2935" spans="1:6" x14ac:dyDescent="0.25">
      <c r="A2935" s="1"/>
      <c r="C2935" s="1"/>
      <c r="D2935" s="1"/>
      <c r="E2935" s="1"/>
      <c r="F2935" s="1"/>
    </row>
    <row r="2936" spans="1:6" x14ac:dyDescent="0.25">
      <c r="A2936" s="1"/>
      <c r="C2936" s="1"/>
      <c r="D2936" s="1"/>
      <c r="E2936" s="1"/>
      <c r="F2936" s="1"/>
    </row>
    <row r="2937" spans="1:6" x14ac:dyDescent="0.25">
      <c r="A2937" s="1"/>
      <c r="C2937" s="1"/>
      <c r="D2937" s="1"/>
      <c r="E2937" s="1"/>
      <c r="F2937" s="1"/>
    </row>
    <row r="2938" spans="1:6" x14ac:dyDescent="0.25">
      <c r="A2938" s="1"/>
      <c r="C2938" s="1"/>
      <c r="D2938" s="1"/>
      <c r="E2938" s="1"/>
      <c r="F2938" s="1"/>
    </row>
    <row r="2939" spans="1:6" x14ac:dyDescent="0.25">
      <c r="A2939" s="1"/>
      <c r="C2939" s="1"/>
      <c r="D2939" s="1"/>
      <c r="E2939" s="1"/>
      <c r="F2939" s="1"/>
    </row>
    <row r="2940" spans="1:6" x14ac:dyDescent="0.25">
      <c r="A2940" s="1"/>
      <c r="C2940" s="1"/>
      <c r="D2940" s="1"/>
      <c r="E2940" s="1"/>
      <c r="F2940" s="1"/>
    </row>
    <row r="2941" spans="1:6" x14ac:dyDescent="0.25">
      <c r="A2941" s="1"/>
      <c r="C2941" s="1"/>
      <c r="D2941" s="1"/>
      <c r="E2941" s="1"/>
      <c r="F2941" s="1"/>
    </row>
    <row r="2942" spans="1:6" x14ac:dyDescent="0.25">
      <c r="A2942" s="1"/>
      <c r="C2942" s="1"/>
      <c r="D2942" s="1"/>
      <c r="E2942" s="1"/>
      <c r="F2942" s="1"/>
    </row>
    <row r="2943" spans="1:6" x14ac:dyDescent="0.25">
      <c r="A2943" s="1"/>
      <c r="C2943" s="1"/>
      <c r="D2943" s="1"/>
      <c r="E2943" s="1"/>
      <c r="F2943" s="1"/>
    </row>
    <row r="2944" spans="1:6" x14ac:dyDescent="0.25">
      <c r="A2944" s="1"/>
      <c r="C2944" s="1"/>
      <c r="D2944" s="1"/>
      <c r="E2944" s="1"/>
      <c r="F2944" s="1"/>
    </row>
    <row r="2945" spans="1:6" x14ac:dyDescent="0.25">
      <c r="A2945" s="1"/>
      <c r="C2945" s="1"/>
      <c r="D2945" s="1"/>
      <c r="E2945" s="1"/>
      <c r="F2945" s="1"/>
    </row>
    <row r="2946" spans="1:6" x14ac:dyDescent="0.25">
      <c r="A2946" s="1"/>
      <c r="C2946" s="1"/>
      <c r="D2946" s="1"/>
      <c r="E2946" s="1"/>
      <c r="F2946" s="1"/>
    </row>
    <row r="2947" spans="1:6" x14ac:dyDescent="0.25">
      <c r="A2947" s="1"/>
      <c r="C2947" s="1"/>
      <c r="D2947" s="1"/>
      <c r="E2947" s="1"/>
      <c r="F2947" s="1"/>
    </row>
    <row r="2948" spans="1:6" x14ac:dyDescent="0.25">
      <c r="A2948" s="1"/>
      <c r="C2948" s="1"/>
      <c r="D2948" s="1"/>
      <c r="E2948" s="1"/>
      <c r="F2948" s="1"/>
    </row>
    <row r="2949" spans="1:6" x14ac:dyDescent="0.25">
      <c r="A2949" s="1"/>
      <c r="C2949" s="1"/>
      <c r="D2949" s="1"/>
      <c r="E2949" s="1"/>
      <c r="F2949" s="1"/>
    </row>
    <row r="2950" spans="1:6" x14ac:dyDescent="0.25">
      <c r="A2950" s="1"/>
      <c r="C2950" s="1"/>
      <c r="D2950" s="1"/>
      <c r="E2950" s="1"/>
      <c r="F2950" s="1"/>
    </row>
    <row r="2951" spans="1:6" x14ac:dyDescent="0.25">
      <c r="A2951" s="1"/>
      <c r="C2951" s="1"/>
      <c r="D2951" s="1"/>
      <c r="E2951" s="1"/>
      <c r="F2951" s="1"/>
    </row>
    <row r="2952" spans="1:6" x14ac:dyDescent="0.25">
      <c r="A2952" s="1"/>
      <c r="C2952" s="1"/>
      <c r="D2952" s="1"/>
      <c r="E2952" s="1"/>
      <c r="F2952" s="1"/>
    </row>
    <row r="2953" spans="1:6" x14ac:dyDescent="0.25">
      <c r="A2953" s="1"/>
      <c r="C2953" s="1"/>
      <c r="D2953" s="1"/>
      <c r="E2953" s="1"/>
      <c r="F2953" s="1"/>
    </row>
    <row r="2954" spans="1:6" x14ac:dyDescent="0.25">
      <c r="A2954" s="1"/>
      <c r="C2954" s="1"/>
      <c r="D2954" s="1"/>
      <c r="E2954" s="1"/>
      <c r="F2954" s="1"/>
    </row>
    <row r="2955" spans="1:6" x14ac:dyDescent="0.25">
      <c r="A2955" s="1"/>
      <c r="C2955" s="1"/>
      <c r="D2955" s="1"/>
      <c r="E2955" s="1"/>
      <c r="F2955" s="1"/>
    </row>
    <row r="2956" spans="1:6" x14ac:dyDescent="0.25">
      <c r="A2956" s="1"/>
      <c r="C2956" s="1"/>
      <c r="D2956" s="1"/>
      <c r="E2956" s="1"/>
      <c r="F2956" s="1"/>
    </row>
    <row r="2957" spans="1:6" x14ac:dyDescent="0.25">
      <c r="A2957" s="1"/>
      <c r="C2957" s="1"/>
      <c r="D2957" s="1"/>
      <c r="E2957" s="1"/>
      <c r="F2957" s="1"/>
    </row>
    <row r="2958" spans="1:6" x14ac:dyDescent="0.25">
      <c r="A2958" s="1"/>
      <c r="C2958" s="1"/>
      <c r="D2958" s="1"/>
      <c r="E2958" s="1"/>
      <c r="F2958" s="1"/>
    </row>
    <row r="2959" spans="1:6" x14ac:dyDescent="0.25">
      <c r="A2959" s="1"/>
      <c r="C2959" s="1"/>
      <c r="D2959" s="1"/>
      <c r="E2959" s="1"/>
      <c r="F2959" s="1"/>
    </row>
    <row r="2960" spans="1:6" x14ac:dyDescent="0.25">
      <c r="A2960" s="1"/>
      <c r="C2960" s="1"/>
      <c r="D2960" s="1"/>
      <c r="E2960" s="1"/>
      <c r="F2960" s="1"/>
    </row>
    <row r="2961" spans="1:6" x14ac:dyDescent="0.25">
      <c r="A2961" s="1"/>
      <c r="C2961" s="1"/>
      <c r="D2961" s="1"/>
      <c r="E2961" s="1"/>
      <c r="F2961" s="1"/>
    </row>
    <row r="2962" spans="1:6" x14ac:dyDescent="0.25">
      <c r="A2962" s="1"/>
      <c r="C2962" s="1"/>
      <c r="D2962" s="1"/>
      <c r="E2962" s="1"/>
      <c r="F2962" s="1"/>
    </row>
    <row r="2963" spans="1:6" x14ac:dyDescent="0.25">
      <c r="A2963" s="1"/>
      <c r="C2963" s="1"/>
      <c r="D2963" s="1"/>
      <c r="E2963" s="1"/>
      <c r="F2963" s="1"/>
    </row>
    <row r="2964" spans="1:6" x14ac:dyDescent="0.25">
      <c r="A2964" s="1"/>
      <c r="C2964" s="1"/>
      <c r="D2964" s="1"/>
      <c r="E2964" s="1"/>
      <c r="F2964" s="1"/>
    </row>
    <row r="2965" spans="1:6" x14ac:dyDescent="0.25">
      <c r="A2965" s="1"/>
      <c r="C2965" s="1"/>
      <c r="D2965" s="1"/>
      <c r="E2965" s="1"/>
      <c r="F2965" s="1"/>
    </row>
    <row r="2966" spans="1:6" x14ac:dyDescent="0.25">
      <c r="A2966" s="1"/>
      <c r="C2966" s="1"/>
      <c r="D2966" s="1"/>
      <c r="E2966" s="1"/>
      <c r="F2966" s="1"/>
    </row>
    <row r="2967" spans="1:6" x14ac:dyDescent="0.25">
      <c r="A2967" s="1"/>
      <c r="C2967" s="1"/>
      <c r="D2967" s="1"/>
      <c r="E2967" s="1"/>
      <c r="F2967" s="1"/>
    </row>
    <row r="2968" spans="1:6" x14ac:dyDescent="0.25">
      <c r="A2968" s="1"/>
      <c r="C2968" s="1"/>
      <c r="D2968" s="1"/>
      <c r="E2968" s="1"/>
      <c r="F2968" s="1"/>
    </row>
    <row r="2969" spans="1:6" x14ac:dyDescent="0.25">
      <c r="A2969" s="1"/>
      <c r="C2969" s="1"/>
      <c r="D2969" s="1"/>
      <c r="E2969" s="1"/>
      <c r="F2969" s="1"/>
    </row>
    <row r="2970" spans="1:6" x14ac:dyDescent="0.25">
      <c r="A2970" s="1"/>
      <c r="C2970" s="1"/>
      <c r="D2970" s="1"/>
      <c r="E2970" s="1"/>
      <c r="F2970" s="1"/>
    </row>
    <row r="2971" spans="1:6" x14ac:dyDescent="0.25">
      <c r="A2971" s="1"/>
      <c r="C2971" s="1"/>
      <c r="D2971" s="1"/>
      <c r="E2971" s="1"/>
      <c r="F2971" s="1"/>
    </row>
    <row r="2972" spans="1:6" x14ac:dyDescent="0.25">
      <c r="A2972" s="1"/>
      <c r="C2972" s="1"/>
      <c r="D2972" s="1"/>
      <c r="E2972" s="1"/>
      <c r="F2972" s="1"/>
    </row>
    <row r="2973" spans="1:6" x14ac:dyDescent="0.25">
      <c r="A2973" s="1"/>
      <c r="C2973" s="1"/>
      <c r="D2973" s="1"/>
      <c r="E2973" s="1"/>
      <c r="F2973" s="1"/>
    </row>
    <row r="2974" spans="1:6" x14ac:dyDescent="0.25">
      <c r="A2974" s="1"/>
      <c r="C2974" s="1"/>
      <c r="D2974" s="1"/>
      <c r="E2974" s="1"/>
      <c r="F2974" s="1"/>
    </row>
    <row r="2975" spans="1:6" x14ac:dyDescent="0.25">
      <c r="A2975" s="1"/>
      <c r="C2975" s="1"/>
      <c r="D2975" s="1"/>
      <c r="E2975" s="1"/>
      <c r="F2975" s="1"/>
    </row>
    <row r="2976" spans="1:6" x14ac:dyDescent="0.25">
      <c r="A2976" s="1"/>
      <c r="C2976" s="1"/>
      <c r="D2976" s="1"/>
      <c r="E2976" s="1"/>
      <c r="F2976" s="1"/>
    </row>
    <row r="2977" spans="1:6" x14ac:dyDescent="0.25">
      <c r="A2977" s="1"/>
      <c r="C2977" s="1"/>
      <c r="D2977" s="1"/>
      <c r="E2977" s="1"/>
      <c r="F2977" s="1"/>
    </row>
    <row r="2978" spans="1:6" x14ac:dyDescent="0.25">
      <c r="A2978" s="1"/>
      <c r="C2978" s="1"/>
      <c r="D2978" s="1"/>
      <c r="E2978" s="1"/>
      <c r="F2978" s="1"/>
    </row>
    <row r="2979" spans="1:6" x14ac:dyDescent="0.25">
      <c r="A2979" s="1"/>
      <c r="C2979" s="1"/>
      <c r="D2979" s="1"/>
      <c r="E2979" s="1"/>
      <c r="F2979" s="1"/>
    </row>
    <row r="2980" spans="1:6" x14ac:dyDescent="0.25">
      <c r="A2980" s="1"/>
      <c r="C2980" s="1"/>
      <c r="D2980" s="1"/>
      <c r="E2980" s="1"/>
      <c r="F2980" s="1"/>
    </row>
    <row r="2981" spans="1:6" x14ac:dyDescent="0.25">
      <c r="A2981" s="1"/>
      <c r="C2981" s="1"/>
      <c r="D2981" s="1"/>
      <c r="E2981" s="1"/>
      <c r="F2981" s="1"/>
    </row>
    <row r="2982" spans="1:6" x14ac:dyDescent="0.25">
      <c r="A2982" s="1"/>
      <c r="C2982" s="1"/>
      <c r="D2982" s="1"/>
      <c r="E2982" s="1"/>
      <c r="F2982" s="1"/>
    </row>
    <row r="2983" spans="1:6" x14ac:dyDescent="0.25">
      <c r="A2983" s="1"/>
      <c r="C2983" s="1"/>
      <c r="D2983" s="1"/>
      <c r="E2983" s="1"/>
      <c r="F2983" s="1"/>
    </row>
    <row r="2984" spans="1:6" x14ac:dyDescent="0.25">
      <c r="A2984" s="1"/>
      <c r="C2984" s="1"/>
      <c r="D2984" s="1"/>
      <c r="E2984" s="1"/>
      <c r="F2984" s="1"/>
    </row>
    <row r="2985" spans="1:6" x14ac:dyDescent="0.25">
      <c r="A2985" s="1"/>
      <c r="C2985" s="1"/>
      <c r="D2985" s="1"/>
      <c r="E2985" s="1"/>
      <c r="F2985" s="1"/>
    </row>
    <row r="2986" spans="1:6" x14ac:dyDescent="0.25">
      <c r="A2986" s="1"/>
      <c r="C2986" s="1"/>
      <c r="D2986" s="1"/>
      <c r="E2986" s="1"/>
      <c r="F2986" s="1"/>
    </row>
    <row r="2987" spans="1:6" x14ac:dyDescent="0.25">
      <c r="A2987" s="1"/>
      <c r="C2987" s="1"/>
      <c r="D2987" s="1"/>
      <c r="E2987" s="1"/>
      <c r="F2987" s="1"/>
    </row>
    <row r="2988" spans="1:6" x14ac:dyDescent="0.25">
      <c r="A2988" s="1"/>
      <c r="C2988" s="1"/>
      <c r="D2988" s="1"/>
      <c r="E2988" s="1"/>
      <c r="F2988" s="1"/>
    </row>
    <row r="2989" spans="1:6" x14ac:dyDescent="0.25">
      <c r="A2989" s="1"/>
      <c r="C2989" s="1"/>
      <c r="D2989" s="1"/>
      <c r="E2989" s="1"/>
      <c r="F2989" s="1"/>
    </row>
    <row r="2990" spans="1:6" x14ac:dyDescent="0.25">
      <c r="A2990" s="1"/>
      <c r="C2990" s="1"/>
      <c r="D2990" s="1"/>
      <c r="E2990" s="1"/>
      <c r="F2990" s="1"/>
    </row>
    <row r="2991" spans="1:6" x14ac:dyDescent="0.25">
      <c r="A2991" s="1"/>
      <c r="C2991" s="1"/>
      <c r="D2991" s="1"/>
      <c r="E2991" s="1"/>
      <c r="F2991" s="1"/>
    </row>
    <row r="2992" spans="1:6" x14ac:dyDescent="0.25">
      <c r="A2992" s="1"/>
      <c r="C2992" s="1"/>
      <c r="D2992" s="1"/>
      <c r="E2992" s="1"/>
      <c r="F2992" s="1"/>
    </row>
    <row r="2993" spans="1:6" x14ac:dyDescent="0.25">
      <c r="A2993" s="1"/>
      <c r="C2993" s="1"/>
      <c r="D2993" s="1"/>
      <c r="E2993" s="1"/>
      <c r="F2993" s="1"/>
    </row>
    <row r="2994" spans="1:6" x14ac:dyDescent="0.25">
      <c r="A2994" s="1"/>
      <c r="C2994" s="1"/>
      <c r="D2994" s="1"/>
      <c r="E2994" s="1"/>
      <c r="F2994" s="1"/>
    </row>
    <row r="2995" spans="1:6" x14ac:dyDescent="0.25">
      <c r="A2995" s="1"/>
      <c r="C2995" s="1"/>
      <c r="D2995" s="1"/>
      <c r="E2995" s="1"/>
      <c r="F2995" s="1"/>
    </row>
    <row r="2996" spans="1:6" x14ac:dyDescent="0.25">
      <c r="A2996" s="1"/>
      <c r="C2996" s="1"/>
      <c r="D2996" s="1"/>
      <c r="E2996" s="1"/>
      <c r="F2996" s="1"/>
    </row>
    <row r="2997" spans="1:6" x14ac:dyDescent="0.25">
      <c r="A2997" s="1"/>
      <c r="C2997" s="1"/>
      <c r="D2997" s="1"/>
      <c r="E2997" s="1"/>
      <c r="F2997" s="1"/>
    </row>
    <row r="2998" spans="1:6" x14ac:dyDescent="0.25">
      <c r="A2998" s="1"/>
      <c r="C2998" s="1"/>
      <c r="D2998" s="1"/>
      <c r="E2998" s="1"/>
      <c r="F2998" s="1"/>
    </row>
    <row r="2999" spans="1:6" x14ac:dyDescent="0.25">
      <c r="A2999" s="1"/>
      <c r="C2999" s="1"/>
      <c r="D2999" s="1"/>
      <c r="E2999" s="1"/>
      <c r="F2999" s="1"/>
    </row>
    <row r="3000" spans="1:6" x14ac:dyDescent="0.25">
      <c r="A3000" s="1"/>
      <c r="C3000" s="1"/>
      <c r="D3000" s="1"/>
      <c r="E3000" s="1"/>
      <c r="F3000" s="1"/>
    </row>
    <row r="3001" spans="1:6" x14ac:dyDescent="0.25">
      <c r="A3001" s="1"/>
      <c r="C3001" s="1"/>
      <c r="D3001" s="1"/>
      <c r="E3001" s="1"/>
      <c r="F3001" s="1"/>
    </row>
    <row r="3002" spans="1:6" x14ac:dyDescent="0.25">
      <c r="A3002" s="1"/>
      <c r="C3002" s="1"/>
      <c r="D3002" s="1"/>
      <c r="E3002" s="1"/>
      <c r="F3002" s="1"/>
    </row>
    <row r="3003" spans="1:6" x14ac:dyDescent="0.25">
      <c r="A3003" s="1"/>
      <c r="C3003" s="1"/>
      <c r="D3003" s="1"/>
      <c r="E3003" s="1"/>
      <c r="F3003" s="1"/>
    </row>
    <row r="3004" spans="1:6" x14ac:dyDescent="0.25">
      <c r="A3004" s="1"/>
      <c r="C3004" s="1"/>
      <c r="D3004" s="1"/>
      <c r="E3004" s="1"/>
      <c r="F3004" s="1"/>
    </row>
    <row r="3005" spans="1:6" x14ac:dyDescent="0.25">
      <c r="A3005" s="1"/>
      <c r="C3005" s="1"/>
      <c r="D3005" s="1"/>
      <c r="E3005" s="1"/>
      <c r="F3005" s="1"/>
    </row>
    <row r="3006" spans="1:6" x14ac:dyDescent="0.25">
      <c r="A3006" s="1"/>
      <c r="C3006" s="1"/>
      <c r="D3006" s="1"/>
      <c r="E3006" s="1"/>
      <c r="F3006" s="1"/>
    </row>
    <row r="3007" spans="1:6" x14ac:dyDescent="0.25">
      <c r="A3007" s="1"/>
      <c r="C3007" s="1"/>
      <c r="D3007" s="1"/>
      <c r="E3007" s="1"/>
      <c r="F3007" s="1"/>
    </row>
    <row r="3008" spans="1:6" x14ac:dyDescent="0.25">
      <c r="A3008" s="1"/>
      <c r="C3008" s="1"/>
      <c r="D3008" s="1"/>
      <c r="E3008" s="1"/>
      <c r="F3008" s="1"/>
    </row>
    <row r="3009" spans="1:6" x14ac:dyDescent="0.25">
      <c r="A3009" s="1"/>
      <c r="C3009" s="1"/>
      <c r="D3009" s="1"/>
      <c r="E3009" s="1"/>
      <c r="F3009" s="1"/>
    </row>
    <row r="3010" spans="1:6" x14ac:dyDescent="0.25">
      <c r="A3010" s="1"/>
      <c r="C3010" s="1"/>
      <c r="D3010" s="1"/>
      <c r="E3010" s="1"/>
      <c r="F3010" s="1"/>
    </row>
    <row r="3011" spans="1:6" x14ac:dyDescent="0.25">
      <c r="A3011" s="1"/>
      <c r="C3011" s="1"/>
      <c r="D3011" s="1"/>
      <c r="E3011" s="1"/>
      <c r="F3011" s="1"/>
    </row>
    <row r="3012" spans="1:6" x14ac:dyDescent="0.25">
      <c r="A3012" s="1"/>
      <c r="C3012" s="1"/>
      <c r="D3012" s="1"/>
      <c r="E3012" s="1"/>
      <c r="F3012" s="1"/>
    </row>
    <row r="3013" spans="1:6" x14ac:dyDescent="0.25">
      <c r="A3013" s="1"/>
      <c r="C3013" s="1"/>
      <c r="D3013" s="1"/>
      <c r="E3013" s="1"/>
      <c r="F3013" s="1"/>
    </row>
    <row r="3014" spans="1:6" x14ac:dyDescent="0.25">
      <c r="A3014" s="1"/>
      <c r="C3014" s="1"/>
      <c r="D3014" s="1"/>
      <c r="E3014" s="1"/>
      <c r="F3014" s="1"/>
    </row>
    <row r="3015" spans="1:6" x14ac:dyDescent="0.25">
      <c r="A3015" s="1"/>
      <c r="C3015" s="1"/>
      <c r="D3015" s="1"/>
      <c r="E3015" s="1"/>
      <c r="F3015" s="1"/>
    </row>
    <row r="3016" spans="1:6" x14ac:dyDescent="0.25">
      <c r="A3016" s="1"/>
      <c r="C3016" s="1"/>
      <c r="D3016" s="1"/>
      <c r="E3016" s="1"/>
      <c r="F3016" s="1"/>
    </row>
    <row r="3017" spans="1:6" x14ac:dyDescent="0.25">
      <c r="A3017" s="1"/>
      <c r="C3017" s="1"/>
      <c r="D3017" s="1"/>
      <c r="E3017" s="1"/>
      <c r="F3017" s="1"/>
    </row>
    <row r="3018" spans="1:6" x14ac:dyDescent="0.25">
      <c r="A3018" s="1"/>
      <c r="C3018" s="1"/>
      <c r="D3018" s="1"/>
      <c r="E3018" s="1"/>
      <c r="F3018" s="1"/>
    </row>
    <row r="3019" spans="1:6" x14ac:dyDescent="0.25">
      <c r="A3019" s="1"/>
      <c r="C3019" s="1"/>
      <c r="D3019" s="1"/>
      <c r="E3019" s="1"/>
      <c r="F3019" s="1"/>
    </row>
    <row r="3020" spans="1:6" x14ac:dyDescent="0.25">
      <c r="A3020" s="1"/>
      <c r="C3020" s="1"/>
      <c r="D3020" s="1"/>
      <c r="E3020" s="1"/>
      <c r="F3020" s="1"/>
    </row>
    <row r="3021" spans="1:6" x14ac:dyDescent="0.25">
      <c r="A3021" s="1"/>
      <c r="C3021" s="1"/>
      <c r="D3021" s="1"/>
      <c r="E3021" s="1"/>
      <c r="F3021" s="1"/>
    </row>
    <row r="3022" spans="1:6" x14ac:dyDescent="0.25">
      <c r="A3022" s="1"/>
      <c r="C3022" s="1"/>
      <c r="D3022" s="1"/>
      <c r="E3022" s="1"/>
      <c r="F3022" s="1"/>
    </row>
    <row r="3023" spans="1:6" x14ac:dyDescent="0.25">
      <c r="A3023" s="1"/>
      <c r="C3023" s="1"/>
      <c r="D3023" s="1"/>
      <c r="E3023" s="1"/>
      <c r="F3023" s="1"/>
    </row>
    <row r="3024" spans="1:6" x14ac:dyDescent="0.25">
      <c r="A3024" s="1"/>
      <c r="C3024" s="1"/>
      <c r="D3024" s="1"/>
      <c r="E3024" s="1"/>
      <c r="F3024" s="1"/>
    </row>
    <row r="3025" spans="1:6" x14ac:dyDescent="0.25">
      <c r="A3025" s="1"/>
      <c r="C3025" s="1"/>
      <c r="D3025" s="1"/>
      <c r="E3025" s="1"/>
      <c r="F3025" s="1"/>
    </row>
    <row r="3026" spans="1:6" x14ac:dyDescent="0.25">
      <c r="A3026" s="1"/>
      <c r="C3026" s="1"/>
      <c r="D3026" s="1"/>
      <c r="E3026" s="1"/>
      <c r="F3026" s="1"/>
    </row>
    <row r="3027" spans="1:6" x14ac:dyDescent="0.25">
      <c r="A3027" s="1"/>
      <c r="C3027" s="1"/>
      <c r="D3027" s="1"/>
      <c r="E3027" s="1"/>
      <c r="F3027" s="1"/>
    </row>
    <row r="3028" spans="1:6" x14ac:dyDescent="0.25">
      <c r="A3028" s="1"/>
      <c r="C3028" s="1"/>
      <c r="D3028" s="1"/>
      <c r="E3028" s="1"/>
      <c r="F3028" s="1"/>
    </row>
    <row r="3029" spans="1:6" x14ac:dyDescent="0.25">
      <c r="A3029" s="1"/>
      <c r="C3029" s="1"/>
      <c r="D3029" s="1"/>
      <c r="E3029" s="1"/>
      <c r="F3029" s="1"/>
    </row>
    <row r="3030" spans="1:6" x14ac:dyDescent="0.25">
      <c r="A3030" s="1"/>
      <c r="C3030" s="1"/>
      <c r="D3030" s="1"/>
      <c r="E3030" s="1"/>
      <c r="F3030" s="1"/>
    </row>
    <row r="3031" spans="1:6" x14ac:dyDescent="0.25">
      <c r="A3031" s="1"/>
      <c r="C3031" s="1"/>
      <c r="D3031" s="1"/>
      <c r="E3031" s="1"/>
      <c r="F3031" s="1"/>
    </row>
    <row r="3032" spans="1:6" x14ac:dyDescent="0.25">
      <c r="A3032" s="1"/>
      <c r="C3032" s="1"/>
      <c r="D3032" s="1"/>
      <c r="E3032" s="1"/>
      <c r="F3032" s="1"/>
    </row>
    <row r="3033" spans="1:6" x14ac:dyDescent="0.25">
      <c r="A3033" s="1"/>
      <c r="C3033" s="1"/>
      <c r="D3033" s="1"/>
      <c r="E3033" s="1"/>
      <c r="F3033" s="1"/>
    </row>
    <row r="3034" spans="1:6" x14ac:dyDescent="0.25">
      <c r="A3034" s="1"/>
      <c r="C3034" s="1"/>
      <c r="D3034" s="1"/>
      <c r="E3034" s="1"/>
      <c r="F3034" s="1"/>
    </row>
    <row r="3035" spans="1:6" x14ac:dyDescent="0.25">
      <c r="A3035" s="1"/>
      <c r="C3035" s="1"/>
      <c r="D3035" s="1"/>
      <c r="E3035" s="1"/>
      <c r="F3035" s="1"/>
    </row>
    <row r="3036" spans="1:6" x14ac:dyDescent="0.25">
      <c r="A3036" s="1"/>
      <c r="C3036" s="1"/>
      <c r="D3036" s="1"/>
      <c r="E3036" s="1"/>
      <c r="F3036" s="1"/>
    </row>
    <row r="3037" spans="1:6" x14ac:dyDescent="0.25">
      <c r="A3037" s="1"/>
      <c r="C3037" s="1"/>
      <c r="D3037" s="1"/>
      <c r="E3037" s="1"/>
      <c r="F3037" s="1"/>
    </row>
    <row r="3038" spans="1:6" x14ac:dyDescent="0.25">
      <c r="A3038" s="1"/>
      <c r="C3038" s="1"/>
      <c r="D3038" s="1"/>
      <c r="E3038" s="1"/>
      <c r="F3038" s="1"/>
    </row>
    <row r="3039" spans="1:6" x14ac:dyDescent="0.25">
      <c r="A3039" s="1"/>
      <c r="C3039" s="1"/>
      <c r="D3039" s="1"/>
      <c r="E3039" s="1"/>
      <c r="F3039" s="1"/>
    </row>
    <row r="3040" spans="1:6" x14ac:dyDescent="0.25">
      <c r="A3040" s="1"/>
      <c r="C3040" s="1"/>
      <c r="D3040" s="1"/>
      <c r="E3040" s="1"/>
      <c r="F3040" s="1"/>
    </row>
    <row r="3041" spans="1:6" x14ac:dyDescent="0.25">
      <c r="A3041" s="1"/>
      <c r="C3041" s="1"/>
      <c r="D3041" s="1"/>
      <c r="E3041" s="1"/>
      <c r="F3041" s="1"/>
    </row>
    <row r="3042" spans="1:6" x14ac:dyDescent="0.25">
      <c r="A3042" s="1"/>
      <c r="C3042" s="1"/>
      <c r="D3042" s="1"/>
      <c r="E3042" s="1"/>
      <c r="F3042" s="1"/>
    </row>
    <row r="3043" spans="1:6" x14ac:dyDescent="0.25">
      <c r="A3043" s="1"/>
      <c r="C3043" s="1"/>
      <c r="D3043" s="1"/>
      <c r="E3043" s="1"/>
      <c r="F3043" s="1"/>
    </row>
    <row r="3044" spans="1:6" x14ac:dyDescent="0.25">
      <c r="A3044" s="1"/>
      <c r="C3044" s="1"/>
      <c r="D3044" s="1"/>
      <c r="E3044" s="1"/>
      <c r="F3044" s="1"/>
    </row>
    <row r="3045" spans="1:6" x14ac:dyDescent="0.25">
      <c r="A3045" s="1"/>
      <c r="C3045" s="1"/>
      <c r="D3045" s="1"/>
      <c r="E3045" s="1"/>
      <c r="F3045" s="1"/>
    </row>
    <row r="3046" spans="1:6" x14ac:dyDescent="0.25">
      <c r="A3046" s="1"/>
      <c r="C3046" s="1"/>
      <c r="D3046" s="1"/>
      <c r="E3046" s="1"/>
      <c r="F3046" s="1"/>
    </row>
    <row r="3047" spans="1:6" x14ac:dyDescent="0.25">
      <c r="A3047" s="1"/>
      <c r="C3047" s="1"/>
      <c r="D3047" s="1"/>
      <c r="E3047" s="1"/>
      <c r="F3047" s="1"/>
    </row>
    <row r="3048" spans="1:6" x14ac:dyDescent="0.25">
      <c r="A3048" s="1"/>
      <c r="C3048" s="1"/>
      <c r="D3048" s="1"/>
      <c r="E3048" s="1"/>
      <c r="F3048" s="1"/>
    </row>
    <row r="3049" spans="1:6" x14ac:dyDescent="0.25">
      <c r="A3049" s="1"/>
      <c r="C3049" s="1"/>
      <c r="D3049" s="1"/>
      <c r="E3049" s="1"/>
      <c r="F3049" s="1"/>
    </row>
    <row r="3050" spans="1:6" x14ac:dyDescent="0.25">
      <c r="A3050" s="1"/>
      <c r="C3050" s="1"/>
      <c r="D3050" s="1"/>
      <c r="E3050" s="1"/>
      <c r="F3050" s="1"/>
    </row>
    <row r="3051" spans="1:6" x14ac:dyDescent="0.25">
      <c r="A3051" s="1"/>
      <c r="C3051" s="1"/>
      <c r="D3051" s="1"/>
      <c r="E3051" s="1"/>
      <c r="F3051" s="1"/>
    </row>
    <row r="3052" spans="1:6" x14ac:dyDescent="0.25">
      <c r="A3052" s="1"/>
      <c r="C3052" s="1"/>
      <c r="D3052" s="1"/>
      <c r="E3052" s="1"/>
      <c r="F3052" s="1"/>
    </row>
    <row r="3053" spans="1:6" x14ac:dyDescent="0.25">
      <c r="A3053" s="1"/>
      <c r="C3053" s="1"/>
      <c r="D3053" s="1"/>
      <c r="E3053" s="1"/>
      <c r="F3053" s="1"/>
    </row>
    <row r="3054" spans="1:6" x14ac:dyDescent="0.25">
      <c r="A3054" s="1"/>
      <c r="C3054" s="1"/>
      <c r="D3054" s="1"/>
      <c r="E3054" s="1"/>
      <c r="F3054" s="1"/>
    </row>
    <row r="3055" spans="1:6" x14ac:dyDescent="0.25">
      <c r="A3055" s="1"/>
      <c r="C3055" s="1"/>
      <c r="D3055" s="1"/>
      <c r="E3055" s="1"/>
      <c r="F3055" s="1"/>
    </row>
    <row r="3056" spans="1:6" x14ac:dyDescent="0.25">
      <c r="A3056" s="1"/>
      <c r="C3056" s="1"/>
      <c r="D3056" s="1"/>
      <c r="E3056" s="1"/>
      <c r="F3056" s="1"/>
    </row>
    <row r="3057" spans="1:6" x14ac:dyDescent="0.25">
      <c r="A3057" s="1"/>
      <c r="C3057" s="1"/>
      <c r="D3057" s="1"/>
      <c r="E3057" s="1"/>
      <c r="F3057" s="1"/>
    </row>
    <row r="3058" spans="1:6" x14ac:dyDescent="0.25">
      <c r="A3058" s="1"/>
      <c r="C3058" s="1"/>
      <c r="D3058" s="1"/>
      <c r="E3058" s="1"/>
      <c r="F3058" s="1"/>
    </row>
    <row r="3059" spans="1:6" x14ac:dyDescent="0.25">
      <c r="A3059" s="1"/>
      <c r="C3059" s="1"/>
      <c r="D3059" s="1"/>
      <c r="E3059" s="1"/>
      <c r="F3059" s="1"/>
    </row>
    <row r="3060" spans="1:6" x14ac:dyDescent="0.25">
      <c r="A3060" s="1"/>
      <c r="C3060" s="1"/>
      <c r="D3060" s="1"/>
      <c r="E3060" s="1"/>
      <c r="F3060" s="1"/>
    </row>
    <row r="3061" spans="1:6" x14ac:dyDescent="0.25">
      <c r="A3061" s="1"/>
      <c r="C3061" s="1"/>
      <c r="D3061" s="1"/>
      <c r="E3061" s="1"/>
      <c r="F3061" s="1"/>
    </row>
    <row r="3062" spans="1:6" x14ac:dyDescent="0.25">
      <c r="A3062" s="1"/>
      <c r="C3062" s="1"/>
      <c r="D3062" s="1"/>
      <c r="E3062" s="1"/>
      <c r="F3062" s="1"/>
    </row>
    <row r="3063" spans="1:6" x14ac:dyDescent="0.25">
      <c r="A3063" s="1"/>
      <c r="C3063" s="1"/>
      <c r="D3063" s="1"/>
      <c r="E3063" s="1"/>
      <c r="F3063" s="1"/>
    </row>
    <row r="3064" spans="1:6" x14ac:dyDescent="0.25">
      <c r="A3064" s="1"/>
      <c r="C3064" s="1"/>
      <c r="D3064" s="1"/>
      <c r="E3064" s="1"/>
      <c r="F3064" s="1"/>
    </row>
    <row r="3065" spans="1:6" x14ac:dyDescent="0.25">
      <c r="A3065" s="1"/>
      <c r="C3065" s="1"/>
      <c r="D3065" s="1"/>
      <c r="E3065" s="1"/>
      <c r="F3065" s="1"/>
    </row>
    <row r="3066" spans="1:6" x14ac:dyDescent="0.25">
      <c r="A3066" s="1"/>
      <c r="C3066" s="1"/>
      <c r="D3066" s="1"/>
      <c r="E3066" s="1"/>
      <c r="F3066" s="1"/>
    </row>
    <row r="3067" spans="1:6" x14ac:dyDescent="0.25">
      <c r="A3067" s="1"/>
      <c r="C3067" s="1"/>
      <c r="D3067" s="1"/>
      <c r="E3067" s="1"/>
      <c r="F3067" s="1"/>
    </row>
    <row r="3068" spans="1:6" x14ac:dyDescent="0.25">
      <c r="A3068" s="1"/>
      <c r="C3068" s="1"/>
      <c r="D3068" s="1"/>
      <c r="E3068" s="1"/>
      <c r="F3068" s="1"/>
    </row>
    <row r="3069" spans="1:6" x14ac:dyDescent="0.25">
      <c r="A3069" s="1"/>
      <c r="C3069" s="1"/>
      <c r="D3069" s="1"/>
      <c r="E3069" s="1"/>
      <c r="F3069" s="1"/>
    </row>
    <row r="3070" spans="1:6" x14ac:dyDescent="0.25">
      <c r="A3070" s="1"/>
      <c r="C3070" s="1"/>
      <c r="D3070" s="1"/>
      <c r="E3070" s="1"/>
      <c r="F3070" s="1"/>
    </row>
    <row r="3071" spans="1:6" x14ac:dyDescent="0.25">
      <c r="A3071" s="1"/>
      <c r="C3071" s="1"/>
      <c r="D3071" s="1"/>
      <c r="E3071" s="1"/>
      <c r="F3071" s="1"/>
    </row>
    <row r="3072" spans="1:6" x14ac:dyDescent="0.25">
      <c r="A3072" s="1"/>
      <c r="C3072" s="1"/>
      <c r="D3072" s="1"/>
      <c r="E3072" s="1"/>
      <c r="F3072" s="1"/>
    </row>
    <row r="3073" spans="1:6" x14ac:dyDescent="0.25">
      <c r="A3073" s="1"/>
      <c r="C3073" s="1"/>
      <c r="D3073" s="1"/>
      <c r="E3073" s="1"/>
      <c r="F3073" s="1"/>
    </row>
    <row r="3074" spans="1:6" x14ac:dyDescent="0.25">
      <c r="A3074" s="1"/>
      <c r="C3074" s="1"/>
      <c r="D3074" s="1"/>
      <c r="E3074" s="1"/>
      <c r="F3074" s="1"/>
    </row>
    <row r="3075" spans="1:6" x14ac:dyDescent="0.25">
      <c r="A3075" s="1"/>
      <c r="C3075" s="1"/>
      <c r="D3075" s="1"/>
      <c r="E3075" s="1"/>
      <c r="F3075" s="1"/>
    </row>
    <row r="3076" spans="1:6" x14ac:dyDescent="0.25">
      <c r="A3076" s="1"/>
      <c r="C3076" s="1"/>
      <c r="D3076" s="1"/>
      <c r="E3076" s="1"/>
      <c r="F3076" s="1"/>
    </row>
    <row r="3077" spans="1:6" x14ac:dyDescent="0.25">
      <c r="A3077" s="1"/>
      <c r="C3077" s="1"/>
      <c r="D3077" s="1"/>
      <c r="E3077" s="1"/>
      <c r="F3077" s="1"/>
    </row>
    <row r="3078" spans="1:6" x14ac:dyDescent="0.25">
      <c r="A3078" s="1"/>
      <c r="C3078" s="1"/>
      <c r="D3078" s="1"/>
      <c r="E3078" s="1"/>
      <c r="F3078" s="1"/>
    </row>
    <row r="3079" spans="1:6" x14ac:dyDescent="0.25">
      <c r="A3079" s="1"/>
      <c r="C3079" s="1"/>
      <c r="D3079" s="1"/>
      <c r="E3079" s="1"/>
      <c r="F3079" s="1"/>
    </row>
    <row r="3080" spans="1:6" x14ac:dyDescent="0.25">
      <c r="A3080" s="1"/>
      <c r="C3080" s="1"/>
      <c r="D3080" s="1"/>
      <c r="E3080" s="1"/>
      <c r="F3080" s="1"/>
    </row>
    <row r="3081" spans="1:6" x14ac:dyDescent="0.25">
      <c r="A3081" s="1"/>
      <c r="C3081" s="1"/>
      <c r="D3081" s="1"/>
      <c r="E3081" s="1"/>
      <c r="F3081" s="1"/>
    </row>
    <row r="3082" spans="1:6" x14ac:dyDescent="0.25">
      <c r="A3082" s="1"/>
      <c r="C3082" s="1"/>
      <c r="D3082" s="1"/>
      <c r="E3082" s="1"/>
      <c r="F3082" s="1"/>
    </row>
    <row r="3083" spans="1:6" x14ac:dyDescent="0.25">
      <c r="A3083" s="1"/>
      <c r="C3083" s="1"/>
      <c r="D3083" s="1"/>
      <c r="E3083" s="1"/>
      <c r="F3083" s="1"/>
    </row>
    <row r="3084" spans="1:6" x14ac:dyDescent="0.25">
      <c r="A3084" s="1"/>
      <c r="C3084" s="1"/>
      <c r="D3084" s="1"/>
      <c r="E3084" s="1"/>
      <c r="F3084" s="1"/>
    </row>
    <row r="3085" spans="1:6" x14ac:dyDescent="0.25">
      <c r="A3085" s="1"/>
      <c r="C3085" s="1"/>
      <c r="D3085" s="1"/>
      <c r="E3085" s="1"/>
      <c r="F3085" s="1"/>
    </row>
    <row r="3086" spans="1:6" x14ac:dyDescent="0.25">
      <c r="A3086" s="1"/>
      <c r="C3086" s="1"/>
      <c r="D3086" s="1"/>
      <c r="E3086" s="1"/>
      <c r="F3086" s="1"/>
    </row>
    <row r="3087" spans="1:6" x14ac:dyDescent="0.25">
      <c r="A3087" s="1"/>
      <c r="C3087" s="1"/>
      <c r="D3087" s="1"/>
      <c r="E3087" s="1"/>
      <c r="F3087" s="1"/>
    </row>
    <row r="3088" spans="1:6" x14ac:dyDescent="0.25">
      <c r="A3088" s="1"/>
      <c r="C3088" s="1"/>
      <c r="D3088" s="1"/>
      <c r="E3088" s="1"/>
      <c r="F3088" s="1"/>
    </row>
    <row r="3089" spans="1:6" x14ac:dyDescent="0.25">
      <c r="A3089" s="1"/>
      <c r="C3089" s="1"/>
      <c r="D3089" s="1"/>
      <c r="E3089" s="1"/>
      <c r="F3089" s="1"/>
    </row>
    <row r="3090" spans="1:6" x14ac:dyDescent="0.25">
      <c r="A3090" s="1"/>
      <c r="C3090" s="1"/>
      <c r="D3090" s="1"/>
      <c r="E3090" s="1"/>
      <c r="F3090" s="1"/>
    </row>
    <row r="3091" spans="1:6" x14ac:dyDescent="0.25">
      <c r="A3091" s="1"/>
      <c r="C3091" s="1"/>
      <c r="D3091" s="1"/>
      <c r="E3091" s="1"/>
      <c r="F3091" s="1"/>
    </row>
    <row r="3092" spans="1:6" x14ac:dyDescent="0.25">
      <c r="A3092" s="1"/>
      <c r="C3092" s="1"/>
      <c r="D3092" s="1"/>
      <c r="E3092" s="1"/>
      <c r="F3092" s="1"/>
    </row>
    <row r="3093" spans="1:6" x14ac:dyDescent="0.25">
      <c r="A3093" s="1"/>
      <c r="C3093" s="1"/>
      <c r="D3093" s="1"/>
      <c r="E3093" s="1"/>
      <c r="F3093" s="1"/>
    </row>
    <row r="3094" spans="1:6" x14ac:dyDescent="0.25">
      <c r="A3094" s="1"/>
      <c r="C3094" s="1"/>
      <c r="D3094" s="1"/>
      <c r="E3094" s="1"/>
      <c r="F3094" s="1"/>
    </row>
    <row r="3095" spans="1:6" x14ac:dyDescent="0.25">
      <c r="A3095" s="1"/>
      <c r="C3095" s="1"/>
      <c r="D3095" s="1"/>
      <c r="E3095" s="1"/>
      <c r="F3095" s="1"/>
    </row>
    <row r="3096" spans="1:6" x14ac:dyDescent="0.25">
      <c r="A3096" s="1"/>
      <c r="C3096" s="1"/>
      <c r="D3096" s="1"/>
      <c r="E3096" s="1"/>
      <c r="F3096" s="1"/>
    </row>
    <row r="3097" spans="1:6" x14ac:dyDescent="0.25">
      <c r="A3097" s="1"/>
      <c r="C3097" s="1"/>
      <c r="D3097" s="1"/>
      <c r="E3097" s="1"/>
      <c r="F3097" s="1"/>
    </row>
    <row r="3098" spans="1:6" x14ac:dyDescent="0.25">
      <c r="A3098" s="1"/>
      <c r="C3098" s="1"/>
      <c r="D3098" s="1"/>
      <c r="E3098" s="1"/>
      <c r="F3098" s="1"/>
    </row>
    <row r="3099" spans="1:6" x14ac:dyDescent="0.25">
      <c r="A3099" s="1"/>
      <c r="C3099" s="1"/>
      <c r="D3099" s="1"/>
      <c r="E3099" s="1"/>
      <c r="F3099" s="1"/>
    </row>
    <row r="3100" spans="1:6" x14ac:dyDescent="0.25">
      <c r="A3100" s="1"/>
      <c r="C3100" s="1"/>
      <c r="D3100" s="1"/>
      <c r="E3100" s="1"/>
      <c r="F3100" s="1"/>
    </row>
    <row r="3101" spans="1:6" x14ac:dyDescent="0.25">
      <c r="A3101" s="1"/>
      <c r="C3101" s="1"/>
      <c r="D3101" s="1"/>
      <c r="E3101" s="1"/>
      <c r="F3101" s="1"/>
    </row>
    <row r="3102" spans="1:6" x14ac:dyDescent="0.25">
      <c r="A3102" s="1"/>
      <c r="C3102" s="1"/>
      <c r="D3102" s="1"/>
      <c r="E3102" s="1"/>
      <c r="F3102" s="1"/>
    </row>
    <row r="3103" spans="1:6" x14ac:dyDescent="0.25">
      <c r="A3103" s="1"/>
      <c r="C3103" s="1"/>
      <c r="D3103" s="1"/>
      <c r="E3103" s="1"/>
      <c r="F3103" s="1"/>
    </row>
    <row r="3104" spans="1:6" x14ac:dyDescent="0.25">
      <c r="A3104" s="1"/>
      <c r="C3104" s="1"/>
      <c r="D3104" s="1"/>
      <c r="E3104" s="1"/>
      <c r="F3104" s="1"/>
    </row>
    <row r="3105" spans="1:6" x14ac:dyDescent="0.25">
      <c r="A3105" s="1"/>
      <c r="C3105" s="1"/>
      <c r="D3105" s="1"/>
      <c r="E3105" s="1"/>
      <c r="F3105" s="1"/>
    </row>
    <row r="3106" spans="1:6" x14ac:dyDescent="0.25">
      <c r="A3106" s="1"/>
      <c r="C3106" s="1"/>
      <c r="D3106" s="1"/>
      <c r="E3106" s="1"/>
      <c r="F3106" s="1"/>
    </row>
    <row r="3107" spans="1:6" x14ac:dyDescent="0.25">
      <c r="A3107" s="1"/>
      <c r="C3107" s="1"/>
      <c r="D3107" s="1"/>
      <c r="E3107" s="1"/>
      <c r="F3107" s="1"/>
    </row>
    <row r="3108" spans="1:6" x14ac:dyDescent="0.25">
      <c r="A3108" s="1"/>
      <c r="C3108" s="1"/>
      <c r="D3108" s="1"/>
      <c r="E3108" s="1"/>
      <c r="F3108" s="1"/>
    </row>
    <row r="3109" spans="1:6" x14ac:dyDescent="0.25">
      <c r="A3109" s="1"/>
      <c r="C3109" s="1"/>
      <c r="D3109" s="1"/>
      <c r="E3109" s="1"/>
      <c r="F3109" s="1"/>
    </row>
    <row r="3110" spans="1:6" x14ac:dyDescent="0.25">
      <c r="A3110" s="1"/>
      <c r="C3110" s="1"/>
      <c r="D3110" s="1"/>
      <c r="E3110" s="1"/>
      <c r="F3110" s="1"/>
    </row>
    <row r="3111" spans="1:6" x14ac:dyDescent="0.25">
      <c r="A3111" s="1"/>
      <c r="C3111" s="1"/>
      <c r="D3111" s="1"/>
      <c r="E3111" s="1"/>
      <c r="F3111" s="1"/>
    </row>
    <row r="3112" spans="1:6" x14ac:dyDescent="0.25">
      <c r="A3112" s="1"/>
      <c r="C3112" s="1"/>
      <c r="D3112" s="1"/>
      <c r="E3112" s="1"/>
      <c r="F3112" s="1"/>
    </row>
    <row r="3113" spans="1:6" x14ac:dyDescent="0.25">
      <c r="A3113" s="1"/>
      <c r="C3113" s="1"/>
      <c r="D3113" s="1"/>
      <c r="E3113" s="1"/>
      <c r="F3113" s="1"/>
    </row>
    <row r="3114" spans="1:6" x14ac:dyDescent="0.25">
      <c r="A3114" s="1"/>
      <c r="C3114" s="1"/>
      <c r="D3114" s="1"/>
      <c r="E3114" s="1"/>
      <c r="F3114" s="1"/>
    </row>
    <row r="3115" spans="1:6" x14ac:dyDescent="0.25">
      <c r="A3115" s="1"/>
      <c r="C3115" s="1"/>
      <c r="D3115" s="1"/>
      <c r="E3115" s="1"/>
      <c r="F3115" s="1"/>
    </row>
    <row r="3116" spans="1:6" x14ac:dyDescent="0.25">
      <c r="A3116" s="1"/>
      <c r="C3116" s="1"/>
      <c r="D3116" s="1"/>
      <c r="E3116" s="1"/>
      <c r="F3116" s="1"/>
    </row>
    <row r="3117" spans="1:6" x14ac:dyDescent="0.25">
      <c r="A3117" s="1"/>
      <c r="C3117" s="1"/>
      <c r="D3117" s="1"/>
      <c r="E3117" s="1"/>
      <c r="F3117" s="1"/>
    </row>
    <row r="3118" spans="1:6" x14ac:dyDescent="0.25">
      <c r="A3118" s="1"/>
      <c r="C3118" s="1"/>
      <c r="D3118" s="1"/>
      <c r="E3118" s="1"/>
      <c r="F3118" s="1"/>
    </row>
    <row r="3119" spans="1:6" x14ac:dyDescent="0.25">
      <c r="A3119" s="1"/>
      <c r="C3119" s="1"/>
      <c r="D3119" s="1"/>
      <c r="E3119" s="1"/>
      <c r="F3119" s="1"/>
    </row>
    <row r="3120" spans="1:6" x14ac:dyDescent="0.25">
      <c r="A3120" s="1"/>
      <c r="C3120" s="1"/>
      <c r="D3120" s="1"/>
      <c r="E3120" s="1"/>
      <c r="F3120" s="1"/>
    </row>
    <row r="3121" spans="1:6" x14ac:dyDescent="0.25">
      <c r="A3121" s="1"/>
      <c r="C3121" s="1"/>
      <c r="D3121" s="1"/>
      <c r="E3121" s="1"/>
      <c r="F3121" s="1"/>
    </row>
    <row r="3122" spans="1:6" x14ac:dyDescent="0.25">
      <c r="A3122" s="1"/>
      <c r="C3122" s="1"/>
      <c r="D3122" s="1"/>
      <c r="E3122" s="1"/>
      <c r="F3122" s="1"/>
    </row>
    <row r="3123" spans="1:6" x14ac:dyDescent="0.25">
      <c r="A3123" s="1"/>
      <c r="C3123" s="1"/>
      <c r="D3123" s="1"/>
      <c r="E3123" s="1"/>
      <c r="F3123" s="1"/>
    </row>
    <row r="3124" spans="1:6" x14ac:dyDescent="0.25">
      <c r="A3124" s="1"/>
      <c r="C3124" s="1"/>
      <c r="D3124" s="1"/>
      <c r="E3124" s="1"/>
      <c r="F3124" s="1"/>
    </row>
    <row r="3125" spans="1:6" x14ac:dyDescent="0.25">
      <c r="A3125" s="1"/>
      <c r="C3125" s="1"/>
      <c r="D3125" s="1"/>
      <c r="E3125" s="1"/>
      <c r="F3125" s="1"/>
    </row>
    <row r="3126" spans="1:6" x14ac:dyDescent="0.25">
      <c r="A3126" s="1"/>
      <c r="C3126" s="1"/>
      <c r="D3126" s="1"/>
      <c r="E3126" s="1"/>
      <c r="F3126" s="1"/>
    </row>
    <row r="3127" spans="1:6" x14ac:dyDescent="0.25">
      <c r="A3127" s="1"/>
      <c r="C3127" s="1"/>
      <c r="D3127" s="1"/>
      <c r="E3127" s="1"/>
      <c r="F3127" s="1"/>
    </row>
    <row r="3128" spans="1:6" x14ac:dyDescent="0.25">
      <c r="A3128" s="1"/>
      <c r="C3128" s="1"/>
      <c r="D3128" s="1"/>
      <c r="E3128" s="1"/>
      <c r="F3128" s="1"/>
    </row>
    <row r="3129" spans="1:6" x14ac:dyDescent="0.25">
      <c r="A3129" s="1"/>
      <c r="C3129" s="1"/>
      <c r="D3129" s="1"/>
      <c r="E3129" s="1"/>
      <c r="F3129" s="1"/>
    </row>
    <row r="3130" spans="1:6" x14ac:dyDescent="0.25">
      <c r="A3130" s="1"/>
      <c r="C3130" s="1"/>
      <c r="D3130" s="1"/>
      <c r="E3130" s="1"/>
      <c r="F3130" s="1"/>
    </row>
    <row r="3131" spans="1:6" x14ac:dyDescent="0.25">
      <c r="A3131" s="1"/>
      <c r="C3131" s="1"/>
      <c r="D3131" s="1"/>
      <c r="E3131" s="1"/>
      <c r="F3131" s="1"/>
    </row>
    <row r="3132" spans="1:6" x14ac:dyDescent="0.25">
      <c r="A3132" s="1"/>
      <c r="C3132" s="1"/>
      <c r="D3132" s="1"/>
      <c r="E3132" s="1"/>
      <c r="F3132" s="1"/>
    </row>
    <row r="3133" spans="1:6" x14ac:dyDescent="0.25">
      <c r="A3133" s="1"/>
      <c r="C3133" s="1"/>
      <c r="D3133" s="1"/>
      <c r="E3133" s="1"/>
      <c r="F3133" s="1"/>
    </row>
    <row r="3134" spans="1:6" x14ac:dyDescent="0.25">
      <c r="A3134" s="1"/>
      <c r="C3134" s="1"/>
      <c r="D3134" s="1"/>
      <c r="E3134" s="1"/>
      <c r="F3134" s="1"/>
    </row>
    <row r="3135" spans="1:6" x14ac:dyDescent="0.25">
      <c r="A3135" s="1"/>
      <c r="C3135" s="1"/>
      <c r="D3135" s="1"/>
      <c r="E3135" s="1"/>
      <c r="F3135" s="1"/>
    </row>
    <row r="3136" spans="1:6" x14ac:dyDescent="0.25">
      <c r="A3136" s="1"/>
      <c r="C3136" s="1"/>
      <c r="D3136" s="1"/>
      <c r="E3136" s="1"/>
      <c r="F3136" s="1"/>
    </row>
    <row r="3137" spans="1:6" x14ac:dyDescent="0.25">
      <c r="A3137" s="1"/>
      <c r="C3137" s="1"/>
      <c r="D3137" s="1"/>
      <c r="E3137" s="1"/>
      <c r="F3137" s="1"/>
    </row>
    <row r="3138" spans="1:6" x14ac:dyDescent="0.25">
      <c r="A3138" s="1"/>
      <c r="C3138" s="1"/>
      <c r="D3138" s="1"/>
      <c r="E3138" s="1"/>
      <c r="F3138" s="1"/>
    </row>
    <row r="3139" spans="1:6" x14ac:dyDescent="0.25">
      <c r="A3139" s="1"/>
      <c r="C3139" s="1"/>
      <c r="D3139" s="1"/>
      <c r="E3139" s="1"/>
      <c r="F3139" s="1"/>
    </row>
    <row r="3140" spans="1:6" x14ac:dyDescent="0.25">
      <c r="A3140" s="1"/>
      <c r="C3140" s="1"/>
      <c r="D3140" s="1"/>
      <c r="E3140" s="1"/>
      <c r="F3140" s="1"/>
    </row>
    <row r="3141" spans="1:6" x14ac:dyDescent="0.25">
      <c r="A3141" s="1"/>
      <c r="C3141" s="1"/>
      <c r="D3141" s="1"/>
      <c r="E3141" s="1"/>
      <c r="F3141" s="1"/>
    </row>
    <row r="3142" spans="1:6" x14ac:dyDescent="0.25">
      <c r="A3142" s="1"/>
      <c r="C3142" s="1"/>
      <c r="D3142" s="1"/>
      <c r="E3142" s="1"/>
      <c r="F3142" s="1"/>
    </row>
    <row r="3143" spans="1:6" x14ac:dyDescent="0.25">
      <c r="A3143" s="1"/>
      <c r="C3143" s="1"/>
      <c r="D3143" s="1"/>
      <c r="E3143" s="1"/>
      <c r="F3143" s="1"/>
    </row>
    <row r="3144" spans="1:6" x14ac:dyDescent="0.25">
      <c r="A3144" s="1"/>
      <c r="C3144" s="1"/>
      <c r="D3144" s="1"/>
      <c r="E3144" s="1"/>
      <c r="F3144" s="1"/>
    </row>
    <row r="3145" spans="1:6" x14ac:dyDescent="0.25">
      <c r="A3145" s="1"/>
      <c r="C3145" s="1"/>
      <c r="D3145" s="1"/>
      <c r="E3145" s="1"/>
      <c r="F3145" s="1"/>
    </row>
    <row r="3146" spans="1:6" x14ac:dyDescent="0.25">
      <c r="A3146" s="1"/>
      <c r="C3146" s="1"/>
      <c r="D3146" s="1"/>
      <c r="E3146" s="1"/>
      <c r="F3146" s="1"/>
    </row>
    <row r="3147" spans="1:6" x14ac:dyDescent="0.25">
      <c r="A3147" s="1"/>
      <c r="C3147" s="1"/>
      <c r="D3147" s="1"/>
      <c r="E3147" s="1"/>
      <c r="F3147" s="1"/>
    </row>
    <row r="3148" spans="1:6" x14ac:dyDescent="0.25">
      <c r="A3148" s="1"/>
      <c r="C3148" s="1"/>
      <c r="D3148" s="1"/>
      <c r="E3148" s="1"/>
      <c r="F3148" s="1"/>
    </row>
    <row r="3149" spans="1:6" x14ac:dyDescent="0.25">
      <c r="A3149" s="1"/>
      <c r="C3149" s="1"/>
      <c r="D3149" s="1"/>
      <c r="E3149" s="1"/>
      <c r="F3149" s="1"/>
    </row>
    <row r="3150" spans="1:6" x14ac:dyDescent="0.25">
      <c r="A3150" s="1"/>
      <c r="C3150" s="1"/>
      <c r="D3150" s="1"/>
      <c r="E3150" s="1"/>
      <c r="F3150" s="1"/>
    </row>
    <row r="3151" spans="1:6" x14ac:dyDescent="0.25">
      <c r="A3151" s="1"/>
      <c r="C3151" s="1"/>
      <c r="D3151" s="1"/>
      <c r="E3151" s="1"/>
      <c r="F3151" s="1"/>
    </row>
    <row r="3152" spans="1:6" x14ac:dyDescent="0.25">
      <c r="A3152" s="1"/>
      <c r="C3152" s="1"/>
      <c r="D3152" s="1"/>
      <c r="E3152" s="1"/>
      <c r="F3152" s="1"/>
    </row>
    <row r="3153" spans="1:6" x14ac:dyDescent="0.25">
      <c r="A3153" s="1"/>
      <c r="C3153" s="1"/>
      <c r="D3153" s="1"/>
      <c r="E3153" s="1"/>
      <c r="F3153" s="1"/>
    </row>
    <row r="3154" spans="1:6" x14ac:dyDescent="0.25">
      <c r="A3154" s="1"/>
      <c r="C3154" s="1"/>
      <c r="D3154" s="1"/>
      <c r="E3154" s="1"/>
      <c r="F3154" s="1"/>
    </row>
    <row r="3155" spans="1:6" x14ac:dyDescent="0.25">
      <c r="A3155" s="1"/>
      <c r="C3155" s="1"/>
      <c r="D3155" s="1"/>
      <c r="E3155" s="1"/>
      <c r="F3155" s="1"/>
    </row>
    <row r="3156" spans="1:6" x14ac:dyDescent="0.25">
      <c r="A3156" s="1"/>
      <c r="C3156" s="1"/>
      <c r="D3156" s="1"/>
      <c r="E3156" s="1"/>
      <c r="F3156" s="1"/>
    </row>
    <row r="3157" spans="1:6" x14ac:dyDescent="0.25">
      <c r="A3157" s="1"/>
      <c r="C3157" s="1"/>
      <c r="D3157" s="1"/>
      <c r="E3157" s="1"/>
      <c r="F3157" s="1"/>
    </row>
    <row r="3158" spans="1:6" x14ac:dyDescent="0.25">
      <c r="A3158" s="1"/>
      <c r="C3158" s="1"/>
      <c r="D3158" s="1"/>
      <c r="E3158" s="1"/>
      <c r="F3158" s="1"/>
    </row>
    <row r="3159" spans="1:6" x14ac:dyDescent="0.25">
      <c r="A3159" s="1"/>
      <c r="C3159" s="1"/>
      <c r="D3159" s="1"/>
      <c r="E3159" s="1"/>
      <c r="F3159" s="1"/>
    </row>
    <row r="3160" spans="1:6" x14ac:dyDescent="0.25">
      <c r="A3160" s="1"/>
      <c r="C3160" s="1"/>
      <c r="D3160" s="1"/>
      <c r="E3160" s="1"/>
      <c r="F3160" s="1"/>
    </row>
    <row r="3161" spans="1:6" x14ac:dyDescent="0.25">
      <c r="A3161" s="1"/>
      <c r="C3161" s="1"/>
      <c r="D3161" s="1"/>
      <c r="E3161" s="1"/>
      <c r="F3161" s="1"/>
    </row>
    <row r="3162" spans="1:6" x14ac:dyDescent="0.25">
      <c r="A3162" s="1"/>
      <c r="C3162" s="1"/>
      <c r="D3162" s="1"/>
      <c r="E3162" s="1"/>
      <c r="F3162" s="1"/>
    </row>
    <row r="3163" spans="1:6" x14ac:dyDescent="0.25">
      <c r="A3163" s="1"/>
      <c r="C3163" s="1"/>
      <c r="D3163" s="1"/>
      <c r="E3163" s="1"/>
      <c r="F3163" s="1"/>
    </row>
    <row r="3164" spans="1:6" x14ac:dyDescent="0.25">
      <c r="A3164" s="1"/>
      <c r="C3164" s="1"/>
      <c r="D3164" s="1"/>
      <c r="E3164" s="1"/>
      <c r="F3164" s="1"/>
    </row>
    <row r="3165" spans="1:6" x14ac:dyDescent="0.25">
      <c r="A3165" s="1"/>
      <c r="C3165" s="1"/>
      <c r="D3165" s="1"/>
      <c r="E3165" s="1"/>
      <c r="F3165" s="1"/>
    </row>
    <row r="3166" spans="1:6" x14ac:dyDescent="0.25">
      <c r="A3166" s="1"/>
      <c r="C3166" s="1"/>
      <c r="D3166" s="1"/>
      <c r="E3166" s="1"/>
      <c r="F3166" s="1"/>
    </row>
    <row r="3167" spans="1:6" x14ac:dyDescent="0.25">
      <c r="A3167" s="1"/>
      <c r="C3167" s="1"/>
      <c r="D3167" s="1"/>
      <c r="E3167" s="1"/>
      <c r="F3167" s="1"/>
    </row>
    <row r="3168" spans="1:6" x14ac:dyDescent="0.25">
      <c r="A3168" s="1"/>
      <c r="C3168" s="1"/>
      <c r="D3168" s="1"/>
      <c r="E3168" s="1"/>
      <c r="F3168" s="1"/>
    </row>
    <row r="3169" spans="1:6" x14ac:dyDescent="0.25">
      <c r="A3169" s="1"/>
      <c r="C3169" s="1"/>
      <c r="D3169" s="1"/>
      <c r="E3169" s="1"/>
      <c r="F3169" s="1"/>
    </row>
    <row r="3170" spans="1:6" x14ac:dyDescent="0.25">
      <c r="A3170" s="1"/>
      <c r="C3170" s="1"/>
      <c r="D3170" s="1"/>
      <c r="E3170" s="1"/>
      <c r="F3170" s="1"/>
    </row>
    <row r="3171" spans="1:6" x14ac:dyDescent="0.25">
      <c r="A3171" s="1"/>
      <c r="C3171" s="1"/>
      <c r="D3171" s="1"/>
      <c r="E3171" s="1"/>
      <c r="F3171" s="1"/>
    </row>
    <row r="3172" spans="1:6" x14ac:dyDescent="0.25">
      <c r="A3172" s="1"/>
      <c r="C3172" s="1"/>
      <c r="D3172" s="1"/>
      <c r="E3172" s="1"/>
      <c r="F3172" s="1"/>
    </row>
    <row r="3173" spans="1:6" x14ac:dyDescent="0.25">
      <c r="A3173" s="1"/>
      <c r="C3173" s="1"/>
      <c r="D3173" s="1"/>
      <c r="E3173" s="1"/>
      <c r="F3173" s="1"/>
    </row>
    <row r="3174" spans="1:6" x14ac:dyDescent="0.25">
      <c r="A3174" s="1"/>
      <c r="C3174" s="1"/>
      <c r="D3174" s="1"/>
      <c r="E3174" s="1"/>
      <c r="F3174" s="1"/>
    </row>
    <row r="3175" spans="1:6" x14ac:dyDescent="0.25">
      <c r="A3175" s="1"/>
      <c r="C3175" s="1"/>
      <c r="D3175" s="1"/>
      <c r="E3175" s="1"/>
      <c r="F3175" s="1"/>
    </row>
    <row r="3176" spans="1:6" x14ac:dyDescent="0.25">
      <c r="A3176" s="1"/>
      <c r="C3176" s="1"/>
      <c r="D3176" s="1"/>
      <c r="E3176" s="1"/>
      <c r="F3176" s="1"/>
    </row>
    <row r="3177" spans="1:6" x14ac:dyDescent="0.25">
      <c r="A3177" s="1"/>
      <c r="C3177" s="1"/>
      <c r="D3177" s="1"/>
      <c r="E3177" s="1"/>
      <c r="F3177" s="1"/>
    </row>
    <row r="3178" spans="1:6" x14ac:dyDescent="0.25">
      <c r="A3178" s="1"/>
      <c r="C3178" s="1"/>
      <c r="D3178" s="1"/>
      <c r="E3178" s="1"/>
      <c r="F3178" s="1"/>
    </row>
    <row r="3179" spans="1:6" x14ac:dyDescent="0.25">
      <c r="A3179" s="1"/>
      <c r="C3179" s="1"/>
      <c r="D3179" s="1"/>
      <c r="E3179" s="1"/>
      <c r="F3179" s="1"/>
    </row>
    <row r="3180" spans="1:6" x14ac:dyDescent="0.25">
      <c r="A3180" s="1"/>
      <c r="C3180" s="1"/>
      <c r="D3180" s="1"/>
      <c r="E3180" s="1"/>
      <c r="F3180" s="1"/>
    </row>
    <row r="3181" spans="1:6" x14ac:dyDescent="0.25">
      <c r="A3181" s="1"/>
      <c r="C3181" s="1"/>
      <c r="D3181" s="1"/>
      <c r="E3181" s="1"/>
      <c r="F3181" s="1"/>
    </row>
    <row r="3182" spans="1:6" x14ac:dyDescent="0.25">
      <c r="A3182" s="1"/>
      <c r="C3182" s="1"/>
      <c r="D3182" s="1"/>
      <c r="E3182" s="1"/>
      <c r="F3182" s="1"/>
    </row>
    <row r="3183" spans="1:6" x14ac:dyDescent="0.25">
      <c r="A3183" s="1"/>
      <c r="C3183" s="1"/>
      <c r="D3183" s="1"/>
      <c r="E3183" s="1"/>
      <c r="F3183" s="1"/>
    </row>
    <row r="3184" spans="1:6" x14ac:dyDescent="0.25">
      <c r="A3184" s="1"/>
      <c r="C3184" s="1"/>
      <c r="D3184" s="1"/>
      <c r="E3184" s="1"/>
      <c r="F3184" s="1"/>
    </row>
    <row r="3185" spans="1:6" x14ac:dyDescent="0.25">
      <c r="A3185" s="1"/>
      <c r="C3185" s="1"/>
      <c r="D3185" s="1"/>
      <c r="E3185" s="1"/>
      <c r="F3185" s="1"/>
    </row>
    <row r="3186" spans="1:6" x14ac:dyDescent="0.25">
      <c r="A3186" s="1"/>
      <c r="C3186" s="1"/>
      <c r="D3186" s="1"/>
      <c r="E3186" s="1"/>
      <c r="F3186" s="1"/>
    </row>
    <row r="3187" spans="1:6" x14ac:dyDescent="0.25">
      <c r="A3187" s="1"/>
      <c r="C3187" s="1"/>
      <c r="D3187" s="1"/>
      <c r="E3187" s="1"/>
      <c r="F3187" s="1"/>
    </row>
    <row r="3188" spans="1:6" x14ac:dyDescent="0.25">
      <c r="A3188" s="1"/>
      <c r="C3188" s="1"/>
      <c r="D3188" s="1"/>
      <c r="E3188" s="1"/>
      <c r="F3188" s="1"/>
    </row>
    <row r="3189" spans="1:6" x14ac:dyDescent="0.25">
      <c r="A3189" s="1"/>
      <c r="C3189" s="1"/>
      <c r="D3189" s="1"/>
      <c r="E3189" s="1"/>
      <c r="F3189" s="1"/>
    </row>
    <row r="3190" spans="1:6" x14ac:dyDescent="0.25">
      <c r="A3190" s="1"/>
      <c r="C3190" s="1"/>
      <c r="D3190" s="1"/>
      <c r="E3190" s="1"/>
      <c r="F3190" s="1"/>
    </row>
    <row r="3191" spans="1:6" x14ac:dyDescent="0.25">
      <c r="A3191" s="1"/>
      <c r="C3191" s="1"/>
      <c r="D3191" s="1"/>
      <c r="E3191" s="1"/>
      <c r="F3191" s="1"/>
    </row>
    <row r="3192" spans="1:6" x14ac:dyDescent="0.25">
      <c r="A3192" s="1"/>
      <c r="C3192" s="1"/>
      <c r="D3192" s="1"/>
      <c r="E3192" s="1"/>
      <c r="F3192" s="1"/>
    </row>
    <row r="3193" spans="1:6" x14ac:dyDescent="0.25">
      <c r="A3193" s="1"/>
      <c r="C3193" s="1"/>
      <c r="D3193" s="1"/>
      <c r="E3193" s="1"/>
      <c r="F3193" s="1"/>
    </row>
    <row r="3194" spans="1:6" x14ac:dyDescent="0.25">
      <c r="A3194" s="1"/>
      <c r="C3194" s="1"/>
      <c r="D3194" s="1"/>
      <c r="E3194" s="1"/>
      <c r="F3194" s="1"/>
    </row>
    <row r="3195" spans="1:6" x14ac:dyDescent="0.25">
      <c r="A3195" s="1"/>
      <c r="C3195" s="1"/>
      <c r="D3195" s="1"/>
      <c r="E3195" s="1"/>
      <c r="F3195" s="1"/>
    </row>
    <row r="3196" spans="1:6" x14ac:dyDescent="0.25">
      <c r="A3196" s="1"/>
      <c r="C3196" s="1"/>
      <c r="D3196" s="1"/>
      <c r="E3196" s="1"/>
      <c r="F3196" s="1"/>
    </row>
    <row r="3197" spans="1:6" x14ac:dyDescent="0.25">
      <c r="A3197" s="1"/>
      <c r="C3197" s="1"/>
      <c r="D3197" s="1"/>
      <c r="E3197" s="1"/>
      <c r="F3197" s="1"/>
    </row>
    <row r="3198" spans="1:6" x14ac:dyDescent="0.25">
      <c r="A3198" s="1"/>
      <c r="C3198" s="1"/>
      <c r="D3198" s="1"/>
      <c r="E3198" s="1"/>
      <c r="F3198" s="1"/>
    </row>
    <row r="3199" spans="1:6" x14ac:dyDescent="0.25">
      <c r="A3199" s="1"/>
      <c r="C3199" s="1"/>
      <c r="D3199" s="1"/>
      <c r="E3199" s="1"/>
      <c r="F3199" s="1"/>
    </row>
    <row r="3200" spans="1:6" x14ac:dyDescent="0.25">
      <c r="A3200" s="1"/>
      <c r="C3200" s="1"/>
      <c r="D3200" s="1"/>
      <c r="E3200" s="1"/>
      <c r="F3200" s="1"/>
    </row>
    <row r="3201" spans="1:6" x14ac:dyDescent="0.25">
      <c r="A3201" s="1"/>
      <c r="C3201" s="1"/>
      <c r="D3201" s="1"/>
      <c r="E3201" s="1"/>
      <c r="F3201" s="1"/>
    </row>
    <row r="3202" spans="1:6" x14ac:dyDescent="0.25">
      <c r="A3202" s="1"/>
      <c r="C3202" s="1"/>
      <c r="D3202" s="1"/>
      <c r="E3202" s="1"/>
      <c r="F3202" s="1"/>
    </row>
    <row r="3203" spans="1:6" x14ac:dyDescent="0.25">
      <c r="A3203" s="1"/>
      <c r="C3203" s="1"/>
      <c r="D3203" s="1"/>
      <c r="E3203" s="1"/>
      <c r="F3203" s="1"/>
    </row>
    <row r="3204" spans="1:6" x14ac:dyDescent="0.25">
      <c r="A3204" s="1"/>
      <c r="C3204" s="1"/>
      <c r="D3204" s="1"/>
      <c r="E3204" s="1"/>
      <c r="F3204" s="1"/>
    </row>
    <row r="3205" spans="1:6" x14ac:dyDescent="0.25">
      <c r="A3205" s="1"/>
      <c r="C3205" s="1"/>
      <c r="D3205" s="1"/>
      <c r="E3205" s="1"/>
      <c r="F3205" s="1"/>
    </row>
    <row r="3206" spans="1:6" x14ac:dyDescent="0.25">
      <c r="A3206" s="1"/>
      <c r="C3206" s="1"/>
      <c r="D3206" s="1"/>
      <c r="E3206" s="1"/>
      <c r="F3206" s="1"/>
    </row>
    <row r="3207" spans="1:6" x14ac:dyDescent="0.25">
      <c r="A3207" s="1"/>
      <c r="C3207" s="1"/>
      <c r="D3207" s="1"/>
      <c r="E3207" s="1"/>
      <c r="F3207" s="1"/>
    </row>
    <row r="3208" spans="1:6" x14ac:dyDescent="0.25">
      <c r="A3208" s="1"/>
      <c r="C3208" s="1"/>
      <c r="D3208" s="1"/>
      <c r="E3208" s="1"/>
      <c r="F3208" s="1"/>
    </row>
    <row r="3209" spans="1:6" x14ac:dyDescent="0.25">
      <c r="A3209" s="1"/>
      <c r="C3209" s="1"/>
      <c r="D3209" s="1"/>
      <c r="E3209" s="1"/>
      <c r="F3209" s="1"/>
    </row>
    <row r="3210" spans="1:6" x14ac:dyDescent="0.25">
      <c r="A3210" s="1"/>
      <c r="C3210" s="1"/>
      <c r="D3210" s="1"/>
      <c r="E3210" s="1"/>
      <c r="F3210" s="1"/>
    </row>
    <row r="3211" spans="1:6" x14ac:dyDescent="0.25">
      <c r="A3211" s="1"/>
      <c r="C3211" s="1"/>
      <c r="D3211" s="1"/>
      <c r="E3211" s="1"/>
      <c r="F3211" s="1"/>
    </row>
    <row r="3212" spans="1:6" x14ac:dyDescent="0.25">
      <c r="A3212" s="1"/>
      <c r="C3212" s="1"/>
      <c r="D3212" s="1"/>
      <c r="E3212" s="1"/>
      <c r="F3212" s="1"/>
    </row>
    <row r="3213" spans="1:6" x14ac:dyDescent="0.25">
      <c r="A3213" s="1"/>
      <c r="C3213" s="1"/>
      <c r="D3213" s="1"/>
      <c r="E3213" s="1"/>
      <c r="F3213" s="1"/>
    </row>
    <row r="3214" spans="1:6" x14ac:dyDescent="0.25">
      <c r="A3214" s="1"/>
      <c r="C3214" s="1"/>
      <c r="D3214" s="1"/>
      <c r="E3214" s="1"/>
      <c r="F3214" s="1"/>
    </row>
    <row r="3215" spans="1:6" x14ac:dyDescent="0.25">
      <c r="A3215" s="1"/>
      <c r="C3215" s="1"/>
      <c r="D3215" s="1"/>
      <c r="E3215" s="1"/>
      <c r="F3215" s="1"/>
    </row>
    <row r="3216" spans="1:6" x14ac:dyDescent="0.25">
      <c r="A3216" s="1"/>
      <c r="C3216" s="1"/>
      <c r="D3216" s="1"/>
      <c r="E3216" s="1"/>
      <c r="F3216" s="1"/>
    </row>
    <row r="3217" spans="1:6" x14ac:dyDescent="0.25">
      <c r="A3217" s="1"/>
      <c r="C3217" s="1"/>
      <c r="D3217" s="1"/>
      <c r="E3217" s="1"/>
      <c r="F3217" s="1"/>
    </row>
    <row r="3218" spans="1:6" x14ac:dyDescent="0.25">
      <c r="A3218" s="1"/>
      <c r="C3218" s="1"/>
      <c r="D3218" s="1"/>
      <c r="E3218" s="1"/>
      <c r="F3218" s="1"/>
    </row>
    <row r="3219" spans="1:6" x14ac:dyDescent="0.25">
      <c r="A3219" s="1"/>
      <c r="C3219" s="1"/>
      <c r="D3219" s="1"/>
      <c r="E3219" s="1"/>
      <c r="F3219" s="1"/>
    </row>
    <row r="3220" spans="1:6" x14ac:dyDescent="0.25">
      <c r="A3220" s="1"/>
      <c r="C3220" s="1"/>
      <c r="D3220" s="1"/>
      <c r="E3220" s="1"/>
      <c r="F3220" s="1"/>
    </row>
    <row r="3221" spans="1:6" x14ac:dyDescent="0.25">
      <c r="A3221" s="1"/>
      <c r="C3221" s="1"/>
      <c r="D3221" s="1"/>
      <c r="E3221" s="1"/>
      <c r="F3221" s="1"/>
    </row>
    <row r="3222" spans="1:6" x14ac:dyDescent="0.25">
      <c r="A3222" s="1"/>
      <c r="C3222" s="1"/>
      <c r="D3222" s="1"/>
      <c r="E3222" s="1"/>
      <c r="F3222" s="1"/>
    </row>
    <row r="3223" spans="1:6" x14ac:dyDescent="0.25">
      <c r="A3223" s="1"/>
      <c r="C3223" s="1"/>
      <c r="D3223" s="1"/>
      <c r="E3223" s="1"/>
      <c r="F3223" s="1"/>
    </row>
    <row r="3224" spans="1:6" x14ac:dyDescent="0.25">
      <c r="A3224" s="1"/>
      <c r="C3224" s="1"/>
      <c r="D3224" s="1"/>
      <c r="E3224" s="1"/>
      <c r="F3224" s="1"/>
    </row>
    <row r="3225" spans="1:6" x14ac:dyDescent="0.25">
      <c r="A3225" s="1"/>
      <c r="C3225" s="1"/>
      <c r="D3225" s="1"/>
      <c r="E3225" s="1"/>
      <c r="F3225" s="1"/>
    </row>
    <row r="3226" spans="1:6" x14ac:dyDescent="0.25">
      <c r="A3226" s="1"/>
      <c r="C3226" s="1"/>
      <c r="D3226" s="1"/>
      <c r="E3226" s="1"/>
      <c r="F3226" s="1"/>
    </row>
    <row r="3227" spans="1:6" x14ac:dyDescent="0.25">
      <c r="A3227" s="1"/>
      <c r="C3227" s="1"/>
      <c r="D3227" s="1"/>
      <c r="E3227" s="1"/>
      <c r="F3227" s="1"/>
    </row>
    <row r="3228" spans="1:6" x14ac:dyDescent="0.25">
      <c r="A3228" s="1"/>
      <c r="C3228" s="1"/>
      <c r="D3228" s="1"/>
      <c r="E3228" s="1"/>
      <c r="F3228" s="1"/>
    </row>
    <row r="3229" spans="1:6" x14ac:dyDescent="0.25">
      <c r="A3229" s="1"/>
      <c r="C3229" s="1"/>
      <c r="D3229" s="1"/>
      <c r="E3229" s="1"/>
      <c r="F3229" s="1"/>
    </row>
    <row r="3230" spans="1:6" x14ac:dyDescent="0.25">
      <c r="A3230" s="1"/>
      <c r="C3230" s="1"/>
      <c r="D3230" s="1"/>
      <c r="E3230" s="1"/>
      <c r="F3230" s="1"/>
    </row>
    <row r="3231" spans="1:6" x14ac:dyDescent="0.25">
      <c r="A3231" s="1"/>
      <c r="C3231" s="1"/>
      <c r="D3231" s="1"/>
      <c r="E3231" s="1"/>
      <c r="F3231" s="1"/>
    </row>
    <row r="3232" spans="1:6" x14ac:dyDescent="0.25">
      <c r="A3232" s="1"/>
      <c r="C3232" s="1"/>
      <c r="D3232" s="1"/>
      <c r="E3232" s="1"/>
      <c r="F3232" s="1"/>
    </row>
    <row r="3233" spans="1:6" x14ac:dyDescent="0.25">
      <c r="A3233" s="1"/>
      <c r="C3233" s="1"/>
      <c r="D3233" s="1"/>
      <c r="E3233" s="1"/>
      <c r="F3233" s="1"/>
    </row>
    <row r="3234" spans="1:6" x14ac:dyDescent="0.25">
      <c r="A3234" s="1"/>
      <c r="C3234" s="1"/>
      <c r="D3234" s="1"/>
      <c r="E3234" s="1"/>
      <c r="F3234" s="1"/>
    </row>
    <row r="3235" spans="1:6" x14ac:dyDescent="0.25">
      <c r="A3235" s="1"/>
      <c r="C3235" s="1"/>
      <c r="D3235" s="1"/>
      <c r="E3235" s="1"/>
      <c r="F3235" s="1"/>
    </row>
    <row r="3236" spans="1:6" x14ac:dyDescent="0.25">
      <c r="A3236" s="1"/>
      <c r="C3236" s="1"/>
      <c r="D3236" s="1"/>
      <c r="E3236" s="1"/>
      <c r="F3236" s="1"/>
    </row>
    <row r="3237" spans="1:6" x14ac:dyDescent="0.25">
      <c r="A3237" s="1"/>
      <c r="C3237" s="1"/>
      <c r="D3237" s="1"/>
      <c r="E3237" s="1"/>
      <c r="F3237" s="1"/>
    </row>
    <row r="3238" spans="1:6" x14ac:dyDescent="0.25">
      <c r="A3238" s="1"/>
      <c r="C3238" s="1"/>
      <c r="D3238" s="1"/>
      <c r="E3238" s="1"/>
      <c r="F3238" s="1"/>
    </row>
    <row r="3239" spans="1:6" x14ac:dyDescent="0.25">
      <c r="A3239" s="1"/>
      <c r="C3239" s="1"/>
      <c r="D3239" s="1"/>
      <c r="E3239" s="1"/>
      <c r="F3239" s="1"/>
    </row>
    <row r="3240" spans="1:6" x14ac:dyDescent="0.25">
      <c r="A3240" s="1"/>
      <c r="C3240" s="1"/>
      <c r="D3240" s="1"/>
      <c r="E3240" s="1"/>
      <c r="F3240" s="1"/>
    </row>
    <row r="3241" spans="1:6" x14ac:dyDescent="0.25">
      <c r="A3241" s="1"/>
      <c r="C3241" s="1"/>
      <c r="D3241" s="1"/>
      <c r="E3241" s="1"/>
      <c r="F3241" s="1"/>
    </row>
    <row r="3242" spans="1:6" x14ac:dyDescent="0.25">
      <c r="A3242" s="1"/>
      <c r="C3242" s="1"/>
      <c r="D3242" s="1"/>
      <c r="E3242" s="1"/>
      <c r="F3242" s="1"/>
    </row>
    <row r="3243" spans="1:6" x14ac:dyDescent="0.25">
      <c r="A3243" s="1"/>
      <c r="C3243" s="1"/>
      <c r="D3243" s="1"/>
      <c r="E3243" s="1"/>
      <c r="F3243" s="1"/>
    </row>
    <row r="3244" spans="1:6" x14ac:dyDescent="0.25">
      <c r="A3244" s="1"/>
      <c r="C3244" s="1"/>
      <c r="D3244" s="1"/>
      <c r="E3244" s="1"/>
      <c r="F3244" s="1"/>
    </row>
    <row r="3245" spans="1:6" x14ac:dyDescent="0.25">
      <c r="A3245" s="1"/>
      <c r="C3245" s="1"/>
      <c r="D3245" s="1"/>
      <c r="E3245" s="1"/>
      <c r="F3245" s="1"/>
    </row>
    <row r="3246" spans="1:6" x14ac:dyDescent="0.25">
      <c r="A3246" s="1"/>
      <c r="C3246" s="1"/>
      <c r="D3246" s="1"/>
      <c r="E3246" s="1"/>
      <c r="F3246" s="1"/>
    </row>
    <row r="3247" spans="1:6" x14ac:dyDescent="0.25">
      <c r="A3247" s="1"/>
      <c r="C3247" s="1"/>
      <c r="D3247" s="1"/>
      <c r="E3247" s="1"/>
      <c r="F3247" s="1"/>
    </row>
    <row r="3248" spans="1:6" x14ac:dyDescent="0.25">
      <c r="A3248" s="1"/>
      <c r="C3248" s="1"/>
      <c r="D3248" s="1"/>
      <c r="E3248" s="1"/>
      <c r="F3248" s="1"/>
    </row>
    <row r="3249" spans="1:6" x14ac:dyDescent="0.25">
      <c r="A3249" s="1"/>
      <c r="C3249" s="1"/>
      <c r="D3249" s="1"/>
      <c r="E3249" s="1"/>
      <c r="F3249" s="1"/>
    </row>
    <row r="3250" spans="1:6" x14ac:dyDescent="0.25">
      <c r="A3250" s="1"/>
      <c r="C3250" s="1"/>
      <c r="D3250" s="1"/>
      <c r="E3250" s="1"/>
      <c r="F3250" s="1"/>
    </row>
    <row r="3251" spans="1:6" x14ac:dyDescent="0.25">
      <c r="A3251" s="1"/>
      <c r="C3251" s="1"/>
      <c r="D3251" s="1"/>
      <c r="E3251" s="1"/>
      <c r="F3251" s="1"/>
    </row>
    <row r="3252" spans="1:6" x14ac:dyDescent="0.25">
      <c r="A3252" s="1"/>
      <c r="C3252" s="1"/>
      <c r="D3252" s="1"/>
      <c r="E3252" s="1"/>
      <c r="F3252" s="1"/>
    </row>
    <row r="3253" spans="1:6" x14ac:dyDescent="0.25">
      <c r="A3253" s="1"/>
      <c r="C3253" s="1"/>
      <c r="D3253" s="1"/>
      <c r="E3253" s="1"/>
      <c r="F3253" s="1"/>
    </row>
    <row r="3254" spans="1:6" x14ac:dyDescent="0.25">
      <c r="A3254" s="1"/>
      <c r="C3254" s="1"/>
      <c r="D3254" s="1"/>
      <c r="E3254" s="1"/>
      <c r="F3254" s="1"/>
    </row>
    <row r="3255" spans="1:6" x14ac:dyDescent="0.25">
      <c r="A3255" s="1"/>
      <c r="C3255" s="1"/>
      <c r="D3255" s="1"/>
      <c r="E3255" s="1"/>
      <c r="F3255" s="1"/>
    </row>
    <row r="3256" spans="1:6" x14ac:dyDescent="0.25">
      <c r="A3256" s="1"/>
      <c r="C3256" s="1"/>
      <c r="D3256" s="1"/>
      <c r="E3256" s="1"/>
      <c r="F3256" s="1"/>
    </row>
    <row r="3257" spans="1:6" x14ac:dyDescent="0.25">
      <c r="A3257" s="1"/>
      <c r="C3257" s="1"/>
      <c r="D3257" s="1"/>
      <c r="E3257" s="1"/>
      <c r="F3257" s="1"/>
    </row>
    <row r="3258" spans="1:6" x14ac:dyDescent="0.25">
      <c r="A3258" s="1"/>
      <c r="C3258" s="1"/>
      <c r="D3258" s="1"/>
      <c r="E3258" s="1"/>
      <c r="F3258" s="1"/>
    </row>
    <row r="3259" spans="1:6" x14ac:dyDescent="0.25">
      <c r="A3259" s="1"/>
      <c r="C3259" s="1"/>
      <c r="D3259" s="1"/>
      <c r="E3259" s="1"/>
      <c r="F3259" s="1"/>
    </row>
    <row r="3260" spans="1:6" x14ac:dyDescent="0.25">
      <c r="A3260" s="1"/>
      <c r="C3260" s="1"/>
      <c r="D3260" s="1"/>
      <c r="E3260" s="1"/>
      <c r="F3260" s="1"/>
    </row>
    <row r="3261" spans="1:6" x14ac:dyDescent="0.25">
      <c r="A3261" s="1"/>
      <c r="C3261" s="1"/>
      <c r="D3261" s="1"/>
      <c r="E3261" s="1"/>
      <c r="F3261" s="1"/>
    </row>
    <row r="3262" spans="1:6" x14ac:dyDescent="0.25">
      <c r="A3262" s="1"/>
      <c r="C3262" s="1"/>
      <c r="D3262" s="1"/>
      <c r="E3262" s="1"/>
      <c r="F3262" s="1"/>
    </row>
    <row r="3263" spans="1:6" x14ac:dyDescent="0.25">
      <c r="A3263" s="1"/>
      <c r="C3263" s="1"/>
      <c r="D3263" s="1"/>
      <c r="E3263" s="1"/>
      <c r="F3263" s="1"/>
    </row>
    <row r="3264" spans="1:6" x14ac:dyDescent="0.25">
      <c r="A3264" s="1"/>
      <c r="C3264" s="1"/>
      <c r="D3264" s="1"/>
      <c r="E3264" s="1"/>
      <c r="F3264" s="1"/>
    </row>
    <row r="3265" spans="1:6" x14ac:dyDescent="0.25">
      <c r="A3265" s="1"/>
      <c r="C3265" s="1"/>
      <c r="D3265" s="1"/>
      <c r="E3265" s="1"/>
      <c r="F3265" s="1"/>
    </row>
    <row r="3266" spans="1:6" x14ac:dyDescent="0.25">
      <c r="A3266" s="1"/>
      <c r="C3266" s="1"/>
      <c r="D3266" s="1"/>
      <c r="E3266" s="1"/>
      <c r="F3266" s="1"/>
    </row>
    <row r="3267" spans="1:6" x14ac:dyDescent="0.25">
      <c r="A3267" s="1"/>
      <c r="C3267" s="1"/>
      <c r="D3267" s="1"/>
      <c r="E3267" s="1"/>
      <c r="F3267" s="1"/>
    </row>
    <row r="3268" spans="1:6" x14ac:dyDescent="0.25">
      <c r="A3268" s="1"/>
      <c r="C3268" s="1"/>
      <c r="D3268" s="1"/>
      <c r="E3268" s="1"/>
      <c r="F3268" s="1"/>
    </row>
    <row r="3269" spans="1:6" x14ac:dyDescent="0.25">
      <c r="A3269" s="1"/>
      <c r="C3269" s="1"/>
      <c r="D3269" s="1"/>
      <c r="E3269" s="1"/>
      <c r="F3269" s="1"/>
    </row>
    <row r="3270" spans="1:6" x14ac:dyDescent="0.25">
      <c r="A3270" s="1"/>
      <c r="C3270" s="1"/>
      <c r="D3270" s="1"/>
      <c r="E3270" s="1"/>
      <c r="F3270" s="1"/>
    </row>
    <row r="3271" spans="1:6" x14ac:dyDescent="0.25">
      <c r="A3271" s="1"/>
      <c r="C3271" s="1"/>
      <c r="D3271" s="1"/>
      <c r="E3271" s="1"/>
      <c r="F3271" s="1"/>
    </row>
    <row r="3272" spans="1:6" x14ac:dyDescent="0.25">
      <c r="A3272" s="1"/>
      <c r="C3272" s="1"/>
      <c r="D3272" s="1"/>
      <c r="E3272" s="1"/>
      <c r="F3272" s="1"/>
    </row>
    <row r="3273" spans="1:6" x14ac:dyDescent="0.25">
      <c r="A3273" s="1"/>
      <c r="C3273" s="1"/>
      <c r="D3273" s="1"/>
      <c r="E3273" s="1"/>
      <c r="F3273" s="1"/>
    </row>
    <row r="3274" spans="1:6" x14ac:dyDescent="0.25">
      <c r="A3274" s="1"/>
      <c r="C3274" s="1"/>
      <c r="D3274" s="1"/>
      <c r="E3274" s="1"/>
      <c r="F3274" s="1"/>
    </row>
    <row r="3275" spans="1:6" x14ac:dyDescent="0.25">
      <c r="A3275" s="1"/>
      <c r="C3275" s="1"/>
      <c r="D3275" s="1"/>
      <c r="E3275" s="1"/>
      <c r="F3275" s="1"/>
    </row>
    <row r="3276" spans="1:6" x14ac:dyDescent="0.25">
      <c r="A3276" s="1"/>
      <c r="C3276" s="1"/>
      <c r="D3276" s="1"/>
      <c r="E3276" s="1"/>
      <c r="F3276" s="1"/>
    </row>
    <row r="3277" spans="1:6" x14ac:dyDescent="0.25">
      <c r="A3277" s="1"/>
      <c r="C3277" s="1"/>
      <c r="D3277" s="1"/>
      <c r="E3277" s="1"/>
      <c r="F3277" s="1"/>
    </row>
    <row r="3278" spans="1:6" x14ac:dyDescent="0.25">
      <c r="A3278" s="1"/>
      <c r="C3278" s="1"/>
      <c r="D3278" s="1"/>
      <c r="E3278" s="1"/>
      <c r="F3278" s="1"/>
    </row>
    <row r="3279" spans="1:6" x14ac:dyDescent="0.25">
      <c r="A3279" s="1"/>
      <c r="C3279" s="1"/>
      <c r="D3279" s="1"/>
      <c r="E3279" s="1"/>
      <c r="F3279" s="1"/>
    </row>
    <row r="3280" spans="1:6" x14ac:dyDescent="0.25">
      <c r="A3280" s="1"/>
      <c r="C3280" s="1"/>
      <c r="D3280" s="1"/>
      <c r="E3280" s="1"/>
      <c r="F3280" s="1"/>
    </row>
    <row r="3281" spans="1:6" x14ac:dyDescent="0.25">
      <c r="A3281" s="1"/>
      <c r="C3281" s="1"/>
      <c r="D3281" s="1"/>
      <c r="E3281" s="1"/>
      <c r="F3281" s="1"/>
    </row>
    <row r="3282" spans="1:6" x14ac:dyDescent="0.25">
      <c r="A3282" s="1"/>
      <c r="C3282" s="1"/>
      <c r="D3282" s="1"/>
      <c r="E3282" s="1"/>
      <c r="F3282" s="1"/>
    </row>
    <row r="3283" spans="1:6" x14ac:dyDescent="0.25">
      <c r="A3283" s="1"/>
      <c r="C3283" s="1"/>
      <c r="D3283" s="1"/>
      <c r="E3283" s="1"/>
      <c r="F3283" s="1"/>
    </row>
    <row r="3284" spans="1:6" x14ac:dyDescent="0.25">
      <c r="A3284" s="1"/>
      <c r="C3284" s="1"/>
      <c r="D3284" s="1"/>
      <c r="E3284" s="1"/>
      <c r="F3284" s="1"/>
    </row>
    <row r="3285" spans="1:6" x14ac:dyDescent="0.25">
      <c r="A3285" s="1"/>
      <c r="C3285" s="1"/>
      <c r="D3285" s="1"/>
      <c r="E3285" s="1"/>
      <c r="F3285" s="1"/>
    </row>
    <row r="3286" spans="1:6" x14ac:dyDescent="0.25">
      <c r="A3286" s="1"/>
      <c r="C3286" s="1"/>
      <c r="D3286" s="1"/>
      <c r="E3286" s="1"/>
      <c r="F3286" s="1"/>
    </row>
    <row r="3287" spans="1:6" x14ac:dyDescent="0.25">
      <c r="A3287" s="1"/>
      <c r="C3287" s="1"/>
      <c r="D3287" s="1"/>
      <c r="E3287" s="1"/>
      <c r="F3287" s="1"/>
    </row>
    <row r="3288" spans="1:6" x14ac:dyDescent="0.25">
      <c r="A3288" s="1"/>
      <c r="C3288" s="1"/>
      <c r="D3288" s="1"/>
      <c r="E3288" s="1"/>
      <c r="F3288" s="1"/>
    </row>
    <row r="3289" spans="1:6" x14ac:dyDescent="0.25">
      <c r="A3289" s="1"/>
      <c r="C3289" s="1"/>
      <c r="D3289" s="1"/>
      <c r="E3289" s="1"/>
      <c r="F3289" s="1"/>
    </row>
    <row r="3290" spans="1:6" x14ac:dyDescent="0.25">
      <c r="A3290" s="1"/>
      <c r="C3290" s="1"/>
      <c r="D3290" s="1"/>
      <c r="E3290" s="1"/>
      <c r="F3290" s="1"/>
    </row>
    <row r="3291" spans="1:6" x14ac:dyDescent="0.25">
      <c r="A3291" s="1"/>
      <c r="C3291" s="1"/>
      <c r="D3291" s="1"/>
      <c r="E3291" s="1"/>
      <c r="F3291" s="1"/>
    </row>
    <row r="3292" spans="1:6" x14ac:dyDescent="0.25">
      <c r="A3292" s="1"/>
      <c r="C3292" s="1"/>
      <c r="D3292" s="1"/>
      <c r="E3292" s="1"/>
      <c r="F3292" s="1"/>
    </row>
    <row r="3293" spans="1:6" x14ac:dyDescent="0.25">
      <c r="A3293" s="1"/>
      <c r="C3293" s="1"/>
      <c r="D3293" s="1"/>
      <c r="E3293" s="1"/>
      <c r="F3293" s="1"/>
    </row>
    <row r="3294" spans="1:6" x14ac:dyDescent="0.25">
      <c r="A3294" s="1"/>
      <c r="C3294" s="1"/>
      <c r="D3294" s="1"/>
      <c r="E3294" s="1"/>
      <c r="F3294" s="1"/>
    </row>
    <row r="3295" spans="1:6" x14ac:dyDescent="0.25">
      <c r="A3295" s="1"/>
      <c r="C3295" s="1"/>
      <c r="D3295" s="1"/>
      <c r="E3295" s="1"/>
      <c r="F3295" s="1"/>
    </row>
    <row r="3296" spans="1:6" x14ac:dyDescent="0.25">
      <c r="A3296" s="1"/>
      <c r="C3296" s="1"/>
      <c r="D3296" s="1"/>
      <c r="E3296" s="1"/>
      <c r="F3296" s="1"/>
    </row>
    <row r="3297" spans="1:6" x14ac:dyDescent="0.25">
      <c r="A3297" s="1"/>
      <c r="C3297" s="1"/>
      <c r="D3297" s="1"/>
      <c r="E3297" s="1"/>
      <c r="F3297" s="1"/>
    </row>
    <row r="3298" spans="1:6" x14ac:dyDescent="0.25">
      <c r="A3298" s="1"/>
      <c r="C3298" s="1"/>
      <c r="D3298" s="1"/>
      <c r="E3298" s="1"/>
      <c r="F3298" s="1"/>
    </row>
    <row r="3299" spans="1:6" x14ac:dyDescent="0.25">
      <c r="A3299" s="1"/>
      <c r="C3299" s="1"/>
      <c r="D3299" s="1"/>
      <c r="E3299" s="1"/>
      <c r="F3299" s="1"/>
    </row>
    <row r="3300" spans="1:6" x14ac:dyDescent="0.25">
      <c r="A3300" s="1"/>
      <c r="C3300" s="1"/>
      <c r="D3300" s="1"/>
      <c r="E3300" s="1"/>
      <c r="F3300" s="1"/>
    </row>
    <row r="3301" spans="1:6" x14ac:dyDescent="0.25">
      <c r="A3301" s="1"/>
      <c r="C3301" s="1"/>
      <c r="D3301" s="1"/>
      <c r="E3301" s="1"/>
      <c r="F3301" s="1"/>
    </row>
    <row r="3302" spans="1:6" x14ac:dyDescent="0.25">
      <c r="A3302" s="1"/>
      <c r="C3302" s="1"/>
      <c r="D3302" s="1"/>
      <c r="E3302" s="1"/>
      <c r="F3302" s="1"/>
    </row>
    <row r="3303" spans="1:6" x14ac:dyDescent="0.25">
      <c r="A3303" s="1"/>
      <c r="C3303" s="1"/>
      <c r="D3303" s="1"/>
      <c r="E3303" s="1"/>
      <c r="F3303" s="1"/>
    </row>
    <row r="3304" spans="1:6" x14ac:dyDescent="0.25">
      <c r="A3304" s="1"/>
      <c r="C3304" s="1"/>
      <c r="D3304" s="1"/>
      <c r="E3304" s="1"/>
      <c r="F3304" s="1"/>
    </row>
    <row r="3305" spans="1:6" x14ac:dyDescent="0.25">
      <c r="A3305" s="1"/>
      <c r="C3305" s="1"/>
      <c r="D3305" s="1"/>
      <c r="E3305" s="1"/>
      <c r="F3305" s="1"/>
    </row>
    <row r="3306" spans="1:6" x14ac:dyDescent="0.25">
      <c r="A3306" s="1"/>
      <c r="C3306" s="1"/>
      <c r="D3306" s="1"/>
      <c r="E3306" s="1"/>
      <c r="F3306" s="1"/>
    </row>
    <row r="3307" spans="1:6" x14ac:dyDescent="0.25">
      <c r="A3307" s="1"/>
      <c r="C3307" s="1"/>
      <c r="D3307" s="1"/>
      <c r="E3307" s="1"/>
      <c r="F3307" s="1"/>
    </row>
    <row r="3308" spans="1:6" x14ac:dyDescent="0.25">
      <c r="A3308" s="1"/>
      <c r="C3308" s="1"/>
      <c r="D3308" s="1"/>
      <c r="E3308" s="1"/>
      <c r="F3308" s="1"/>
    </row>
    <row r="3309" spans="1:6" x14ac:dyDescent="0.25">
      <c r="A3309" s="1"/>
      <c r="C3309" s="1"/>
      <c r="D3309" s="1"/>
      <c r="E3309" s="1"/>
      <c r="F3309" s="1"/>
    </row>
    <row r="3310" spans="1:6" x14ac:dyDescent="0.25">
      <c r="A3310" s="1"/>
      <c r="C3310" s="1"/>
      <c r="D3310" s="1"/>
      <c r="E3310" s="1"/>
      <c r="F3310" s="1"/>
    </row>
    <row r="3311" spans="1:6" x14ac:dyDescent="0.25">
      <c r="A3311" s="1"/>
      <c r="C3311" s="1"/>
      <c r="D3311" s="1"/>
      <c r="E3311" s="1"/>
      <c r="F3311" s="1"/>
    </row>
    <row r="3312" spans="1:6" x14ac:dyDescent="0.25">
      <c r="A3312" s="1"/>
      <c r="C3312" s="1"/>
      <c r="D3312" s="1"/>
      <c r="E3312" s="1"/>
      <c r="F3312" s="1"/>
    </row>
    <row r="3313" spans="1:6" x14ac:dyDescent="0.25">
      <c r="A3313" s="1"/>
      <c r="C3313" s="1"/>
      <c r="D3313" s="1"/>
      <c r="E3313" s="1"/>
      <c r="F3313" s="1"/>
    </row>
    <row r="3314" spans="1:6" x14ac:dyDescent="0.25">
      <c r="A3314" s="1"/>
      <c r="C3314" s="1"/>
      <c r="D3314" s="1"/>
      <c r="E3314" s="1"/>
      <c r="F3314" s="1"/>
    </row>
    <row r="3315" spans="1:6" x14ac:dyDescent="0.25">
      <c r="A3315" s="1"/>
      <c r="C3315" s="1"/>
      <c r="D3315" s="1"/>
      <c r="E3315" s="1"/>
      <c r="F3315" s="1"/>
    </row>
    <row r="3316" spans="1:6" x14ac:dyDescent="0.25">
      <c r="A3316" s="1"/>
      <c r="C3316" s="1"/>
      <c r="D3316" s="1"/>
      <c r="E3316" s="1"/>
      <c r="F3316" s="1"/>
    </row>
    <row r="3317" spans="1:6" x14ac:dyDescent="0.25">
      <c r="A3317" s="1"/>
      <c r="C3317" s="1"/>
      <c r="D3317" s="1"/>
      <c r="E3317" s="1"/>
      <c r="F3317" s="1"/>
    </row>
    <row r="3318" spans="1:6" x14ac:dyDescent="0.25">
      <c r="A3318" s="1"/>
      <c r="C3318" s="1"/>
      <c r="D3318" s="1"/>
      <c r="E3318" s="1"/>
      <c r="F3318" s="1"/>
    </row>
    <row r="3319" spans="1:6" x14ac:dyDescent="0.25">
      <c r="A3319" s="1"/>
      <c r="C3319" s="1"/>
      <c r="D3319" s="1"/>
      <c r="E3319" s="1"/>
      <c r="F3319" s="1"/>
    </row>
    <row r="3320" spans="1:6" x14ac:dyDescent="0.25">
      <c r="A3320" s="1"/>
      <c r="C3320" s="1"/>
      <c r="D3320" s="1"/>
      <c r="E3320" s="1"/>
      <c r="F3320" s="1"/>
    </row>
    <row r="3321" spans="1:6" x14ac:dyDescent="0.25">
      <c r="A3321" s="1"/>
      <c r="C3321" s="1"/>
      <c r="D3321" s="1"/>
      <c r="E3321" s="1"/>
      <c r="F3321" s="1"/>
    </row>
    <row r="3322" spans="1:6" x14ac:dyDescent="0.25">
      <c r="A3322" s="1"/>
      <c r="C3322" s="1"/>
      <c r="D3322" s="1"/>
      <c r="E3322" s="1"/>
      <c r="F3322" s="1"/>
    </row>
    <row r="3323" spans="1:6" x14ac:dyDescent="0.25">
      <c r="A3323" s="1"/>
      <c r="C3323" s="1"/>
      <c r="D3323" s="1"/>
      <c r="E3323" s="1"/>
      <c r="F3323" s="1"/>
    </row>
    <row r="3324" spans="1:6" x14ac:dyDescent="0.25">
      <c r="A3324" s="1"/>
      <c r="C3324" s="1"/>
      <c r="D3324" s="1"/>
      <c r="E3324" s="1"/>
      <c r="F3324" s="1"/>
    </row>
    <row r="3325" spans="1:6" x14ac:dyDescent="0.25">
      <c r="A3325" s="1"/>
      <c r="C3325" s="1"/>
      <c r="D3325" s="1"/>
      <c r="E3325" s="1"/>
      <c r="F3325" s="1"/>
    </row>
    <row r="3326" spans="1:6" x14ac:dyDescent="0.25">
      <c r="A3326" s="1"/>
      <c r="C3326" s="1"/>
      <c r="D3326" s="1"/>
      <c r="E3326" s="1"/>
      <c r="F3326" s="1"/>
    </row>
    <row r="3327" spans="1:6" x14ac:dyDescent="0.25">
      <c r="A3327" s="1"/>
      <c r="C3327" s="1"/>
      <c r="D3327" s="1"/>
      <c r="E3327" s="1"/>
      <c r="F3327" s="1"/>
    </row>
    <row r="3328" spans="1:6" x14ac:dyDescent="0.25">
      <c r="A3328" s="1"/>
      <c r="C3328" s="1"/>
      <c r="D3328" s="1"/>
      <c r="E3328" s="1"/>
      <c r="F3328" s="1"/>
    </row>
    <row r="3329" spans="1:6" x14ac:dyDescent="0.25">
      <c r="A3329" s="1"/>
      <c r="C3329" s="1"/>
      <c r="D3329" s="1"/>
      <c r="E3329" s="1"/>
      <c r="F3329" s="1"/>
    </row>
    <row r="3330" spans="1:6" x14ac:dyDescent="0.25">
      <c r="A3330" s="1"/>
      <c r="C3330" s="1"/>
      <c r="D3330" s="1"/>
      <c r="E3330" s="1"/>
      <c r="F3330" s="1"/>
    </row>
    <row r="3331" spans="1:6" x14ac:dyDescent="0.25">
      <c r="A3331" s="1"/>
      <c r="C3331" s="1"/>
      <c r="D3331" s="1"/>
      <c r="E3331" s="1"/>
      <c r="F3331" s="1"/>
    </row>
    <row r="3332" spans="1:6" x14ac:dyDescent="0.25">
      <c r="A3332" s="1"/>
      <c r="C3332" s="1"/>
      <c r="D3332" s="1"/>
      <c r="E3332" s="1"/>
      <c r="F3332" s="1"/>
    </row>
    <row r="3333" spans="1:6" x14ac:dyDescent="0.25">
      <c r="A3333" s="1"/>
      <c r="C3333" s="1"/>
      <c r="D3333" s="1"/>
      <c r="E3333" s="1"/>
      <c r="F3333" s="1"/>
    </row>
    <row r="3334" spans="1:6" x14ac:dyDescent="0.25">
      <c r="A3334" s="1"/>
      <c r="C3334" s="1"/>
      <c r="D3334" s="1"/>
      <c r="E3334" s="1"/>
      <c r="F3334" s="1"/>
    </row>
    <row r="3335" spans="1:6" x14ac:dyDescent="0.25">
      <c r="A3335" s="1"/>
      <c r="C3335" s="1"/>
      <c r="D3335" s="1"/>
      <c r="E3335" s="1"/>
      <c r="F3335" s="1"/>
    </row>
    <row r="3336" spans="1:6" x14ac:dyDescent="0.25">
      <c r="A3336" s="1"/>
      <c r="C3336" s="1"/>
      <c r="D3336" s="1"/>
      <c r="E3336" s="1"/>
      <c r="F3336" s="1"/>
    </row>
    <row r="3337" spans="1:6" x14ac:dyDescent="0.25">
      <c r="A3337" s="1"/>
      <c r="C3337" s="1"/>
      <c r="D3337" s="1"/>
      <c r="E3337" s="1"/>
      <c r="F3337" s="1"/>
    </row>
    <row r="3338" spans="1:6" x14ac:dyDescent="0.25">
      <c r="A3338" s="1"/>
      <c r="C3338" s="1"/>
      <c r="D3338" s="1"/>
      <c r="E3338" s="1"/>
      <c r="F3338" s="1"/>
    </row>
    <row r="3339" spans="1:6" x14ac:dyDescent="0.25">
      <c r="A3339" s="1"/>
      <c r="C3339" s="1"/>
      <c r="D3339" s="1"/>
      <c r="E3339" s="1"/>
      <c r="F3339" s="1"/>
    </row>
    <row r="3340" spans="1:6" x14ac:dyDescent="0.25">
      <c r="A3340" s="1"/>
      <c r="C3340" s="1"/>
      <c r="D3340" s="1"/>
      <c r="E3340" s="1"/>
      <c r="F3340" s="1"/>
    </row>
    <row r="3341" spans="1:6" x14ac:dyDescent="0.25">
      <c r="A3341" s="1"/>
      <c r="C3341" s="1"/>
      <c r="D3341" s="1"/>
      <c r="E3341" s="1"/>
      <c r="F3341" s="1"/>
    </row>
    <row r="3342" spans="1:6" x14ac:dyDescent="0.25">
      <c r="A3342" s="1"/>
      <c r="C3342" s="1"/>
      <c r="D3342" s="1"/>
      <c r="E3342" s="1"/>
      <c r="F3342" s="1"/>
    </row>
    <row r="3343" spans="1:6" x14ac:dyDescent="0.25">
      <c r="A3343" s="1"/>
      <c r="C3343" s="1"/>
      <c r="D3343" s="1"/>
      <c r="E3343" s="1"/>
      <c r="F3343" s="1"/>
    </row>
    <row r="3344" spans="1:6" x14ac:dyDescent="0.25">
      <c r="A3344" s="1"/>
      <c r="C3344" s="1"/>
      <c r="D3344" s="1"/>
      <c r="E3344" s="1"/>
      <c r="F3344" s="1"/>
    </row>
    <row r="3345" spans="1:6" x14ac:dyDescent="0.25">
      <c r="A3345" s="1"/>
      <c r="C3345" s="1"/>
      <c r="D3345" s="1"/>
      <c r="E3345" s="1"/>
      <c r="F3345" s="1"/>
    </row>
    <row r="3346" spans="1:6" x14ac:dyDescent="0.25">
      <c r="A3346" s="1"/>
      <c r="C3346" s="1"/>
      <c r="D3346" s="1"/>
      <c r="E3346" s="1"/>
      <c r="F3346" s="1"/>
    </row>
    <row r="3347" spans="1:6" x14ac:dyDescent="0.25">
      <c r="A3347" s="1"/>
      <c r="C3347" s="1"/>
      <c r="D3347" s="1"/>
      <c r="E3347" s="1"/>
      <c r="F3347" s="1"/>
    </row>
    <row r="3348" spans="1:6" x14ac:dyDescent="0.25">
      <c r="A3348" s="1"/>
      <c r="C3348" s="1"/>
      <c r="D3348" s="1"/>
      <c r="E3348" s="1"/>
      <c r="F3348" s="1"/>
    </row>
    <row r="3349" spans="1:6" x14ac:dyDescent="0.25">
      <c r="A3349" s="1"/>
      <c r="C3349" s="1"/>
      <c r="D3349" s="1"/>
      <c r="E3349" s="1"/>
      <c r="F3349" s="1"/>
    </row>
    <row r="3350" spans="1:6" x14ac:dyDescent="0.25">
      <c r="A3350" s="1"/>
      <c r="C3350" s="1"/>
      <c r="D3350" s="1"/>
      <c r="E3350" s="1"/>
      <c r="F3350" s="1"/>
    </row>
    <row r="3351" spans="1:6" x14ac:dyDescent="0.25">
      <c r="A3351" s="1"/>
      <c r="C3351" s="1"/>
      <c r="D3351" s="1"/>
      <c r="E3351" s="1"/>
      <c r="F3351" s="1"/>
    </row>
    <row r="3352" spans="1:6" x14ac:dyDescent="0.25">
      <c r="A3352" s="1"/>
      <c r="C3352" s="1"/>
      <c r="D3352" s="1"/>
      <c r="E3352" s="1"/>
      <c r="F3352" s="1"/>
    </row>
    <row r="3353" spans="1:6" x14ac:dyDescent="0.25">
      <c r="A3353" s="1"/>
      <c r="C3353" s="1"/>
      <c r="D3353" s="1"/>
      <c r="E3353" s="1"/>
      <c r="F3353" s="1"/>
    </row>
    <row r="3354" spans="1:6" x14ac:dyDescent="0.25">
      <c r="A3354" s="1"/>
      <c r="C3354" s="1"/>
      <c r="D3354" s="1"/>
      <c r="E3354" s="1"/>
      <c r="F3354" s="1"/>
    </row>
    <row r="3355" spans="1:6" x14ac:dyDescent="0.25">
      <c r="A3355" s="1"/>
      <c r="C3355" s="1"/>
      <c r="D3355" s="1"/>
      <c r="E3355" s="1"/>
      <c r="F3355" s="1"/>
    </row>
    <row r="3356" spans="1:6" x14ac:dyDescent="0.25">
      <c r="A3356" s="1"/>
      <c r="C3356" s="1"/>
      <c r="D3356" s="1"/>
      <c r="E3356" s="1"/>
      <c r="F3356" s="1"/>
    </row>
    <row r="3357" spans="1:6" x14ac:dyDescent="0.25">
      <c r="A3357" s="1"/>
      <c r="C3357" s="1"/>
      <c r="D3357" s="1"/>
      <c r="E3357" s="1"/>
      <c r="F3357" s="1"/>
    </row>
    <row r="3358" spans="1:6" x14ac:dyDescent="0.25">
      <c r="A3358" s="1"/>
      <c r="C3358" s="1"/>
      <c r="D3358" s="1"/>
      <c r="E3358" s="1"/>
      <c r="F3358" s="1"/>
    </row>
    <row r="3359" spans="1:6" x14ac:dyDescent="0.25">
      <c r="A3359" s="1"/>
      <c r="C3359" s="1"/>
      <c r="D3359" s="1"/>
      <c r="E3359" s="1"/>
      <c r="F3359" s="1"/>
    </row>
    <row r="3360" spans="1:6" x14ac:dyDescent="0.25">
      <c r="A3360" s="1"/>
      <c r="C3360" s="1"/>
      <c r="D3360" s="1"/>
      <c r="E3360" s="1"/>
      <c r="F3360" s="1"/>
    </row>
    <row r="3361" spans="1:6" x14ac:dyDescent="0.25">
      <c r="A3361" s="1"/>
      <c r="C3361" s="1"/>
      <c r="D3361" s="1"/>
      <c r="E3361" s="1"/>
      <c r="F3361" s="1"/>
    </row>
    <row r="3362" spans="1:6" x14ac:dyDescent="0.25">
      <c r="A3362" s="1"/>
      <c r="C3362" s="1"/>
      <c r="D3362" s="1"/>
      <c r="E3362" s="1"/>
      <c r="F3362" s="1"/>
    </row>
    <row r="3363" spans="1:6" x14ac:dyDescent="0.25">
      <c r="A3363" s="1"/>
      <c r="C3363" s="1"/>
      <c r="D3363" s="1"/>
      <c r="E3363" s="1"/>
      <c r="F3363" s="1"/>
    </row>
    <row r="3364" spans="1:6" x14ac:dyDescent="0.25">
      <c r="A3364" s="1"/>
      <c r="C3364" s="1"/>
      <c r="D3364" s="1"/>
      <c r="E3364" s="1"/>
      <c r="F3364" s="1"/>
    </row>
    <row r="3365" spans="1:6" x14ac:dyDescent="0.25">
      <c r="A3365" s="1"/>
      <c r="C3365" s="1"/>
      <c r="D3365" s="1"/>
      <c r="E3365" s="1"/>
      <c r="F3365" s="1"/>
    </row>
    <row r="3366" spans="1:6" x14ac:dyDescent="0.25">
      <c r="A3366" s="1"/>
      <c r="C3366" s="1"/>
      <c r="D3366" s="1"/>
      <c r="E3366" s="1"/>
      <c r="F3366" s="1"/>
    </row>
    <row r="3367" spans="1:6" x14ac:dyDescent="0.25">
      <c r="A3367" s="1"/>
      <c r="C3367" s="1"/>
      <c r="D3367" s="1"/>
      <c r="E3367" s="1"/>
      <c r="F3367" s="1"/>
    </row>
    <row r="3368" spans="1:6" x14ac:dyDescent="0.25">
      <c r="A3368" s="1"/>
      <c r="C3368" s="1"/>
      <c r="D3368" s="1"/>
      <c r="E3368" s="1"/>
      <c r="F3368" s="1"/>
    </row>
    <row r="3369" spans="1:6" x14ac:dyDescent="0.25">
      <c r="A3369" s="1"/>
      <c r="C3369" s="1"/>
      <c r="D3369" s="1"/>
      <c r="E3369" s="1"/>
      <c r="F3369" s="1"/>
    </row>
    <row r="3370" spans="1:6" x14ac:dyDescent="0.25">
      <c r="A3370" s="1"/>
      <c r="C3370" s="1"/>
      <c r="D3370" s="1"/>
      <c r="E3370" s="1"/>
      <c r="F3370" s="1"/>
    </row>
    <row r="3371" spans="1:6" x14ac:dyDescent="0.25">
      <c r="A3371" s="1"/>
      <c r="C3371" s="1"/>
      <c r="D3371" s="1"/>
      <c r="E3371" s="1"/>
      <c r="F3371" s="1"/>
    </row>
    <row r="3372" spans="1:6" x14ac:dyDescent="0.25">
      <c r="A3372" s="1"/>
      <c r="C3372" s="1"/>
      <c r="D3372" s="1"/>
      <c r="E3372" s="1"/>
      <c r="F3372" s="1"/>
    </row>
    <row r="3373" spans="1:6" x14ac:dyDescent="0.25">
      <c r="A3373" s="1"/>
      <c r="C3373" s="1"/>
      <c r="D3373" s="1"/>
      <c r="E3373" s="1"/>
      <c r="F3373" s="1"/>
    </row>
    <row r="3374" spans="1:6" x14ac:dyDescent="0.25">
      <c r="A3374" s="1"/>
      <c r="C3374" s="1"/>
      <c r="D3374" s="1"/>
      <c r="E3374" s="1"/>
      <c r="F3374" s="1"/>
    </row>
    <row r="3375" spans="1:6" x14ac:dyDescent="0.25">
      <c r="A3375" s="1"/>
      <c r="C3375" s="1"/>
      <c r="D3375" s="1"/>
      <c r="E3375" s="1"/>
      <c r="F3375" s="1"/>
    </row>
    <row r="3376" spans="1:6" x14ac:dyDescent="0.25">
      <c r="A3376" s="1"/>
      <c r="C3376" s="1"/>
      <c r="D3376" s="1"/>
      <c r="E3376" s="1"/>
      <c r="F3376" s="1"/>
    </row>
    <row r="3377" spans="1:6" x14ac:dyDescent="0.25">
      <c r="A3377" s="1"/>
      <c r="C3377" s="1"/>
      <c r="D3377" s="1"/>
      <c r="E3377" s="1"/>
      <c r="F3377" s="1"/>
    </row>
    <row r="3378" spans="1:6" x14ac:dyDescent="0.25">
      <c r="A3378" s="1"/>
      <c r="C3378" s="1"/>
      <c r="D3378" s="1"/>
      <c r="E3378" s="1"/>
      <c r="F3378" s="1"/>
    </row>
    <row r="3379" spans="1:6" x14ac:dyDescent="0.25">
      <c r="A3379" s="1"/>
      <c r="C3379" s="1"/>
      <c r="D3379" s="1"/>
      <c r="E3379" s="1"/>
      <c r="F3379" s="1"/>
    </row>
    <row r="3380" spans="1:6" x14ac:dyDescent="0.25">
      <c r="A3380" s="1"/>
      <c r="C3380" s="1"/>
      <c r="D3380" s="1"/>
      <c r="E3380" s="1"/>
      <c r="F3380" s="1"/>
    </row>
    <row r="3381" spans="1:6" x14ac:dyDescent="0.25">
      <c r="A3381" s="1"/>
      <c r="C3381" s="1"/>
      <c r="D3381" s="1"/>
      <c r="E3381" s="1"/>
      <c r="F3381" s="1"/>
    </row>
    <row r="3382" spans="1:6" x14ac:dyDescent="0.25">
      <c r="A3382" s="1"/>
      <c r="C3382" s="1"/>
      <c r="D3382" s="1"/>
      <c r="E3382" s="1"/>
      <c r="F3382" s="1"/>
    </row>
    <row r="3383" spans="1:6" x14ac:dyDescent="0.25">
      <c r="A3383" s="1"/>
      <c r="C3383" s="1"/>
      <c r="D3383" s="1"/>
      <c r="E3383" s="1"/>
      <c r="F3383" s="1"/>
    </row>
    <row r="3384" spans="1:6" x14ac:dyDescent="0.25">
      <c r="A3384" s="1"/>
      <c r="C3384" s="1"/>
      <c r="D3384" s="1"/>
      <c r="E3384" s="1"/>
      <c r="F3384" s="1"/>
    </row>
    <row r="3385" spans="1:6" x14ac:dyDescent="0.25">
      <c r="A3385" s="1"/>
      <c r="C3385" s="1"/>
      <c r="D3385" s="1"/>
      <c r="E3385" s="1"/>
      <c r="F3385" s="1"/>
    </row>
    <row r="3386" spans="1:6" x14ac:dyDescent="0.25">
      <c r="A3386" s="1"/>
      <c r="C3386" s="1"/>
      <c r="D3386" s="1"/>
      <c r="E3386" s="1"/>
      <c r="F3386" s="1"/>
    </row>
    <row r="3387" spans="1:6" x14ac:dyDescent="0.25">
      <c r="A3387" s="1"/>
      <c r="C3387" s="1"/>
      <c r="D3387" s="1"/>
      <c r="E3387" s="1"/>
      <c r="F3387" s="1"/>
    </row>
    <row r="3388" spans="1:6" x14ac:dyDescent="0.25">
      <c r="A3388" s="1"/>
      <c r="C3388" s="1"/>
      <c r="D3388" s="1"/>
      <c r="E3388" s="1"/>
      <c r="F3388" s="1"/>
    </row>
    <row r="3389" spans="1:6" x14ac:dyDescent="0.25">
      <c r="A3389" s="1"/>
      <c r="C3389" s="1"/>
      <c r="D3389" s="1"/>
      <c r="E3389" s="1"/>
      <c r="F3389" s="1"/>
    </row>
    <row r="3390" spans="1:6" x14ac:dyDescent="0.25">
      <c r="A3390" s="1"/>
      <c r="C3390" s="1"/>
      <c r="D3390" s="1"/>
      <c r="E3390" s="1"/>
      <c r="F3390" s="1"/>
    </row>
    <row r="3391" spans="1:6" x14ac:dyDescent="0.25">
      <c r="A3391" s="1"/>
      <c r="C3391" s="1"/>
      <c r="D3391" s="1"/>
      <c r="E3391" s="1"/>
      <c r="F3391" s="1"/>
    </row>
    <row r="3392" spans="1:6" x14ac:dyDescent="0.25">
      <c r="A3392" s="1"/>
      <c r="C3392" s="1"/>
      <c r="D3392" s="1"/>
      <c r="E3392" s="1"/>
      <c r="F3392" s="1"/>
    </row>
    <row r="3393" spans="1:6" x14ac:dyDescent="0.25">
      <c r="A3393" s="1"/>
      <c r="C3393" s="1"/>
      <c r="D3393" s="1"/>
      <c r="E3393" s="1"/>
      <c r="F3393" s="1"/>
    </row>
    <row r="3394" spans="1:6" x14ac:dyDescent="0.25">
      <c r="A3394" s="1"/>
      <c r="C3394" s="1"/>
      <c r="D3394" s="1"/>
      <c r="E3394" s="1"/>
      <c r="F3394" s="1"/>
    </row>
    <row r="3395" spans="1:6" x14ac:dyDescent="0.25">
      <c r="A3395" s="1"/>
      <c r="C3395" s="1"/>
      <c r="D3395" s="1"/>
      <c r="E3395" s="1"/>
      <c r="F3395" s="1"/>
    </row>
    <row r="3396" spans="1:6" x14ac:dyDescent="0.25">
      <c r="A3396" s="1"/>
      <c r="C3396" s="1"/>
      <c r="D3396" s="1"/>
      <c r="E3396" s="1"/>
      <c r="F3396" s="1"/>
    </row>
    <row r="3397" spans="1:6" x14ac:dyDescent="0.25">
      <c r="A3397" s="1"/>
      <c r="C3397" s="1"/>
      <c r="D3397" s="1"/>
      <c r="E3397" s="1"/>
      <c r="F3397" s="1"/>
    </row>
    <row r="3398" spans="1:6" x14ac:dyDescent="0.25">
      <c r="A3398" s="1"/>
      <c r="C3398" s="1"/>
      <c r="D3398" s="1"/>
      <c r="E3398" s="1"/>
      <c r="F3398" s="1"/>
    </row>
    <row r="3399" spans="1:6" x14ac:dyDescent="0.25">
      <c r="A3399" s="1"/>
      <c r="C3399" s="1"/>
      <c r="D3399" s="1"/>
      <c r="E3399" s="1"/>
      <c r="F3399" s="1"/>
    </row>
    <row r="3400" spans="1:6" x14ac:dyDescent="0.25">
      <c r="A3400" s="1"/>
      <c r="C3400" s="1"/>
      <c r="D3400" s="1"/>
      <c r="E3400" s="1"/>
      <c r="F3400" s="1"/>
    </row>
    <row r="3401" spans="1:6" x14ac:dyDescent="0.25">
      <c r="A3401" s="1"/>
      <c r="C3401" s="1"/>
      <c r="D3401" s="1"/>
      <c r="E3401" s="1"/>
      <c r="F3401" s="1"/>
    </row>
    <row r="3402" spans="1:6" x14ac:dyDescent="0.25">
      <c r="A3402" s="1"/>
      <c r="C3402" s="1"/>
      <c r="D3402" s="1"/>
      <c r="E3402" s="1"/>
      <c r="F3402" s="1"/>
    </row>
    <row r="3403" spans="1:6" x14ac:dyDescent="0.25">
      <c r="A3403" s="1"/>
      <c r="C3403" s="1"/>
      <c r="D3403" s="1"/>
      <c r="E3403" s="1"/>
      <c r="F3403" s="1"/>
    </row>
    <row r="3404" spans="1:6" x14ac:dyDescent="0.25">
      <c r="A3404" s="1"/>
      <c r="C3404" s="1"/>
      <c r="D3404" s="1"/>
      <c r="E3404" s="1"/>
      <c r="F3404" s="1"/>
    </row>
    <row r="3405" spans="1:6" x14ac:dyDescent="0.25">
      <c r="A3405" s="1"/>
      <c r="C3405" s="1"/>
      <c r="D3405" s="1"/>
      <c r="E3405" s="1"/>
      <c r="F3405" s="1"/>
    </row>
    <row r="3406" spans="1:6" x14ac:dyDescent="0.25">
      <c r="A3406" s="1"/>
      <c r="C3406" s="1"/>
      <c r="D3406" s="1"/>
      <c r="E3406" s="1"/>
      <c r="F3406" s="1"/>
    </row>
    <row r="3407" spans="1:6" x14ac:dyDescent="0.25">
      <c r="A3407" s="1"/>
      <c r="C3407" s="1"/>
      <c r="D3407" s="1"/>
      <c r="E3407" s="1"/>
      <c r="F3407" s="1"/>
    </row>
    <row r="3408" spans="1:6" x14ac:dyDescent="0.25">
      <c r="A3408" s="1"/>
      <c r="C3408" s="1"/>
      <c r="D3408" s="1"/>
      <c r="E3408" s="1"/>
      <c r="F3408" s="1"/>
    </row>
    <row r="3409" spans="1:6" x14ac:dyDescent="0.25">
      <c r="A3409" s="1"/>
      <c r="C3409" s="1"/>
      <c r="D3409" s="1"/>
      <c r="E3409" s="1"/>
      <c r="F3409" s="1"/>
    </row>
    <row r="3410" spans="1:6" x14ac:dyDescent="0.25">
      <c r="A3410" s="1"/>
      <c r="C3410" s="1"/>
      <c r="D3410" s="1"/>
      <c r="E3410" s="1"/>
      <c r="F3410" s="1"/>
    </row>
    <row r="3411" spans="1:6" x14ac:dyDescent="0.25">
      <c r="A3411" s="1"/>
      <c r="C3411" s="1"/>
      <c r="D3411" s="1"/>
      <c r="E3411" s="1"/>
      <c r="F3411" s="1"/>
    </row>
    <row r="3412" spans="1:6" x14ac:dyDescent="0.25">
      <c r="A3412" s="1"/>
      <c r="C3412" s="1"/>
      <c r="D3412" s="1"/>
      <c r="E3412" s="1"/>
      <c r="F3412" s="1"/>
    </row>
    <row r="3413" spans="1:6" x14ac:dyDescent="0.25">
      <c r="A3413" s="1"/>
      <c r="C3413" s="1"/>
      <c r="D3413" s="1"/>
      <c r="E3413" s="1"/>
      <c r="F3413" s="1"/>
    </row>
    <row r="3414" spans="1:6" x14ac:dyDescent="0.25">
      <c r="A3414" s="1"/>
      <c r="C3414" s="1"/>
      <c r="D3414" s="1"/>
      <c r="E3414" s="1"/>
      <c r="F3414" s="1"/>
    </row>
    <row r="3415" spans="1:6" x14ac:dyDescent="0.25">
      <c r="A3415" s="1"/>
      <c r="C3415" s="1"/>
      <c r="D3415" s="1"/>
      <c r="E3415" s="1"/>
      <c r="F3415" s="1"/>
    </row>
    <row r="3416" spans="1:6" x14ac:dyDescent="0.25">
      <c r="A3416" s="1"/>
      <c r="C3416" s="1"/>
      <c r="D3416" s="1"/>
      <c r="E3416" s="1"/>
      <c r="F3416" s="1"/>
    </row>
    <row r="3417" spans="1:6" x14ac:dyDescent="0.25">
      <c r="A3417" s="1"/>
      <c r="C3417" s="1"/>
      <c r="D3417" s="1"/>
      <c r="E3417" s="1"/>
      <c r="F3417" s="1"/>
    </row>
    <row r="3418" spans="1:6" x14ac:dyDescent="0.25">
      <c r="A3418" s="1"/>
      <c r="C3418" s="1"/>
      <c r="D3418" s="1"/>
      <c r="E3418" s="1"/>
      <c r="F3418" s="1"/>
    </row>
    <row r="3419" spans="1:6" x14ac:dyDescent="0.25">
      <c r="A3419" s="1"/>
      <c r="C3419" s="1"/>
      <c r="D3419" s="1"/>
      <c r="E3419" s="1"/>
      <c r="F3419" s="1"/>
    </row>
    <row r="3420" spans="1:6" x14ac:dyDescent="0.25">
      <c r="A3420" s="1"/>
      <c r="C3420" s="1"/>
      <c r="D3420" s="1"/>
      <c r="E3420" s="1"/>
      <c r="F3420" s="1"/>
    </row>
    <row r="3421" spans="1:6" x14ac:dyDescent="0.25">
      <c r="A3421" s="1"/>
      <c r="C3421" s="1"/>
      <c r="D3421" s="1"/>
      <c r="E3421" s="1"/>
      <c r="F3421" s="1"/>
    </row>
    <row r="3422" spans="1:6" x14ac:dyDescent="0.25">
      <c r="A3422" s="1"/>
      <c r="C3422" s="1"/>
      <c r="D3422" s="1"/>
      <c r="E3422" s="1"/>
      <c r="F3422" s="1"/>
    </row>
    <row r="3423" spans="1:6" x14ac:dyDescent="0.25">
      <c r="A3423" s="1"/>
      <c r="C3423" s="1"/>
      <c r="D3423" s="1"/>
      <c r="E3423" s="1"/>
      <c r="F3423" s="1"/>
    </row>
    <row r="3424" spans="1:6" x14ac:dyDescent="0.25">
      <c r="A3424" s="1"/>
      <c r="C3424" s="1"/>
      <c r="D3424" s="1"/>
      <c r="E3424" s="1"/>
      <c r="F3424" s="1"/>
    </row>
    <row r="3425" spans="1:6" x14ac:dyDescent="0.25">
      <c r="A3425" s="1"/>
      <c r="C3425" s="1"/>
      <c r="D3425" s="1"/>
      <c r="E3425" s="1"/>
      <c r="F3425" s="1"/>
    </row>
    <row r="3426" spans="1:6" x14ac:dyDescent="0.25">
      <c r="A3426" s="1"/>
      <c r="C3426" s="1"/>
      <c r="D3426" s="1"/>
      <c r="E3426" s="1"/>
      <c r="F3426" s="1"/>
    </row>
    <row r="3427" spans="1:6" x14ac:dyDescent="0.25">
      <c r="A3427" s="1"/>
      <c r="C3427" s="1"/>
      <c r="D3427" s="1"/>
      <c r="E3427" s="1"/>
      <c r="F3427" s="1"/>
    </row>
    <row r="3428" spans="1:6" x14ac:dyDescent="0.25">
      <c r="A3428" s="1"/>
      <c r="C3428" s="1"/>
      <c r="D3428" s="1"/>
      <c r="E3428" s="1"/>
      <c r="F3428" s="1"/>
    </row>
    <row r="3429" spans="1:6" x14ac:dyDescent="0.25">
      <c r="A3429" s="1"/>
      <c r="C3429" s="1"/>
      <c r="D3429" s="1"/>
      <c r="E3429" s="1"/>
      <c r="F3429" s="1"/>
    </row>
    <row r="3430" spans="1:6" x14ac:dyDescent="0.25">
      <c r="A3430" s="1"/>
      <c r="C3430" s="1"/>
      <c r="D3430" s="1"/>
      <c r="E3430" s="1"/>
      <c r="F3430" s="1"/>
    </row>
    <row r="3431" spans="1:6" x14ac:dyDescent="0.25">
      <c r="A3431" s="1"/>
      <c r="C3431" s="1"/>
      <c r="D3431" s="1"/>
      <c r="E3431" s="1"/>
      <c r="F3431" s="1"/>
    </row>
    <row r="3432" spans="1:6" x14ac:dyDescent="0.25">
      <c r="A3432" s="1"/>
      <c r="C3432" s="1"/>
      <c r="D3432" s="1"/>
      <c r="E3432" s="1"/>
      <c r="F3432" s="1"/>
    </row>
    <row r="3433" spans="1:6" x14ac:dyDescent="0.25">
      <c r="A3433" s="1"/>
      <c r="C3433" s="1"/>
      <c r="D3433" s="1"/>
      <c r="E3433" s="1"/>
      <c r="F3433" s="1"/>
    </row>
    <row r="3434" spans="1:6" x14ac:dyDescent="0.25">
      <c r="A3434" s="1"/>
      <c r="C3434" s="1"/>
      <c r="D3434" s="1"/>
      <c r="E3434" s="1"/>
      <c r="F3434" s="1"/>
    </row>
    <row r="3435" spans="1:6" x14ac:dyDescent="0.25">
      <c r="A3435" s="1"/>
      <c r="C3435" s="1"/>
      <c r="D3435" s="1"/>
      <c r="E3435" s="1"/>
      <c r="F3435" s="1"/>
    </row>
    <row r="3436" spans="1:6" x14ac:dyDescent="0.25">
      <c r="A3436" s="1"/>
      <c r="C3436" s="1"/>
      <c r="D3436" s="1"/>
      <c r="E3436" s="1"/>
      <c r="F3436" s="1"/>
    </row>
    <row r="3437" spans="1:6" x14ac:dyDescent="0.25">
      <c r="A3437" s="1"/>
      <c r="C3437" s="1"/>
      <c r="D3437" s="1"/>
      <c r="E3437" s="1"/>
      <c r="F3437" s="1"/>
    </row>
    <row r="3438" spans="1:6" x14ac:dyDescent="0.25">
      <c r="A3438" s="1"/>
      <c r="C3438" s="1"/>
      <c r="D3438" s="1"/>
      <c r="E3438" s="1"/>
      <c r="F3438" s="1"/>
    </row>
    <row r="3439" spans="1:6" x14ac:dyDescent="0.25">
      <c r="A3439" s="1"/>
      <c r="C3439" s="1"/>
      <c r="D3439" s="1"/>
      <c r="E3439" s="1"/>
      <c r="F3439" s="1"/>
    </row>
    <row r="3440" spans="1:6" x14ac:dyDescent="0.25">
      <c r="A3440" s="1"/>
      <c r="C3440" s="1"/>
      <c r="D3440" s="1"/>
      <c r="E3440" s="1"/>
      <c r="F3440" s="1"/>
    </row>
    <row r="3441" spans="1:6" x14ac:dyDescent="0.25">
      <c r="A3441" s="1"/>
      <c r="C3441" s="1"/>
      <c r="D3441" s="1"/>
      <c r="E3441" s="1"/>
      <c r="F3441" s="1"/>
    </row>
    <row r="3442" spans="1:6" x14ac:dyDescent="0.25">
      <c r="A3442" s="1"/>
      <c r="C3442" s="1"/>
      <c r="D3442" s="1"/>
      <c r="E3442" s="1"/>
      <c r="F3442" s="1"/>
    </row>
    <row r="3443" spans="1:6" x14ac:dyDescent="0.25">
      <c r="A3443" s="1"/>
      <c r="C3443" s="1"/>
      <c r="D3443" s="1"/>
      <c r="E3443" s="1"/>
      <c r="F3443" s="1"/>
    </row>
    <row r="3444" spans="1:6" x14ac:dyDescent="0.25">
      <c r="A3444" s="1"/>
      <c r="C3444" s="1"/>
      <c r="D3444" s="1"/>
      <c r="E3444" s="1"/>
      <c r="F3444" s="1"/>
    </row>
    <row r="3445" spans="1:6" x14ac:dyDescent="0.25">
      <c r="A3445" s="1"/>
      <c r="C3445" s="1"/>
      <c r="D3445" s="1"/>
      <c r="E3445" s="1"/>
      <c r="F3445" s="1"/>
    </row>
    <row r="3446" spans="1:6" x14ac:dyDescent="0.25">
      <c r="A3446" s="1"/>
      <c r="C3446" s="1"/>
      <c r="D3446" s="1"/>
      <c r="E3446" s="1"/>
      <c r="F3446" s="1"/>
    </row>
    <row r="3447" spans="1:6" x14ac:dyDescent="0.25">
      <c r="A3447" s="1"/>
      <c r="C3447" s="1"/>
      <c r="D3447" s="1"/>
      <c r="E3447" s="1"/>
      <c r="F3447" s="1"/>
    </row>
    <row r="3448" spans="1:6" x14ac:dyDescent="0.25">
      <c r="A3448" s="1"/>
      <c r="C3448" s="1"/>
      <c r="D3448" s="1"/>
      <c r="E3448" s="1"/>
      <c r="F3448" s="1"/>
    </row>
    <row r="3449" spans="1:6" x14ac:dyDescent="0.25">
      <c r="A3449" s="1"/>
      <c r="C3449" s="1"/>
      <c r="D3449" s="1"/>
      <c r="E3449" s="1"/>
      <c r="F3449" s="1"/>
    </row>
    <row r="3450" spans="1:6" x14ac:dyDescent="0.25">
      <c r="A3450" s="1"/>
      <c r="C3450" s="1"/>
      <c r="D3450" s="1"/>
      <c r="E3450" s="1"/>
      <c r="F3450" s="1"/>
    </row>
    <row r="3451" spans="1:6" x14ac:dyDescent="0.25">
      <c r="A3451" s="1"/>
      <c r="C3451" s="1"/>
      <c r="D3451" s="1"/>
      <c r="E3451" s="1"/>
      <c r="F3451" s="1"/>
    </row>
    <row r="3452" spans="1:6" x14ac:dyDescent="0.25">
      <c r="A3452" s="1"/>
      <c r="C3452" s="1"/>
      <c r="D3452" s="1"/>
      <c r="E3452" s="1"/>
      <c r="F3452" s="1"/>
    </row>
    <row r="3453" spans="1:6" x14ac:dyDescent="0.25">
      <c r="A3453" s="1"/>
      <c r="C3453" s="1"/>
      <c r="D3453" s="1"/>
      <c r="E3453" s="1"/>
      <c r="F3453" s="1"/>
    </row>
    <row r="3454" spans="1:6" x14ac:dyDescent="0.25">
      <c r="A3454" s="1"/>
      <c r="C3454" s="1"/>
      <c r="D3454" s="1"/>
      <c r="E3454" s="1"/>
      <c r="F3454" s="1"/>
    </row>
    <row r="3455" spans="1:6" x14ac:dyDescent="0.25">
      <c r="A3455" s="1"/>
      <c r="C3455" s="1"/>
      <c r="D3455" s="1"/>
      <c r="E3455" s="1"/>
      <c r="F3455" s="1"/>
    </row>
    <row r="3456" spans="1:6" x14ac:dyDescent="0.25">
      <c r="A3456" s="1"/>
      <c r="C3456" s="1"/>
      <c r="D3456" s="1"/>
      <c r="E3456" s="1"/>
      <c r="F3456" s="1"/>
    </row>
    <row r="3457" spans="1:6" x14ac:dyDescent="0.25">
      <c r="A3457" s="1"/>
      <c r="C3457" s="1"/>
      <c r="D3457" s="1"/>
      <c r="E3457" s="1"/>
      <c r="F3457" s="1"/>
    </row>
    <row r="3458" spans="1:6" x14ac:dyDescent="0.25">
      <c r="A3458" s="1"/>
      <c r="C3458" s="1"/>
      <c r="D3458" s="1"/>
      <c r="E3458" s="1"/>
      <c r="F3458" s="1"/>
    </row>
    <row r="3459" spans="1:6" x14ac:dyDescent="0.25">
      <c r="A3459" s="1"/>
      <c r="C3459" s="1"/>
      <c r="D3459" s="1"/>
      <c r="E3459" s="1"/>
      <c r="F3459" s="1"/>
    </row>
    <row r="3460" spans="1:6" x14ac:dyDescent="0.25">
      <c r="A3460" s="1"/>
      <c r="C3460" s="1"/>
      <c r="D3460" s="1"/>
      <c r="E3460" s="1"/>
      <c r="F3460" s="1"/>
    </row>
    <row r="3461" spans="1:6" x14ac:dyDescent="0.25">
      <c r="A3461" s="1"/>
      <c r="C3461" s="1"/>
      <c r="D3461" s="1"/>
      <c r="E3461" s="1"/>
      <c r="F3461" s="1"/>
    </row>
    <row r="3462" spans="1:6" x14ac:dyDescent="0.25">
      <c r="A3462" s="1"/>
      <c r="C3462" s="1"/>
      <c r="D3462" s="1"/>
      <c r="E3462" s="1"/>
      <c r="F3462" s="1"/>
    </row>
    <row r="3463" spans="1:6" x14ac:dyDescent="0.25">
      <c r="A3463" s="1"/>
      <c r="C3463" s="1"/>
      <c r="D3463" s="1"/>
      <c r="E3463" s="1"/>
      <c r="F3463" s="1"/>
    </row>
    <row r="3464" spans="1:6" x14ac:dyDescent="0.25">
      <c r="A3464" s="1"/>
      <c r="C3464" s="1"/>
      <c r="D3464" s="1"/>
      <c r="E3464" s="1"/>
      <c r="F3464" s="1"/>
    </row>
    <row r="3465" spans="1:6" x14ac:dyDescent="0.25">
      <c r="A3465" s="1"/>
      <c r="C3465" s="1"/>
      <c r="D3465" s="1"/>
      <c r="E3465" s="1"/>
      <c r="F3465" s="1"/>
    </row>
    <row r="3466" spans="1:6" x14ac:dyDescent="0.25">
      <c r="A3466" s="1"/>
      <c r="C3466" s="1"/>
      <c r="D3466" s="1"/>
      <c r="E3466" s="1"/>
      <c r="F3466" s="1"/>
    </row>
    <row r="3467" spans="1:6" x14ac:dyDescent="0.25">
      <c r="A3467" s="1"/>
      <c r="C3467" s="1"/>
      <c r="D3467" s="1"/>
      <c r="E3467" s="1"/>
      <c r="F3467" s="1"/>
    </row>
    <row r="3468" spans="1:6" x14ac:dyDescent="0.25">
      <c r="A3468" s="1"/>
      <c r="C3468" s="1"/>
      <c r="D3468" s="1"/>
      <c r="E3468" s="1"/>
      <c r="F3468" s="1"/>
    </row>
    <row r="3469" spans="1:6" x14ac:dyDescent="0.25">
      <c r="A3469" s="1"/>
      <c r="C3469" s="1"/>
      <c r="D3469" s="1"/>
      <c r="E3469" s="1"/>
      <c r="F3469" s="1"/>
    </row>
    <row r="3470" spans="1:6" x14ac:dyDescent="0.25">
      <c r="A3470" s="1"/>
      <c r="C3470" s="1"/>
      <c r="D3470" s="1"/>
      <c r="E3470" s="1"/>
      <c r="F3470" s="1"/>
    </row>
    <row r="3471" spans="1:6" x14ac:dyDescent="0.25">
      <c r="A3471" s="1"/>
      <c r="C3471" s="1"/>
      <c r="D3471" s="1"/>
      <c r="E3471" s="1"/>
      <c r="F3471" s="1"/>
    </row>
    <row r="3472" spans="1:6" x14ac:dyDescent="0.25">
      <c r="A3472" s="1"/>
      <c r="C3472" s="1"/>
      <c r="D3472" s="1"/>
      <c r="E3472" s="1"/>
      <c r="F3472" s="1"/>
    </row>
    <row r="3473" spans="1:6" x14ac:dyDescent="0.25">
      <c r="A3473" s="1"/>
      <c r="C3473" s="1"/>
      <c r="D3473" s="1"/>
      <c r="E3473" s="1"/>
      <c r="F3473" s="1"/>
    </row>
    <row r="3474" spans="1:6" x14ac:dyDescent="0.25">
      <c r="A3474" s="1"/>
      <c r="C3474" s="1"/>
      <c r="D3474" s="1"/>
      <c r="E3474" s="1"/>
      <c r="F3474" s="1"/>
    </row>
    <row r="3475" spans="1:6" x14ac:dyDescent="0.25">
      <c r="A3475" s="1"/>
      <c r="C3475" s="1"/>
      <c r="D3475" s="1"/>
      <c r="E3475" s="1"/>
      <c r="F3475" s="1"/>
    </row>
    <row r="3476" spans="1:6" x14ac:dyDescent="0.25">
      <c r="A3476" s="1"/>
      <c r="C3476" s="1"/>
      <c r="D3476" s="1"/>
      <c r="E3476" s="1"/>
      <c r="F3476" s="1"/>
    </row>
    <row r="3477" spans="1:6" x14ac:dyDescent="0.25">
      <c r="A3477" s="1"/>
      <c r="C3477" s="1"/>
      <c r="D3477" s="1"/>
      <c r="E3477" s="1"/>
      <c r="F3477" s="1"/>
    </row>
    <row r="3478" spans="1:6" x14ac:dyDescent="0.25">
      <c r="A3478" s="1"/>
      <c r="C3478" s="1"/>
      <c r="D3478" s="1"/>
      <c r="E3478" s="1"/>
      <c r="F3478" s="1"/>
    </row>
    <row r="3479" spans="1:6" x14ac:dyDescent="0.25">
      <c r="A3479" s="1"/>
      <c r="C3479" s="1"/>
      <c r="D3479" s="1"/>
      <c r="E3479" s="1"/>
      <c r="F3479" s="1"/>
    </row>
    <row r="3480" spans="1:6" x14ac:dyDescent="0.25">
      <c r="A3480" s="1"/>
      <c r="C3480" s="1"/>
      <c r="D3480" s="1"/>
      <c r="E3480" s="1"/>
      <c r="F3480" s="1"/>
    </row>
    <row r="3481" spans="1:6" x14ac:dyDescent="0.25">
      <c r="A3481" s="1"/>
      <c r="C3481" s="1"/>
      <c r="D3481" s="1"/>
      <c r="E3481" s="1"/>
      <c r="F3481" s="1"/>
    </row>
    <row r="3482" spans="1:6" x14ac:dyDescent="0.25">
      <c r="A3482" s="1"/>
      <c r="C3482" s="1"/>
      <c r="D3482" s="1"/>
      <c r="E3482" s="1"/>
      <c r="F3482" s="1"/>
    </row>
    <row r="3483" spans="1:6" x14ac:dyDescent="0.25">
      <c r="A3483" s="1"/>
      <c r="C3483" s="1"/>
      <c r="D3483" s="1"/>
      <c r="E3483" s="1"/>
      <c r="F3483" s="1"/>
    </row>
    <row r="3484" spans="1:6" x14ac:dyDescent="0.25">
      <c r="A3484" s="1"/>
      <c r="C3484" s="1"/>
      <c r="D3484" s="1"/>
      <c r="E3484" s="1"/>
      <c r="F3484" s="1"/>
    </row>
    <row r="3485" spans="1:6" x14ac:dyDescent="0.25">
      <c r="A3485" s="1"/>
      <c r="C3485" s="1"/>
      <c r="D3485" s="1"/>
      <c r="E3485" s="1"/>
      <c r="F3485" s="1"/>
    </row>
    <row r="3486" spans="1:6" x14ac:dyDescent="0.25">
      <c r="A3486" s="1"/>
      <c r="C3486" s="1"/>
      <c r="D3486" s="1"/>
      <c r="E3486" s="1"/>
      <c r="F3486" s="1"/>
    </row>
    <row r="3487" spans="1:6" x14ac:dyDescent="0.25">
      <c r="A3487" s="1"/>
      <c r="C3487" s="1"/>
      <c r="D3487" s="1"/>
      <c r="E3487" s="1"/>
      <c r="F3487" s="1"/>
    </row>
    <row r="3488" spans="1:6" x14ac:dyDescent="0.25">
      <c r="A3488" s="1"/>
      <c r="C3488" s="1"/>
      <c r="D3488" s="1"/>
      <c r="E3488" s="1"/>
      <c r="F3488" s="1"/>
    </row>
    <row r="3489" spans="1:6" x14ac:dyDescent="0.25">
      <c r="A3489" s="1"/>
      <c r="C3489" s="1"/>
      <c r="D3489" s="1"/>
      <c r="E3489" s="1"/>
      <c r="F3489" s="1"/>
    </row>
    <row r="3490" spans="1:6" x14ac:dyDescent="0.25">
      <c r="A3490" s="1"/>
      <c r="C3490" s="1"/>
      <c r="D3490" s="1"/>
      <c r="E3490" s="1"/>
      <c r="F3490" s="1"/>
    </row>
    <row r="3491" spans="1:6" x14ac:dyDescent="0.25">
      <c r="A3491" s="1"/>
      <c r="C3491" s="1"/>
      <c r="D3491" s="1"/>
      <c r="E3491" s="1"/>
      <c r="F3491" s="1"/>
    </row>
    <row r="3492" spans="1:6" x14ac:dyDescent="0.25">
      <c r="A3492" s="1"/>
      <c r="C3492" s="1"/>
      <c r="D3492" s="1"/>
      <c r="E3492" s="1"/>
      <c r="F3492" s="1"/>
    </row>
    <row r="3493" spans="1:6" x14ac:dyDescent="0.25">
      <c r="A3493" s="1"/>
      <c r="C3493" s="1"/>
      <c r="D3493" s="1"/>
      <c r="E3493" s="1"/>
      <c r="F3493" s="1"/>
    </row>
    <row r="3494" spans="1:6" x14ac:dyDescent="0.25">
      <c r="A3494" s="1"/>
      <c r="C3494" s="1"/>
      <c r="D3494" s="1"/>
      <c r="E3494" s="1"/>
      <c r="F3494" s="1"/>
    </row>
    <row r="3495" spans="1:6" x14ac:dyDescent="0.25">
      <c r="A3495" s="1"/>
      <c r="C3495" s="1"/>
      <c r="D3495" s="1"/>
      <c r="E3495" s="1"/>
      <c r="F3495" s="1"/>
    </row>
    <row r="3496" spans="1:6" x14ac:dyDescent="0.25">
      <c r="A3496" s="1"/>
      <c r="C3496" s="1"/>
      <c r="D3496" s="1"/>
      <c r="E3496" s="1"/>
      <c r="F3496" s="1"/>
    </row>
    <row r="3497" spans="1:6" x14ac:dyDescent="0.25">
      <c r="A3497" s="1"/>
      <c r="C3497" s="1"/>
      <c r="D3497" s="1"/>
      <c r="E3497" s="1"/>
      <c r="F3497" s="1"/>
    </row>
    <row r="3498" spans="1:6" x14ac:dyDescent="0.25">
      <c r="A3498" s="1"/>
      <c r="C3498" s="1"/>
      <c r="D3498" s="1"/>
      <c r="E3498" s="1"/>
      <c r="F3498" s="1"/>
    </row>
    <row r="3499" spans="1:6" x14ac:dyDescent="0.25">
      <c r="A3499" s="1"/>
      <c r="C3499" s="1"/>
      <c r="D3499" s="1"/>
      <c r="E3499" s="1"/>
      <c r="F3499" s="1"/>
    </row>
    <row r="3500" spans="1:6" x14ac:dyDescent="0.25">
      <c r="A3500" s="1"/>
      <c r="C3500" s="1"/>
      <c r="D3500" s="1"/>
      <c r="E3500" s="1"/>
      <c r="F3500" s="1"/>
    </row>
    <row r="3501" spans="1:6" x14ac:dyDescent="0.25">
      <c r="A3501" s="1"/>
      <c r="C3501" s="1"/>
      <c r="D3501" s="1"/>
      <c r="E3501" s="1"/>
      <c r="F3501" s="1"/>
    </row>
    <row r="3502" spans="1:6" x14ac:dyDescent="0.25">
      <c r="A3502" s="1"/>
      <c r="C3502" s="1"/>
      <c r="D3502" s="1"/>
      <c r="E3502" s="1"/>
      <c r="F3502" s="1"/>
    </row>
    <row r="3503" spans="1:6" x14ac:dyDescent="0.25">
      <c r="A3503" s="1"/>
      <c r="C3503" s="1"/>
      <c r="D3503" s="1"/>
      <c r="E3503" s="1"/>
      <c r="F3503" s="1"/>
    </row>
    <row r="3504" spans="1:6" x14ac:dyDescent="0.25">
      <c r="A3504" s="1"/>
      <c r="C3504" s="1"/>
      <c r="D3504" s="1"/>
      <c r="E3504" s="1"/>
      <c r="F3504" s="1"/>
    </row>
    <row r="3505" spans="1:6" x14ac:dyDescent="0.25">
      <c r="A3505" s="1"/>
      <c r="C3505" s="1"/>
      <c r="D3505" s="1"/>
      <c r="E3505" s="1"/>
      <c r="F3505" s="1"/>
    </row>
    <row r="3506" spans="1:6" x14ac:dyDescent="0.25">
      <c r="A3506" s="1"/>
      <c r="C3506" s="1"/>
      <c r="D3506" s="1"/>
      <c r="E3506" s="1"/>
      <c r="F3506" s="1"/>
    </row>
    <row r="3507" spans="1:6" x14ac:dyDescent="0.25">
      <c r="A3507" s="1"/>
      <c r="C3507" s="1"/>
      <c r="D3507" s="1"/>
      <c r="E3507" s="1"/>
      <c r="F3507" s="1"/>
    </row>
    <row r="3508" spans="1:6" x14ac:dyDescent="0.25">
      <c r="A3508" s="1"/>
      <c r="C3508" s="1"/>
      <c r="D3508" s="1"/>
      <c r="E3508" s="1"/>
      <c r="F3508" s="1"/>
    </row>
    <row r="3509" spans="1:6" x14ac:dyDescent="0.25">
      <c r="A3509" s="1"/>
      <c r="C3509" s="1"/>
      <c r="D3509" s="1"/>
      <c r="E3509" s="1"/>
      <c r="F3509" s="1"/>
    </row>
    <row r="3510" spans="1:6" x14ac:dyDescent="0.25">
      <c r="A3510" s="1"/>
      <c r="C3510" s="1"/>
      <c r="D3510" s="1"/>
      <c r="E3510" s="1"/>
      <c r="F3510" s="1"/>
    </row>
    <row r="3511" spans="1:6" x14ac:dyDescent="0.25">
      <c r="A3511" s="1"/>
      <c r="C3511" s="1"/>
      <c r="D3511" s="1"/>
      <c r="E3511" s="1"/>
      <c r="F3511" s="1"/>
    </row>
    <row r="3512" spans="1:6" x14ac:dyDescent="0.25">
      <c r="A3512" s="1"/>
      <c r="C3512" s="1"/>
      <c r="D3512" s="1"/>
      <c r="E3512" s="1"/>
      <c r="F3512" s="1"/>
    </row>
    <row r="3513" spans="1:6" x14ac:dyDescent="0.25">
      <c r="A3513" s="1"/>
      <c r="C3513" s="1"/>
      <c r="D3513" s="1"/>
      <c r="E3513" s="1"/>
      <c r="F3513" s="1"/>
    </row>
    <row r="3514" spans="1:6" x14ac:dyDescent="0.25">
      <c r="A3514" s="1"/>
      <c r="C3514" s="1"/>
      <c r="D3514" s="1"/>
      <c r="E3514" s="1"/>
      <c r="F3514" s="1"/>
    </row>
    <row r="3515" spans="1:6" x14ac:dyDescent="0.25">
      <c r="A3515" s="1"/>
      <c r="C3515" s="1"/>
      <c r="D3515" s="1"/>
      <c r="E3515" s="1"/>
      <c r="F3515" s="1"/>
    </row>
    <row r="3516" spans="1:6" x14ac:dyDescent="0.25">
      <c r="A3516" s="1"/>
      <c r="C3516" s="1"/>
      <c r="D3516" s="1"/>
      <c r="E3516" s="1"/>
      <c r="F3516" s="1"/>
    </row>
    <row r="3517" spans="1:6" x14ac:dyDescent="0.25">
      <c r="A3517" s="1"/>
      <c r="C3517" s="1"/>
      <c r="D3517" s="1"/>
      <c r="E3517" s="1"/>
      <c r="F3517" s="1"/>
    </row>
    <row r="3518" spans="1:6" x14ac:dyDescent="0.25">
      <c r="A3518" s="1"/>
      <c r="C3518" s="1"/>
      <c r="D3518" s="1"/>
      <c r="E3518" s="1"/>
      <c r="F3518" s="1"/>
    </row>
    <row r="3519" spans="1:6" x14ac:dyDescent="0.25">
      <c r="A3519" s="1"/>
      <c r="C3519" s="1"/>
      <c r="D3519" s="1"/>
      <c r="E3519" s="1"/>
      <c r="F3519" s="1"/>
    </row>
    <row r="3520" spans="1:6" x14ac:dyDescent="0.25">
      <c r="A3520" s="1"/>
      <c r="C3520" s="1"/>
      <c r="D3520" s="1"/>
      <c r="E3520" s="1"/>
      <c r="F3520" s="1"/>
    </row>
    <row r="3521" spans="1:6" x14ac:dyDescent="0.25">
      <c r="A3521" s="1"/>
      <c r="C3521" s="1"/>
      <c r="D3521" s="1"/>
      <c r="E3521" s="1"/>
      <c r="F3521" s="1"/>
    </row>
    <row r="3522" spans="1:6" x14ac:dyDescent="0.25">
      <c r="A3522" s="1"/>
      <c r="C3522" s="1"/>
      <c r="D3522" s="1"/>
      <c r="E3522" s="1"/>
      <c r="F3522" s="1"/>
    </row>
    <row r="3523" spans="1:6" x14ac:dyDescent="0.25">
      <c r="A3523" s="1"/>
      <c r="C3523" s="1"/>
      <c r="D3523" s="1"/>
      <c r="E3523" s="1"/>
      <c r="F3523" s="1"/>
    </row>
    <row r="3524" spans="1:6" x14ac:dyDescent="0.25">
      <c r="A3524" s="1"/>
      <c r="C3524" s="1"/>
      <c r="D3524" s="1"/>
      <c r="E3524" s="1"/>
      <c r="F3524" s="1"/>
    </row>
    <row r="3525" spans="1:6" x14ac:dyDescent="0.25">
      <c r="A3525" s="1"/>
      <c r="C3525" s="1"/>
      <c r="D3525" s="1"/>
      <c r="E3525" s="1"/>
      <c r="F3525" s="1"/>
    </row>
    <row r="3526" spans="1:6" x14ac:dyDescent="0.25">
      <c r="A3526" s="1"/>
      <c r="C3526" s="1"/>
      <c r="D3526" s="1"/>
      <c r="E3526" s="1"/>
      <c r="F3526" s="1"/>
    </row>
    <row r="3527" spans="1:6" x14ac:dyDescent="0.25">
      <c r="A3527" s="1"/>
      <c r="C3527" s="1"/>
      <c r="D3527" s="1"/>
      <c r="E3527" s="1"/>
      <c r="F3527" s="1"/>
    </row>
    <row r="3528" spans="1:6" x14ac:dyDescent="0.25">
      <c r="A3528" s="1"/>
      <c r="C3528" s="1"/>
      <c r="D3528" s="1"/>
      <c r="E3528" s="1"/>
      <c r="F3528" s="1"/>
    </row>
    <row r="3529" spans="1:6" x14ac:dyDescent="0.25">
      <c r="A3529" s="1"/>
      <c r="C3529" s="1"/>
      <c r="D3529" s="1"/>
      <c r="E3529" s="1"/>
      <c r="F3529" s="1"/>
    </row>
    <row r="3530" spans="1:6" x14ac:dyDescent="0.25">
      <c r="A3530" s="1"/>
      <c r="C3530" s="1"/>
      <c r="D3530" s="1"/>
      <c r="E3530" s="1"/>
      <c r="F3530" s="1"/>
    </row>
    <row r="3531" spans="1:6" x14ac:dyDescent="0.25">
      <c r="A3531" s="1"/>
      <c r="C3531" s="1"/>
      <c r="D3531" s="1"/>
      <c r="E3531" s="1"/>
      <c r="F3531" s="1"/>
    </row>
    <row r="3532" spans="1:6" x14ac:dyDescent="0.25">
      <c r="A3532" s="1"/>
      <c r="C3532" s="1"/>
      <c r="D3532" s="1"/>
      <c r="E3532" s="1"/>
      <c r="F3532" s="1"/>
    </row>
    <row r="3533" spans="1:6" x14ac:dyDescent="0.25">
      <c r="A3533" s="1"/>
      <c r="C3533" s="1"/>
      <c r="D3533" s="1"/>
      <c r="E3533" s="1"/>
      <c r="F3533" s="1"/>
    </row>
    <row r="3534" spans="1:6" x14ac:dyDescent="0.25">
      <c r="A3534" s="1"/>
      <c r="C3534" s="1"/>
      <c r="D3534" s="1"/>
      <c r="E3534" s="1"/>
      <c r="F3534" s="1"/>
    </row>
    <row r="3535" spans="1:6" x14ac:dyDescent="0.25">
      <c r="A3535" s="1"/>
      <c r="C3535" s="1"/>
      <c r="D3535" s="1"/>
      <c r="E3535" s="1"/>
      <c r="F3535" s="1"/>
    </row>
    <row r="3536" spans="1:6" x14ac:dyDescent="0.25">
      <c r="A3536" s="1"/>
      <c r="C3536" s="1"/>
      <c r="D3536" s="1"/>
      <c r="E3536" s="1"/>
      <c r="F3536" s="1"/>
    </row>
    <row r="3537" spans="1:6" x14ac:dyDescent="0.25">
      <c r="A3537" s="1"/>
      <c r="C3537" s="1"/>
      <c r="D3537" s="1"/>
      <c r="E3537" s="1"/>
      <c r="F3537" s="1"/>
    </row>
    <row r="3538" spans="1:6" x14ac:dyDescent="0.25">
      <c r="A3538" s="1"/>
      <c r="C3538" s="1"/>
      <c r="D3538" s="1"/>
      <c r="E3538" s="1"/>
      <c r="F3538" s="1"/>
    </row>
    <row r="3539" spans="1:6" x14ac:dyDescent="0.25">
      <c r="A3539" s="1"/>
      <c r="C3539" s="1"/>
      <c r="D3539" s="1"/>
      <c r="E3539" s="1"/>
      <c r="F3539" s="1"/>
    </row>
    <row r="3540" spans="1:6" x14ac:dyDescent="0.25">
      <c r="A3540" s="1"/>
      <c r="C3540" s="1"/>
      <c r="D3540" s="1"/>
      <c r="E3540" s="1"/>
      <c r="F3540" s="1"/>
    </row>
    <row r="3541" spans="1:6" x14ac:dyDescent="0.25">
      <c r="A3541" s="1"/>
      <c r="C3541" s="1"/>
      <c r="D3541" s="1"/>
      <c r="E3541" s="1"/>
      <c r="F3541" s="1"/>
    </row>
    <row r="3542" spans="1:6" x14ac:dyDescent="0.25">
      <c r="A3542" s="1"/>
      <c r="C3542" s="1"/>
      <c r="D3542" s="1"/>
      <c r="E3542" s="1"/>
      <c r="F3542" s="1"/>
    </row>
    <row r="3543" spans="1:6" x14ac:dyDescent="0.25">
      <c r="A3543" s="1"/>
      <c r="C3543" s="1"/>
      <c r="D3543" s="1"/>
      <c r="E3543" s="1"/>
      <c r="F3543" s="1"/>
    </row>
    <row r="3544" spans="1:6" x14ac:dyDescent="0.25">
      <c r="A3544" s="1"/>
      <c r="C3544" s="1"/>
      <c r="D3544" s="1"/>
      <c r="E3544" s="1"/>
      <c r="F3544" s="1"/>
    </row>
    <row r="3545" spans="1:6" x14ac:dyDescent="0.25">
      <c r="A3545" s="1"/>
      <c r="C3545" s="1"/>
      <c r="D3545" s="1"/>
      <c r="E3545" s="1"/>
      <c r="F3545" s="1"/>
    </row>
    <row r="3546" spans="1:6" x14ac:dyDescent="0.25">
      <c r="A3546" s="1"/>
      <c r="C3546" s="1"/>
      <c r="D3546" s="1"/>
      <c r="E3546" s="1"/>
      <c r="F3546" s="1"/>
    </row>
    <row r="3547" spans="1:6" x14ac:dyDescent="0.25">
      <c r="A3547" s="1"/>
      <c r="C3547" s="1"/>
      <c r="D3547" s="1"/>
      <c r="E3547" s="1"/>
      <c r="F3547" s="1"/>
    </row>
    <row r="3548" spans="1:6" x14ac:dyDescent="0.25">
      <c r="A3548" s="1"/>
      <c r="C3548" s="1"/>
      <c r="D3548" s="1"/>
      <c r="E3548" s="1"/>
      <c r="F3548" s="1"/>
    </row>
    <row r="3549" spans="1:6" x14ac:dyDescent="0.25">
      <c r="A3549" s="1"/>
      <c r="C3549" s="1"/>
      <c r="D3549" s="1"/>
      <c r="E3549" s="1"/>
      <c r="F3549" s="1"/>
    </row>
    <row r="3550" spans="1:6" x14ac:dyDescent="0.25">
      <c r="A3550" s="1"/>
      <c r="C3550" s="1"/>
      <c r="D3550" s="1"/>
      <c r="E3550" s="1"/>
      <c r="F3550" s="1"/>
    </row>
    <row r="3551" spans="1:6" x14ac:dyDescent="0.25">
      <c r="A3551" s="1"/>
      <c r="C3551" s="1"/>
      <c r="D3551" s="1"/>
      <c r="E3551" s="1"/>
      <c r="F3551" s="1"/>
    </row>
    <row r="3552" spans="1:6" x14ac:dyDescent="0.25">
      <c r="A3552" s="1"/>
      <c r="C3552" s="1"/>
      <c r="D3552" s="1"/>
      <c r="E3552" s="1"/>
      <c r="F3552" s="1"/>
    </row>
    <row r="3553" spans="1:6" x14ac:dyDescent="0.25">
      <c r="A3553" s="1"/>
      <c r="C3553" s="1"/>
      <c r="D3553" s="1"/>
      <c r="E3553" s="1"/>
      <c r="F3553" s="1"/>
    </row>
    <row r="3554" spans="1:6" x14ac:dyDescent="0.25">
      <c r="A3554" s="1"/>
      <c r="C3554" s="1"/>
      <c r="D3554" s="1"/>
      <c r="E3554" s="1"/>
      <c r="F3554" s="1"/>
    </row>
    <row r="3555" spans="1:6" x14ac:dyDescent="0.25">
      <c r="A3555" s="1"/>
      <c r="C3555" s="1"/>
      <c r="D3555" s="1"/>
      <c r="E3555" s="1"/>
      <c r="F3555" s="1"/>
    </row>
    <row r="3556" spans="1:6" x14ac:dyDescent="0.25">
      <c r="A3556" s="1"/>
      <c r="C3556" s="1"/>
      <c r="D3556" s="1"/>
      <c r="E3556" s="1"/>
      <c r="F3556" s="1"/>
    </row>
    <row r="3557" spans="1:6" x14ac:dyDescent="0.25">
      <c r="A3557" s="1"/>
      <c r="C3557" s="1"/>
      <c r="D3557" s="1"/>
      <c r="E3557" s="1"/>
      <c r="F3557" s="1"/>
    </row>
    <row r="3558" spans="1:6" x14ac:dyDescent="0.25">
      <c r="A3558" s="1"/>
      <c r="C3558" s="1"/>
      <c r="D3558" s="1"/>
      <c r="E3558" s="1"/>
      <c r="F3558" s="1"/>
    </row>
    <row r="3559" spans="1:6" x14ac:dyDescent="0.25">
      <c r="A3559" s="1"/>
      <c r="C3559" s="1"/>
      <c r="D3559" s="1"/>
      <c r="E3559" s="1"/>
      <c r="F3559" s="1"/>
    </row>
    <row r="3560" spans="1:6" x14ac:dyDescent="0.25">
      <c r="A3560" s="1"/>
      <c r="C3560" s="1"/>
      <c r="D3560" s="1"/>
      <c r="E3560" s="1"/>
      <c r="F3560" s="1"/>
    </row>
    <row r="3561" spans="1:6" x14ac:dyDescent="0.25">
      <c r="A3561" s="1"/>
      <c r="C3561" s="1"/>
      <c r="D3561" s="1"/>
      <c r="E3561" s="1"/>
      <c r="F3561" s="1"/>
    </row>
    <row r="3562" spans="1:6" x14ac:dyDescent="0.25">
      <c r="A3562" s="1"/>
      <c r="C3562" s="1"/>
      <c r="D3562" s="1"/>
      <c r="E3562" s="1"/>
      <c r="F3562" s="1"/>
    </row>
    <row r="3563" spans="1:6" x14ac:dyDescent="0.25">
      <c r="A3563" s="1"/>
      <c r="C3563" s="1"/>
      <c r="D3563" s="1"/>
      <c r="E3563" s="1"/>
      <c r="F3563" s="1"/>
    </row>
    <row r="3564" spans="1:6" x14ac:dyDescent="0.25">
      <c r="A3564" s="1"/>
      <c r="C3564" s="1"/>
      <c r="D3564" s="1"/>
      <c r="E3564" s="1"/>
      <c r="F3564" s="1"/>
    </row>
    <row r="3565" spans="1:6" x14ac:dyDescent="0.25">
      <c r="A3565" s="1"/>
      <c r="C3565" s="1"/>
      <c r="D3565" s="1"/>
      <c r="E3565" s="1"/>
      <c r="F3565" s="1"/>
    </row>
    <row r="3566" spans="1:6" x14ac:dyDescent="0.25">
      <c r="A3566" s="1"/>
      <c r="C3566" s="1"/>
      <c r="D3566" s="1"/>
      <c r="E3566" s="1"/>
      <c r="F3566" s="1"/>
    </row>
    <row r="3567" spans="1:6" x14ac:dyDescent="0.25">
      <c r="A3567" s="1"/>
      <c r="C3567" s="1"/>
      <c r="D3567" s="1"/>
      <c r="E3567" s="1"/>
      <c r="F3567" s="1"/>
    </row>
    <row r="3568" spans="1:6" x14ac:dyDescent="0.25">
      <c r="A3568" s="1"/>
      <c r="C3568" s="1"/>
      <c r="D3568" s="1"/>
      <c r="E3568" s="1"/>
      <c r="F3568" s="1"/>
    </row>
    <row r="3569" spans="1:6" x14ac:dyDescent="0.25">
      <c r="A3569" s="1"/>
      <c r="C3569" s="1"/>
      <c r="D3569" s="1"/>
      <c r="E3569" s="1"/>
      <c r="F3569" s="1"/>
    </row>
    <row r="3570" spans="1:6" x14ac:dyDescent="0.25">
      <c r="A3570" s="1"/>
      <c r="C3570" s="1"/>
      <c r="D3570" s="1"/>
      <c r="E3570" s="1"/>
      <c r="F3570" s="1"/>
    </row>
    <row r="3571" spans="1:6" x14ac:dyDescent="0.25">
      <c r="A3571" s="1"/>
      <c r="C3571" s="1"/>
      <c r="D3571" s="1"/>
      <c r="E3571" s="1"/>
      <c r="F3571" s="1"/>
    </row>
    <row r="3572" spans="1:6" x14ac:dyDescent="0.25">
      <c r="A3572" s="1"/>
      <c r="C3572" s="1"/>
      <c r="D3572" s="1"/>
      <c r="E3572" s="1"/>
      <c r="F3572" s="1"/>
    </row>
    <row r="3573" spans="1:6" x14ac:dyDescent="0.25">
      <c r="A3573" s="1"/>
      <c r="C3573" s="1"/>
      <c r="D3573" s="1"/>
      <c r="E3573" s="1"/>
      <c r="F3573" s="1"/>
    </row>
    <row r="3574" spans="1:6" x14ac:dyDescent="0.25">
      <c r="A3574" s="1"/>
      <c r="C3574" s="1"/>
      <c r="D3574" s="1"/>
      <c r="E3574" s="1"/>
      <c r="F3574" s="1"/>
    </row>
    <row r="3575" spans="1:6" x14ac:dyDescent="0.25">
      <c r="A3575" s="1"/>
      <c r="C3575" s="1"/>
      <c r="D3575" s="1"/>
      <c r="E3575" s="1"/>
      <c r="F3575" s="1"/>
    </row>
    <row r="3576" spans="1:6" x14ac:dyDescent="0.25">
      <c r="A3576" s="1"/>
      <c r="C3576" s="1"/>
      <c r="D3576" s="1"/>
      <c r="E3576" s="1"/>
      <c r="F3576" s="1"/>
    </row>
    <row r="3577" spans="1:6" x14ac:dyDescent="0.25">
      <c r="A3577" s="1"/>
      <c r="C3577" s="1"/>
      <c r="D3577" s="1"/>
      <c r="E3577" s="1"/>
      <c r="F3577" s="1"/>
    </row>
    <row r="3578" spans="1:6" x14ac:dyDescent="0.25">
      <c r="A3578" s="1"/>
      <c r="C3578" s="1"/>
      <c r="D3578" s="1"/>
      <c r="E3578" s="1"/>
      <c r="F3578" s="1"/>
    </row>
    <row r="3579" spans="1:6" x14ac:dyDescent="0.25">
      <c r="A3579" s="1"/>
      <c r="C3579" s="1"/>
      <c r="D3579" s="1"/>
      <c r="E3579" s="1"/>
      <c r="F3579" s="1"/>
    </row>
    <row r="3580" spans="1:6" x14ac:dyDescent="0.25">
      <c r="A3580" s="1"/>
      <c r="C3580" s="1"/>
      <c r="D3580" s="1"/>
      <c r="E3580" s="1"/>
      <c r="F3580" s="1"/>
    </row>
    <row r="3581" spans="1:6" x14ac:dyDescent="0.25">
      <c r="A3581" s="1"/>
      <c r="C3581" s="1"/>
      <c r="D3581" s="1"/>
      <c r="E3581" s="1"/>
      <c r="F3581" s="1"/>
    </row>
    <row r="3582" spans="1:6" x14ac:dyDescent="0.25">
      <c r="A3582" s="1"/>
      <c r="C3582" s="1"/>
      <c r="D3582" s="1"/>
      <c r="E3582" s="1"/>
      <c r="F3582" s="1"/>
    </row>
    <row r="3583" spans="1:6" x14ac:dyDescent="0.25">
      <c r="A3583" s="1"/>
      <c r="C3583" s="1"/>
      <c r="D3583" s="1"/>
      <c r="E3583" s="1"/>
      <c r="F3583" s="1"/>
    </row>
    <row r="3584" spans="1:6" x14ac:dyDescent="0.25">
      <c r="A3584" s="1"/>
      <c r="C3584" s="1"/>
      <c r="D3584" s="1"/>
      <c r="E3584" s="1"/>
      <c r="F3584" s="1"/>
    </row>
    <row r="3585" spans="1:6" x14ac:dyDescent="0.25">
      <c r="A3585" s="1"/>
      <c r="C3585" s="1"/>
      <c r="D3585" s="1"/>
      <c r="E3585" s="1"/>
      <c r="F3585" s="1"/>
    </row>
    <row r="3586" spans="1:6" x14ac:dyDescent="0.25">
      <c r="A3586" s="1"/>
      <c r="C3586" s="1"/>
      <c r="D3586" s="1"/>
      <c r="E3586" s="1"/>
      <c r="F3586" s="1"/>
    </row>
    <row r="3587" spans="1:6" x14ac:dyDescent="0.25">
      <c r="A3587" s="1"/>
      <c r="C3587" s="1"/>
      <c r="D3587" s="1"/>
      <c r="E3587" s="1"/>
      <c r="F3587" s="1"/>
    </row>
    <row r="3588" spans="1:6" x14ac:dyDescent="0.25">
      <c r="A3588" s="1"/>
      <c r="C3588" s="1"/>
      <c r="D3588" s="1"/>
      <c r="E3588" s="1"/>
      <c r="F3588" s="1"/>
    </row>
    <row r="3589" spans="1:6" x14ac:dyDescent="0.25">
      <c r="A3589" s="1"/>
      <c r="C3589" s="1"/>
      <c r="D3589" s="1"/>
      <c r="E3589" s="1"/>
      <c r="F3589" s="1"/>
    </row>
    <row r="3590" spans="1:6" x14ac:dyDescent="0.25">
      <c r="A3590" s="1"/>
      <c r="C3590" s="1"/>
      <c r="D3590" s="1"/>
      <c r="E3590" s="1"/>
      <c r="F3590" s="1"/>
    </row>
    <row r="3591" spans="1:6" x14ac:dyDescent="0.25">
      <c r="A3591" s="1"/>
      <c r="C3591" s="1"/>
      <c r="D3591" s="1"/>
      <c r="E3591" s="1"/>
      <c r="F3591" s="1"/>
    </row>
    <row r="3592" spans="1:6" x14ac:dyDescent="0.25">
      <c r="A3592" s="1"/>
      <c r="C3592" s="1"/>
      <c r="D3592" s="1"/>
      <c r="E3592" s="1"/>
      <c r="F3592" s="1"/>
    </row>
    <row r="3593" spans="1:6" x14ac:dyDescent="0.25">
      <c r="A3593" s="1"/>
      <c r="C3593" s="1"/>
      <c r="D3593" s="1"/>
      <c r="E3593" s="1"/>
      <c r="F3593" s="1"/>
    </row>
    <row r="3594" spans="1:6" x14ac:dyDescent="0.25">
      <c r="A3594" s="1"/>
      <c r="C3594" s="1"/>
      <c r="D3594" s="1"/>
      <c r="E3594" s="1"/>
      <c r="F3594" s="1"/>
    </row>
    <row r="3595" spans="1:6" x14ac:dyDescent="0.25">
      <c r="A3595" s="1"/>
      <c r="C3595" s="1"/>
      <c r="D3595" s="1"/>
      <c r="E3595" s="1"/>
      <c r="F3595" s="1"/>
    </row>
    <row r="3596" spans="1:6" x14ac:dyDescent="0.25">
      <c r="A3596" s="1"/>
      <c r="C3596" s="1"/>
      <c r="D3596" s="1"/>
      <c r="E3596" s="1"/>
      <c r="F3596" s="1"/>
    </row>
    <row r="3597" spans="1:6" x14ac:dyDescent="0.25">
      <c r="A3597" s="1"/>
      <c r="C3597" s="1"/>
      <c r="D3597" s="1"/>
      <c r="E3597" s="1"/>
      <c r="F3597" s="1"/>
    </row>
    <row r="3598" spans="1:6" x14ac:dyDescent="0.25">
      <c r="A3598" s="1"/>
      <c r="C3598" s="1"/>
      <c r="D3598" s="1"/>
      <c r="E3598" s="1"/>
      <c r="F3598" s="1"/>
    </row>
    <row r="3599" spans="1:6" x14ac:dyDescent="0.25">
      <c r="A3599" s="1"/>
      <c r="C3599" s="1"/>
      <c r="D3599" s="1"/>
      <c r="E3599" s="1"/>
      <c r="F3599" s="1"/>
    </row>
    <row r="3600" spans="1:6" x14ac:dyDescent="0.25">
      <c r="A3600" s="1"/>
      <c r="C3600" s="1"/>
      <c r="D3600" s="1"/>
      <c r="E3600" s="1"/>
      <c r="F3600" s="1"/>
    </row>
    <row r="3601" spans="1:6" x14ac:dyDescent="0.25">
      <c r="A3601" s="1"/>
      <c r="C3601" s="1"/>
      <c r="D3601" s="1"/>
      <c r="E3601" s="1"/>
      <c r="F3601" s="1"/>
    </row>
    <row r="3602" spans="1:6" x14ac:dyDescent="0.25">
      <c r="A3602" s="1"/>
      <c r="C3602" s="1"/>
      <c r="D3602" s="1"/>
      <c r="E3602" s="1"/>
      <c r="F3602" s="1"/>
    </row>
    <row r="3603" spans="1:6" x14ac:dyDescent="0.25">
      <c r="A3603" s="1"/>
      <c r="C3603" s="1"/>
      <c r="D3603" s="1"/>
      <c r="E3603" s="1"/>
      <c r="F3603" s="1"/>
    </row>
    <row r="3604" spans="1:6" x14ac:dyDescent="0.25">
      <c r="A3604" s="1"/>
      <c r="C3604" s="1"/>
      <c r="D3604" s="1"/>
      <c r="E3604" s="1"/>
      <c r="F3604" s="1"/>
    </row>
    <row r="3605" spans="1:6" x14ac:dyDescent="0.25">
      <c r="A3605" s="1"/>
      <c r="C3605" s="1"/>
      <c r="D3605" s="1"/>
      <c r="E3605" s="1"/>
      <c r="F3605" s="1"/>
    </row>
    <row r="3606" spans="1:6" x14ac:dyDescent="0.25">
      <c r="A3606" s="1"/>
      <c r="C3606" s="1"/>
      <c r="D3606" s="1"/>
      <c r="E3606" s="1"/>
      <c r="F3606" s="1"/>
    </row>
    <row r="3607" spans="1:6" x14ac:dyDescent="0.25">
      <c r="A3607" s="1"/>
      <c r="C3607" s="1"/>
      <c r="D3607" s="1"/>
      <c r="E3607" s="1"/>
      <c r="F3607" s="1"/>
    </row>
    <row r="3608" spans="1:6" x14ac:dyDescent="0.25">
      <c r="A3608" s="1"/>
      <c r="C3608" s="1"/>
      <c r="D3608" s="1"/>
      <c r="E3608" s="1"/>
      <c r="F3608" s="1"/>
    </row>
    <row r="3609" spans="1:6" x14ac:dyDescent="0.25">
      <c r="A3609" s="1"/>
      <c r="C3609" s="1"/>
      <c r="D3609" s="1"/>
      <c r="E3609" s="1"/>
      <c r="F3609" s="1"/>
    </row>
    <row r="3610" spans="1:6" x14ac:dyDescent="0.25">
      <c r="A3610" s="1"/>
      <c r="C3610" s="1"/>
      <c r="D3610" s="1"/>
      <c r="E3610" s="1"/>
      <c r="F3610" s="1"/>
    </row>
    <row r="3611" spans="1:6" x14ac:dyDescent="0.25">
      <c r="A3611" s="1"/>
      <c r="C3611" s="1"/>
      <c r="D3611" s="1"/>
      <c r="E3611" s="1"/>
      <c r="F3611" s="1"/>
    </row>
    <row r="3612" spans="1:6" x14ac:dyDescent="0.25">
      <c r="A3612" s="1"/>
      <c r="C3612" s="1"/>
      <c r="D3612" s="1"/>
      <c r="E3612" s="1"/>
      <c r="F3612" s="1"/>
    </row>
    <row r="3613" spans="1:6" x14ac:dyDescent="0.25">
      <c r="A3613" s="1"/>
      <c r="C3613" s="1"/>
      <c r="D3613" s="1"/>
      <c r="E3613" s="1"/>
      <c r="F3613" s="1"/>
    </row>
    <row r="3614" spans="1:6" x14ac:dyDescent="0.25">
      <c r="A3614" s="1"/>
      <c r="C3614" s="1"/>
      <c r="D3614" s="1"/>
      <c r="E3614" s="1"/>
      <c r="F3614" s="1"/>
    </row>
    <row r="3615" spans="1:6" x14ac:dyDescent="0.25">
      <c r="A3615" s="1"/>
      <c r="C3615" s="1"/>
      <c r="D3615" s="1"/>
      <c r="E3615" s="1"/>
      <c r="F3615" s="1"/>
    </row>
    <row r="3616" spans="1:6" x14ac:dyDescent="0.25">
      <c r="A3616" s="1"/>
      <c r="C3616" s="1"/>
      <c r="D3616" s="1"/>
      <c r="E3616" s="1"/>
      <c r="F3616" s="1"/>
    </row>
    <row r="3617" spans="1:6" x14ac:dyDescent="0.25">
      <c r="A3617" s="1"/>
      <c r="C3617" s="1"/>
      <c r="D3617" s="1"/>
      <c r="E3617" s="1"/>
      <c r="F3617" s="1"/>
    </row>
    <row r="3618" spans="1:6" x14ac:dyDescent="0.25">
      <c r="A3618" s="1"/>
      <c r="C3618" s="1"/>
      <c r="D3618" s="1"/>
      <c r="E3618" s="1"/>
      <c r="F3618" s="1"/>
    </row>
    <row r="3619" spans="1:6" x14ac:dyDescent="0.25">
      <c r="A3619" s="1"/>
      <c r="C3619" s="1"/>
      <c r="D3619" s="1"/>
      <c r="E3619" s="1"/>
      <c r="F3619" s="1"/>
    </row>
    <row r="3620" spans="1:6" x14ac:dyDescent="0.25">
      <c r="A3620" s="1"/>
      <c r="C3620" s="1"/>
      <c r="D3620" s="1"/>
      <c r="E3620" s="1"/>
      <c r="F3620" s="1"/>
    </row>
    <row r="3621" spans="1:6" x14ac:dyDescent="0.25">
      <c r="A3621" s="1"/>
      <c r="C3621" s="1"/>
      <c r="D3621" s="1"/>
      <c r="E3621" s="1"/>
      <c r="F3621" s="1"/>
    </row>
    <row r="3622" spans="1:6" x14ac:dyDescent="0.25">
      <c r="A3622" s="1"/>
      <c r="C3622" s="1"/>
      <c r="D3622" s="1"/>
      <c r="E3622" s="1"/>
      <c r="F3622" s="1"/>
    </row>
    <row r="3623" spans="1:6" x14ac:dyDescent="0.25">
      <c r="A3623" s="1"/>
      <c r="C3623" s="1"/>
      <c r="D3623" s="1"/>
      <c r="E3623" s="1"/>
      <c r="F3623" s="1"/>
    </row>
    <row r="3624" spans="1:6" x14ac:dyDescent="0.25">
      <c r="A3624" s="1"/>
      <c r="C3624" s="1"/>
      <c r="D3624" s="1"/>
      <c r="E3624" s="1"/>
      <c r="F3624" s="1"/>
    </row>
    <row r="3625" spans="1:6" x14ac:dyDescent="0.25">
      <c r="A3625" s="1"/>
      <c r="C3625" s="1"/>
      <c r="D3625" s="1"/>
      <c r="E3625" s="1"/>
      <c r="F3625" s="1"/>
    </row>
    <row r="3626" spans="1:6" x14ac:dyDescent="0.25">
      <c r="A3626" s="1"/>
      <c r="C3626" s="1"/>
      <c r="D3626" s="1"/>
      <c r="E3626" s="1"/>
      <c r="F3626" s="1"/>
    </row>
    <row r="3627" spans="1:6" x14ac:dyDescent="0.25">
      <c r="A3627" s="1"/>
      <c r="C3627" s="1"/>
      <c r="D3627" s="1"/>
      <c r="E3627" s="1"/>
      <c r="F3627" s="1"/>
    </row>
    <row r="3628" spans="1:6" x14ac:dyDescent="0.25">
      <c r="A3628" s="1"/>
      <c r="C3628" s="1"/>
      <c r="D3628" s="1"/>
      <c r="E3628" s="1"/>
      <c r="F3628" s="1"/>
    </row>
    <row r="3629" spans="1:6" x14ac:dyDescent="0.25">
      <c r="A3629" s="1"/>
      <c r="C3629" s="1"/>
      <c r="D3629" s="1"/>
      <c r="E3629" s="1"/>
      <c r="F3629" s="1"/>
    </row>
    <row r="3630" spans="1:6" x14ac:dyDescent="0.25">
      <c r="A3630" s="1"/>
      <c r="C3630" s="1"/>
      <c r="D3630" s="1"/>
      <c r="E3630" s="1"/>
      <c r="F3630" s="1"/>
    </row>
    <row r="3631" spans="1:6" x14ac:dyDescent="0.25">
      <c r="A3631" s="1"/>
      <c r="C3631" s="1"/>
      <c r="D3631" s="1"/>
      <c r="E3631" s="1"/>
      <c r="F3631" s="1"/>
    </row>
    <row r="3632" spans="1:6" x14ac:dyDescent="0.25">
      <c r="A3632" s="1"/>
      <c r="C3632" s="1"/>
      <c r="D3632" s="1"/>
      <c r="E3632" s="1"/>
      <c r="F3632" s="1"/>
    </row>
    <row r="3633" spans="1:6" x14ac:dyDescent="0.25">
      <c r="A3633" s="1"/>
      <c r="C3633" s="1"/>
      <c r="D3633" s="1"/>
      <c r="E3633" s="1"/>
      <c r="F3633" s="1"/>
    </row>
    <row r="3634" spans="1:6" x14ac:dyDescent="0.25">
      <c r="A3634" s="1"/>
      <c r="C3634" s="1"/>
      <c r="D3634" s="1"/>
      <c r="E3634" s="1"/>
      <c r="F3634" s="1"/>
    </row>
    <row r="3635" spans="1:6" x14ac:dyDescent="0.25">
      <c r="A3635" s="1"/>
      <c r="C3635" s="1"/>
      <c r="D3635" s="1"/>
      <c r="E3635" s="1"/>
      <c r="F3635" s="1"/>
    </row>
    <row r="3636" spans="1:6" x14ac:dyDescent="0.25">
      <c r="A3636" s="1"/>
      <c r="C3636" s="1"/>
      <c r="D3636" s="1"/>
      <c r="E3636" s="1"/>
      <c r="F3636" s="1"/>
    </row>
    <row r="3637" spans="1:6" x14ac:dyDescent="0.25">
      <c r="A3637" s="1"/>
      <c r="C3637" s="1"/>
      <c r="D3637" s="1"/>
      <c r="E3637" s="1"/>
      <c r="F3637" s="1"/>
    </row>
    <row r="3638" spans="1:6" x14ac:dyDescent="0.25">
      <c r="A3638" s="1"/>
      <c r="C3638" s="1"/>
      <c r="D3638" s="1"/>
      <c r="E3638" s="1"/>
      <c r="F3638" s="1"/>
    </row>
    <row r="3639" spans="1:6" x14ac:dyDescent="0.25">
      <c r="A3639" s="1"/>
      <c r="C3639" s="1"/>
      <c r="D3639" s="1"/>
      <c r="E3639" s="1"/>
      <c r="F3639" s="1"/>
    </row>
    <row r="3640" spans="1:6" x14ac:dyDescent="0.25">
      <c r="A3640" s="1"/>
      <c r="C3640" s="1"/>
      <c r="D3640" s="1"/>
      <c r="E3640" s="1"/>
      <c r="F3640" s="1"/>
    </row>
    <row r="3641" spans="1:6" x14ac:dyDescent="0.25">
      <c r="A3641" s="1"/>
      <c r="C3641" s="1"/>
      <c r="D3641" s="1"/>
      <c r="E3641" s="1"/>
      <c r="F3641" s="1"/>
    </row>
    <row r="3642" spans="1:6" x14ac:dyDescent="0.25">
      <c r="A3642" s="1"/>
      <c r="C3642" s="1"/>
      <c r="D3642" s="1"/>
      <c r="E3642" s="1"/>
      <c r="F3642" s="1"/>
    </row>
    <row r="3643" spans="1:6" x14ac:dyDescent="0.25">
      <c r="A3643" s="1"/>
      <c r="C3643" s="1"/>
      <c r="D3643" s="1"/>
      <c r="E3643" s="1"/>
      <c r="F3643" s="1"/>
    </row>
    <row r="3644" spans="1:6" x14ac:dyDescent="0.25">
      <c r="A3644" s="1"/>
      <c r="C3644" s="1"/>
      <c r="D3644" s="1"/>
      <c r="E3644" s="1"/>
      <c r="F3644" s="1"/>
    </row>
    <row r="3645" spans="1:6" x14ac:dyDescent="0.25">
      <c r="A3645" s="1"/>
      <c r="C3645" s="1"/>
      <c r="D3645" s="1"/>
      <c r="E3645" s="1"/>
      <c r="F3645" s="1"/>
    </row>
    <row r="3646" spans="1:6" x14ac:dyDescent="0.25">
      <c r="A3646" s="1"/>
      <c r="C3646" s="1"/>
      <c r="D3646" s="1"/>
      <c r="E3646" s="1"/>
      <c r="F3646" s="1"/>
    </row>
    <row r="3647" spans="1:6" x14ac:dyDescent="0.25">
      <c r="A3647" s="1"/>
      <c r="C3647" s="1"/>
      <c r="D3647" s="1"/>
      <c r="E3647" s="1"/>
      <c r="F3647" s="1"/>
    </row>
    <row r="3648" spans="1:6" x14ac:dyDescent="0.25">
      <c r="A3648" s="1"/>
      <c r="C3648" s="1"/>
      <c r="D3648" s="1"/>
      <c r="E3648" s="1"/>
      <c r="F3648" s="1"/>
    </row>
    <row r="3649" spans="1:6" x14ac:dyDescent="0.25">
      <c r="A3649" s="1"/>
      <c r="C3649" s="1"/>
      <c r="D3649" s="1"/>
      <c r="E3649" s="1"/>
      <c r="F3649" s="1"/>
    </row>
    <row r="3650" spans="1:6" x14ac:dyDescent="0.25">
      <c r="A3650" s="1"/>
      <c r="C3650" s="1"/>
      <c r="D3650" s="1"/>
      <c r="E3650" s="1"/>
      <c r="F3650" s="1"/>
    </row>
    <row r="3651" spans="1:6" x14ac:dyDescent="0.25">
      <c r="A3651" s="1"/>
      <c r="C3651" s="1"/>
      <c r="D3651" s="1"/>
      <c r="E3651" s="1"/>
      <c r="F3651" s="1"/>
    </row>
    <row r="3652" spans="1:6" x14ac:dyDescent="0.25">
      <c r="A3652" s="1"/>
      <c r="C3652" s="1"/>
      <c r="D3652" s="1"/>
      <c r="E3652" s="1"/>
      <c r="F3652" s="1"/>
    </row>
    <row r="3653" spans="1:6" x14ac:dyDescent="0.25">
      <c r="A3653" s="1"/>
      <c r="C3653" s="1"/>
      <c r="D3653" s="1"/>
      <c r="E3653" s="1"/>
      <c r="F3653" s="1"/>
    </row>
    <row r="3654" spans="1:6" x14ac:dyDescent="0.25">
      <c r="A3654" s="1"/>
      <c r="C3654" s="1"/>
      <c r="D3654" s="1"/>
      <c r="E3654" s="1"/>
      <c r="F3654" s="1"/>
    </row>
    <row r="3655" spans="1:6" x14ac:dyDescent="0.25">
      <c r="A3655" s="1"/>
      <c r="C3655" s="1"/>
      <c r="D3655" s="1"/>
      <c r="E3655" s="1"/>
      <c r="F3655" s="1"/>
    </row>
    <row r="3656" spans="1:6" x14ac:dyDescent="0.25">
      <c r="A3656" s="1"/>
      <c r="C3656" s="1"/>
      <c r="D3656" s="1"/>
      <c r="E3656" s="1"/>
      <c r="F3656" s="1"/>
    </row>
    <row r="3657" spans="1:6" x14ac:dyDescent="0.25">
      <c r="A3657" s="1"/>
      <c r="C3657" s="1"/>
      <c r="D3657" s="1"/>
      <c r="E3657" s="1"/>
      <c r="F3657" s="1"/>
    </row>
    <row r="3658" spans="1:6" x14ac:dyDescent="0.25">
      <c r="A3658" s="1"/>
      <c r="C3658" s="1"/>
      <c r="D3658" s="1"/>
      <c r="E3658" s="1"/>
      <c r="F3658" s="1"/>
    </row>
    <row r="3659" spans="1:6" x14ac:dyDescent="0.25">
      <c r="A3659" s="1"/>
      <c r="C3659" s="1"/>
      <c r="D3659" s="1"/>
      <c r="E3659" s="1"/>
      <c r="F3659" s="1"/>
    </row>
    <row r="3660" spans="1:6" x14ac:dyDescent="0.25">
      <c r="A3660" s="1"/>
      <c r="C3660" s="1"/>
      <c r="D3660" s="1"/>
      <c r="E3660" s="1"/>
      <c r="F3660" s="1"/>
    </row>
    <row r="3661" spans="1:6" x14ac:dyDescent="0.25">
      <c r="A3661" s="1"/>
      <c r="C3661" s="1"/>
      <c r="D3661" s="1"/>
      <c r="E3661" s="1"/>
      <c r="F3661" s="1"/>
    </row>
    <row r="3662" spans="1:6" x14ac:dyDescent="0.25">
      <c r="A3662" s="1"/>
      <c r="C3662" s="1"/>
      <c r="D3662" s="1"/>
      <c r="E3662" s="1"/>
      <c r="F3662" s="1"/>
    </row>
    <row r="3663" spans="1:6" x14ac:dyDescent="0.25">
      <c r="A3663" s="1"/>
      <c r="C3663" s="1"/>
      <c r="D3663" s="1"/>
      <c r="E3663" s="1"/>
      <c r="F3663" s="1"/>
    </row>
    <row r="3664" spans="1:6" x14ac:dyDescent="0.25">
      <c r="A3664" s="1"/>
      <c r="C3664" s="1"/>
      <c r="D3664" s="1"/>
      <c r="E3664" s="1"/>
      <c r="F3664" s="1"/>
    </row>
    <row r="3665" spans="1:6" x14ac:dyDescent="0.25">
      <c r="A3665" s="1"/>
      <c r="C3665" s="1"/>
      <c r="D3665" s="1"/>
      <c r="E3665" s="1"/>
      <c r="F3665" s="1"/>
    </row>
    <row r="3666" spans="1:6" x14ac:dyDescent="0.25">
      <c r="A3666" s="1"/>
      <c r="C3666" s="1"/>
      <c r="D3666" s="1"/>
      <c r="E3666" s="1"/>
      <c r="F3666" s="1"/>
    </row>
    <row r="3667" spans="1:6" x14ac:dyDescent="0.25">
      <c r="A3667" s="1"/>
      <c r="C3667" s="1"/>
      <c r="D3667" s="1"/>
      <c r="E3667" s="1"/>
      <c r="F3667" s="1"/>
    </row>
    <row r="3668" spans="1:6" x14ac:dyDescent="0.25">
      <c r="A3668" s="1"/>
      <c r="C3668" s="1"/>
      <c r="D3668" s="1"/>
      <c r="E3668" s="1"/>
      <c r="F3668" s="1"/>
    </row>
    <row r="3669" spans="1:6" x14ac:dyDescent="0.25">
      <c r="A3669" s="1"/>
      <c r="C3669" s="1"/>
      <c r="D3669" s="1"/>
      <c r="E3669" s="1"/>
      <c r="F3669" s="1"/>
    </row>
    <row r="3670" spans="1:6" x14ac:dyDescent="0.25">
      <c r="A3670" s="1"/>
      <c r="C3670" s="1"/>
      <c r="D3670" s="1"/>
      <c r="E3670" s="1"/>
      <c r="F3670" s="1"/>
    </row>
    <row r="3671" spans="1:6" x14ac:dyDescent="0.25">
      <c r="A3671" s="1"/>
      <c r="C3671" s="1"/>
      <c r="D3671" s="1"/>
      <c r="E3671" s="1"/>
      <c r="F3671" s="1"/>
    </row>
    <row r="3672" spans="1:6" x14ac:dyDescent="0.25">
      <c r="A3672" s="1"/>
      <c r="C3672" s="1"/>
      <c r="D3672" s="1"/>
      <c r="E3672" s="1"/>
      <c r="F3672" s="1"/>
    </row>
    <row r="3673" spans="1:6" x14ac:dyDescent="0.25">
      <c r="A3673" s="1"/>
      <c r="C3673" s="1"/>
      <c r="D3673" s="1"/>
      <c r="E3673" s="1"/>
      <c r="F3673" s="1"/>
    </row>
    <row r="3674" spans="1:6" x14ac:dyDescent="0.25">
      <c r="A3674" s="1"/>
      <c r="C3674" s="1"/>
      <c r="D3674" s="1"/>
      <c r="E3674" s="1"/>
      <c r="F3674" s="1"/>
    </row>
    <row r="3675" spans="1:6" x14ac:dyDescent="0.25">
      <c r="A3675" s="1"/>
      <c r="C3675" s="1"/>
      <c r="D3675" s="1"/>
      <c r="E3675" s="1"/>
      <c r="F3675" s="1"/>
    </row>
    <row r="3676" spans="1:6" x14ac:dyDescent="0.25">
      <c r="A3676" s="1"/>
      <c r="C3676" s="1"/>
      <c r="D3676" s="1"/>
      <c r="E3676" s="1"/>
      <c r="F3676" s="1"/>
    </row>
    <row r="3677" spans="1:6" x14ac:dyDescent="0.25">
      <c r="A3677" s="1"/>
      <c r="C3677" s="1"/>
      <c r="D3677" s="1"/>
      <c r="E3677" s="1"/>
      <c r="F3677" s="1"/>
    </row>
    <row r="3678" spans="1:6" x14ac:dyDescent="0.25">
      <c r="A3678" s="1"/>
      <c r="C3678" s="1"/>
      <c r="D3678" s="1"/>
      <c r="E3678" s="1"/>
      <c r="F3678" s="1"/>
    </row>
    <row r="3679" spans="1:6" x14ac:dyDescent="0.25">
      <c r="A3679" s="1"/>
      <c r="C3679" s="1"/>
      <c r="D3679" s="1"/>
      <c r="E3679" s="1"/>
      <c r="F3679" s="1"/>
    </row>
    <row r="3680" spans="1:6" x14ac:dyDescent="0.25">
      <c r="A3680" s="1"/>
      <c r="C3680" s="1"/>
      <c r="D3680" s="1"/>
      <c r="E3680" s="1"/>
      <c r="F3680" s="1"/>
    </row>
    <row r="3681" spans="1:6" x14ac:dyDescent="0.25">
      <c r="A3681" s="1"/>
      <c r="C3681" s="1"/>
      <c r="D3681" s="1"/>
      <c r="E3681" s="1"/>
      <c r="F3681" s="1"/>
    </row>
    <row r="3682" spans="1:6" x14ac:dyDescent="0.25">
      <c r="A3682" s="1"/>
      <c r="C3682" s="1"/>
      <c r="D3682" s="1"/>
      <c r="E3682" s="1"/>
      <c r="F3682" s="1"/>
    </row>
    <row r="3683" spans="1:6" x14ac:dyDescent="0.25">
      <c r="A3683" s="1"/>
      <c r="C3683" s="1"/>
      <c r="D3683" s="1"/>
      <c r="E3683" s="1"/>
      <c r="F3683" s="1"/>
    </row>
    <row r="3684" spans="1:6" x14ac:dyDescent="0.25">
      <c r="A3684" s="1"/>
      <c r="C3684" s="1"/>
      <c r="D3684" s="1"/>
      <c r="E3684" s="1"/>
      <c r="F3684" s="1"/>
    </row>
    <row r="3685" spans="1:6" x14ac:dyDescent="0.25">
      <c r="A3685" s="1"/>
      <c r="C3685" s="1"/>
      <c r="D3685" s="1"/>
      <c r="E3685" s="1"/>
      <c r="F3685" s="1"/>
    </row>
    <row r="3686" spans="1:6" x14ac:dyDescent="0.25">
      <c r="A3686" s="1"/>
      <c r="C3686" s="1"/>
      <c r="D3686" s="1"/>
      <c r="E3686" s="1"/>
      <c r="F3686" s="1"/>
    </row>
    <row r="3687" spans="1:6" x14ac:dyDescent="0.25">
      <c r="A3687" s="1"/>
      <c r="C3687" s="1"/>
      <c r="D3687" s="1"/>
      <c r="E3687" s="1"/>
      <c r="F3687" s="1"/>
    </row>
    <row r="3688" spans="1:6" x14ac:dyDescent="0.25">
      <c r="A3688" s="1"/>
      <c r="C3688" s="1"/>
      <c r="D3688" s="1"/>
      <c r="E3688" s="1"/>
      <c r="F3688" s="1"/>
    </row>
    <row r="3689" spans="1:6" x14ac:dyDescent="0.25">
      <c r="A3689" s="1"/>
      <c r="C3689" s="1"/>
      <c r="D3689" s="1"/>
      <c r="E3689" s="1"/>
      <c r="F3689" s="1"/>
    </row>
    <row r="3690" spans="1:6" x14ac:dyDescent="0.25">
      <c r="A3690" s="1"/>
      <c r="C3690" s="1"/>
      <c r="D3690" s="1"/>
      <c r="E3690" s="1"/>
      <c r="F3690" s="1"/>
    </row>
    <row r="3691" spans="1:6" x14ac:dyDescent="0.25">
      <c r="A3691" s="1"/>
      <c r="C3691" s="1"/>
      <c r="D3691" s="1"/>
      <c r="E3691" s="1"/>
      <c r="F3691" s="1"/>
    </row>
    <row r="3692" spans="1:6" x14ac:dyDescent="0.25">
      <c r="A3692" s="1"/>
      <c r="C3692" s="1"/>
      <c r="D3692" s="1"/>
      <c r="E3692" s="1"/>
      <c r="F3692" s="1"/>
    </row>
    <row r="3693" spans="1:6" x14ac:dyDescent="0.25">
      <c r="A3693" s="1"/>
      <c r="C3693" s="1"/>
      <c r="D3693" s="1"/>
      <c r="E3693" s="1"/>
      <c r="F3693" s="1"/>
    </row>
    <row r="3694" spans="1:6" x14ac:dyDescent="0.25">
      <c r="A3694" s="1"/>
      <c r="C3694" s="1"/>
      <c r="D3694" s="1"/>
      <c r="E3694" s="1"/>
      <c r="F3694" s="1"/>
    </row>
    <row r="3695" spans="1:6" x14ac:dyDescent="0.25">
      <c r="A3695" s="1"/>
      <c r="C3695" s="1"/>
      <c r="D3695" s="1"/>
      <c r="E3695" s="1"/>
      <c r="F3695" s="1"/>
    </row>
    <row r="3696" spans="1:6" x14ac:dyDescent="0.25">
      <c r="A3696" s="1"/>
      <c r="C3696" s="1"/>
      <c r="D3696" s="1"/>
      <c r="E3696" s="1"/>
      <c r="F3696" s="1"/>
    </row>
    <row r="3697" spans="1:6" x14ac:dyDescent="0.25">
      <c r="A3697" s="1"/>
      <c r="C3697" s="1"/>
      <c r="D3697" s="1"/>
      <c r="E3697" s="1"/>
      <c r="F3697" s="1"/>
    </row>
    <row r="3698" spans="1:6" x14ac:dyDescent="0.25">
      <c r="A3698" s="1"/>
      <c r="C3698" s="1"/>
      <c r="D3698" s="1"/>
      <c r="E3698" s="1"/>
      <c r="F3698" s="1"/>
    </row>
    <row r="3699" spans="1:6" x14ac:dyDescent="0.25">
      <c r="A3699" s="1"/>
      <c r="C3699" s="1"/>
      <c r="D3699" s="1"/>
      <c r="E3699" s="1"/>
      <c r="F3699" s="1"/>
    </row>
    <row r="3700" spans="1:6" x14ac:dyDescent="0.25">
      <c r="A3700" s="1"/>
      <c r="C3700" s="1"/>
      <c r="D3700" s="1"/>
      <c r="E3700" s="1"/>
      <c r="F3700" s="1"/>
    </row>
    <row r="3701" spans="1:6" x14ac:dyDescent="0.25">
      <c r="A3701" s="1"/>
      <c r="C3701" s="1"/>
      <c r="D3701" s="1"/>
      <c r="E3701" s="1"/>
      <c r="F3701" s="1"/>
    </row>
    <row r="3702" spans="1:6" x14ac:dyDescent="0.25">
      <c r="A3702" s="1"/>
      <c r="C3702" s="1"/>
      <c r="D3702" s="1"/>
      <c r="E3702" s="1"/>
      <c r="F3702" s="1"/>
    </row>
    <row r="3703" spans="1:6" x14ac:dyDescent="0.25">
      <c r="A3703" s="1"/>
      <c r="C3703" s="1"/>
      <c r="D3703" s="1"/>
      <c r="E3703" s="1"/>
      <c r="F3703" s="1"/>
    </row>
    <row r="3704" spans="1:6" x14ac:dyDescent="0.25">
      <c r="A3704" s="1"/>
      <c r="C3704" s="1"/>
      <c r="D3704" s="1"/>
      <c r="E3704" s="1"/>
      <c r="F3704" s="1"/>
    </row>
    <row r="3705" spans="1:6" x14ac:dyDescent="0.25">
      <c r="A3705" s="1"/>
      <c r="C3705" s="1"/>
      <c r="D3705" s="1"/>
      <c r="E3705" s="1"/>
      <c r="F3705" s="1"/>
    </row>
    <row r="3706" spans="1:6" x14ac:dyDescent="0.25">
      <c r="A3706" s="1"/>
      <c r="C3706" s="1"/>
      <c r="D3706" s="1"/>
      <c r="E3706" s="1"/>
      <c r="F3706" s="1"/>
    </row>
    <row r="3707" spans="1:6" x14ac:dyDescent="0.25">
      <c r="A3707" s="1"/>
      <c r="C3707" s="1"/>
      <c r="D3707" s="1"/>
      <c r="E3707" s="1"/>
      <c r="F3707" s="1"/>
    </row>
    <row r="3708" spans="1:6" x14ac:dyDescent="0.25">
      <c r="A3708" s="1"/>
      <c r="C3708" s="1"/>
      <c r="D3708" s="1"/>
      <c r="E3708" s="1"/>
      <c r="F3708" s="1"/>
    </row>
    <row r="3709" spans="1:6" x14ac:dyDescent="0.25">
      <c r="A3709" s="1"/>
      <c r="C3709" s="1"/>
      <c r="D3709" s="1"/>
      <c r="E3709" s="1"/>
      <c r="F3709" s="1"/>
    </row>
    <row r="3710" spans="1:6" x14ac:dyDescent="0.25">
      <c r="A3710" s="1"/>
      <c r="C3710" s="1"/>
      <c r="D3710" s="1"/>
      <c r="E3710" s="1"/>
      <c r="F3710" s="1"/>
    </row>
    <row r="3711" spans="1:6" x14ac:dyDescent="0.25">
      <c r="A3711" s="1"/>
      <c r="C3711" s="1"/>
      <c r="D3711" s="1"/>
      <c r="E3711" s="1"/>
      <c r="F3711" s="1"/>
    </row>
    <row r="3712" spans="1:6" x14ac:dyDescent="0.25">
      <c r="A3712" s="1"/>
      <c r="C3712" s="1"/>
      <c r="D3712" s="1"/>
      <c r="E3712" s="1"/>
      <c r="F3712" s="1"/>
    </row>
    <row r="3713" spans="1:6" x14ac:dyDescent="0.25">
      <c r="A3713" s="1"/>
      <c r="C3713" s="1"/>
      <c r="D3713" s="1"/>
      <c r="E3713" s="1"/>
      <c r="F3713" s="1"/>
    </row>
    <row r="3714" spans="1:6" x14ac:dyDescent="0.25">
      <c r="A3714" s="1"/>
      <c r="C3714" s="1"/>
      <c r="D3714" s="1"/>
      <c r="E3714" s="1"/>
      <c r="F3714" s="1"/>
    </row>
    <row r="3715" spans="1:6" x14ac:dyDescent="0.25">
      <c r="A3715" s="1"/>
      <c r="C3715" s="1"/>
      <c r="D3715" s="1"/>
      <c r="E3715" s="1"/>
      <c r="F3715" s="1"/>
    </row>
    <row r="3716" spans="1:6" x14ac:dyDescent="0.25">
      <c r="A3716" s="1"/>
      <c r="C3716" s="1"/>
      <c r="D3716" s="1"/>
      <c r="E3716" s="1"/>
      <c r="F3716" s="1"/>
    </row>
    <row r="3717" spans="1:6" x14ac:dyDescent="0.25">
      <c r="A3717" s="1"/>
      <c r="C3717" s="1"/>
      <c r="D3717" s="1"/>
      <c r="E3717" s="1"/>
      <c r="F3717" s="1"/>
    </row>
    <row r="3718" spans="1:6" x14ac:dyDescent="0.25">
      <c r="A3718" s="1"/>
      <c r="C3718" s="1"/>
      <c r="D3718" s="1"/>
      <c r="E3718" s="1"/>
      <c r="F3718" s="1"/>
    </row>
    <row r="3719" spans="1:6" x14ac:dyDescent="0.25">
      <c r="A3719" s="1"/>
      <c r="C3719" s="1"/>
      <c r="D3719" s="1"/>
      <c r="E3719" s="1"/>
      <c r="F3719" s="1"/>
    </row>
    <row r="3720" spans="1:6" x14ac:dyDescent="0.25">
      <c r="A3720" s="1"/>
      <c r="C3720" s="1"/>
      <c r="D3720" s="1"/>
      <c r="E3720" s="1"/>
      <c r="F3720" s="1"/>
    </row>
    <row r="3721" spans="1:6" x14ac:dyDescent="0.25">
      <c r="A3721" s="1"/>
      <c r="C3721" s="1"/>
      <c r="D3721" s="1"/>
      <c r="E3721" s="1"/>
      <c r="F3721" s="1"/>
    </row>
    <row r="3722" spans="1:6" x14ac:dyDescent="0.25">
      <c r="A3722" s="1"/>
      <c r="C3722" s="1"/>
      <c r="D3722" s="1"/>
      <c r="E3722" s="1"/>
      <c r="F3722" s="1"/>
    </row>
    <row r="3723" spans="1:6" x14ac:dyDescent="0.25">
      <c r="A3723" s="1"/>
      <c r="C3723" s="1"/>
      <c r="D3723" s="1"/>
      <c r="E3723" s="1"/>
      <c r="F3723" s="1"/>
    </row>
    <row r="3724" spans="1:6" x14ac:dyDescent="0.25">
      <c r="A3724" s="1"/>
      <c r="C3724" s="1"/>
      <c r="D3724" s="1"/>
      <c r="E3724" s="1"/>
      <c r="F3724" s="1"/>
    </row>
    <row r="3725" spans="1:6" x14ac:dyDescent="0.25">
      <c r="A3725" s="1"/>
      <c r="C3725" s="1"/>
      <c r="D3725" s="1"/>
      <c r="E3725" s="1"/>
      <c r="F3725" s="1"/>
    </row>
    <row r="3726" spans="1:6" x14ac:dyDescent="0.25">
      <c r="A3726" s="1"/>
      <c r="C3726" s="1"/>
      <c r="D3726" s="1"/>
      <c r="E3726" s="1"/>
      <c r="F3726" s="1"/>
    </row>
    <row r="3727" spans="1:6" x14ac:dyDescent="0.25">
      <c r="A3727" s="1"/>
      <c r="C3727" s="1"/>
      <c r="D3727" s="1"/>
      <c r="E3727" s="1"/>
      <c r="F3727" s="1"/>
    </row>
    <row r="3728" spans="1:6" x14ac:dyDescent="0.25">
      <c r="A3728" s="1"/>
      <c r="C3728" s="1"/>
      <c r="D3728" s="1"/>
      <c r="E3728" s="1"/>
      <c r="F3728" s="1"/>
    </row>
    <row r="3729" spans="1:6" x14ac:dyDescent="0.25">
      <c r="A3729" s="1"/>
      <c r="C3729" s="1"/>
      <c r="D3729" s="1"/>
      <c r="E3729" s="1"/>
      <c r="F3729" s="1"/>
    </row>
    <row r="3730" spans="1:6" x14ac:dyDescent="0.25">
      <c r="A3730" s="1"/>
      <c r="C3730" s="1"/>
      <c r="D3730" s="1"/>
      <c r="E3730" s="1"/>
      <c r="F3730" s="1"/>
    </row>
    <row r="3731" spans="1:6" x14ac:dyDescent="0.25">
      <c r="A3731" s="1"/>
      <c r="C3731" s="1"/>
      <c r="D3731" s="1"/>
      <c r="E3731" s="1"/>
      <c r="F3731" s="1"/>
    </row>
    <row r="3732" spans="1:6" x14ac:dyDescent="0.25">
      <c r="A3732" s="1"/>
      <c r="C3732" s="1"/>
      <c r="D3732" s="1"/>
      <c r="E3732" s="1"/>
      <c r="F3732" s="1"/>
    </row>
    <row r="3733" spans="1:6" x14ac:dyDescent="0.25">
      <c r="A3733" s="1"/>
      <c r="C3733" s="1"/>
      <c r="D3733" s="1"/>
      <c r="E3733" s="1"/>
      <c r="F3733" s="1"/>
    </row>
    <row r="3734" spans="1:6" x14ac:dyDescent="0.25">
      <c r="A3734" s="1"/>
      <c r="C3734" s="1"/>
      <c r="D3734" s="1"/>
      <c r="E3734" s="1"/>
      <c r="F3734" s="1"/>
    </row>
    <row r="3735" spans="1:6" x14ac:dyDescent="0.25">
      <c r="A3735" s="1"/>
      <c r="C3735" s="1"/>
      <c r="D3735" s="1"/>
      <c r="E3735" s="1"/>
      <c r="F3735" s="1"/>
    </row>
    <row r="3736" spans="1:6" x14ac:dyDescent="0.25">
      <c r="A3736" s="1"/>
      <c r="C3736" s="1"/>
      <c r="D3736" s="1"/>
      <c r="E3736" s="1"/>
      <c r="F3736" s="1"/>
    </row>
    <row r="3737" spans="1:6" x14ac:dyDescent="0.25">
      <c r="A3737" s="1"/>
      <c r="C3737" s="1"/>
      <c r="D3737" s="1"/>
      <c r="E3737" s="1"/>
      <c r="F3737" s="1"/>
    </row>
    <row r="3738" spans="1:6" x14ac:dyDescent="0.25">
      <c r="A3738" s="1"/>
      <c r="C3738" s="1"/>
      <c r="D3738" s="1"/>
      <c r="E3738" s="1"/>
      <c r="F3738" s="1"/>
    </row>
    <row r="3739" spans="1:6" x14ac:dyDescent="0.25">
      <c r="A3739" s="1"/>
      <c r="C3739" s="1"/>
      <c r="D3739" s="1"/>
      <c r="E3739" s="1"/>
      <c r="F3739" s="1"/>
    </row>
    <row r="3740" spans="1:6" x14ac:dyDescent="0.25">
      <c r="A3740" s="1"/>
      <c r="C3740" s="1"/>
      <c r="D3740" s="1"/>
      <c r="E3740" s="1"/>
      <c r="F3740" s="1"/>
    </row>
    <row r="3741" spans="1:6" x14ac:dyDescent="0.25">
      <c r="A3741" s="1"/>
      <c r="C3741" s="1"/>
      <c r="D3741" s="1"/>
      <c r="E3741" s="1"/>
      <c r="F3741" s="1"/>
    </row>
    <row r="3742" spans="1:6" x14ac:dyDescent="0.25">
      <c r="A3742" s="1"/>
      <c r="C3742" s="1"/>
      <c r="D3742" s="1"/>
      <c r="E3742" s="1"/>
      <c r="F3742" s="1"/>
    </row>
    <row r="3743" spans="1:6" x14ac:dyDescent="0.25">
      <c r="A3743" s="1"/>
      <c r="C3743" s="1"/>
      <c r="D3743" s="1"/>
      <c r="E3743" s="1"/>
      <c r="F3743" s="1"/>
    </row>
    <row r="3744" spans="1:6" x14ac:dyDescent="0.25">
      <c r="A3744" s="1"/>
      <c r="C3744" s="1"/>
      <c r="D3744" s="1"/>
      <c r="E3744" s="1"/>
      <c r="F3744" s="1"/>
    </row>
    <row r="3745" spans="1:6" x14ac:dyDescent="0.25">
      <c r="A3745" s="1"/>
      <c r="C3745" s="1"/>
      <c r="D3745" s="1"/>
      <c r="E3745" s="1"/>
      <c r="F3745" s="1"/>
    </row>
    <row r="3746" spans="1:6" x14ac:dyDescent="0.25">
      <c r="A3746" s="1"/>
      <c r="C3746" s="1"/>
      <c r="D3746" s="1"/>
      <c r="E3746" s="1"/>
      <c r="F3746" s="1"/>
    </row>
    <row r="3747" spans="1:6" x14ac:dyDescent="0.25">
      <c r="A3747" s="1"/>
      <c r="C3747" s="1"/>
      <c r="D3747" s="1"/>
      <c r="E3747" s="1"/>
      <c r="F3747" s="1"/>
    </row>
    <row r="3748" spans="1:6" x14ac:dyDescent="0.25">
      <c r="A3748" s="1"/>
      <c r="C3748" s="1"/>
      <c r="D3748" s="1"/>
      <c r="E3748" s="1"/>
      <c r="F3748" s="1"/>
    </row>
    <row r="3749" spans="1:6" x14ac:dyDescent="0.25">
      <c r="A3749" s="1"/>
      <c r="C3749" s="1"/>
      <c r="D3749" s="1"/>
      <c r="E3749" s="1"/>
      <c r="F3749" s="1"/>
    </row>
    <row r="3750" spans="1:6" x14ac:dyDescent="0.25">
      <c r="A3750" s="1"/>
      <c r="C3750" s="1"/>
      <c r="D3750" s="1"/>
      <c r="E3750" s="1"/>
      <c r="F3750" s="1"/>
    </row>
    <row r="3751" spans="1:6" x14ac:dyDescent="0.25">
      <c r="A3751" s="1"/>
      <c r="C3751" s="1"/>
      <c r="D3751" s="1"/>
      <c r="E3751" s="1"/>
      <c r="F3751" s="1"/>
    </row>
    <row r="3752" spans="1:6" x14ac:dyDescent="0.25">
      <c r="A3752" s="1"/>
      <c r="C3752" s="1"/>
      <c r="D3752" s="1"/>
      <c r="E3752" s="1"/>
      <c r="F3752" s="1"/>
    </row>
    <row r="3753" spans="1:6" x14ac:dyDescent="0.25">
      <c r="A3753" s="1"/>
      <c r="C3753" s="1"/>
      <c r="D3753" s="1"/>
      <c r="E3753" s="1"/>
      <c r="F3753" s="1"/>
    </row>
    <row r="3754" spans="1:6" x14ac:dyDescent="0.25">
      <c r="A3754" s="1"/>
      <c r="C3754" s="1"/>
      <c r="D3754" s="1"/>
      <c r="E3754" s="1"/>
      <c r="F3754" s="1"/>
    </row>
    <row r="3755" spans="1:6" x14ac:dyDescent="0.25">
      <c r="A3755" s="1"/>
      <c r="C3755" s="1"/>
      <c r="D3755" s="1"/>
      <c r="E3755" s="1"/>
      <c r="F3755" s="1"/>
    </row>
    <row r="3756" spans="1:6" x14ac:dyDescent="0.25">
      <c r="A3756" s="1"/>
      <c r="C3756" s="1"/>
      <c r="D3756" s="1"/>
      <c r="E3756" s="1"/>
      <c r="F3756" s="1"/>
    </row>
    <row r="3757" spans="1:6" x14ac:dyDescent="0.25">
      <c r="A3757" s="1"/>
      <c r="C3757" s="1"/>
      <c r="D3757" s="1"/>
      <c r="E3757" s="1"/>
      <c r="F3757" s="1"/>
    </row>
    <row r="3758" spans="1:6" x14ac:dyDescent="0.25">
      <c r="A3758" s="1"/>
      <c r="C3758" s="1"/>
      <c r="D3758" s="1"/>
      <c r="E3758" s="1"/>
      <c r="F3758" s="1"/>
    </row>
    <row r="3759" spans="1:6" x14ac:dyDescent="0.25">
      <c r="A3759" s="1"/>
      <c r="C3759" s="1"/>
      <c r="D3759" s="1"/>
      <c r="E3759" s="1"/>
      <c r="F3759" s="1"/>
    </row>
    <row r="3760" spans="1:6" x14ac:dyDescent="0.25">
      <c r="A3760" s="1"/>
      <c r="C3760" s="1"/>
      <c r="D3760" s="1"/>
      <c r="E3760" s="1"/>
      <c r="F3760" s="1"/>
    </row>
    <row r="3761" spans="1:6" x14ac:dyDescent="0.25">
      <c r="A3761" s="1"/>
      <c r="C3761" s="1"/>
      <c r="D3761" s="1"/>
      <c r="E3761" s="1"/>
      <c r="F3761" s="1"/>
    </row>
    <row r="3762" spans="1:6" x14ac:dyDescent="0.25">
      <c r="A3762" s="1"/>
      <c r="C3762" s="1"/>
      <c r="D3762" s="1"/>
      <c r="E3762" s="1"/>
      <c r="F3762" s="1"/>
    </row>
    <row r="3763" spans="1:6" x14ac:dyDescent="0.25">
      <c r="A3763" s="1"/>
      <c r="C3763" s="1"/>
      <c r="D3763" s="1"/>
      <c r="E3763" s="1"/>
      <c r="F3763" s="1"/>
    </row>
    <row r="3764" spans="1:6" x14ac:dyDescent="0.25">
      <c r="A3764" s="1"/>
      <c r="C3764" s="1"/>
      <c r="D3764" s="1"/>
      <c r="E3764" s="1"/>
      <c r="F3764" s="1"/>
    </row>
    <row r="3765" spans="1:6" x14ac:dyDescent="0.25">
      <c r="A3765" s="1"/>
      <c r="C3765" s="1"/>
      <c r="D3765" s="1"/>
      <c r="E3765" s="1"/>
      <c r="F3765" s="1"/>
    </row>
    <row r="3766" spans="1:6" x14ac:dyDescent="0.25">
      <c r="A3766" s="1"/>
      <c r="C3766" s="1"/>
      <c r="D3766" s="1"/>
      <c r="E3766" s="1"/>
      <c r="F3766" s="1"/>
    </row>
    <row r="3767" spans="1:6" x14ac:dyDescent="0.25">
      <c r="A3767" s="1"/>
      <c r="C3767" s="1"/>
      <c r="D3767" s="1"/>
      <c r="E3767" s="1"/>
      <c r="F3767" s="1"/>
    </row>
    <row r="3768" spans="1:6" x14ac:dyDescent="0.25">
      <c r="A3768" s="1"/>
      <c r="C3768" s="1"/>
      <c r="D3768" s="1"/>
      <c r="E3768" s="1"/>
      <c r="F3768" s="1"/>
    </row>
    <row r="3769" spans="1:6" x14ac:dyDescent="0.25">
      <c r="A3769" s="1"/>
      <c r="C3769" s="1"/>
      <c r="D3769" s="1"/>
      <c r="E3769" s="1"/>
      <c r="F3769" s="1"/>
    </row>
    <row r="3770" spans="1:6" x14ac:dyDescent="0.25">
      <c r="A3770" s="1"/>
      <c r="C3770" s="1"/>
      <c r="D3770" s="1"/>
      <c r="E3770" s="1"/>
      <c r="F3770" s="1"/>
    </row>
    <row r="3771" spans="1:6" x14ac:dyDescent="0.25">
      <c r="A3771" s="1"/>
      <c r="C3771" s="1"/>
      <c r="D3771" s="1"/>
      <c r="E3771" s="1"/>
      <c r="F3771" s="1"/>
    </row>
    <row r="3772" spans="1:6" x14ac:dyDescent="0.25">
      <c r="A3772" s="1"/>
      <c r="C3772" s="1"/>
      <c r="D3772" s="1"/>
      <c r="E3772" s="1"/>
      <c r="F3772" s="1"/>
    </row>
    <row r="3773" spans="1:6" x14ac:dyDescent="0.25">
      <c r="A3773" s="1"/>
      <c r="C3773" s="1"/>
      <c r="D3773" s="1"/>
      <c r="E3773" s="1"/>
      <c r="F3773" s="1"/>
    </row>
    <row r="3774" spans="1:6" x14ac:dyDescent="0.25">
      <c r="A3774" s="1"/>
      <c r="C3774" s="1"/>
      <c r="D3774" s="1"/>
      <c r="E3774" s="1"/>
      <c r="F3774" s="1"/>
    </row>
    <row r="3775" spans="1:6" x14ac:dyDescent="0.25">
      <c r="A3775" s="1"/>
      <c r="C3775" s="1"/>
      <c r="D3775" s="1"/>
      <c r="E3775" s="1"/>
      <c r="F3775" s="1"/>
    </row>
    <row r="3776" spans="1:6" x14ac:dyDescent="0.25">
      <c r="A3776" s="1"/>
      <c r="C3776" s="1"/>
      <c r="D3776" s="1"/>
      <c r="E3776" s="1"/>
      <c r="F3776" s="1"/>
    </row>
    <row r="3777" spans="1:6" x14ac:dyDescent="0.25">
      <c r="A3777" s="1"/>
      <c r="C3777" s="1"/>
      <c r="D3777" s="1"/>
      <c r="E3777" s="1"/>
      <c r="F3777" s="1"/>
    </row>
    <row r="3778" spans="1:6" x14ac:dyDescent="0.25">
      <c r="A3778" s="1"/>
      <c r="C3778" s="1"/>
      <c r="D3778" s="1"/>
      <c r="E3778" s="1"/>
      <c r="F3778" s="1"/>
    </row>
    <row r="3779" spans="1:6" x14ac:dyDescent="0.25">
      <c r="A3779" s="1"/>
      <c r="C3779" s="1"/>
      <c r="D3779" s="1"/>
      <c r="E3779" s="1"/>
      <c r="F3779" s="1"/>
    </row>
    <row r="3780" spans="1:6" x14ac:dyDescent="0.25">
      <c r="A3780" s="1"/>
      <c r="C3780" s="1"/>
      <c r="D3780" s="1"/>
      <c r="E3780" s="1"/>
      <c r="F3780" s="1"/>
    </row>
    <row r="3781" spans="1:6" x14ac:dyDescent="0.25">
      <c r="A3781" s="1"/>
      <c r="C3781" s="1"/>
      <c r="D3781" s="1"/>
      <c r="E3781" s="1"/>
      <c r="F3781" s="1"/>
    </row>
    <row r="3782" spans="1:6" x14ac:dyDescent="0.25">
      <c r="A3782" s="1"/>
      <c r="C3782" s="1"/>
      <c r="D3782" s="1"/>
      <c r="E3782" s="1"/>
      <c r="F3782" s="1"/>
    </row>
    <row r="3783" spans="1:6" x14ac:dyDescent="0.25">
      <c r="A3783" s="1"/>
      <c r="C3783" s="1"/>
      <c r="D3783" s="1"/>
      <c r="E3783" s="1"/>
      <c r="F3783" s="1"/>
    </row>
    <row r="3784" spans="1:6" x14ac:dyDescent="0.25">
      <c r="A3784" s="1"/>
      <c r="C3784" s="1"/>
      <c r="D3784" s="1"/>
      <c r="E3784" s="1"/>
      <c r="F3784" s="1"/>
    </row>
    <row r="3785" spans="1:6" x14ac:dyDescent="0.25">
      <c r="A3785" s="1"/>
      <c r="C3785" s="1"/>
      <c r="D3785" s="1"/>
      <c r="E3785" s="1"/>
      <c r="F3785" s="1"/>
    </row>
    <row r="3786" spans="1:6" x14ac:dyDescent="0.25">
      <c r="A3786" s="1"/>
      <c r="C3786" s="1"/>
      <c r="D3786" s="1"/>
      <c r="E3786" s="1"/>
      <c r="F3786" s="1"/>
    </row>
    <row r="3787" spans="1:6" x14ac:dyDescent="0.25">
      <c r="A3787" s="1"/>
      <c r="C3787" s="1"/>
      <c r="D3787" s="1"/>
      <c r="E3787" s="1"/>
      <c r="F3787" s="1"/>
    </row>
    <row r="3788" spans="1:6" x14ac:dyDescent="0.25">
      <c r="A3788" s="1"/>
      <c r="C3788" s="1"/>
      <c r="D3788" s="1"/>
      <c r="E3788" s="1"/>
      <c r="F3788" s="1"/>
    </row>
    <row r="3789" spans="1:6" x14ac:dyDescent="0.25">
      <c r="A3789" s="1"/>
      <c r="C3789" s="1"/>
      <c r="D3789" s="1"/>
      <c r="E3789" s="1"/>
      <c r="F3789" s="1"/>
    </row>
    <row r="3790" spans="1:6" x14ac:dyDescent="0.25">
      <c r="A3790" s="1"/>
      <c r="C3790" s="1"/>
      <c r="D3790" s="1"/>
      <c r="E3790" s="1"/>
      <c r="F3790" s="1"/>
    </row>
    <row r="3791" spans="1:6" x14ac:dyDescent="0.25">
      <c r="A3791" s="1"/>
      <c r="C3791" s="1"/>
      <c r="D3791" s="1"/>
      <c r="E3791" s="1"/>
      <c r="F3791" s="1"/>
    </row>
    <row r="3792" spans="1:6" x14ac:dyDescent="0.25">
      <c r="A3792" s="1"/>
      <c r="C3792" s="1"/>
      <c r="D3792" s="1"/>
      <c r="E3792" s="1"/>
      <c r="F3792" s="1"/>
    </row>
    <row r="3793" spans="1:6" x14ac:dyDescent="0.25">
      <c r="A3793" s="1"/>
      <c r="C3793" s="1"/>
      <c r="D3793" s="1"/>
      <c r="E3793" s="1"/>
      <c r="F3793" s="1"/>
    </row>
    <row r="3794" spans="1:6" x14ac:dyDescent="0.25">
      <c r="A3794" s="1"/>
      <c r="C3794" s="1"/>
      <c r="D3794" s="1"/>
      <c r="E3794" s="1"/>
      <c r="F3794" s="1"/>
    </row>
    <row r="3795" spans="1:6" x14ac:dyDescent="0.25">
      <c r="A3795" s="1"/>
      <c r="C3795" s="1"/>
      <c r="D3795" s="1"/>
      <c r="E3795" s="1"/>
      <c r="F3795" s="1"/>
    </row>
    <row r="3796" spans="1:6" x14ac:dyDescent="0.25">
      <c r="A3796" s="1"/>
      <c r="C3796" s="1"/>
      <c r="D3796" s="1"/>
      <c r="E3796" s="1"/>
      <c r="F3796" s="1"/>
    </row>
    <row r="3797" spans="1:6" x14ac:dyDescent="0.25">
      <c r="A3797" s="1"/>
      <c r="C3797" s="1"/>
      <c r="D3797" s="1"/>
      <c r="E3797" s="1"/>
      <c r="F3797" s="1"/>
    </row>
    <row r="3798" spans="1:6" x14ac:dyDescent="0.25">
      <c r="A3798" s="1"/>
      <c r="C3798" s="1"/>
      <c r="D3798" s="1"/>
      <c r="E3798" s="1"/>
      <c r="F3798" s="1"/>
    </row>
    <row r="3799" spans="1:6" x14ac:dyDescent="0.25">
      <c r="A3799" s="1"/>
      <c r="C3799" s="1"/>
      <c r="D3799" s="1"/>
      <c r="E3799" s="1"/>
      <c r="F3799" s="1"/>
    </row>
    <row r="3800" spans="1:6" x14ac:dyDescent="0.25">
      <c r="A3800" s="1"/>
      <c r="C3800" s="1"/>
      <c r="D3800" s="1"/>
      <c r="E3800" s="1"/>
      <c r="F3800" s="1"/>
    </row>
    <row r="3801" spans="1:6" x14ac:dyDescent="0.25">
      <c r="A3801" s="1"/>
      <c r="C3801" s="1"/>
      <c r="D3801" s="1"/>
      <c r="E3801" s="1"/>
      <c r="F3801" s="1"/>
    </row>
    <row r="3802" spans="1:6" x14ac:dyDescent="0.25">
      <c r="A3802" s="1"/>
      <c r="C3802" s="1"/>
      <c r="D3802" s="1"/>
      <c r="E3802" s="1"/>
      <c r="F3802" s="1"/>
    </row>
    <row r="3803" spans="1:6" x14ac:dyDescent="0.25">
      <c r="A3803" s="1"/>
      <c r="C3803" s="1"/>
      <c r="D3803" s="1"/>
      <c r="E3803" s="1"/>
      <c r="F3803" s="1"/>
    </row>
    <row r="3804" spans="1:6" x14ac:dyDescent="0.25">
      <c r="A3804" s="1"/>
      <c r="C3804" s="1"/>
      <c r="D3804" s="1"/>
      <c r="E3804" s="1"/>
      <c r="F3804" s="1"/>
    </row>
    <row r="3805" spans="1:6" x14ac:dyDescent="0.25">
      <c r="A3805" s="1"/>
      <c r="C3805" s="1"/>
      <c r="D3805" s="1"/>
      <c r="E3805" s="1"/>
      <c r="F3805" s="1"/>
    </row>
    <row r="3806" spans="1:6" x14ac:dyDescent="0.25">
      <c r="A3806" s="1"/>
      <c r="C3806" s="1"/>
      <c r="D3806" s="1"/>
      <c r="E3806" s="1"/>
      <c r="F3806" s="1"/>
    </row>
    <row r="3807" spans="1:6" x14ac:dyDescent="0.25">
      <c r="A3807" s="1"/>
      <c r="C3807" s="1"/>
      <c r="D3807" s="1"/>
      <c r="E3807" s="1"/>
      <c r="F3807" s="1"/>
    </row>
    <row r="3808" spans="1:6" x14ac:dyDescent="0.25">
      <c r="A3808" s="1"/>
      <c r="C3808" s="1"/>
      <c r="D3808" s="1"/>
      <c r="E3808" s="1"/>
      <c r="F3808" s="1"/>
    </row>
    <row r="3809" spans="1:6" x14ac:dyDescent="0.25">
      <c r="A3809" s="1"/>
      <c r="C3809" s="1"/>
      <c r="D3809" s="1"/>
      <c r="E3809" s="1"/>
      <c r="F3809" s="1"/>
    </row>
    <row r="3810" spans="1:6" x14ac:dyDescent="0.25">
      <c r="A3810" s="1"/>
      <c r="C3810" s="1"/>
      <c r="D3810" s="1"/>
      <c r="E3810" s="1"/>
      <c r="F3810" s="1"/>
    </row>
    <row r="3811" spans="1:6" x14ac:dyDescent="0.25">
      <c r="A3811" s="1"/>
      <c r="C3811" s="1"/>
      <c r="D3811" s="1"/>
      <c r="E3811" s="1"/>
      <c r="F3811" s="1"/>
    </row>
    <row r="3812" spans="1:6" x14ac:dyDescent="0.25">
      <c r="A3812" s="1"/>
      <c r="C3812" s="1"/>
      <c r="D3812" s="1"/>
      <c r="E3812" s="1"/>
      <c r="F3812" s="1"/>
    </row>
    <row r="3813" spans="1:6" x14ac:dyDescent="0.25">
      <c r="A3813" s="1"/>
      <c r="C3813" s="1"/>
      <c r="D3813" s="1"/>
      <c r="E3813" s="1"/>
      <c r="F3813" s="1"/>
    </row>
    <row r="3814" spans="1:6" x14ac:dyDescent="0.25">
      <c r="A3814" s="1"/>
      <c r="C3814" s="1"/>
      <c r="D3814" s="1"/>
      <c r="E3814" s="1"/>
      <c r="F3814" s="1"/>
    </row>
    <row r="3815" spans="1:6" x14ac:dyDescent="0.25">
      <c r="A3815" s="1"/>
      <c r="C3815" s="1"/>
      <c r="D3815" s="1"/>
      <c r="E3815" s="1"/>
      <c r="F3815" s="1"/>
    </row>
    <row r="3816" spans="1:6" x14ac:dyDescent="0.25">
      <c r="A3816" s="1"/>
      <c r="C3816" s="1"/>
      <c r="D3816" s="1"/>
      <c r="E3816" s="1"/>
      <c r="F3816" s="1"/>
    </row>
    <row r="3817" spans="1:6" x14ac:dyDescent="0.25">
      <c r="A3817" s="1"/>
      <c r="C3817" s="1"/>
      <c r="D3817" s="1"/>
      <c r="E3817" s="1"/>
      <c r="F3817" s="1"/>
    </row>
    <row r="3818" spans="1:6" x14ac:dyDescent="0.25">
      <c r="A3818" s="1"/>
      <c r="C3818" s="1"/>
      <c r="D3818" s="1"/>
      <c r="E3818" s="1"/>
      <c r="F3818" s="1"/>
    </row>
    <row r="3819" spans="1:6" x14ac:dyDescent="0.25">
      <c r="A3819" s="1"/>
      <c r="C3819" s="1"/>
      <c r="D3819" s="1"/>
      <c r="E3819" s="1"/>
      <c r="F3819" s="1"/>
    </row>
    <row r="3820" spans="1:6" x14ac:dyDescent="0.25">
      <c r="A3820" s="1"/>
      <c r="C3820" s="1"/>
      <c r="D3820" s="1"/>
      <c r="E3820" s="1"/>
      <c r="F3820" s="1"/>
    </row>
    <row r="3821" spans="1:6" x14ac:dyDescent="0.25">
      <c r="A3821" s="1"/>
      <c r="C3821" s="1"/>
      <c r="D3821" s="1"/>
      <c r="E3821" s="1"/>
      <c r="F3821" s="1"/>
    </row>
    <row r="3822" spans="1:6" x14ac:dyDescent="0.25">
      <c r="A3822" s="1"/>
      <c r="C3822" s="1"/>
      <c r="D3822" s="1"/>
      <c r="E3822" s="1"/>
      <c r="F3822" s="1"/>
    </row>
    <row r="3823" spans="1:6" x14ac:dyDescent="0.25">
      <c r="A3823" s="1"/>
      <c r="C3823" s="1"/>
      <c r="D3823" s="1"/>
      <c r="E3823" s="1"/>
      <c r="F3823" s="1"/>
    </row>
    <row r="3824" spans="1:6" x14ac:dyDescent="0.25">
      <c r="A3824" s="1"/>
      <c r="C3824" s="1"/>
      <c r="D3824" s="1"/>
      <c r="E3824" s="1"/>
      <c r="F3824" s="1"/>
    </row>
    <row r="3825" spans="1:6" x14ac:dyDescent="0.25">
      <c r="A3825" s="1"/>
      <c r="C3825" s="1"/>
      <c r="D3825" s="1"/>
      <c r="E3825" s="1"/>
      <c r="F3825" s="1"/>
    </row>
    <row r="3826" spans="1:6" x14ac:dyDescent="0.25">
      <c r="A3826" s="1"/>
      <c r="C3826" s="1"/>
      <c r="D3826" s="1"/>
      <c r="E3826" s="1"/>
      <c r="F3826" s="1"/>
    </row>
    <row r="3827" spans="1:6" x14ac:dyDescent="0.25">
      <c r="A3827" s="1"/>
      <c r="C3827" s="1"/>
      <c r="D3827" s="1"/>
      <c r="E3827" s="1"/>
      <c r="F3827" s="1"/>
    </row>
    <row r="3828" spans="1:6" x14ac:dyDescent="0.25">
      <c r="A3828" s="1"/>
      <c r="C3828" s="1"/>
      <c r="D3828" s="1"/>
      <c r="E3828" s="1"/>
      <c r="F3828" s="1"/>
    </row>
    <row r="3829" spans="1:6" x14ac:dyDescent="0.25">
      <c r="A3829" s="1"/>
      <c r="C3829" s="1"/>
      <c r="D3829" s="1"/>
      <c r="E3829" s="1"/>
      <c r="F3829" s="1"/>
    </row>
    <row r="3830" spans="1:6" x14ac:dyDescent="0.25">
      <c r="A3830" s="1"/>
      <c r="C3830" s="1"/>
      <c r="D3830" s="1"/>
      <c r="E3830" s="1"/>
      <c r="F3830" s="1"/>
    </row>
    <row r="3831" spans="1:6" x14ac:dyDescent="0.25">
      <c r="A3831" s="1"/>
      <c r="C3831" s="1"/>
      <c r="D3831" s="1"/>
      <c r="E3831" s="1"/>
      <c r="F3831" s="1"/>
    </row>
    <row r="3832" spans="1:6" x14ac:dyDescent="0.25">
      <c r="A3832" s="1"/>
      <c r="C3832" s="1"/>
      <c r="D3832" s="1"/>
      <c r="E3832" s="1"/>
      <c r="F3832" s="1"/>
    </row>
    <row r="3833" spans="1:6" x14ac:dyDescent="0.25">
      <c r="A3833" s="1"/>
      <c r="C3833" s="1"/>
      <c r="D3833" s="1"/>
      <c r="E3833" s="1"/>
      <c r="F3833" s="1"/>
    </row>
    <row r="3834" spans="1:6" x14ac:dyDescent="0.25">
      <c r="A3834" s="1"/>
      <c r="C3834" s="1"/>
      <c r="D3834" s="1"/>
      <c r="E3834" s="1"/>
      <c r="F3834" s="1"/>
    </row>
    <row r="3835" spans="1:6" x14ac:dyDescent="0.25">
      <c r="A3835" s="1"/>
      <c r="C3835" s="1"/>
      <c r="D3835" s="1"/>
      <c r="E3835" s="1"/>
      <c r="F3835" s="1"/>
    </row>
    <row r="3836" spans="1:6" x14ac:dyDescent="0.25">
      <c r="A3836" s="1"/>
      <c r="C3836" s="1"/>
      <c r="D3836" s="1"/>
      <c r="E3836" s="1"/>
      <c r="F3836" s="1"/>
    </row>
    <row r="3837" spans="1:6" x14ac:dyDescent="0.25">
      <c r="A3837" s="1"/>
      <c r="C3837" s="1"/>
      <c r="D3837" s="1"/>
      <c r="E3837" s="1"/>
      <c r="F3837" s="1"/>
    </row>
    <row r="3838" spans="1:6" x14ac:dyDescent="0.25">
      <c r="A3838" s="1"/>
      <c r="C3838" s="1"/>
      <c r="D3838" s="1"/>
      <c r="E3838" s="1"/>
      <c r="F3838" s="1"/>
    </row>
    <row r="3839" spans="1:6" x14ac:dyDescent="0.25">
      <c r="A3839" s="1"/>
      <c r="C3839" s="1"/>
      <c r="D3839" s="1"/>
      <c r="E3839" s="1"/>
      <c r="F3839" s="1"/>
    </row>
    <row r="3840" spans="1:6" x14ac:dyDescent="0.25">
      <c r="A3840" s="1"/>
      <c r="C3840" s="1"/>
      <c r="D3840" s="1"/>
      <c r="E3840" s="1"/>
      <c r="F3840" s="1"/>
    </row>
    <row r="3841" spans="1:6" x14ac:dyDescent="0.25">
      <c r="A3841" s="1"/>
      <c r="C3841" s="1"/>
      <c r="D3841" s="1"/>
      <c r="E3841" s="1"/>
      <c r="F3841" s="1"/>
    </row>
    <row r="3842" spans="1:6" x14ac:dyDescent="0.25">
      <c r="A3842" s="1"/>
      <c r="C3842" s="1"/>
      <c r="D3842" s="1"/>
      <c r="E3842" s="1"/>
      <c r="F3842" s="1"/>
    </row>
    <row r="3843" spans="1:6" x14ac:dyDescent="0.25">
      <c r="A3843" s="1"/>
      <c r="C3843" s="1"/>
      <c r="D3843" s="1"/>
      <c r="E3843" s="1"/>
      <c r="F3843" s="1"/>
    </row>
    <row r="3844" spans="1:6" x14ac:dyDescent="0.25">
      <c r="A3844" s="1"/>
      <c r="C3844" s="1"/>
      <c r="D3844" s="1"/>
      <c r="E3844" s="1"/>
      <c r="F3844" s="1"/>
    </row>
    <row r="3845" spans="1:6" x14ac:dyDescent="0.25">
      <c r="A3845" s="1"/>
      <c r="C3845" s="1"/>
      <c r="D3845" s="1"/>
      <c r="E3845" s="1"/>
      <c r="F3845" s="1"/>
    </row>
    <row r="3846" spans="1:6" x14ac:dyDescent="0.25">
      <c r="A3846" s="1"/>
      <c r="C3846" s="1"/>
      <c r="D3846" s="1"/>
      <c r="E3846" s="1"/>
      <c r="F3846" s="1"/>
    </row>
    <row r="3847" spans="1:6" x14ac:dyDescent="0.25">
      <c r="A3847" s="1"/>
      <c r="C3847" s="1"/>
      <c r="D3847" s="1"/>
      <c r="E3847" s="1"/>
      <c r="F3847" s="1"/>
    </row>
    <row r="3848" spans="1:6" x14ac:dyDescent="0.25">
      <c r="A3848" s="1"/>
      <c r="C3848" s="1"/>
      <c r="D3848" s="1"/>
      <c r="E3848" s="1"/>
      <c r="F3848" s="1"/>
    </row>
    <row r="3849" spans="1:6" x14ac:dyDescent="0.25">
      <c r="A3849" s="1"/>
      <c r="C3849" s="1"/>
      <c r="D3849" s="1"/>
      <c r="E3849" s="1"/>
      <c r="F3849" s="1"/>
    </row>
    <row r="3850" spans="1:6" x14ac:dyDescent="0.25">
      <c r="A3850" s="1"/>
      <c r="C3850" s="1"/>
      <c r="D3850" s="1"/>
      <c r="E3850" s="1"/>
      <c r="F3850" s="1"/>
    </row>
    <row r="3851" spans="1:6" x14ac:dyDescent="0.25">
      <c r="A3851" s="1"/>
      <c r="C3851" s="1"/>
      <c r="D3851" s="1"/>
      <c r="E3851" s="1"/>
      <c r="F3851" s="1"/>
    </row>
    <row r="3852" spans="1:6" x14ac:dyDescent="0.25">
      <c r="A3852" s="1"/>
      <c r="C3852" s="1"/>
      <c r="D3852" s="1"/>
      <c r="E3852" s="1"/>
      <c r="F3852" s="1"/>
    </row>
    <row r="3853" spans="1:6" x14ac:dyDescent="0.25">
      <c r="A3853" s="1"/>
      <c r="C3853" s="1"/>
      <c r="D3853" s="1"/>
      <c r="E3853" s="1"/>
      <c r="F3853" s="1"/>
    </row>
    <row r="3854" spans="1:6" x14ac:dyDescent="0.25">
      <c r="A3854" s="1"/>
      <c r="C3854" s="1"/>
      <c r="D3854" s="1"/>
      <c r="E3854" s="1"/>
      <c r="F3854" s="1"/>
    </row>
    <row r="3855" spans="1:6" x14ac:dyDescent="0.25">
      <c r="A3855" s="1"/>
      <c r="C3855" s="1"/>
      <c r="D3855" s="1"/>
      <c r="E3855" s="1"/>
      <c r="F3855" s="1"/>
    </row>
    <row r="3856" spans="1:6" x14ac:dyDescent="0.25">
      <c r="A3856" s="1"/>
      <c r="C3856" s="1"/>
      <c r="D3856" s="1"/>
      <c r="E3856" s="1"/>
      <c r="F3856" s="1"/>
    </row>
    <row r="3857" spans="1:6" x14ac:dyDescent="0.25">
      <c r="A3857" s="1"/>
      <c r="C3857" s="1"/>
      <c r="D3857" s="1"/>
      <c r="E3857" s="1"/>
      <c r="F3857" s="1"/>
    </row>
    <row r="3858" spans="1:6" x14ac:dyDescent="0.25">
      <c r="A3858" s="1"/>
      <c r="C3858" s="1"/>
      <c r="D3858" s="1"/>
      <c r="E3858" s="1"/>
      <c r="F3858" s="1"/>
    </row>
    <row r="3859" spans="1:6" x14ac:dyDescent="0.25">
      <c r="A3859" s="1"/>
      <c r="C3859" s="1"/>
      <c r="D3859" s="1"/>
      <c r="E3859" s="1"/>
      <c r="F3859" s="1"/>
    </row>
    <row r="3860" spans="1:6" x14ac:dyDescent="0.25">
      <c r="A3860" s="1"/>
      <c r="C3860" s="1"/>
      <c r="D3860" s="1"/>
      <c r="E3860" s="1"/>
      <c r="F3860" s="1"/>
    </row>
    <row r="3861" spans="1:6" x14ac:dyDescent="0.25">
      <c r="A3861" s="1"/>
      <c r="C3861" s="1"/>
      <c r="D3861" s="1"/>
      <c r="E3861" s="1"/>
      <c r="F3861" s="1"/>
    </row>
    <row r="3862" spans="1:6" x14ac:dyDescent="0.25">
      <c r="A3862" s="1"/>
      <c r="C3862" s="1"/>
      <c r="D3862" s="1"/>
      <c r="E3862" s="1"/>
      <c r="F3862" s="1"/>
    </row>
    <row r="3863" spans="1:6" x14ac:dyDescent="0.25">
      <c r="A3863" s="1"/>
      <c r="C3863" s="1"/>
      <c r="D3863" s="1"/>
      <c r="E3863" s="1"/>
      <c r="F3863" s="1"/>
    </row>
    <row r="3864" spans="1:6" x14ac:dyDescent="0.25">
      <c r="A3864" s="1"/>
      <c r="C3864" s="1"/>
      <c r="D3864" s="1"/>
      <c r="E3864" s="1"/>
      <c r="F3864" s="1"/>
    </row>
    <row r="3865" spans="1:6" x14ac:dyDescent="0.25">
      <c r="A3865" s="1"/>
      <c r="C3865" s="1"/>
      <c r="D3865" s="1"/>
      <c r="E3865" s="1"/>
      <c r="F3865" s="1"/>
    </row>
    <row r="3866" spans="1:6" x14ac:dyDescent="0.25">
      <c r="A3866" s="1"/>
      <c r="C3866" s="1"/>
      <c r="D3866" s="1"/>
      <c r="E3866" s="1"/>
      <c r="F3866" s="1"/>
    </row>
    <row r="3867" spans="1:6" x14ac:dyDescent="0.25">
      <c r="A3867" s="1"/>
      <c r="C3867" s="1"/>
      <c r="D3867" s="1"/>
      <c r="E3867" s="1"/>
      <c r="F3867" s="1"/>
    </row>
    <row r="3868" spans="1:6" x14ac:dyDescent="0.25">
      <c r="A3868" s="1"/>
      <c r="C3868" s="1"/>
      <c r="D3868" s="1"/>
      <c r="E3868" s="1"/>
      <c r="F3868" s="1"/>
    </row>
    <row r="3869" spans="1:6" x14ac:dyDescent="0.25">
      <c r="A3869" s="1"/>
      <c r="C3869" s="1"/>
      <c r="D3869" s="1"/>
      <c r="E3869" s="1"/>
      <c r="F3869" s="1"/>
    </row>
    <row r="3870" spans="1:6" x14ac:dyDescent="0.25">
      <c r="A3870" s="1"/>
      <c r="C3870" s="1"/>
      <c r="D3870" s="1"/>
      <c r="E3870" s="1"/>
      <c r="F3870" s="1"/>
    </row>
    <row r="3871" spans="1:6" x14ac:dyDescent="0.25">
      <c r="A3871" s="1"/>
      <c r="C3871" s="1"/>
      <c r="D3871" s="1"/>
      <c r="E3871" s="1"/>
      <c r="F3871" s="1"/>
    </row>
    <row r="3872" spans="1:6" x14ac:dyDescent="0.25">
      <c r="A3872" s="1"/>
      <c r="C3872" s="1"/>
      <c r="D3872" s="1"/>
      <c r="E3872" s="1"/>
      <c r="F3872" s="1"/>
    </row>
    <row r="3873" spans="1:6" x14ac:dyDescent="0.25">
      <c r="A3873" s="1"/>
      <c r="C3873" s="1"/>
      <c r="D3873" s="1"/>
      <c r="E3873" s="1"/>
      <c r="F3873" s="1"/>
    </row>
    <row r="3874" spans="1:6" x14ac:dyDescent="0.25">
      <c r="A3874" s="1"/>
      <c r="C3874" s="1"/>
      <c r="D3874" s="1"/>
      <c r="E3874" s="1"/>
      <c r="F3874" s="1"/>
    </row>
    <row r="3875" spans="1:6" x14ac:dyDescent="0.25">
      <c r="A3875" s="1"/>
      <c r="C3875" s="1"/>
      <c r="D3875" s="1"/>
      <c r="E3875" s="1"/>
      <c r="F3875" s="1"/>
    </row>
    <row r="3876" spans="1:6" x14ac:dyDescent="0.25">
      <c r="A3876" s="1"/>
      <c r="C3876" s="1"/>
      <c r="D3876" s="1"/>
      <c r="E3876" s="1"/>
      <c r="F3876" s="1"/>
    </row>
    <row r="3877" spans="1:6" x14ac:dyDescent="0.25">
      <c r="A3877" s="1"/>
      <c r="C3877" s="1"/>
      <c r="D3877" s="1"/>
      <c r="E3877" s="1"/>
      <c r="F3877" s="1"/>
    </row>
    <row r="3878" spans="1:6" x14ac:dyDescent="0.25">
      <c r="A3878" s="1"/>
      <c r="C3878" s="1"/>
      <c r="D3878" s="1"/>
      <c r="E3878" s="1"/>
      <c r="F3878" s="1"/>
    </row>
    <row r="3879" spans="1:6" x14ac:dyDescent="0.25">
      <c r="A3879" s="1"/>
      <c r="C3879" s="1"/>
      <c r="D3879" s="1"/>
      <c r="E3879" s="1"/>
      <c r="F3879" s="1"/>
    </row>
    <row r="3880" spans="1:6" x14ac:dyDescent="0.25">
      <c r="A3880" s="1"/>
      <c r="C3880" s="1"/>
      <c r="D3880" s="1"/>
      <c r="E3880" s="1"/>
      <c r="F3880" s="1"/>
    </row>
    <row r="3881" spans="1:6" x14ac:dyDescent="0.25">
      <c r="A3881" s="1"/>
      <c r="C3881" s="1"/>
      <c r="D3881" s="1"/>
      <c r="E3881" s="1"/>
      <c r="F3881" s="1"/>
    </row>
    <row r="3882" spans="1:6" x14ac:dyDescent="0.25">
      <c r="A3882" s="1"/>
      <c r="C3882" s="1"/>
      <c r="D3882" s="1"/>
      <c r="E3882" s="1"/>
      <c r="F3882" s="1"/>
    </row>
    <row r="3883" spans="1:6" x14ac:dyDescent="0.25">
      <c r="A3883" s="1"/>
      <c r="C3883" s="1"/>
      <c r="D3883" s="1"/>
      <c r="E3883" s="1"/>
      <c r="F3883" s="1"/>
    </row>
    <row r="3884" spans="1:6" x14ac:dyDescent="0.25">
      <c r="A3884" s="1"/>
      <c r="C3884" s="1"/>
      <c r="D3884" s="1"/>
      <c r="E3884" s="1"/>
      <c r="F3884" s="1"/>
    </row>
    <row r="3885" spans="1:6" x14ac:dyDescent="0.25">
      <c r="A3885" s="1"/>
      <c r="C3885" s="1"/>
      <c r="D3885" s="1"/>
      <c r="E3885" s="1"/>
      <c r="F3885" s="1"/>
    </row>
    <row r="3886" spans="1:6" x14ac:dyDescent="0.25">
      <c r="A3886" s="1"/>
      <c r="C3886" s="1"/>
      <c r="D3886" s="1"/>
      <c r="E3886" s="1"/>
      <c r="F3886" s="1"/>
    </row>
    <row r="3887" spans="1:6" x14ac:dyDescent="0.25">
      <c r="A3887" s="1"/>
      <c r="C3887" s="1"/>
      <c r="D3887" s="1"/>
      <c r="E3887" s="1"/>
      <c r="F3887" s="1"/>
    </row>
    <row r="3888" spans="1:6" x14ac:dyDescent="0.25">
      <c r="A3888" s="1"/>
      <c r="C3888" s="1"/>
      <c r="D3888" s="1"/>
      <c r="E3888" s="1"/>
      <c r="F3888" s="1"/>
    </row>
    <row r="3889" spans="1:6" x14ac:dyDescent="0.25">
      <c r="A3889" s="1"/>
      <c r="C3889" s="1"/>
      <c r="D3889" s="1"/>
      <c r="E3889" s="1"/>
      <c r="F3889" s="1"/>
    </row>
    <row r="3890" spans="1:6" x14ac:dyDescent="0.25">
      <c r="A3890" s="1"/>
      <c r="C3890" s="1"/>
      <c r="D3890" s="1"/>
      <c r="E3890" s="1"/>
      <c r="F3890" s="1"/>
    </row>
    <row r="3891" spans="1:6" x14ac:dyDescent="0.25">
      <c r="A3891" s="1"/>
      <c r="C3891" s="1"/>
      <c r="D3891" s="1"/>
      <c r="E3891" s="1"/>
      <c r="F3891" s="1"/>
    </row>
    <row r="3892" spans="1:6" x14ac:dyDescent="0.25">
      <c r="A3892" s="1"/>
      <c r="C3892" s="1"/>
      <c r="D3892" s="1"/>
      <c r="E3892" s="1"/>
      <c r="F3892" s="1"/>
    </row>
    <row r="3893" spans="1:6" x14ac:dyDescent="0.25">
      <c r="A3893" s="1"/>
      <c r="C3893" s="1"/>
      <c r="D3893" s="1"/>
      <c r="E3893" s="1"/>
      <c r="F3893" s="1"/>
    </row>
    <row r="3894" spans="1:6" x14ac:dyDescent="0.25">
      <c r="A3894" s="1"/>
      <c r="C3894" s="1"/>
      <c r="D3894" s="1"/>
      <c r="E3894" s="1"/>
      <c r="F3894" s="1"/>
    </row>
    <row r="3895" spans="1:6" x14ac:dyDescent="0.25">
      <c r="A3895" s="1"/>
      <c r="C3895" s="1"/>
      <c r="D3895" s="1"/>
      <c r="E3895" s="1"/>
      <c r="F3895" s="1"/>
    </row>
    <row r="3896" spans="1:6" x14ac:dyDescent="0.25">
      <c r="A3896" s="1"/>
      <c r="C3896" s="1"/>
      <c r="D3896" s="1"/>
      <c r="E3896" s="1"/>
      <c r="F3896" s="1"/>
    </row>
    <row r="3897" spans="1:6" x14ac:dyDescent="0.25">
      <c r="A3897" s="1"/>
      <c r="C3897" s="1"/>
      <c r="D3897" s="1"/>
      <c r="E3897" s="1"/>
      <c r="F3897" s="1"/>
    </row>
    <row r="3898" spans="1:6" x14ac:dyDescent="0.25">
      <c r="A3898" s="1"/>
      <c r="C3898" s="1"/>
      <c r="D3898" s="1"/>
      <c r="E3898" s="1"/>
      <c r="F3898" s="1"/>
    </row>
    <row r="3899" spans="1:6" x14ac:dyDescent="0.25">
      <c r="A3899" s="1"/>
      <c r="C3899" s="1"/>
      <c r="D3899" s="1"/>
      <c r="E3899" s="1"/>
      <c r="F3899" s="1"/>
    </row>
    <row r="3900" spans="1:6" x14ac:dyDescent="0.25">
      <c r="A3900" s="1"/>
      <c r="C3900" s="1"/>
      <c r="D3900" s="1"/>
      <c r="E3900" s="1"/>
      <c r="F3900" s="1"/>
    </row>
    <row r="3901" spans="1:6" x14ac:dyDescent="0.25">
      <c r="A3901" s="1"/>
      <c r="C3901" s="1"/>
      <c r="D3901" s="1"/>
      <c r="E3901" s="1"/>
      <c r="F3901" s="1"/>
    </row>
    <row r="3902" spans="1:6" x14ac:dyDescent="0.25">
      <c r="A3902" s="1"/>
      <c r="C3902" s="1"/>
      <c r="D3902" s="1"/>
      <c r="E3902" s="1"/>
      <c r="F3902" s="1"/>
    </row>
    <row r="3903" spans="1:6" x14ac:dyDescent="0.25">
      <c r="A3903" s="1"/>
      <c r="C3903" s="1"/>
      <c r="D3903" s="1"/>
      <c r="E3903" s="1"/>
      <c r="F3903" s="1"/>
    </row>
    <row r="3904" spans="1:6" x14ac:dyDescent="0.25">
      <c r="A3904" s="1"/>
      <c r="C3904" s="1"/>
      <c r="D3904" s="1"/>
      <c r="E3904" s="1"/>
      <c r="F3904" s="1"/>
    </row>
    <row r="3905" spans="1:6" x14ac:dyDescent="0.25">
      <c r="A3905" s="1"/>
      <c r="C3905" s="1"/>
      <c r="D3905" s="1"/>
      <c r="E3905" s="1"/>
      <c r="F3905" s="1"/>
    </row>
    <row r="3906" spans="1:6" x14ac:dyDescent="0.25">
      <c r="A3906" s="1"/>
      <c r="C3906" s="1"/>
      <c r="D3906" s="1"/>
      <c r="E3906" s="1"/>
      <c r="F3906" s="1"/>
    </row>
    <row r="3907" spans="1:6" x14ac:dyDescent="0.25">
      <c r="A3907" s="1"/>
      <c r="C3907" s="1"/>
      <c r="D3907" s="1"/>
      <c r="E3907" s="1"/>
      <c r="F3907" s="1"/>
    </row>
    <row r="3908" spans="1:6" x14ac:dyDescent="0.25">
      <c r="A3908" s="1"/>
      <c r="C3908" s="1"/>
      <c r="D3908" s="1"/>
      <c r="E3908" s="1"/>
      <c r="F3908" s="1"/>
    </row>
    <row r="3909" spans="1:6" x14ac:dyDescent="0.25">
      <c r="A3909" s="1"/>
      <c r="C3909" s="1"/>
      <c r="D3909" s="1"/>
      <c r="E3909" s="1"/>
      <c r="F3909" s="1"/>
    </row>
    <row r="3910" spans="1:6" x14ac:dyDescent="0.25">
      <c r="A3910" s="1"/>
      <c r="C3910" s="1"/>
      <c r="D3910" s="1"/>
      <c r="E3910" s="1"/>
      <c r="F3910" s="1"/>
    </row>
    <row r="3911" spans="1:6" x14ac:dyDescent="0.25">
      <c r="A3911" s="1"/>
      <c r="C3911" s="1"/>
      <c r="D3911" s="1"/>
      <c r="E3911" s="1"/>
      <c r="F3911" s="1"/>
    </row>
    <row r="3912" spans="1:6" x14ac:dyDescent="0.25">
      <c r="A3912" s="1"/>
      <c r="C3912" s="1"/>
      <c r="D3912" s="1"/>
      <c r="E3912" s="1"/>
      <c r="F3912" s="1"/>
    </row>
    <row r="3913" spans="1:6" x14ac:dyDescent="0.25">
      <c r="A3913" s="1"/>
      <c r="C3913" s="1"/>
      <c r="D3913" s="1"/>
      <c r="E3913" s="1"/>
      <c r="F3913" s="1"/>
    </row>
    <row r="3914" spans="1:6" x14ac:dyDescent="0.25">
      <c r="A3914" s="1"/>
      <c r="C3914" s="1"/>
      <c r="D3914" s="1"/>
      <c r="E3914" s="1"/>
      <c r="F3914" s="1"/>
    </row>
    <row r="3915" spans="1:6" x14ac:dyDescent="0.25">
      <c r="A3915" s="1"/>
      <c r="C3915" s="1"/>
      <c r="D3915" s="1"/>
      <c r="E3915" s="1"/>
      <c r="F3915" s="1"/>
    </row>
    <row r="3916" spans="1:6" x14ac:dyDescent="0.25">
      <c r="A3916" s="1"/>
      <c r="C3916" s="1"/>
      <c r="D3916" s="1"/>
      <c r="E3916" s="1"/>
      <c r="F3916" s="1"/>
    </row>
    <row r="3917" spans="1:6" x14ac:dyDescent="0.25">
      <c r="A3917" s="1"/>
      <c r="C3917" s="1"/>
      <c r="D3917" s="1"/>
      <c r="E3917" s="1"/>
      <c r="F3917" s="1"/>
    </row>
    <row r="3918" spans="1:6" x14ac:dyDescent="0.25">
      <c r="A3918" s="1"/>
      <c r="C3918" s="1"/>
      <c r="D3918" s="1"/>
      <c r="E3918" s="1"/>
      <c r="F3918" s="1"/>
    </row>
    <row r="3919" spans="1:6" x14ac:dyDescent="0.25">
      <c r="A3919" s="1"/>
      <c r="C3919" s="1"/>
      <c r="D3919" s="1"/>
      <c r="E3919" s="1"/>
      <c r="F3919" s="1"/>
    </row>
    <row r="3920" spans="1:6" x14ac:dyDescent="0.25">
      <c r="A3920" s="1"/>
      <c r="C3920" s="1"/>
      <c r="D3920" s="1"/>
      <c r="E3920" s="1"/>
      <c r="F3920" s="1"/>
    </row>
    <row r="3921" spans="1:6" x14ac:dyDescent="0.25">
      <c r="A3921" s="1"/>
      <c r="C3921" s="1"/>
      <c r="D3921" s="1"/>
      <c r="E3921" s="1"/>
      <c r="F3921" s="1"/>
    </row>
    <row r="3922" spans="1:6" x14ac:dyDescent="0.25">
      <c r="A3922" s="1"/>
      <c r="C3922" s="1"/>
      <c r="D3922" s="1"/>
      <c r="E3922" s="1"/>
      <c r="F3922" s="1"/>
    </row>
    <row r="3923" spans="1:6" x14ac:dyDescent="0.25">
      <c r="A3923" s="1"/>
      <c r="C3923" s="1"/>
      <c r="D3923" s="1"/>
      <c r="E3923" s="1"/>
      <c r="F3923" s="1"/>
    </row>
    <row r="3924" spans="1:6" x14ac:dyDescent="0.25">
      <c r="A3924" s="1"/>
      <c r="C3924" s="1"/>
      <c r="D3924" s="1"/>
      <c r="E3924" s="1"/>
      <c r="F3924" s="1"/>
    </row>
    <row r="3925" spans="1:6" x14ac:dyDescent="0.25">
      <c r="A3925" s="1"/>
      <c r="C3925" s="1"/>
      <c r="D3925" s="1"/>
      <c r="E3925" s="1"/>
      <c r="F3925" s="1"/>
    </row>
    <row r="3926" spans="1:6" x14ac:dyDescent="0.25">
      <c r="A3926" s="1"/>
      <c r="C3926" s="1"/>
      <c r="D3926" s="1"/>
      <c r="E3926" s="1"/>
      <c r="F3926" s="1"/>
    </row>
    <row r="3927" spans="1:6" x14ac:dyDescent="0.25">
      <c r="A3927" s="1"/>
      <c r="C3927" s="1"/>
      <c r="D3927" s="1"/>
      <c r="E3927" s="1"/>
      <c r="F3927" s="1"/>
    </row>
    <row r="3928" spans="1:6" x14ac:dyDescent="0.25">
      <c r="A3928" s="1"/>
      <c r="C3928" s="1"/>
      <c r="D3928" s="1"/>
      <c r="E3928" s="1"/>
      <c r="F3928" s="1"/>
    </row>
    <row r="3929" spans="1:6" x14ac:dyDescent="0.25">
      <c r="A3929" s="1"/>
      <c r="C3929" s="1"/>
      <c r="D3929" s="1"/>
      <c r="E3929" s="1"/>
      <c r="F3929" s="1"/>
    </row>
    <row r="3930" spans="1:6" x14ac:dyDescent="0.25">
      <c r="A3930" s="1"/>
      <c r="C3930" s="1"/>
      <c r="D3930" s="1"/>
      <c r="E3930" s="1"/>
      <c r="F3930" s="1"/>
    </row>
    <row r="3931" spans="1:6" x14ac:dyDescent="0.25">
      <c r="A3931" s="1"/>
      <c r="C3931" s="1"/>
      <c r="D3931" s="1"/>
      <c r="E3931" s="1"/>
      <c r="F3931" s="1"/>
    </row>
    <row r="3932" spans="1:6" x14ac:dyDescent="0.25">
      <c r="A3932" s="1"/>
      <c r="C3932" s="1"/>
      <c r="D3932" s="1"/>
      <c r="E3932" s="1"/>
      <c r="F3932" s="1"/>
    </row>
    <row r="3933" spans="1:6" x14ac:dyDescent="0.25">
      <c r="A3933" s="1"/>
      <c r="C3933" s="1"/>
      <c r="D3933" s="1"/>
      <c r="E3933" s="1"/>
      <c r="F3933" s="1"/>
    </row>
    <row r="3934" spans="1:6" x14ac:dyDescent="0.25">
      <c r="A3934" s="1"/>
      <c r="C3934" s="1"/>
      <c r="D3934" s="1"/>
      <c r="E3934" s="1"/>
      <c r="F3934" s="1"/>
    </row>
    <row r="3935" spans="1:6" x14ac:dyDescent="0.25">
      <c r="A3935" s="1"/>
      <c r="C3935" s="1"/>
      <c r="D3935" s="1"/>
      <c r="E3935" s="1"/>
      <c r="F3935" s="1"/>
    </row>
    <row r="3936" spans="1:6" x14ac:dyDescent="0.25">
      <c r="A3936" s="1"/>
      <c r="C3936" s="1"/>
      <c r="D3936" s="1"/>
      <c r="E3936" s="1"/>
      <c r="F3936" s="1"/>
    </row>
    <row r="3937" spans="1:6" x14ac:dyDescent="0.25">
      <c r="A3937" s="1"/>
      <c r="C3937" s="1"/>
      <c r="D3937" s="1"/>
      <c r="E3937" s="1"/>
      <c r="F3937" s="1"/>
    </row>
    <row r="3938" spans="1:6" x14ac:dyDescent="0.25">
      <c r="A3938" s="1"/>
      <c r="C3938" s="1"/>
      <c r="D3938" s="1"/>
      <c r="E3938" s="1"/>
      <c r="F3938" s="1"/>
    </row>
    <row r="3939" spans="1:6" x14ac:dyDescent="0.25">
      <c r="A3939" s="1"/>
      <c r="C3939" s="1"/>
      <c r="D3939" s="1"/>
      <c r="E3939" s="1"/>
      <c r="F3939" s="1"/>
    </row>
    <row r="3940" spans="1:6" x14ac:dyDescent="0.25">
      <c r="A3940" s="1"/>
      <c r="C3940" s="1"/>
      <c r="D3940" s="1"/>
      <c r="E3940" s="1"/>
      <c r="F3940" s="1"/>
    </row>
    <row r="3941" spans="1:6" x14ac:dyDescent="0.25">
      <c r="A3941" s="1"/>
      <c r="C3941" s="1"/>
      <c r="D3941" s="1"/>
      <c r="E3941" s="1"/>
      <c r="F3941" s="1"/>
    </row>
    <row r="3942" spans="1:6" x14ac:dyDescent="0.25">
      <c r="A3942" s="1"/>
      <c r="C3942" s="1"/>
      <c r="D3942" s="1"/>
      <c r="E3942" s="1"/>
      <c r="F3942" s="1"/>
    </row>
    <row r="3943" spans="1:6" x14ac:dyDescent="0.25">
      <c r="A3943" s="1"/>
      <c r="C3943" s="1"/>
      <c r="D3943" s="1"/>
      <c r="E3943" s="1"/>
      <c r="F3943" s="1"/>
    </row>
    <row r="3944" spans="1:6" x14ac:dyDescent="0.25">
      <c r="A3944" s="1"/>
      <c r="C3944" s="1"/>
      <c r="D3944" s="1"/>
      <c r="E3944" s="1"/>
      <c r="F3944" s="1"/>
    </row>
    <row r="3945" spans="1:6" x14ac:dyDescent="0.25">
      <c r="A3945" s="1"/>
      <c r="C3945" s="1"/>
      <c r="D3945" s="1"/>
      <c r="E3945" s="1"/>
      <c r="F3945" s="1"/>
    </row>
    <row r="3946" spans="1:6" x14ac:dyDescent="0.25">
      <c r="A3946" s="1"/>
      <c r="C3946" s="1"/>
      <c r="D3946" s="1"/>
      <c r="E3946" s="1"/>
      <c r="F3946" s="1"/>
    </row>
    <row r="3947" spans="1:6" x14ac:dyDescent="0.25">
      <c r="A3947" s="1"/>
      <c r="C3947" s="1"/>
      <c r="D3947" s="1"/>
      <c r="E3947" s="1"/>
      <c r="F3947" s="1"/>
    </row>
    <row r="3948" spans="1:6" x14ac:dyDescent="0.25">
      <c r="A3948" s="1"/>
      <c r="C3948" s="1"/>
      <c r="D3948" s="1"/>
      <c r="E3948" s="1"/>
      <c r="F3948" s="1"/>
    </row>
    <row r="3949" spans="1:6" x14ac:dyDescent="0.25">
      <c r="A3949" s="1"/>
      <c r="C3949" s="1"/>
      <c r="D3949" s="1"/>
      <c r="E3949" s="1"/>
      <c r="F3949" s="1"/>
    </row>
    <row r="3950" spans="1:6" x14ac:dyDescent="0.25">
      <c r="A3950" s="1"/>
      <c r="C3950" s="1"/>
      <c r="D3950" s="1"/>
      <c r="E3950" s="1"/>
      <c r="F3950" s="1"/>
    </row>
    <row r="3951" spans="1:6" x14ac:dyDescent="0.25">
      <c r="A3951" s="1"/>
      <c r="C3951" s="1"/>
      <c r="D3951" s="1"/>
      <c r="E3951" s="1"/>
      <c r="F3951" s="1"/>
    </row>
    <row r="3952" spans="1:6" x14ac:dyDescent="0.25">
      <c r="A3952" s="1"/>
      <c r="C3952" s="1"/>
      <c r="D3952" s="1"/>
      <c r="E3952" s="1"/>
      <c r="F3952" s="1"/>
    </row>
    <row r="3953" spans="1:6" x14ac:dyDescent="0.25">
      <c r="A3953" s="1"/>
      <c r="C3953" s="1"/>
      <c r="D3953" s="1"/>
      <c r="E3953" s="1"/>
      <c r="F3953" s="1"/>
    </row>
    <row r="3954" spans="1:6" x14ac:dyDescent="0.25">
      <c r="A3954" s="1"/>
      <c r="C3954" s="1"/>
      <c r="D3954" s="1"/>
      <c r="E3954" s="1"/>
      <c r="F3954" s="1"/>
    </row>
    <row r="3955" spans="1:6" x14ac:dyDescent="0.25">
      <c r="A3955" s="1"/>
      <c r="C3955" s="1"/>
      <c r="D3955" s="1"/>
      <c r="E3955" s="1"/>
      <c r="F3955" s="1"/>
    </row>
    <row r="3956" spans="1:6" x14ac:dyDescent="0.25">
      <c r="A3956" s="1"/>
      <c r="C3956" s="1"/>
      <c r="D3956" s="1"/>
      <c r="E3956" s="1"/>
      <c r="F3956" s="1"/>
    </row>
    <row r="3957" spans="1:6" x14ac:dyDescent="0.25">
      <c r="A3957" s="1"/>
      <c r="C3957" s="1"/>
      <c r="D3957" s="1"/>
      <c r="E3957" s="1"/>
      <c r="F3957" s="1"/>
    </row>
    <row r="3958" spans="1:6" x14ac:dyDescent="0.25">
      <c r="A3958" s="1"/>
      <c r="C3958" s="1"/>
      <c r="D3958" s="1"/>
      <c r="E3958" s="1"/>
      <c r="F3958" s="1"/>
    </row>
    <row r="3959" spans="1:6" x14ac:dyDescent="0.25">
      <c r="A3959" s="1"/>
      <c r="C3959" s="1"/>
      <c r="D3959" s="1"/>
      <c r="E3959" s="1"/>
      <c r="F3959" s="1"/>
    </row>
    <row r="3960" spans="1:6" x14ac:dyDescent="0.25">
      <c r="A3960" s="1"/>
      <c r="C3960" s="1"/>
      <c r="D3960" s="1"/>
      <c r="E3960" s="1"/>
      <c r="F3960" s="1"/>
    </row>
    <row r="3961" spans="1:6" x14ac:dyDescent="0.25">
      <c r="A3961" s="1"/>
      <c r="C3961" s="1"/>
      <c r="D3961" s="1"/>
      <c r="E3961" s="1"/>
      <c r="F3961" s="1"/>
    </row>
    <row r="3962" spans="1:6" x14ac:dyDescent="0.25">
      <c r="A3962" s="1"/>
      <c r="C3962" s="1"/>
      <c r="D3962" s="1"/>
      <c r="E3962" s="1"/>
      <c r="F3962" s="1"/>
    </row>
    <row r="3963" spans="1:6" x14ac:dyDescent="0.25">
      <c r="A3963" s="1"/>
      <c r="C3963" s="1"/>
      <c r="D3963" s="1"/>
      <c r="E3963" s="1"/>
      <c r="F3963" s="1"/>
    </row>
    <row r="3964" spans="1:6" x14ac:dyDescent="0.25">
      <c r="A3964" s="1"/>
      <c r="C3964" s="1"/>
      <c r="D3964" s="1"/>
      <c r="E3964" s="1"/>
      <c r="F3964" s="1"/>
    </row>
    <row r="3965" spans="1:6" x14ac:dyDescent="0.25">
      <c r="A3965" s="1"/>
      <c r="C3965" s="1"/>
      <c r="D3965" s="1"/>
      <c r="E3965" s="1"/>
      <c r="F3965" s="1"/>
    </row>
    <row r="3966" spans="1:6" x14ac:dyDescent="0.25">
      <c r="A3966" s="1"/>
      <c r="C3966" s="1"/>
      <c r="D3966" s="1"/>
      <c r="E3966" s="1"/>
      <c r="F3966" s="1"/>
    </row>
    <row r="3967" spans="1:6" x14ac:dyDescent="0.25">
      <c r="A3967" s="1"/>
      <c r="C3967" s="1"/>
      <c r="D3967" s="1"/>
      <c r="E3967" s="1"/>
      <c r="F3967" s="1"/>
    </row>
    <row r="3968" spans="1:6" x14ac:dyDescent="0.25">
      <c r="A3968" s="1"/>
      <c r="C3968" s="1"/>
      <c r="D3968" s="1"/>
      <c r="E3968" s="1"/>
      <c r="F3968" s="1"/>
    </row>
    <row r="3969" spans="1:6" x14ac:dyDescent="0.25">
      <c r="A3969" s="1"/>
      <c r="C3969" s="1"/>
      <c r="D3969" s="1"/>
      <c r="E3969" s="1"/>
      <c r="F3969" s="1"/>
    </row>
    <row r="3970" spans="1:6" x14ac:dyDescent="0.25">
      <c r="A3970" s="1"/>
      <c r="C3970" s="1"/>
      <c r="D3970" s="1"/>
      <c r="E3970" s="1"/>
      <c r="F3970" s="1"/>
    </row>
    <row r="3971" spans="1:6" x14ac:dyDescent="0.25">
      <c r="A3971" s="1"/>
      <c r="C3971" s="1"/>
      <c r="D3971" s="1"/>
      <c r="E3971" s="1"/>
      <c r="F3971" s="1"/>
    </row>
    <row r="3972" spans="1:6" x14ac:dyDescent="0.25">
      <c r="A3972" s="1"/>
      <c r="C3972" s="1"/>
      <c r="D3972" s="1"/>
      <c r="E3972" s="1"/>
      <c r="F3972" s="1"/>
    </row>
    <row r="3973" spans="1:6" x14ac:dyDescent="0.25">
      <c r="A3973" s="1"/>
      <c r="C3973" s="1"/>
      <c r="D3973" s="1"/>
      <c r="E3973" s="1"/>
      <c r="F3973" s="1"/>
    </row>
    <row r="3974" spans="1:6" x14ac:dyDescent="0.25">
      <c r="A3974" s="1"/>
      <c r="C3974" s="1"/>
      <c r="D3974" s="1"/>
      <c r="E3974" s="1"/>
      <c r="F3974" s="1"/>
    </row>
    <row r="3975" spans="1:6" x14ac:dyDescent="0.25">
      <c r="A3975" s="1"/>
      <c r="C3975" s="1"/>
      <c r="D3975" s="1"/>
      <c r="E3975" s="1"/>
      <c r="F3975" s="1"/>
    </row>
    <row r="3976" spans="1:6" x14ac:dyDescent="0.25">
      <c r="A3976" s="1"/>
      <c r="C3976" s="1"/>
      <c r="D3976" s="1"/>
      <c r="E3976" s="1"/>
      <c r="F3976" s="1"/>
    </row>
    <row r="3977" spans="1:6" x14ac:dyDescent="0.25">
      <c r="A3977" s="1"/>
      <c r="C3977" s="1"/>
      <c r="D3977" s="1"/>
      <c r="E3977" s="1"/>
      <c r="F3977" s="1"/>
    </row>
    <row r="3978" spans="1:6" x14ac:dyDescent="0.25">
      <c r="A3978" s="1"/>
      <c r="C3978" s="1"/>
      <c r="D3978" s="1"/>
      <c r="E3978" s="1"/>
      <c r="F3978" s="1"/>
    </row>
    <row r="3979" spans="1:6" x14ac:dyDescent="0.25">
      <c r="A3979" s="1"/>
      <c r="C3979" s="1"/>
      <c r="D3979" s="1"/>
      <c r="E3979" s="1"/>
      <c r="F3979" s="1"/>
    </row>
    <row r="3980" spans="1:6" x14ac:dyDescent="0.25">
      <c r="A3980" s="1"/>
      <c r="C3980" s="1"/>
      <c r="D3980" s="1"/>
      <c r="E3980" s="1"/>
      <c r="F3980" s="1"/>
    </row>
    <row r="3981" spans="1:6" x14ac:dyDescent="0.25">
      <c r="A3981" s="1"/>
      <c r="C3981" s="1"/>
      <c r="D3981" s="1"/>
      <c r="E3981" s="1"/>
      <c r="F3981" s="1"/>
    </row>
    <row r="3982" spans="1:6" x14ac:dyDescent="0.25">
      <c r="A3982" s="1"/>
      <c r="C3982" s="1"/>
      <c r="D3982" s="1"/>
      <c r="E3982" s="1"/>
      <c r="F3982" s="1"/>
    </row>
    <row r="3983" spans="1:6" x14ac:dyDescent="0.25">
      <c r="A3983" s="1"/>
      <c r="C3983" s="1"/>
      <c r="D3983" s="1"/>
      <c r="E3983" s="1"/>
      <c r="F3983" s="1"/>
    </row>
    <row r="3984" spans="1:6" x14ac:dyDescent="0.25">
      <c r="A3984" s="1"/>
      <c r="C3984" s="1"/>
      <c r="D3984" s="1"/>
      <c r="E3984" s="1"/>
      <c r="F3984" s="1"/>
    </row>
    <row r="3985" spans="1:6" x14ac:dyDescent="0.25">
      <c r="A3985" s="1"/>
      <c r="C3985" s="1"/>
      <c r="D3985" s="1"/>
      <c r="E3985" s="1"/>
      <c r="F3985" s="1"/>
    </row>
    <row r="3986" spans="1:6" x14ac:dyDescent="0.25">
      <c r="A3986" s="1"/>
      <c r="C3986" s="1"/>
      <c r="D3986" s="1"/>
      <c r="E3986" s="1"/>
      <c r="F3986" s="1"/>
    </row>
    <row r="3987" spans="1:6" x14ac:dyDescent="0.25">
      <c r="A3987" s="1"/>
      <c r="C3987" s="1"/>
      <c r="D3987" s="1"/>
      <c r="E3987" s="1"/>
      <c r="F3987" s="1"/>
    </row>
    <row r="3988" spans="1:6" x14ac:dyDescent="0.25">
      <c r="A3988" s="1"/>
      <c r="C3988" s="1"/>
      <c r="D3988" s="1"/>
      <c r="E3988" s="1"/>
      <c r="F3988" s="1"/>
    </row>
    <row r="3989" spans="1:6" x14ac:dyDescent="0.25">
      <c r="A3989" s="1"/>
      <c r="C3989" s="1"/>
      <c r="D3989" s="1"/>
      <c r="E3989" s="1"/>
      <c r="F3989" s="1"/>
    </row>
    <row r="3990" spans="1:6" x14ac:dyDescent="0.25">
      <c r="A3990" s="1"/>
      <c r="C3990" s="1"/>
      <c r="D3990" s="1"/>
      <c r="E3990" s="1"/>
      <c r="F3990" s="1"/>
    </row>
    <row r="3991" spans="1:6" x14ac:dyDescent="0.25">
      <c r="A3991" s="1"/>
      <c r="C3991" s="1"/>
      <c r="D3991" s="1"/>
      <c r="E3991" s="1"/>
      <c r="F3991" s="1"/>
    </row>
    <row r="3992" spans="1:6" x14ac:dyDescent="0.25">
      <c r="A3992" s="1"/>
      <c r="C3992" s="1"/>
      <c r="D3992" s="1"/>
      <c r="E3992" s="1"/>
      <c r="F3992" s="1"/>
    </row>
    <row r="3993" spans="1:6" x14ac:dyDescent="0.25">
      <c r="A3993" s="1"/>
      <c r="C3993" s="1"/>
      <c r="D3993" s="1"/>
      <c r="E3993" s="1"/>
      <c r="F3993" s="1"/>
    </row>
    <row r="3994" spans="1:6" x14ac:dyDescent="0.25">
      <c r="A3994" s="1"/>
      <c r="C3994" s="1"/>
      <c r="D3994" s="1"/>
      <c r="E3994" s="1"/>
      <c r="F3994" s="1"/>
    </row>
    <row r="3995" spans="1:6" x14ac:dyDescent="0.25">
      <c r="A3995" s="1"/>
      <c r="C3995" s="1"/>
      <c r="D3995" s="1"/>
      <c r="E3995" s="1"/>
      <c r="F3995" s="1"/>
    </row>
    <row r="3996" spans="1:6" x14ac:dyDescent="0.25">
      <c r="A3996" s="1"/>
      <c r="C3996" s="1"/>
      <c r="D3996" s="1"/>
      <c r="E3996" s="1"/>
      <c r="F3996" s="1"/>
    </row>
    <row r="3997" spans="1:6" x14ac:dyDescent="0.25">
      <c r="A3997" s="1"/>
      <c r="C3997" s="1"/>
      <c r="D3997" s="1"/>
      <c r="E3997" s="1"/>
      <c r="F3997" s="1"/>
    </row>
    <row r="3998" spans="1:6" x14ac:dyDescent="0.25">
      <c r="A3998" s="1"/>
      <c r="C3998" s="1"/>
      <c r="D3998" s="1"/>
      <c r="E3998" s="1"/>
      <c r="F3998" s="1"/>
    </row>
    <row r="3999" spans="1:6" x14ac:dyDescent="0.25">
      <c r="A3999" s="1"/>
      <c r="C3999" s="1"/>
      <c r="D3999" s="1"/>
      <c r="E3999" s="1"/>
      <c r="F3999" s="1"/>
    </row>
    <row r="4000" spans="1:6" x14ac:dyDescent="0.25">
      <c r="A4000" s="1"/>
      <c r="C4000" s="1"/>
      <c r="D4000" s="1"/>
      <c r="E4000" s="1"/>
      <c r="F4000" s="1"/>
    </row>
    <row r="4001" spans="1:6" x14ac:dyDescent="0.25">
      <c r="A4001" s="1"/>
      <c r="C4001" s="1"/>
      <c r="D4001" s="1"/>
      <c r="E4001" s="1"/>
      <c r="F4001" s="1"/>
    </row>
    <row r="4002" spans="1:6" x14ac:dyDescent="0.25">
      <c r="A4002" s="1"/>
      <c r="C4002" s="1"/>
      <c r="D4002" s="1"/>
      <c r="E4002" s="1"/>
      <c r="F4002" s="1"/>
    </row>
    <row r="4003" spans="1:6" x14ac:dyDescent="0.25">
      <c r="A4003" s="1"/>
      <c r="C4003" s="1"/>
      <c r="D4003" s="1"/>
      <c r="E4003" s="1"/>
      <c r="F4003" s="1"/>
    </row>
    <row r="4004" spans="1:6" x14ac:dyDescent="0.25">
      <c r="A4004" s="1"/>
      <c r="C4004" s="1"/>
      <c r="D4004" s="1"/>
      <c r="E4004" s="1"/>
      <c r="F4004" s="1"/>
    </row>
    <row r="4005" spans="1:6" x14ac:dyDescent="0.25">
      <c r="A4005" s="1"/>
      <c r="C4005" s="1"/>
      <c r="D4005" s="1"/>
      <c r="E4005" s="1"/>
      <c r="F4005" s="1"/>
    </row>
    <row r="4006" spans="1:6" x14ac:dyDescent="0.25">
      <c r="A4006" s="1"/>
      <c r="C4006" s="1"/>
      <c r="D4006" s="1"/>
      <c r="E4006" s="1"/>
      <c r="F4006" s="1"/>
    </row>
    <row r="4007" spans="1:6" x14ac:dyDescent="0.25">
      <c r="A4007" s="1"/>
      <c r="C4007" s="1"/>
      <c r="D4007" s="1"/>
      <c r="E4007" s="1"/>
      <c r="F4007" s="1"/>
    </row>
    <row r="4008" spans="1:6" x14ac:dyDescent="0.25">
      <c r="A4008" s="1"/>
      <c r="C4008" s="1"/>
      <c r="D4008" s="1"/>
      <c r="E4008" s="1"/>
      <c r="F4008" s="1"/>
    </row>
    <row r="4009" spans="1:6" x14ac:dyDescent="0.25">
      <c r="A4009" s="1"/>
      <c r="C4009" s="1"/>
      <c r="D4009" s="1"/>
      <c r="E4009" s="1"/>
      <c r="F4009" s="1"/>
    </row>
    <row r="4010" spans="1:6" x14ac:dyDescent="0.25">
      <c r="A4010" s="1"/>
      <c r="C4010" s="1"/>
      <c r="D4010" s="1"/>
      <c r="E4010" s="1"/>
      <c r="F4010" s="1"/>
    </row>
    <row r="4011" spans="1:6" x14ac:dyDescent="0.25">
      <c r="A4011" s="1"/>
      <c r="C4011" s="1"/>
      <c r="D4011" s="1"/>
      <c r="E4011" s="1"/>
      <c r="F4011" s="1"/>
    </row>
    <row r="4012" spans="1:6" x14ac:dyDescent="0.25">
      <c r="A4012" s="1"/>
      <c r="C4012" s="1"/>
      <c r="D4012" s="1"/>
      <c r="E4012" s="1"/>
      <c r="F4012" s="1"/>
    </row>
    <row r="4013" spans="1:6" x14ac:dyDescent="0.25">
      <c r="A4013" s="1"/>
      <c r="C4013" s="1"/>
      <c r="D4013" s="1"/>
      <c r="E4013" s="1"/>
      <c r="F4013" s="1"/>
    </row>
    <row r="4014" spans="1:6" x14ac:dyDescent="0.25">
      <c r="A4014" s="1"/>
      <c r="C4014" s="1"/>
      <c r="D4014" s="1"/>
      <c r="E4014" s="1"/>
      <c r="F4014" s="1"/>
    </row>
    <row r="4015" spans="1:6" x14ac:dyDescent="0.25">
      <c r="A4015" s="1"/>
      <c r="C4015" s="1"/>
      <c r="D4015" s="1"/>
      <c r="E4015" s="1"/>
      <c r="F4015" s="1"/>
    </row>
    <row r="4016" spans="1:6" x14ac:dyDescent="0.25">
      <c r="A4016" s="1"/>
      <c r="C4016" s="1"/>
      <c r="D4016" s="1"/>
      <c r="E4016" s="1"/>
      <c r="F4016" s="1"/>
    </row>
    <row r="4017" spans="1:6" x14ac:dyDescent="0.25">
      <c r="A4017" s="1"/>
      <c r="C4017" s="1"/>
      <c r="D4017" s="1"/>
      <c r="E4017" s="1"/>
      <c r="F4017" s="1"/>
    </row>
    <row r="4018" spans="1:6" x14ac:dyDescent="0.25">
      <c r="A4018" s="1"/>
      <c r="C4018" s="1"/>
      <c r="D4018" s="1"/>
      <c r="E4018" s="1"/>
      <c r="F4018" s="1"/>
    </row>
    <row r="4019" spans="1:6" x14ac:dyDescent="0.25">
      <c r="A4019" s="1"/>
      <c r="C4019" s="1"/>
      <c r="D4019" s="1"/>
      <c r="E4019" s="1"/>
      <c r="F4019" s="1"/>
    </row>
    <row r="4020" spans="1:6" x14ac:dyDescent="0.25">
      <c r="A4020" s="1"/>
      <c r="C4020" s="1"/>
      <c r="D4020" s="1"/>
      <c r="E4020" s="1"/>
      <c r="F4020" s="1"/>
    </row>
    <row r="4021" spans="1:6" x14ac:dyDescent="0.25">
      <c r="A4021" s="1"/>
      <c r="C4021" s="1"/>
      <c r="D4021" s="1"/>
      <c r="E4021" s="1"/>
      <c r="F4021" s="1"/>
    </row>
    <row r="4022" spans="1:6" x14ac:dyDescent="0.25">
      <c r="A4022" s="1"/>
      <c r="C4022" s="1"/>
      <c r="D4022" s="1"/>
      <c r="E4022" s="1"/>
      <c r="F4022" s="1"/>
    </row>
    <row r="4023" spans="1:6" x14ac:dyDescent="0.25">
      <c r="A4023" s="1"/>
      <c r="C4023" s="1"/>
      <c r="D4023" s="1"/>
      <c r="E4023" s="1"/>
      <c r="F4023" s="1"/>
    </row>
    <row r="4024" spans="1:6" x14ac:dyDescent="0.25">
      <c r="A4024" s="1"/>
      <c r="C4024" s="1"/>
      <c r="D4024" s="1"/>
      <c r="E4024" s="1"/>
      <c r="F4024" s="1"/>
    </row>
    <row r="4025" spans="1:6" x14ac:dyDescent="0.25">
      <c r="A4025" s="1"/>
      <c r="C4025" s="1"/>
      <c r="D4025" s="1"/>
      <c r="E4025" s="1"/>
      <c r="F4025" s="1"/>
    </row>
    <row r="4026" spans="1:6" x14ac:dyDescent="0.25">
      <c r="A4026" s="1"/>
      <c r="C4026" s="1"/>
      <c r="D4026" s="1"/>
      <c r="E4026" s="1"/>
      <c r="F4026" s="1"/>
    </row>
    <row r="4027" spans="1:6" x14ac:dyDescent="0.25">
      <c r="A4027" s="1"/>
      <c r="C4027" s="1"/>
      <c r="D4027" s="1"/>
      <c r="E4027" s="1"/>
      <c r="F4027" s="1"/>
    </row>
    <row r="4028" spans="1:6" x14ac:dyDescent="0.25">
      <c r="A4028" s="1"/>
      <c r="C4028" s="1"/>
      <c r="D4028" s="1"/>
      <c r="E4028" s="1"/>
      <c r="F4028" s="1"/>
    </row>
    <row r="4029" spans="1:6" x14ac:dyDescent="0.25">
      <c r="A4029" s="1"/>
      <c r="C4029" s="1"/>
      <c r="D4029" s="1"/>
      <c r="E4029" s="1"/>
      <c r="F4029" s="1"/>
    </row>
    <row r="4030" spans="1:6" x14ac:dyDescent="0.25">
      <c r="A4030" s="1"/>
      <c r="C4030" s="1"/>
      <c r="D4030" s="1"/>
      <c r="E4030" s="1"/>
      <c r="F4030" s="1"/>
    </row>
    <row r="4031" spans="1:6" x14ac:dyDescent="0.25">
      <c r="A4031" s="1"/>
      <c r="C4031" s="1"/>
      <c r="D4031" s="1"/>
      <c r="E4031" s="1"/>
      <c r="F4031" s="1"/>
    </row>
    <row r="4032" spans="1:6" x14ac:dyDescent="0.25">
      <c r="A4032" s="1"/>
      <c r="C4032" s="1"/>
      <c r="D4032" s="1"/>
      <c r="E4032" s="1"/>
      <c r="F4032" s="1"/>
    </row>
    <row r="4033" spans="1:6" x14ac:dyDescent="0.25">
      <c r="A4033" s="1"/>
      <c r="C4033" s="1"/>
      <c r="D4033" s="1"/>
      <c r="E4033" s="1"/>
      <c r="F4033" s="1"/>
    </row>
    <row r="4034" spans="1:6" x14ac:dyDescent="0.25">
      <c r="A4034" s="1"/>
      <c r="C4034" s="1"/>
      <c r="D4034" s="1"/>
      <c r="E4034" s="1"/>
      <c r="F4034" s="1"/>
    </row>
    <row r="4035" spans="1:6" x14ac:dyDescent="0.25">
      <c r="A4035" s="1"/>
      <c r="C4035" s="1"/>
      <c r="D4035" s="1"/>
      <c r="E4035" s="1"/>
      <c r="F4035" s="1"/>
    </row>
    <row r="4036" spans="1:6" x14ac:dyDescent="0.25">
      <c r="A4036" s="1"/>
      <c r="C4036" s="1"/>
      <c r="D4036" s="1"/>
      <c r="E4036" s="1"/>
      <c r="F4036" s="1"/>
    </row>
    <row r="4037" spans="1:6" x14ac:dyDescent="0.25">
      <c r="A4037" s="1"/>
      <c r="C4037" s="1"/>
      <c r="D4037" s="1"/>
      <c r="E4037" s="1"/>
      <c r="F4037" s="1"/>
    </row>
    <row r="4038" spans="1:6" x14ac:dyDescent="0.25">
      <c r="A4038" s="1"/>
      <c r="C4038" s="1"/>
      <c r="D4038" s="1"/>
      <c r="E4038" s="1"/>
      <c r="F4038" s="1"/>
    </row>
    <row r="4039" spans="1:6" x14ac:dyDescent="0.25">
      <c r="A4039" s="1"/>
      <c r="C4039" s="1"/>
      <c r="D4039" s="1"/>
      <c r="E4039" s="1"/>
      <c r="F4039" s="1"/>
    </row>
    <row r="4040" spans="1:6" x14ac:dyDescent="0.25">
      <c r="A4040" s="1"/>
      <c r="C4040" s="1"/>
      <c r="D4040" s="1"/>
      <c r="E4040" s="1"/>
      <c r="F4040" s="1"/>
    </row>
    <row r="4041" spans="1:6" x14ac:dyDescent="0.25">
      <c r="A4041" s="1"/>
      <c r="C4041" s="1"/>
      <c r="D4041" s="1"/>
      <c r="E4041" s="1"/>
      <c r="F4041" s="1"/>
    </row>
    <row r="4042" spans="1:6" x14ac:dyDescent="0.25">
      <c r="A4042" s="1"/>
      <c r="C4042" s="1"/>
      <c r="D4042" s="1"/>
      <c r="E4042" s="1"/>
      <c r="F4042" s="1"/>
    </row>
    <row r="4043" spans="1:6" x14ac:dyDescent="0.25">
      <c r="A4043" s="1"/>
      <c r="C4043" s="1"/>
      <c r="D4043" s="1"/>
      <c r="E4043" s="1"/>
      <c r="F4043" s="1"/>
    </row>
    <row r="4044" spans="1:6" x14ac:dyDescent="0.25">
      <c r="A4044" s="1"/>
      <c r="C4044" s="1"/>
      <c r="D4044" s="1"/>
      <c r="E4044" s="1"/>
      <c r="F4044" s="1"/>
    </row>
    <row r="4045" spans="1:6" x14ac:dyDescent="0.25">
      <c r="A4045" s="1"/>
      <c r="C4045" s="1"/>
      <c r="D4045" s="1"/>
      <c r="E4045" s="1"/>
      <c r="F4045" s="1"/>
    </row>
    <row r="4046" spans="1:6" x14ac:dyDescent="0.25">
      <c r="A4046" s="1"/>
      <c r="C4046" s="1"/>
      <c r="D4046" s="1"/>
      <c r="E4046" s="1"/>
      <c r="F4046" s="1"/>
    </row>
    <row r="4047" spans="1:6" x14ac:dyDescent="0.25">
      <c r="A4047" s="1"/>
      <c r="C4047" s="1"/>
      <c r="D4047" s="1"/>
      <c r="E4047" s="1"/>
      <c r="F4047" s="1"/>
    </row>
    <row r="4048" spans="1:6" x14ac:dyDescent="0.25">
      <c r="A4048" s="1"/>
      <c r="C4048" s="1"/>
      <c r="D4048" s="1"/>
      <c r="E4048" s="1"/>
      <c r="F4048" s="1"/>
    </row>
    <row r="4049" spans="1:6" x14ac:dyDescent="0.25">
      <c r="A4049" s="1"/>
      <c r="C4049" s="1"/>
      <c r="D4049" s="1"/>
      <c r="E4049" s="1"/>
      <c r="F4049" s="1"/>
    </row>
    <row r="4050" spans="1:6" x14ac:dyDescent="0.25">
      <c r="A4050" s="1"/>
      <c r="C4050" s="1"/>
      <c r="D4050" s="1"/>
      <c r="E4050" s="1"/>
      <c r="F4050" s="1"/>
    </row>
    <row r="4051" spans="1:6" x14ac:dyDescent="0.25">
      <c r="A4051" s="1"/>
      <c r="C4051" s="1"/>
      <c r="D4051" s="1"/>
      <c r="E4051" s="1"/>
      <c r="F4051" s="1"/>
    </row>
    <row r="4052" spans="1:6" x14ac:dyDescent="0.25">
      <c r="A4052" s="1"/>
      <c r="C4052" s="1"/>
      <c r="D4052" s="1"/>
      <c r="E4052" s="1"/>
      <c r="F4052" s="1"/>
    </row>
    <row r="4053" spans="1:6" x14ac:dyDescent="0.25">
      <c r="A4053" s="1"/>
      <c r="C4053" s="1"/>
      <c r="D4053" s="1"/>
      <c r="E4053" s="1"/>
      <c r="F4053" s="1"/>
    </row>
    <row r="4054" spans="1:6" x14ac:dyDescent="0.25">
      <c r="A4054" s="1"/>
      <c r="C4054" s="1"/>
      <c r="D4054" s="1"/>
      <c r="E4054" s="1"/>
      <c r="F4054" s="1"/>
    </row>
    <row r="4055" spans="1:6" x14ac:dyDescent="0.25">
      <c r="A4055" s="1"/>
      <c r="C4055" s="1"/>
      <c r="D4055" s="1"/>
      <c r="E4055" s="1"/>
      <c r="F4055" s="1"/>
    </row>
    <row r="4056" spans="1:6" x14ac:dyDescent="0.25">
      <c r="A4056" s="1"/>
      <c r="C4056" s="1"/>
      <c r="D4056" s="1"/>
      <c r="E4056" s="1"/>
      <c r="F4056" s="1"/>
    </row>
    <row r="4057" spans="1:6" x14ac:dyDescent="0.25">
      <c r="A4057" s="1"/>
      <c r="C4057" s="1"/>
      <c r="D4057" s="1"/>
      <c r="E4057" s="1"/>
      <c r="F4057" s="1"/>
    </row>
    <row r="4058" spans="1:6" x14ac:dyDescent="0.25">
      <c r="A4058" s="1"/>
      <c r="C4058" s="1"/>
      <c r="D4058" s="1"/>
      <c r="E4058" s="1"/>
      <c r="F4058" s="1"/>
    </row>
    <row r="4059" spans="1:6" x14ac:dyDescent="0.25">
      <c r="A4059" s="1"/>
      <c r="C4059" s="1"/>
      <c r="D4059" s="1"/>
      <c r="E4059" s="1"/>
      <c r="F4059" s="1"/>
    </row>
    <row r="4060" spans="1:6" x14ac:dyDescent="0.25">
      <c r="A4060" s="1"/>
      <c r="C4060" s="1"/>
      <c r="D4060" s="1"/>
      <c r="E4060" s="1"/>
      <c r="F4060" s="1"/>
    </row>
    <row r="4061" spans="1:6" x14ac:dyDescent="0.25">
      <c r="A4061" s="1"/>
      <c r="C4061" s="1"/>
      <c r="D4061" s="1"/>
      <c r="E4061" s="1"/>
      <c r="F4061" s="1"/>
    </row>
    <row r="4062" spans="1:6" x14ac:dyDescent="0.25">
      <c r="A4062" s="1"/>
      <c r="C4062" s="1"/>
      <c r="D4062" s="1"/>
      <c r="E4062" s="1"/>
      <c r="F4062" s="1"/>
    </row>
    <row r="4063" spans="1:6" x14ac:dyDescent="0.25">
      <c r="A4063" s="1"/>
      <c r="C4063" s="1"/>
      <c r="D4063" s="1"/>
      <c r="E4063" s="1"/>
      <c r="F4063" s="1"/>
    </row>
    <row r="4064" spans="1:6" x14ac:dyDescent="0.25">
      <c r="A4064" s="1"/>
      <c r="C4064" s="1"/>
      <c r="D4064" s="1"/>
      <c r="E4064" s="1"/>
      <c r="F4064" s="1"/>
    </row>
    <row r="4065" spans="1:6" x14ac:dyDescent="0.25">
      <c r="A4065" s="1"/>
      <c r="C4065" s="1"/>
      <c r="D4065" s="1"/>
      <c r="E4065" s="1"/>
      <c r="F4065" s="1"/>
    </row>
    <row r="4066" spans="1:6" x14ac:dyDescent="0.25">
      <c r="A4066" s="1"/>
      <c r="C4066" s="1"/>
      <c r="D4066" s="1"/>
      <c r="E4066" s="1"/>
      <c r="F4066" s="1"/>
    </row>
    <row r="4067" spans="1:6" x14ac:dyDescent="0.25">
      <c r="A4067" s="1"/>
      <c r="C4067" s="1"/>
      <c r="D4067" s="1"/>
      <c r="E4067" s="1"/>
      <c r="F4067" s="1"/>
    </row>
    <row r="4068" spans="1:6" x14ac:dyDescent="0.25">
      <c r="A4068" s="1"/>
      <c r="C4068" s="1"/>
      <c r="D4068" s="1"/>
      <c r="E4068" s="1"/>
      <c r="F4068" s="1"/>
    </row>
    <row r="4069" spans="1:6" x14ac:dyDescent="0.25">
      <c r="A4069" s="1"/>
      <c r="C4069" s="1"/>
      <c r="D4069" s="1"/>
      <c r="E4069" s="1"/>
      <c r="F4069" s="1"/>
    </row>
    <row r="4070" spans="1:6" x14ac:dyDescent="0.25">
      <c r="A4070" s="1"/>
      <c r="C4070" s="1"/>
      <c r="D4070" s="1"/>
      <c r="E4070" s="1"/>
      <c r="F4070" s="1"/>
    </row>
    <row r="4071" spans="1:6" x14ac:dyDescent="0.25">
      <c r="A4071" s="1"/>
      <c r="C4071" s="1"/>
      <c r="D4071" s="1"/>
      <c r="E4071" s="1"/>
      <c r="F4071" s="1"/>
    </row>
    <row r="4072" spans="1:6" x14ac:dyDescent="0.25">
      <c r="A4072" s="1"/>
      <c r="C4072" s="1"/>
      <c r="D4072" s="1"/>
      <c r="E4072" s="1"/>
      <c r="F4072" s="1"/>
    </row>
    <row r="4073" spans="1:6" x14ac:dyDescent="0.25">
      <c r="A4073" s="1"/>
      <c r="C4073" s="1"/>
      <c r="D4073" s="1"/>
      <c r="E4073" s="1"/>
      <c r="F4073" s="1"/>
    </row>
    <row r="4074" spans="1:6" x14ac:dyDescent="0.25">
      <c r="A4074" s="1"/>
      <c r="C4074" s="1"/>
      <c r="D4074" s="1"/>
      <c r="E4074" s="1"/>
      <c r="F4074" s="1"/>
    </row>
    <row r="4075" spans="1:6" x14ac:dyDescent="0.25">
      <c r="A4075" s="1"/>
      <c r="C4075" s="1"/>
      <c r="D4075" s="1"/>
      <c r="E4075" s="1"/>
      <c r="F4075" s="1"/>
    </row>
    <row r="4076" spans="1:6" x14ac:dyDescent="0.25">
      <c r="A4076" s="1"/>
      <c r="C4076" s="1"/>
      <c r="D4076" s="1"/>
      <c r="E4076" s="1"/>
      <c r="F4076" s="1"/>
    </row>
    <row r="4077" spans="1:6" x14ac:dyDescent="0.25">
      <c r="A4077" s="1"/>
      <c r="C4077" s="1"/>
      <c r="D4077" s="1"/>
      <c r="E4077" s="1"/>
      <c r="F4077" s="1"/>
    </row>
    <row r="4078" spans="1:6" x14ac:dyDescent="0.25">
      <c r="A4078" s="1"/>
      <c r="C4078" s="1"/>
      <c r="D4078" s="1"/>
      <c r="E4078" s="1"/>
      <c r="F4078" s="1"/>
    </row>
    <row r="4079" spans="1:6" x14ac:dyDescent="0.25">
      <c r="A4079" s="1"/>
      <c r="C4079" s="1"/>
      <c r="D4079" s="1"/>
      <c r="E4079" s="1"/>
      <c r="F4079" s="1"/>
    </row>
    <row r="4080" spans="1:6" x14ac:dyDescent="0.25">
      <c r="A4080" s="1"/>
      <c r="C4080" s="1"/>
      <c r="D4080" s="1"/>
      <c r="E4080" s="1"/>
      <c r="F4080" s="1"/>
    </row>
    <row r="4081" spans="1:6" x14ac:dyDescent="0.25">
      <c r="A4081" s="1"/>
      <c r="C4081" s="1"/>
      <c r="D4081" s="1"/>
      <c r="E4081" s="1"/>
      <c r="F4081" s="1"/>
    </row>
    <row r="4082" spans="1:6" x14ac:dyDescent="0.25">
      <c r="A4082" s="1"/>
      <c r="C4082" s="1"/>
      <c r="D4082" s="1"/>
      <c r="E4082" s="1"/>
      <c r="F4082" s="1"/>
    </row>
    <row r="4083" spans="1:6" x14ac:dyDescent="0.25">
      <c r="A4083" s="1"/>
      <c r="C4083" s="1"/>
      <c r="D4083" s="1"/>
      <c r="E4083" s="1"/>
      <c r="F4083" s="1"/>
    </row>
    <row r="4084" spans="1:6" x14ac:dyDescent="0.25">
      <c r="A4084" s="1"/>
      <c r="C4084" s="1"/>
      <c r="D4084" s="1"/>
      <c r="E4084" s="1"/>
      <c r="F4084" s="1"/>
    </row>
    <row r="4085" spans="1:6" x14ac:dyDescent="0.25">
      <c r="A4085" s="1"/>
      <c r="C4085" s="1"/>
      <c r="D4085" s="1"/>
      <c r="E4085" s="1"/>
      <c r="F4085" s="1"/>
    </row>
    <row r="4086" spans="1:6" x14ac:dyDescent="0.25">
      <c r="A4086" s="1"/>
      <c r="C4086" s="1"/>
      <c r="D4086" s="1"/>
      <c r="E4086" s="1"/>
      <c r="F4086" s="1"/>
    </row>
    <row r="4087" spans="1:6" x14ac:dyDescent="0.25">
      <c r="A4087" s="1"/>
      <c r="C4087" s="1"/>
      <c r="D4087" s="1"/>
      <c r="E4087" s="1"/>
      <c r="F4087" s="1"/>
    </row>
    <row r="4088" spans="1:6" x14ac:dyDescent="0.25">
      <c r="A4088" s="1"/>
      <c r="C4088" s="1"/>
      <c r="D4088" s="1"/>
      <c r="E4088" s="1"/>
      <c r="F4088" s="1"/>
    </row>
    <row r="4089" spans="1:6" x14ac:dyDescent="0.25">
      <c r="A4089" s="1"/>
      <c r="C4089" s="1"/>
      <c r="D4089" s="1"/>
      <c r="E4089" s="1"/>
      <c r="F4089" s="1"/>
    </row>
    <row r="4090" spans="1:6" x14ac:dyDescent="0.25">
      <c r="A4090" s="1"/>
      <c r="C4090" s="1"/>
      <c r="D4090" s="1"/>
      <c r="E4090" s="1"/>
      <c r="F4090" s="1"/>
    </row>
    <row r="4091" spans="1:6" x14ac:dyDescent="0.25">
      <c r="A4091" s="1"/>
      <c r="C4091" s="1"/>
      <c r="D4091" s="1"/>
      <c r="E4091" s="1"/>
      <c r="F4091" s="1"/>
    </row>
    <row r="4092" spans="1:6" x14ac:dyDescent="0.25">
      <c r="A4092" s="1"/>
      <c r="C4092" s="1"/>
      <c r="D4092" s="1"/>
      <c r="E4092" s="1"/>
      <c r="F4092" s="1"/>
    </row>
    <row r="4093" spans="1:6" x14ac:dyDescent="0.25">
      <c r="A4093" s="1"/>
      <c r="C4093" s="1"/>
      <c r="D4093" s="1"/>
      <c r="E4093" s="1"/>
      <c r="F4093" s="1"/>
    </row>
    <row r="4094" spans="1:6" x14ac:dyDescent="0.25">
      <c r="A4094" s="1"/>
      <c r="C4094" s="1"/>
      <c r="D4094" s="1"/>
      <c r="E4094" s="1"/>
      <c r="F4094" s="1"/>
    </row>
    <row r="4095" spans="1:6" x14ac:dyDescent="0.25">
      <c r="A4095" s="1"/>
      <c r="C4095" s="1"/>
      <c r="D4095" s="1"/>
      <c r="E4095" s="1"/>
      <c r="F4095" s="1"/>
    </row>
    <row r="4096" spans="1:6" x14ac:dyDescent="0.25">
      <c r="A4096" s="1"/>
      <c r="C4096" s="1"/>
      <c r="D4096" s="1"/>
      <c r="E4096" s="1"/>
      <c r="F4096" s="1"/>
    </row>
    <row r="4097" spans="1:6" x14ac:dyDescent="0.25">
      <c r="A4097" s="1"/>
      <c r="C4097" s="1"/>
      <c r="D4097" s="1"/>
      <c r="E4097" s="1"/>
      <c r="F4097" s="1"/>
    </row>
    <row r="4098" spans="1:6" x14ac:dyDescent="0.25">
      <c r="A4098" s="1"/>
      <c r="C4098" s="1"/>
      <c r="D4098" s="1"/>
      <c r="E4098" s="1"/>
      <c r="F4098" s="1"/>
    </row>
    <row r="4099" spans="1:6" x14ac:dyDescent="0.25">
      <c r="A4099" s="1"/>
      <c r="C4099" s="1"/>
      <c r="D4099" s="1"/>
      <c r="E4099" s="1"/>
      <c r="F4099" s="1"/>
    </row>
    <row r="4100" spans="1:6" x14ac:dyDescent="0.25">
      <c r="A4100" s="1"/>
      <c r="C4100" s="1"/>
      <c r="D4100" s="1"/>
      <c r="E4100" s="1"/>
      <c r="F4100" s="1"/>
    </row>
    <row r="4101" spans="1:6" x14ac:dyDescent="0.25">
      <c r="A4101" s="1"/>
      <c r="C4101" s="1"/>
      <c r="D4101" s="1"/>
      <c r="E4101" s="1"/>
      <c r="F4101" s="1"/>
    </row>
    <row r="4102" spans="1:6" x14ac:dyDescent="0.25">
      <c r="A4102" s="1"/>
      <c r="C4102" s="1"/>
      <c r="D4102" s="1"/>
      <c r="E4102" s="1"/>
      <c r="F4102" s="1"/>
    </row>
    <row r="4103" spans="1:6" x14ac:dyDescent="0.25">
      <c r="A4103" s="1"/>
      <c r="C4103" s="1"/>
      <c r="D4103" s="1"/>
      <c r="E4103" s="1"/>
      <c r="F4103" s="1"/>
    </row>
    <row r="4104" spans="1:6" x14ac:dyDescent="0.25">
      <c r="A4104" s="1"/>
      <c r="C4104" s="1"/>
      <c r="D4104" s="1"/>
      <c r="E4104" s="1"/>
      <c r="F4104" s="1"/>
    </row>
    <row r="4105" spans="1:6" x14ac:dyDescent="0.25">
      <c r="A4105" s="1"/>
      <c r="C4105" s="1"/>
      <c r="D4105" s="1"/>
      <c r="E4105" s="1"/>
      <c r="F4105" s="1"/>
    </row>
    <row r="4106" spans="1:6" x14ac:dyDescent="0.25">
      <c r="A4106" s="1"/>
      <c r="C4106" s="1"/>
      <c r="D4106" s="1"/>
      <c r="E4106" s="1"/>
      <c r="F4106" s="1"/>
    </row>
    <row r="4107" spans="1:6" x14ac:dyDescent="0.25">
      <c r="A4107" s="1"/>
      <c r="C4107" s="1"/>
      <c r="D4107" s="1"/>
      <c r="E4107" s="1"/>
      <c r="F4107" s="1"/>
    </row>
    <row r="4108" spans="1:6" x14ac:dyDescent="0.25">
      <c r="A4108" s="1"/>
      <c r="C4108" s="1"/>
      <c r="D4108" s="1"/>
      <c r="E4108" s="1"/>
      <c r="F4108" s="1"/>
    </row>
    <row r="4109" spans="1:6" x14ac:dyDescent="0.25">
      <c r="A4109" s="1"/>
      <c r="C4109" s="1"/>
      <c r="D4109" s="1"/>
      <c r="E4109" s="1"/>
      <c r="F4109" s="1"/>
    </row>
    <row r="4110" spans="1:6" x14ac:dyDescent="0.25">
      <c r="A4110" s="1"/>
      <c r="C4110" s="1"/>
      <c r="D4110" s="1"/>
      <c r="E4110" s="1"/>
      <c r="F4110" s="1"/>
    </row>
    <row r="4111" spans="1:6" x14ac:dyDescent="0.25">
      <c r="A4111" s="1"/>
      <c r="C4111" s="1"/>
      <c r="D4111" s="1"/>
      <c r="E4111" s="1"/>
      <c r="F4111" s="1"/>
    </row>
    <row r="4112" spans="1:6" x14ac:dyDescent="0.25">
      <c r="A4112" s="1"/>
      <c r="C4112" s="1"/>
      <c r="D4112" s="1"/>
      <c r="E4112" s="1"/>
      <c r="F4112" s="1"/>
    </row>
    <row r="4113" spans="1:6" x14ac:dyDescent="0.25">
      <c r="A4113" s="1"/>
      <c r="C4113" s="1"/>
      <c r="D4113" s="1"/>
      <c r="E4113" s="1"/>
      <c r="F4113" s="1"/>
    </row>
    <row r="4114" spans="1:6" x14ac:dyDescent="0.25">
      <c r="A4114" s="1"/>
      <c r="C4114" s="1"/>
      <c r="D4114" s="1"/>
      <c r="E4114" s="1"/>
      <c r="F4114" s="1"/>
    </row>
    <row r="4115" spans="1:6" x14ac:dyDescent="0.25">
      <c r="A4115" s="1"/>
      <c r="C4115" s="1"/>
      <c r="D4115" s="1"/>
      <c r="E4115" s="1"/>
      <c r="F4115" s="1"/>
    </row>
    <row r="4116" spans="1:6" x14ac:dyDescent="0.25">
      <c r="A4116" s="1"/>
      <c r="C4116" s="1"/>
      <c r="D4116" s="1"/>
      <c r="E4116" s="1"/>
      <c r="F4116" s="1"/>
    </row>
    <row r="4117" spans="1:6" x14ac:dyDescent="0.25">
      <c r="A4117" s="1"/>
      <c r="C4117" s="1"/>
      <c r="D4117" s="1"/>
      <c r="E4117" s="1"/>
      <c r="F4117" s="1"/>
    </row>
    <row r="4118" spans="1:6" x14ac:dyDescent="0.25">
      <c r="A4118" s="1"/>
      <c r="C4118" s="1"/>
      <c r="D4118" s="1"/>
      <c r="E4118" s="1"/>
      <c r="F4118" s="1"/>
    </row>
    <row r="4119" spans="1:6" x14ac:dyDescent="0.25">
      <c r="A4119" s="1"/>
      <c r="C4119" s="1"/>
      <c r="D4119" s="1"/>
      <c r="E4119" s="1"/>
      <c r="F4119" s="1"/>
    </row>
    <row r="4120" spans="1:6" x14ac:dyDescent="0.25">
      <c r="A4120" s="1"/>
      <c r="C4120" s="1"/>
      <c r="D4120" s="1"/>
      <c r="E4120" s="1"/>
      <c r="F4120" s="1"/>
    </row>
    <row r="4121" spans="1:6" x14ac:dyDescent="0.25">
      <c r="A4121" s="1"/>
      <c r="C4121" s="1"/>
      <c r="D4121" s="1"/>
      <c r="E4121" s="1"/>
      <c r="F4121" s="1"/>
    </row>
    <row r="4122" spans="1:6" x14ac:dyDescent="0.25">
      <c r="A4122" s="1"/>
      <c r="C4122" s="1"/>
      <c r="D4122" s="1"/>
      <c r="E4122" s="1"/>
      <c r="F4122" s="1"/>
    </row>
    <row r="4123" spans="1:6" x14ac:dyDescent="0.25">
      <c r="A4123" s="1"/>
      <c r="C4123" s="1"/>
      <c r="D4123" s="1"/>
      <c r="E4123" s="1"/>
      <c r="F4123" s="1"/>
    </row>
    <row r="4124" spans="1:6" x14ac:dyDescent="0.25">
      <c r="A4124" s="1"/>
      <c r="C4124" s="1"/>
      <c r="D4124" s="1"/>
      <c r="E4124" s="1"/>
      <c r="F4124" s="1"/>
    </row>
    <row r="4125" spans="1:6" x14ac:dyDescent="0.25">
      <c r="A4125" s="1"/>
      <c r="C4125" s="1"/>
      <c r="D4125" s="1"/>
      <c r="E4125" s="1"/>
      <c r="F4125" s="1"/>
    </row>
    <row r="4126" spans="1:6" x14ac:dyDescent="0.25">
      <c r="A4126" s="1"/>
      <c r="C4126" s="1"/>
      <c r="D4126" s="1"/>
      <c r="E4126" s="1"/>
      <c r="F4126" s="1"/>
    </row>
    <row r="4127" spans="1:6" x14ac:dyDescent="0.25">
      <c r="A4127" s="1"/>
      <c r="C4127" s="1"/>
      <c r="D4127" s="1"/>
      <c r="E4127" s="1"/>
      <c r="F4127" s="1"/>
    </row>
    <row r="4128" spans="1:6" x14ac:dyDescent="0.25">
      <c r="A4128" s="1"/>
      <c r="C4128" s="1"/>
      <c r="D4128" s="1"/>
      <c r="E4128" s="1"/>
      <c r="F4128" s="1"/>
    </row>
    <row r="4129" spans="1:6" x14ac:dyDescent="0.25">
      <c r="A4129" s="1"/>
      <c r="C4129" s="1"/>
      <c r="D4129" s="1"/>
      <c r="E4129" s="1"/>
      <c r="F4129" s="1"/>
    </row>
    <row r="4130" spans="1:6" x14ac:dyDescent="0.25">
      <c r="A4130" s="1"/>
      <c r="C4130" s="1"/>
      <c r="D4130" s="1"/>
      <c r="E4130" s="1"/>
      <c r="F4130" s="1"/>
    </row>
    <row r="4131" spans="1:6" x14ac:dyDescent="0.25">
      <c r="A4131" s="1"/>
      <c r="C4131" s="1"/>
      <c r="D4131" s="1"/>
      <c r="E4131" s="1"/>
      <c r="F4131" s="1"/>
    </row>
    <row r="4132" spans="1:6" x14ac:dyDescent="0.25">
      <c r="A4132" s="1"/>
      <c r="C4132" s="1"/>
      <c r="D4132" s="1"/>
      <c r="E4132" s="1"/>
      <c r="F4132" s="1"/>
    </row>
    <row r="4133" spans="1:6" x14ac:dyDescent="0.25">
      <c r="A4133" s="1"/>
      <c r="C4133" s="1"/>
      <c r="D4133" s="1"/>
      <c r="E4133" s="1"/>
      <c r="F4133" s="1"/>
    </row>
    <row r="4134" spans="1:6" x14ac:dyDescent="0.25">
      <c r="A4134" s="1"/>
      <c r="C4134" s="1"/>
      <c r="D4134" s="1"/>
      <c r="E4134" s="1"/>
      <c r="F4134" s="1"/>
    </row>
    <row r="4135" spans="1:6" x14ac:dyDescent="0.25">
      <c r="A4135" s="1"/>
      <c r="C4135" s="1"/>
      <c r="D4135" s="1"/>
      <c r="E4135" s="1"/>
      <c r="F4135" s="1"/>
    </row>
    <row r="4136" spans="1:6" x14ac:dyDescent="0.25">
      <c r="A4136" s="1"/>
      <c r="C4136" s="1"/>
      <c r="D4136" s="1"/>
      <c r="E4136" s="1"/>
      <c r="F4136" s="1"/>
    </row>
    <row r="4137" spans="1:6" x14ac:dyDescent="0.25">
      <c r="A4137" s="1"/>
      <c r="C4137" s="1"/>
      <c r="D4137" s="1"/>
      <c r="E4137" s="1"/>
      <c r="F4137" s="1"/>
    </row>
    <row r="4138" spans="1:6" x14ac:dyDescent="0.25">
      <c r="A4138" s="1"/>
      <c r="C4138" s="1"/>
      <c r="D4138" s="1"/>
      <c r="E4138" s="1"/>
      <c r="F4138" s="1"/>
    </row>
    <row r="4139" spans="1:6" x14ac:dyDescent="0.25">
      <c r="A4139" s="1"/>
      <c r="C4139" s="1"/>
      <c r="D4139" s="1"/>
      <c r="E4139" s="1"/>
      <c r="F4139" s="1"/>
    </row>
    <row r="4140" spans="1:6" x14ac:dyDescent="0.25">
      <c r="A4140" s="1"/>
      <c r="C4140" s="1"/>
      <c r="D4140" s="1"/>
      <c r="E4140" s="1"/>
      <c r="F4140" s="1"/>
    </row>
    <row r="4141" spans="1:6" x14ac:dyDescent="0.25">
      <c r="A4141" s="1"/>
      <c r="C4141" s="1"/>
      <c r="D4141" s="1"/>
      <c r="E4141" s="1"/>
      <c r="F4141" s="1"/>
    </row>
    <row r="4142" spans="1:6" x14ac:dyDescent="0.25">
      <c r="A4142" s="1"/>
      <c r="C4142" s="1"/>
      <c r="D4142" s="1"/>
      <c r="E4142" s="1"/>
      <c r="F4142" s="1"/>
    </row>
    <row r="4143" spans="1:6" x14ac:dyDescent="0.25">
      <c r="A4143" s="1"/>
      <c r="C4143" s="1"/>
      <c r="D4143" s="1"/>
      <c r="E4143" s="1"/>
      <c r="F4143" s="1"/>
    </row>
    <row r="4144" spans="1:6" x14ac:dyDescent="0.25">
      <c r="A4144" s="1"/>
      <c r="C4144" s="1"/>
      <c r="D4144" s="1"/>
      <c r="E4144" s="1"/>
      <c r="F4144" s="1"/>
    </row>
    <row r="4145" spans="1:6" x14ac:dyDescent="0.25">
      <c r="A4145" s="1"/>
      <c r="C4145" s="1"/>
      <c r="D4145" s="1"/>
      <c r="E4145" s="1"/>
      <c r="F4145" s="1"/>
    </row>
    <row r="4146" spans="1:6" x14ac:dyDescent="0.25">
      <c r="A4146" s="1"/>
      <c r="C4146" s="1"/>
      <c r="D4146" s="1"/>
      <c r="E4146" s="1"/>
      <c r="F4146" s="1"/>
    </row>
    <row r="4147" spans="1:6" x14ac:dyDescent="0.25">
      <c r="A4147" s="1"/>
      <c r="C4147" s="1"/>
      <c r="D4147" s="1"/>
      <c r="E4147" s="1"/>
      <c r="F4147" s="1"/>
    </row>
    <row r="4148" spans="1:6" x14ac:dyDescent="0.25">
      <c r="A4148" s="1"/>
      <c r="C4148" s="1"/>
      <c r="D4148" s="1"/>
      <c r="E4148" s="1"/>
      <c r="F4148" s="1"/>
    </row>
    <row r="4149" spans="1:6" x14ac:dyDescent="0.25">
      <c r="A4149" s="1"/>
      <c r="C4149" s="1"/>
      <c r="D4149" s="1"/>
      <c r="E4149" s="1"/>
      <c r="F4149" s="1"/>
    </row>
    <row r="4150" spans="1:6" x14ac:dyDescent="0.25">
      <c r="A4150" s="1"/>
      <c r="C4150" s="1"/>
      <c r="D4150" s="1"/>
      <c r="E4150" s="1"/>
      <c r="F4150" s="1"/>
    </row>
    <row r="4151" spans="1:6" x14ac:dyDescent="0.25">
      <c r="A4151" s="1"/>
      <c r="C4151" s="1"/>
      <c r="D4151" s="1"/>
      <c r="E4151" s="1"/>
      <c r="F4151" s="1"/>
    </row>
    <row r="4152" spans="1:6" x14ac:dyDescent="0.25">
      <c r="A4152" s="1"/>
      <c r="C4152" s="1"/>
      <c r="D4152" s="1"/>
      <c r="E4152" s="1"/>
      <c r="F4152" s="1"/>
    </row>
    <row r="4153" spans="1:6" x14ac:dyDescent="0.25">
      <c r="A4153" s="1"/>
      <c r="C4153" s="1"/>
      <c r="D4153" s="1"/>
      <c r="E4153" s="1"/>
      <c r="F4153" s="1"/>
    </row>
    <row r="4154" spans="1:6" x14ac:dyDescent="0.25">
      <c r="A4154" s="1"/>
      <c r="C4154" s="1"/>
      <c r="D4154" s="1"/>
      <c r="E4154" s="1"/>
      <c r="F4154" s="1"/>
    </row>
    <row r="4155" spans="1:6" x14ac:dyDescent="0.25">
      <c r="A4155" s="1"/>
      <c r="C4155" s="1"/>
      <c r="D4155" s="1"/>
      <c r="E4155" s="1"/>
      <c r="F4155" s="1"/>
    </row>
    <row r="4156" spans="1:6" x14ac:dyDescent="0.25">
      <c r="A4156" s="1"/>
      <c r="C4156" s="1"/>
      <c r="D4156" s="1"/>
      <c r="E4156" s="1"/>
      <c r="F4156" s="1"/>
    </row>
    <row r="4157" spans="1:6" x14ac:dyDescent="0.25">
      <c r="A4157" s="1"/>
      <c r="C4157" s="1"/>
      <c r="D4157" s="1"/>
      <c r="E4157" s="1"/>
      <c r="F4157" s="1"/>
    </row>
    <row r="4158" spans="1:6" x14ac:dyDescent="0.25">
      <c r="A4158" s="1"/>
      <c r="C4158" s="1"/>
      <c r="D4158" s="1"/>
      <c r="E4158" s="1"/>
      <c r="F4158" s="1"/>
    </row>
    <row r="4159" spans="1:6" x14ac:dyDescent="0.25">
      <c r="A4159" s="1"/>
      <c r="C4159" s="1"/>
      <c r="D4159" s="1"/>
      <c r="E4159" s="1"/>
      <c r="F4159" s="1"/>
    </row>
    <row r="4160" spans="1:6" x14ac:dyDescent="0.25">
      <c r="A4160" s="1"/>
      <c r="C4160" s="1"/>
      <c r="D4160" s="1"/>
      <c r="E4160" s="1"/>
      <c r="F4160" s="1"/>
    </row>
    <row r="4161" spans="1:6" x14ac:dyDescent="0.25">
      <c r="A4161" s="1"/>
      <c r="C4161" s="1"/>
      <c r="D4161" s="1"/>
      <c r="E4161" s="1"/>
      <c r="F4161" s="1"/>
    </row>
    <row r="4162" spans="1:6" x14ac:dyDescent="0.25">
      <c r="A4162" s="1"/>
      <c r="C4162" s="1"/>
      <c r="D4162" s="1"/>
      <c r="E4162" s="1"/>
      <c r="F4162" s="1"/>
    </row>
    <row r="4163" spans="1:6" x14ac:dyDescent="0.25">
      <c r="A4163" s="1"/>
      <c r="C4163" s="1"/>
      <c r="D4163" s="1"/>
      <c r="E4163" s="1"/>
      <c r="F4163" s="1"/>
    </row>
    <row r="4164" spans="1:6" x14ac:dyDescent="0.25">
      <c r="A4164" s="1"/>
      <c r="C4164" s="1"/>
      <c r="D4164" s="1"/>
      <c r="E4164" s="1"/>
      <c r="F4164" s="1"/>
    </row>
    <row r="4165" spans="1:6" x14ac:dyDescent="0.25">
      <c r="A4165" s="1"/>
      <c r="C4165" s="1"/>
      <c r="D4165" s="1"/>
      <c r="E4165" s="1"/>
      <c r="F4165" s="1"/>
    </row>
    <row r="4166" spans="1:6" x14ac:dyDescent="0.25">
      <c r="A4166" s="1"/>
      <c r="C4166" s="1"/>
      <c r="D4166" s="1"/>
      <c r="E4166" s="1"/>
      <c r="F4166" s="1"/>
    </row>
    <row r="4167" spans="1:6" x14ac:dyDescent="0.25">
      <c r="A4167" s="1"/>
      <c r="C4167" s="1"/>
      <c r="D4167" s="1"/>
      <c r="E4167" s="1"/>
      <c r="F4167" s="1"/>
    </row>
    <row r="4168" spans="1:6" x14ac:dyDescent="0.25">
      <c r="A4168" s="1"/>
      <c r="C4168" s="1"/>
      <c r="D4168" s="1"/>
      <c r="E4168" s="1"/>
      <c r="F4168" s="1"/>
    </row>
    <row r="4169" spans="1:6" x14ac:dyDescent="0.25">
      <c r="A4169" s="1"/>
      <c r="C4169" s="1"/>
      <c r="D4169" s="1"/>
      <c r="E4169" s="1"/>
      <c r="F4169" s="1"/>
    </row>
    <row r="4170" spans="1:6" x14ac:dyDescent="0.25">
      <c r="A4170" s="1"/>
      <c r="C4170" s="1"/>
      <c r="D4170" s="1"/>
      <c r="E4170" s="1"/>
      <c r="F4170" s="1"/>
    </row>
    <row r="4171" spans="1:6" x14ac:dyDescent="0.25">
      <c r="A4171" s="1"/>
      <c r="C4171" s="1"/>
      <c r="D4171" s="1"/>
      <c r="E4171" s="1"/>
      <c r="F4171" s="1"/>
    </row>
    <row r="4172" spans="1:6" x14ac:dyDescent="0.25">
      <c r="A4172" s="1"/>
      <c r="C4172" s="1"/>
      <c r="D4172" s="1"/>
      <c r="E4172" s="1"/>
      <c r="F4172" s="1"/>
    </row>
    <row r="4173" spans="1:6" x14ac:dyDescent="0.25">
      <c r="A4173" s="1"/>
      <c r="C4173" s="1"/>
      <c r="D4173" s="1"/>
      <c r="E4173" s="1"/>
      <c r="F4173" s="1"/>
    </row>
    <row r="4174" spans="1:6" x14ac:dyDescent="0.25">
      <c r="A4174" s="1"/>
      <c r="C4174" s="1"/>
      <c r="D4174" s="1"/>
      <c r="E4174" s="1"/>
      <c r="F4174" s="1"/>
    </row>
    <row r="4175" spans="1:6" x14ac:dyDescent="0.25">
      <c r="A4175" s="1"/>
      <c r="C4175" s="1"/>
      <c r="D4175" s="1"/>
      <c r="E4175" s="1"/>
      <c r="F4175" s="1"/>
    </row>
    <row r="4176" spans="1:6" x14ac:dyDescent="0.25">
      <c r="A4176" s="1"/>
      <c r="C4176" s="1"/>
      <c r="D4176" s="1"/>
      <c r="E4176" s="1"/>
      <c r="F4176" s="1"/>
    </row>
    <row r="4177" spans="1:6" x14ac:dyDescent="0.25">
      <c r="A4177" s="1"/>
      <c r="C4177" s="1"/>
      <c r="D4177" s="1"/>
      <c r="E4177" s="1"/>
      <c r="F4177" s="1"/>
    </row>
    <row r="4178" spans="1:6" x14ac:dyDescent="0.25">
      <c r="A4178" s="1"/>
      <c r="C4178" s="1"/>
      <c r="D4178" s="1"/>
      <c r="E4178" s="1"/>
      <c r="F4178" s="1"/>
    </row>
    <row r="4179" spans="1:6" x14ac:dyDescent="0.25">
      <c r="A4179" s="1"/>
      <c r="C4179" s="1"/>
      <c r="D4179" s="1"/>
      <c r="E4179" s="1"/>
      <c r="F4179" s="1"/>
    </row>
    <row r="4180" spans="1:6" x14ac:dyDescent="0.25">
      <c r="A4180" s="1"/>
      <c r="C4180" s="1"/>
      <c r="D4180" s="1"/>
      <c r="E4180" s="1"/>
      <c r="F4180" s="1"/>
    </row>
    <row r="4181" spans="1:6" x14ac:dyDescent="0.25">
      <c r="A4181" s="1"/>
      <c r="C4181" s="1"/>
      <c r="D4181" s="1"/>
      <c r="E4181" s="1"/>
      <c r="F4181" s="1"/>
    </row>
    <row r="4182" spans="1:6" x14ac:dyDescent="0.25">
      <c r="A4182" s="1"/>
      <c r="C4182" s="1"/>
      <c r="D4182" s="1"/>
      <c r="E4182" s="1"/>
      <c r="F4182" s="1"/>
    </row>
    <row r="4183" spans="1:6" x14ac:dyDescent="0.25">
      <c r="A4183" s="1"/>
      <c r="C4183" s="1"/>
      <c r="D4183" s="1"/>
      <c r="E4183" s="1"/>
      <c r="F4183" s="1"/>
    </row>
    <row r="4184" spans="1:6" x14ac:dyDescent="0.25">
      <c r="A4184" s="1"/>
      <c r="C4184" s="1"/>
      <c r="D4184" s="1"/>
      <c r="E4184" s="1"/>
      <c r="F4184" s="1"/>
    </row>
    <row r="4185" spans="1:6" x14ac:dyDescent="0.25">
      <c r="A4185" s="1"/>
      <c r="C4185" s="1"/>
      <c r="D4185" s="1"/>
      <c r="E4185" s="1"/>
      <c r="F4185" s="1"/>
    </row>
    <row r="4186" spans="1:6" x14ac:dyDescent="0.25">
      <c r="A4186" s="1"/>
      <c r="C4186" s="1"/>
      <c r="D4186" s="1"/>
      <c r="E4186" s="1"/>
      <c r="F4186" s="1"/>
    </row>
    <row r="4187" spans="1:6" x14ac:dyDescent="0.25">
      <c r="A4187" s="1"/>
      <c r="C4187" s="1"/>
      <c r="D4187" s="1"/>
      <c r="E4187" s="1"/>
      <c r="F4187" s="1"/>
    </row>
    <row r="4188" spans="1:6" x14ac:dyDescent="0.25">
      <c r="A4188" s="1"/>
      <c r="C4188" s="1"/>
      <c r="D4188" s="1"/>
      <c r="E4188" s="1"/>
      <c r="F4188" s="1"/>
    </row>
    <row r="4189" spans="1:6" x14ac:dyDescent="0.25">
      <c r="A4189" s="1"/>
      <c r="C4189" s="1"/>
      <c r="D4189" s="1"/>
      <c r="E4189" s="1"/>
      <c r="F4189" s="1"/>
    </row>
    <row r="4190" spans="1:6" x14ac:dyDescent="0.25">
      <c r="A4190" s="1"/>
      <c r="C4190" s="1"/>
      <c r="D4190" s="1"/>
      <c r="E4190" s="1"/>
      <c r="F4190" s="1"/>
    </row>
    <row r="4191" spans="1:6" x14ac:dyDescent="0.25">
      <c r="A4191" s="1"/>
      <c r="C4191" s="1"/>
      <c r="D4191" s="1"/>
      <c r="E4191" s="1"/>
      <c r="F4191" s="1"/>
    </row>
    <row r="4192" spans="1:6" x14ac:dyDescent="0.25">
      <c r="A4192" s="1"/>
      <c r="C4192" s="1"/>
      <c r="D4192" s="1"/>
      <c r="E4192" s="1"/>
      <c r="F4192" s="1"/>
    </row>
    <row r="4193" spans="1:6" x14ac:dyDescent="0.25">
      <c r="A4193" s="1"/>
      <c r="C4193" s="1"/>
      <c r="D4193" s="1"/>
      <c r="E4193" s="1"/>
      <c r="F4193" s="1"/>
    </row>
    <row r="4194" spans="1:6" x14ac:dyDescent="0.25">
      <c r="A4194" s="1"/>
      <c r="C4194" s="1"/>
      <c r="D4194" s="1"/>
      <c r="E4194" s="1"/>
      <c r="F4194" s="1"/>
    </row>
    <row r="4195" spans="1:6" x14ac:dyDescent="0.25">
      <c r="A4195" s="1"/>
      <c r="C4195" s="1"/>
      <c r="D4195" s="1"/>
      <c r="E4195" s="1"/>
      <c r="F4195" s="1"/>
    </row>
    <row r="4196" spans="1:6" x14ac:dyDescent="0.25">
      <c r="A4196" s="1"/>
      <c r="C4196" s="1"/>
      <c r="D4196" s="1"/>
      <c r="E4196" s="1"/>
      <c r="F4196" s="1"/>
    </row>
    <row r="4197" spans="1:6" x14ac:dyDescent="0.25">
      <c r="A4197" s="1"/>
      <c r="C4197" s="1"/>
      <c r="D4197" s="1"/>
      <c r="E4197" s="1"/>
      <c r="F4197" s="1"/>
    </row>
    <row r="4198" spans="1:6" x14ac:dyDescent="0.25">
      <c r="A4198" s="1"/>
      <c r="C4198" s="1"/>
      <c r="D4198" s="1"/>
      <c r="E4198" s="1"/>
      <c r="F4198" s="1"/>
    </row>
    <row r="4199" spans="1:6" x14ac:dyDescent="0.25">
      <c r="A4199" s="1"/>
      <c r="C4199" s="1"/>
      <c r="D4199" s="1"/>
      <c r="E4199" s="1"/>
      <c r="F4199" s="1"/>
    </row>
    <row r="4200" spans="1:6" x14ac:dyDescent="0.25">
      <c r="A4200" s="1"/>
      <c r="C4200" s="1"/>
      <c r="D4200" s="1"/>
      <c r="E4200" s="1"/>
      <c r="F4200" s="1"/>
    </row>
    <row r="4201" spans="1:6" x14ac:dyDescent="0.25">
      <c r="A4201" s="1"/>
      <c r="C4201" s="1"/>
      <c r="D4201" s="1"/>
      <c r="E4201" s="1"/>
      <c r="F4201" s="1"/>
    </row>
    <row r="4202" spans="1:6" x14ac:dyDescent="0.25">
      <c r="A4202" s="1"/>
      <c r="C4202" s="1"/>
      <c r="D4202" s="1"/>
      <c r="E4202" s="1"/>
      <c r="F4202" s="1"/>
    </row>
    <row r="4203" spans="1:6" x14ac:dyDescent="0.25">
      <c r="A4203" s="1"/>
      <c r="C4203" s="1"/>
      <c r="D4203" s="1"/>
      <c r="E4203" s="1"/>
      <c r="F4203" s="1"/>
    </row>
    <row r="4204" spans="1:6" x14ac:dyDescent="0.25">
      <c r="A4204" s="1"/>
      <c r="C4204" s="1"/>
      <c r="D4204" s="1"/>
      <c r="E4204" s="1"/>
      <c r="F4204" s="1"/>
    </row>
    <row r="4205" spans="1:6" x14ac:dyDescent="0.25">
      <c r="A4205" s="1"/>
      <c r="C4205" s="1"/>
      <c r="D4205" s="1"/>
      <c r="E4205" s="1"/>
      <c r="F4205" s="1"/>
    </row>
    <row r="4206" spans="1:6" x14ac:dyDescent="0.25">
      <c r="A4206" s="1"/>
      <c r="C4206" s="1"/>
      <c r="D4206" s="1"/>
      <c r="E4206" s="1"/>
      <c r="F4206" s="1"/>
    </row>
    <row r="4207" spans="1:6" x14ac:dyDescent="0.25">
      <c r="A4207" s="1"/>
      <c r="C4207" s="1"/>
      <c r="D4207" s="1"/>
      <c r="E4207" s="1"/>
      <c r="F4207" s="1"/>
    </row>
    <row r="4208" spans="1:6" x14ac:dyDescent="0.25">
      <c r="A4208" s="1"/>
      <c r="C4208" s="1"/>
      <c r="D4208" s="1"/>
      <c r="E4208" s="1"/>
      <c r="F4208" s="1"/>
    </row>
    <row r="4209" spans="1:6" x14ac:dyDescent="0.25">
      <c r="A4209" s="1"/>
      <c r="C4209" s="1"/>
      <c r="D4209" s="1"/>
      <c r="E4209" s="1"/>
      <c r="F4209" s="1"/>
    </row>
    <row r="4210" spans="1:6" x14ac:dyDescent="0.25">
      <c r="A4210" s="1"/>
      <c r="C4210" s="1"/>
      <c r="D4210" s="1"/>
      <c r="E4210" s="1"/>
      <c r="F4210" s="1"/>
    </row>
    <row r="4211" spans="1:6" x14ac:dyDescent="0.25">
      <c r="A4211" s="1"/>
      <c r="C4211" s="1"/>
      <c r="D4211" s="1"/>
      <c r="E4211" s="1"/>
      <c r="F4211" s="1"/>
    </row>
    <row r="4212" spans="1:6" x14ac:dyDescent="0.25">
      <c r="A4212" s="1"/>
      <c r="C4212" s="1"/>
      <c r="D4212" s="1"/>
      <c r="E4212" s="1"/>
      <c r="F4212" s="1"/>
    </row>
    <row r="4213" spans="1:6" x14ac:dyDescent="0.25">
      <c r="A4213" s="1"/>
      <c r="C4213" s="1"/>
      <c r="D4213" s="1"/>
      <c r="E4213" s="1"/>
      <c r="F4213" s="1"/>
    </row>
    <row r="4214" spans="1:6" x14ac:dyDescent="0.25">
      <c r="A4214" s="1"/>
      <c r="C4214" s="1"/>
      <c r="D4214" s="1"/>
      <c r="E4214" s="1"/>
      <c r="F4214" s="1"/>
    </row>
    <row r="4215" spans="1:6" x14ac:dyDescent="0.25">
      <c r="A4215" s="1"/>
      <c r="C4215" s="1"/>
      <c r="D4215" s="1"/>
      <c r="E4215" s="1"/>
      <c r="F4215" s="1"/>
    </row>
    <row r="4216" spans="1:6" x14ac:dyDescent="0.25">
      <c r="A4216" s="1"/>
      <c r="C4216" s="1"/>
      <c r="D4216" s="1"/>
      <c r="E4216" s="1"/>
      <c r="F4216" s="1"/>
    </row>
    <row r="4217" spans="1:6" x14ac:dyDescent="0.25">
      <c r="A4217" s="1"/>
      <c r="C4217" s="1"/>
      <c r="D4217" s="1"/>
      <c r="E4217" s="1"/>
      <c r="F4217" s="1"/>
    </row>
    <row r="4218" spans="1:6" x14ac:dyDescent="0.25">
      <c r="A4218" s="1"/>
      <c r="C4218" s="1"/>
      <c r="D4218" s="1"/>
      <c r="E4218" s="1"/>
      <c r="F4218" s="1"/>
    </row>
    <row r="4219" spans="1:6" x14ac:dyDescent="0.25">
      <c r="A4219" s="1"/>
      <c r="C4219" s="1"/>
      <c r="D4219" s="1"/>
      <c r="E4219" s="1"/>
      <c r="F4219" s="1"/>
    </row>
    <row r="4220" spans="1:6" x14ac:dyDescent="0.25">
      <c r="A4220" s="1"/>
      <c r="C4220" s="1"/>
      <c r="D4220" s="1"/>
      <c r="E4220" s="1"/>
      <c r="F4220" s="1"/>
    </row>
    <row r="4221" spans="1:6" x14ac:dyDescent="0.25">
      <c r="A4221" s="1"/>
      <c r="C4221" s="1"/>
      <c r="D4221" s="1"/>
      <c r="E4221" s="1"/>
      <c r="F4221" s="1"/>
    </row>
    <row r="4222" spans="1:6" x14ac:dyDescent="0.25">
      <c r="A4222" s="1"/>
      <c r="C4222" s="1"/>
      <c r="D4222" s="1"/>
      <c r="E4222" s="1"/>
      <c r="F4222" s="1"/>
    </row>
    <row r="4223" spans="1:6" x14ac:dyDescent="0.25">
      <c r="A4223" s="1"/>
      <c r="C4223" s="1"/>
      <c r="D4223" s="1"/>
      <c r="E4223" s="1"/>
      <c r="F4223" s="1"/>
    </row>
    <row r="4224" spans="1:6" x14ac:dyDescent="0.25">
      <c r="A4224" s="1"/>
      <c r="C4224" s="1"/>
      <c r="D4224" s="1"/>
      <c r="E4224" s="1"/>
      <c r="F4224" s="1"/>
    </row>
    <row r="4225" spans="1:6" x14ac:dyDescent="0.25">
      <c r="A4225" s="1"/>
      <c r="C4225" s="1"/>
      <c r="D4225" s="1"/>
      <c r="E4225" s="1"/>
      <c r="F4225" s="1"/>
    </row>
    <row r="4226" spans="1:6" x14ac:dyDescent="0.25">
      <c r="A4226" s="1"/>
      <c r="C4226" s="1"/>
      <c r="D4226" s="1"/>
      <c r="E4226" s="1"/>
      <c r="F4226" s="1"/>
    </row>
    <row r="4227" spans="1:6" x14ac:dyDescent="0.25">
      <c r="A4227" s="1"/>
      <c r="C4227" s="1"/>
      <c r="D4227" s="1"/>
      <c r="E4227" s="1"/>
      <c r="F4227" s="1"/>
    </row>
    <row r="4228" spans="1:6" x14ac:dyDescent="0.25">
      <c r="A4228" s="1"/>
      <c r="C4228" s="1"/>
      <c r="D4228" s="1"/>
      <c r="E4228" s="1"/>
      <c r="F4228" s="1"/>
    </row>
    <row r="4229" spans="1:6" x14ac:dyDescent="0.25">
      <c r="A4229" s="1"/>
      <c r="C4229" s="1"/>
      <c r="D4229" s="1"/>
      <c r="E4229" s="1"/>
      <c r="F4229" s="1"/>
    </row>
    <row r="4230" spans="1:6" x14ac:dyDescent="0.25">
      <c r="A4230" s="1"/>
      <c r="C4230" s="1"/>
      <c r="D4230" s="1"/>
      <c r="E4230" s="1"/>
      <c r="F4230" s="1"/>
    </row>
    <row r="4231" spans="1:6" x14ac:dyDescent="0.25">
      <c r="A4231" s="1"/>
      <c r="C4231" s="1"/>
      <c r="D4231" s="1"/>
      <c r="E4231" s="1"/>
      <c r="F4231" s="1"/>
    </row>
    <row r="4232" spans="1:6" x14ac:dyDescent="0.25">
      <c r="A4232" s="1"/>
      <c r="C4232" s="1"/>
      <c r="D4232" s="1"/>
      <c r="E4232" s="1"/>
      <c r="F4232" s="1"/>
    </row>
    <row r="4233" spans="1:6" x14ac:dyDescent="0.25">
      <c r="A4233" s="1"/>
      <c r="C4233" s="1"/>
      <c r="D4233" s="1"/>
      <c r="E4233" s="1"/>
      <c r="F4233" s="1"/>
    </row>
    <row r="4234" spans="1:6" x14ac:dyDescent="0.25">
      <c r="A4234" s="1"/>
      <c r="C4234" s="1"/>
      <c r="D4234" s="1"/>
      <c r="E4234" s="1"/>
      <c r="F4234" s="1"/>
    </row>
    <row r="4235" spans="1:6" x14ac:dyDescent="0.25">
      <c r="A4235" s="1"/>
      <c r="C4235" s="1"/>
      <c r="D4235" s="1"/>
      <c r="E4235" s="1"/>
      <c r="F4235" s="1"/>
    </row>
    <row r="4236" spans="1:6" x14ac:dyDescent="0.25">
      <c r="A4236" s="1"/>
      <c r="C4236" s="1"/>
      <c r="D4236" s="1"/>
      <c r="E4236" s="1"/>
      <c r="F4236" s="1"/>
    </row>
    <row r="4237" spans="1:6" x14ac:dyDescent="0.25">
      <c r="A4237" s="1"/>
      <c r="C4237" s="1"/>
      <c r="D4237" s="1"/>
      <c r="E4237" s="1"/>
      <c r="F4237" s="1"/>
    </row>
    <row r="4238" spans="1:6" x14ac:dyDescent="0.25">
      <c r="A4238" s="1"/>
      <c r="C4238" s="1"/>
      <c r="D4238" s="1"/>
      <c r="E4238" s="1"/>
      <c r="F4238" s="1"/>
    </row>
    <row r="4239" spans="1:6" x14ac:dyDescent="0.25">
      <c r="A4239" s="1"/>
      <c r="C4239" s="1"/>
      <c r="D4239" s="1"/>
      <c r="E4239" s="1"/>
      <c r="F4239" s="1"/>
    </row>
    <row r="4240" spans="1:6" x14ac:dyDescent="0.25">
      <c r="A4240" s="1"/>
      <c r="C4240" s="1"/>
      <c r="D4240" s="1"/>
      <c r="E4240" s="1"/>
      <c r="F4240" s="1"/>
    </row>
    <row r="4241" spans="1:6" x14ac:dyDescent="0.25">
      <c r="A4241" s="1"/>
      <c r="C4241" s="1"/>
      <c r="D4241" s="1"/>
      <c r="E4241" s="1"/>
      <c r="F4241" s="1"/>
    </row>
    <row r="4242" spans="1:6" x14ac:dyDescent="0.25">
      <c r="A4242" s="1"/>
      <c r="C4242" s="1"/>
      <c r="D4242" s="1"/>
      <c r="E4242" s="1"/>
      <c r="F4242" s="1"/>
    </row>
    <row r="4243" spans="1:6" x14ac:dyDescent="0.25">
      <c r="A4243" s="1"/>
      <c r="C4243" s="1"/>
      <c r="D4243" s="1"/>
      <c r="E4243" s="1"/>
      <c r="F4243" s="1"/>
    </row>
    <row r="4244" spans="1:6" x14ac:dyDescent="0.25">
      <c r="A4244" s="1"/>
      <c r="C4244" s="1"/>
      <c r="D4244" s="1"/>
      <c r="E4244" s="1"/>
      <c r="F4244" s="1"/>
    </row>
    <row r="4245" spans="1:6" x14ac:dyDescent="0.25">
      <c r="A4245" s="1"/>
      <c r="C4245" s="1"/>
      <c r="D4245" s="1"/>
      <c r="E4245" s="1"/>
      <c r="F4245" s="1"/>
    </row>
    <row r="4246" spans="1:6" x14ac:dyDescent="0.25">
      <c r="A4246" s="1"/>
      <c r="C4246" s="1"/>
      <c r="D4246" s="1"/>
      <c r="E4246" s="1"/>
      <c r="F4246" s="1"/>
    </row>
    <row r="4247" spans="1:6" x14ac:dyDescent="0.25">
      <c r="A4247" s="1"/>
      <c r="C4247" s="1"/>
      <c r="D4247" s="1"/>
      <c r="E4247" s="1"/>
      <c r="F4247" s="1"/>
    </row>
    <row r="4248" spans="1:6" x14ac:dyDescent="0.25">
      <c r="A4248" s="1"/>
      <c r="C4248" s="1"/>
      <c r="D4248" s="1"/>
      <c r="E4248" s="1"/>
      <c r="F4248" s="1"/>
    </row>
    <row r="4249" spans="1:6" x14ac:dyDescent="0.25">
      <c r="A4249" s="1"/>
      <c r="C4249" s="1"/>
      <c r="D4249" s="1"/>
      <c r="E4249" s="1"/>
      <c r="F4249" s="1"/>
    </row>
    <row r="4250" spans="1:6" x14ac:dyDescent="0.25">
      <c r="A4250" s="1"/>
      <c r="C4250" s="1"/>
      <c r="D4250" s="1"/>
      <c r="E4250" s="1"/>
      <c r="F4250" s="1"/>
    </row>
    <row r="4251" spans="1:6" x14ac:dyDescent="0.25">
      <c r="A4251" s="1"/>
      <c r="C4251" s="1"/>
      <c r="D4251" s="1"/>
      <c r="E4251" s="1"/>
      <c r="F4251" s="1"/>
    </row>
    <row r="4252" spans="1:6" x14ac:dyDescent="0.25">
      <c r="A4252" s="1"/>
      <c r="C4252" s="1"/>
      <c r="D4252" s="1"/>
      <c r="E4252" s="1"/>
      <c r="F4252" s="1"/>
    </row>
    <row r="4253" spans="1:6" x14ac:dyDescent="0.25">
      <c r="A4253" s="1"/>
      <c r="C4253" s="1"/>
      <c r="D4253" s="1"/>
      <c r="E4253" s="1"/>
      <c r="F4253" s="1"/>
    </row>
    <row r="4254" spans="1:6" x14ac:dyDescent="0.25">
      <c r="A4254" s="1"/>
      <c r="C4254" s="1"/>
      <c r="D4254" s="1"/>
      <c r="E4254" s="1"/>
      <c r="F4254" s="1"/>
    </row>
    <row r="4255" spans="1:6" x14ac:dyDescent="0.25">
      <c r="A4255" s="1"/>
      <c r="C4255" s="1"/>
      <c r="D4255" s="1"/>
      <c r="E4255" s="1"/>
      <c r="F4255" s="1"/>
    </row>
    <row r="4256" spans="1:6" x14ac:dyDescent="0.25">
      <c r="A4256" s="1"/>
      <c r="C4256" s="1"/>
      <c r="D4256" s="1"/>
      <c r="E4256" s="1"/>
      <c r="F4256" s="1"/>
    </row>
    <row r="4257" spans="1:6" x14ac:dyDescent="0.25">
      <c r="A4257" s="1"/>
      <c r="C4257" s="1"/>
      <c r="D4257" s="1"/>
      <c r="E4257" s="1"/>
      <c r="F4257" s="1"/>
    </row>
    <row r="4258" spans="1:6" x14ac:dyDescent="0.25">
      <c r="A4258" s="1"/>
      <c r="C4258" s="1"/>
      <c r="D4258" s="1"/>
      <c r="E4258" s="1"/>
      <c r="F4258" s="1"/>
    </row>
    <row r="4259" spans="1:6" x14ac:dyDescent="0.25">
      <c r="A4259" s="1"/>
      <c r="C4259" s="1"/>
      <c r="D4259" s="1"/>
      <c r="E4259" s="1"/>
      <c r="F4259" s="1"/>
    </row>
    <row r="4260" spans="1:6" x14ac:dyDescent="0.25">
      <c r="A4260" s="1"/>
      <c r="C4260" s="1"/>
      <c r="D4260" s="1"/>
      <c r="E4260" s="1"/>
      <c r="F4260" s="1"/>
    </row>
    <row r="4261" spans="1:6" x14ac:dyDescent="0.25">
      <c r="A4261" s="1"/>
      <c r="C4261" s="1"/>
      <c r="D4261" s="1"/>
      <c r="E4261" s="1"/>
      <c r="F4261" s="1"/>
    </row>
    <row r="4262" spans="1:6" x14ac:dyDescent="0.25">
      <c r="A4262" s="1"/>
      <c r="C4262" s="1"/>
      <c r="D4262" s="1"/>
      <c r="E4262" s="1"/>
      <c r="F4262" s="1"/>
    </row>
    <row r="4263" spans="1:6" x14ac:dyDescent="0.25">
      <c r="A4263" s="1"/>
      <c r="C4263" s="1"/>
      <c r="D4263" s="1"/>
      <c r="E4263" s="1"/>
      <c r="F4263" s="1"/>
    </row>
    <row r="4264" spans="1:6" x14ac:dyDescent="0.25">
      <c r="A4264" s="1"/>
      <c r="C4264" s="1"/>
      <c r="D4264" s="1"/>
      <c r="E4264" s="1"/>
      <c r="F4264" s="1"/>
    </row>
    <row r="4265" spans="1:6" x14ac:dyDescent="0.25">
      <c r="A4265" s="1"/>
      <c r="C4265" s="1"/>
      <c r="D4265" s="1"/>
      <c r="E4265" s="1"/>
      <c r="F4265" s="1"/>
    </row>
    <row r="4266" spans="1:6" x14ac:dyDescent="0.25">
      <c r="A4266" s="1"/>
      <c r="C4266" s="1"/>
      <c r="D4266" s="1"/>
      <c r="E4266" s="1"/>
      <c r="F4266" s="1"/>
    </row>
    <row r="4267" spans="1:6" x14ac:dyDescent="0.25">
      <c r="A4267" s="1"/>
      <c r="C4267" s="1"/>
      <c r="D4267" s="1"/>
      <c r="E4267" s="1"/>
      <c r="F4267" s="1"/>
    </row>
    <row r="4268" spans="1:6" x14ac:dyDescent="0.25">
      <c r="A4268" s="1"/>
      <c r="C4268" s="1"/>
      <c r="D4268" s="1"/>
      <c r="E4268" s="1"/>
      <c r="F4268" s="1"/>
    </row>
    <row r="4269" spans="1:6" x14ac:dyDescent="0.25">
      <c r="A4269" s="1"/>
      <c r="C4269" s="1"/>
      <c r="D4269" s="1"/>
      <c r="E4269" s="1"/>
      <c r="F4269" s="1"/>
    </row>
    <row r="4270" spans="1:6" x14ac:dyDescent="0.25">
      <c r="A4270" s="1"/>
      <c r="C4270" s="1"/>
      <c r="D4270" s="1"/>
      <c r="E4270" s="1"/>
      <c r="F4270" s="1"/>
    </row>
    <row r="4271" spans="1:6" x14ac:dyDescent="0.25">
      <c r="A4271" s="1"/>
      <c r="C4271" s="1"/>
      <c r="D4271" s="1"/>
      <c r="E4271" s="1"/>
      <c r="F4271" s="1"/>
    </row>
    <row r="4272" spans="1:6" x14ac:dyDescent="0.25">
      <c r="A4272" s="1"/>
      <c r="C4272" s="1"/>
      <c r="D4272" s="1"/>
      <c r="E4272" s="1"/>
      <c r="F4272" s="1"/>
    </row>
    <row r="4273" spans="1:6" x14ac:dyDescent="0.25">
      <c r="A4273" s="1"/>
      <c r="C4273" s="1"/>
      <c r="D4273" s="1"/>
      <c r="E4273" s="1"/>
      <c r="F4273" s="1"/>
    </row>
    <row r="4274" spans="1:6" x14ac:dyDescent="0.25">
      <c r="A4274" s="1"/>
      <c r="C4274" s="1"/>
      <c r="D4274" s="1"/>
      <c r="E4274" s="1"/>
      <c r="F4274" s="1"/>
    </row>
    <row r="4275" spans="1:6" x14ac:dyDescent="0.25">
      <c r="A4275" s="1"/>
      <c r="C4275" s="1"/>
      <c r="D4275" s="1"/>
      <c r="E4275" s="1"/>
      <c r="F4275" s="1"/>
    </row>
    <row r="4276" spans="1:6" x14ac:dyDescent="0.25">
      <c r="A4276" s="1"/>
      <c r="C4276" s="1"/>
      <c r="D4276" s="1"/>
      <c r="E4276" s="1"/>
      <c r="F4276" s="1"/>
    </row>
    <row r="4277" spans="1:6" x14ac:dyDescent="0.25">
      <c r="A4277" s="1"/>
      <c r="C4277" s="1"/>
      <c r="D4277" s="1"/>
      <c r="E4277" s="1"/>
      <c r="F4277" s="1"/>
    </row>
    <row r="4278" spans="1:6" x14ac:dyDescent="0.25">
      <c r="A4278" s="1"/>
      <c r="C4278" s="1"/>
      <c r="D4278" s="1"/>
      <c r="E4278" s="1"/>
      <c r="F4278" s="1"/>
    </row>
    <row r="4279" spans="1:6" x14ac:dyDescent="0.25">
      <c r="A4279" s="1"/>
      <c r="C4279" s="1"/>
      <c r="D4279" s="1"/>
      <c r="E4279" s="1"/>
      <c r="F4279" s="1"/>
    </row>
    <row r="4280" spans="1:6" x14ac:dyDescent="0.25">
      <c r="A4280" s="1"/>
      <c r="C4280" s="1"/>
      <c r="D4280" s="1"/>
      <c r="E4280" s="1"/>
      <c r="F4280" s="1"/>
    </row>
    <row r="4281" spans="1:6" x14ac:dyDescent="0.25">
      <c r="A4281" s="1"/>
      <c r="C4281" s="1"/>
      <c r="D4281" s="1"/>
      <c r="E4281" s="1"/>
      <c r="F4281" s="1"/>
    </row>
    <row r="4282" spans="1:6" x14ac:dyDescent="0.25">
      <c r="A4282" s="1"/>
      <c r="C4282" s="1"/>
      <c r="D4282" s="1"/>
      <c r="E4282" s="1"/>
      <c r="F4282" s="1"/>
    </row>
    <row r="4283" spans="1:6" x14ac:dyDescent="0.25">
      <c r="A4283" s="1"/>
      <c r="C4283" s="1"/>
      <c r="D4283" s="1"/>
      <c r="E4283" s="1"/>
      <c r="F4283" s="1"/>
    </row>
    <row r="4284" spans="1:6" x14ac:dyDescent="0.25">
      <c r="A4284" s="1"/>
      <c r="C4284" s="1"/>
      <c r="D4284" s="1"/>
      <c r="E4284" s="1"/>
      <c r="F4284" s="1"/>
    </row>
    <row r="4285" spans="1:6" x14ac:dyDescent="0.25">
      <c r="A4285" s="1"/>
      <c r="C4285" s="1"/>
      <c r="D4285" s="1"/>
      <c r="E4285" s="1"/>
      <c r="F4285" s="1"/>
    </row>
    <row r="4286" spans="1:6" x14ac:dyDescent="0.25">
      <c r="A4286" s="1"/>
      <c r="C4286" s="1"/>
      <c r="D4286" s="1"/>
      <c r="E4286" s="1"/>
      <c r="F4286" s="1"/>
    </row>
    <row r="4287" spans="1:6" x14ac:dyDescent="0.25">
      <c r="A4287" s="1"/>
      <c r="C4287" s="1"/>
      <c r="D4287" s="1"/>
      <c r="E4287" s="1"/>
      <c r="F4287" s="1"/>
    </row>
    <row r="4288" spans="1:6" x14ac:dyDescent="0.25">
      <c r="A4288" s="1"/>
      <c r="C4288" s="1"/>
      <c r="D4288" s="1"/>
      <c r="E4288" s="1"/>
      <c r="F4288" s="1"/>
    </row>
    <row r="4289" spans="1:6" x14ac:dyDescent="0.25">
      <c r="A4289" s="1"/>
      <c r="C4289" s="1"/>
      <c r="D4289" s="1"/>
      <c r="E4289" s="1"/>
      <c r="F4289" s="1"/>
    </row>
    <row r="4290" spans="1:6" x14ac:dyDescent="0.25">
      <c r="A4290" s="1"/>
      <c r="C4290" s="1"/>
      <c r="D4290" s="1"/>
      <c r="E4290" s="1"/>
      <c r="F4290" s="1"/>
    </row>
    <row r="4291" spans="1:6" x14ac:dyDescent="0.25">
      <c r="A4291" s="1"/>
      <c r="C4291" s="1"/>
      <c r="D4291" s="1"/>
      <c r="E4291" s="1"/>
      <c r="F4291" s="1"/>
    </row>
    <row r="4292" spans="1:6" x14ac:dyDescent="0.25">
      <c r="A4292" s="1"/>
      <c r="C4292" s="1"/>
      <c r="D4292" s="1"/>
      <c r="E4292" s="1"/>
      <c r="F4292" s="1"/>
    </row>
    <row r="4293" spans="1:6" x14ac:dyDescent="0.25">
      <c r="A4293" s="1"/>
      <c r="C4293" s="1"/>
      <c r="D4293" s="1"/>
      <c r="E4293" s="1"/>
      <c r="F4293" s="1"/>
    </row>
    <row r="4294" spans="1:6" x14ac:dyDescent="0.25">
      <c r="A4294" s="1"/>
      <c r="C4294" s="1"/>
      <c r="D4294" s="1"/>
      <c r="E4294" s="1"/>
      <c r="F4294" s="1"/>
    </row>
    <row r="4295" spans="1:6" x14ac:dyDescent="0.25">
      <c r="A4295" s="1"/>
      <c r="C4295" s="1"/>
      <c r="D4295" s="1"/>
      <c r="E4295" s="1"/>
      <c r="F4295" s="1"/>
    </row>
    <row r="4296" spans="1:6" x14ac:dyDescent="0.25">
      <c r="A4296" s="1"/>
      <c r="C4296" s="1"/>
      <c r="D4296" s="1"/>
      <c r="E4296" s="1"/>
      <c r="F4296" s="1"/>
    </row>
    <row r="4297" spans="1:6" x14ac:dyDescent="0.25">
      <c r="A4297" s="1"/>
      <c r="C4297" s="1"/>
      <c r="D4297" s="1"/>
      <c r="E4297" s="1"/>
      <c r="F4297" s="1"/>
    </row>
    <row r="4298" spans="1:6" x14ac:dyDescent="0.25">
      <c r="A4298" s="1"/>
      <c r="C4298" s="1"/>
      <c r="D4298" s="1"/>
      <c r="E4298" s="1"/>
      <c r="F4298" s="1"/>
    </row>
    <row r="4299" spans="1:6" x14ac:dyDescent="0.25">
      <c r="A4299" s="1"/>
      <c r="C4299" s="1"/>
      <c r="D4299" s="1"/>
      <c r="E4299" s="1"/>
      <c r="F4299" s="1"/>
    </row>
    <row r="4300" spans="1:6" x14ac:dyDescent="0.25">
      <c r="A4300" s="1"/>
      <c r="C4300" s="1"/>
      <c r="D4300" s="1"/>
      <c r="E4300" s="1"/>
      <c r="F4300" s="1"/>
    </row>
    <row r="4301" spans="1:6" x14ac:dyDescent="0.25">
      <c r="A4301" s="1"/>
      <c r="C4301" s="1"/>
      <c r="D4301" s="1"/>
      <c r="E4301" s="1"/>
      <c r="F4301" s="1"/>
    </row>
    <row r="4302" spans="1:6" x14ac:dyDescent="0.25">
      <c r="A4302" s="1"/>
      <c r="C4302" s="1"/>
      <c r="D4302" s="1"/>
      <c r="E4302" s="1"/>
      <c r="F4302" s="1"/>
    </row>
    <row r="4303" spans="1:6" x14ac:dyDescent="0.25">
      <c r="A4303" s="1"/>
      <c r="C4303" s="1"/>
      <c r="D4303" s="1"/>
      <c r="E4303" s="1"/>
      <c r="F4303" s="1"/>
    </row>
    <row r="4304" spans="1:6" x14ac:dyDescent="0.25">
      <c r="A4304" s="1"/>
      <c r="C4304" s="1"/>
      <c r="D4304" s="1"/>
      <c r="E4304" s="1"/>
      <c r="F4304" s="1"/>
    </row>
    <row r="4305" spans="1:6" x14ac:dyDescent="0.25">
      <c r="A4305" s="1"/>
      <c r="C4305" s="1"/>
      <c r="D4305" s="1"/>
      <c r="E4305" s="1"/>
      <c r="F4305" s="1"/>
    </row>
    <row r="4306" spans="1:6" x14ac:dyDescent="0.25">
      <c r="A4306" s="1"/>
      <c r="C4306" s="1"/>
      <c r="D4306" s="1"/>
      <c r="E4306" s="1"/>
      <c r="F4306" s="1"/>
    </row>
    <row r="4307" spans="1:6" x14ac:dyDescent="0.25">
      <c r="A4307" s="1"/>
      <c r="C4307" s="1"/>
      <c r="D4307" s="1"/>
      <c r="E4307" s="1"/>
      <c r="F4307" s="1"/>
    </row>
    <row r="4308" spans="1:6" x14ac:dyDescent="0.25">
      <c r="A4308" s="1"/>
      <c r="C4308" s="1"/>
      <c r="D4308" s="1"/>
      <c r="E4308" s="1"/>
      <c r="F4308" s="1"/>
    </row>
    <row r="4309" spans="1:6" x14ac:dyDescent="0.25">
      <c r="A4309" s="1"/>
      <c r="C4309" s="1"/>
      <c r="D4309" s="1"/>
      <c r="E4309" s="1"/>
      <c r="F4309" s="1"/>
    </row>
    <row r="4310" spans="1:6" x14ac:dyDescent="0.25">
      <c r="A4310" s="1"/>
      <c r="C4310" s="1"/>
      <c r="D4310" s="1"/>
      <c r="E4310" s="1"/>
      <c r="F4310" s="1"/>
    </row>
    <row r="4311" spans="1:6" x14ac:dyDescent="0.25">
      <c r="A4311" s="1"/>
      <c r="C4311" s="1"/>
      <c r="D4311" s="1"/>
      <c r="E4311" s="1"/>
      <c r="F4311" s="1"/>
    </row>
    <row r="4312" spans="1:6" x14ac:dyDescent="0.25">
      <c r="A4312" s="1"/>
      <c r="C4312" s="1"/>
      <c r="D4312" s="1"/>
      <c r="E4312" s="1"/>
      <c r="F4312" s="1"/>
    </row>
    <row r="4313" spans="1:6" x14ac:dyDescent="0.25">
      <c r="A4313" s="1"/>
      <c r="C4313" s="1"/>
      <c r="D4313" s="1"/>
      <c r="E4313" s="1"/>
      <c r="F4313" s="1"/>
    </row>
    <row r="4314" spans="1:6" x14ac:dyDescent="0.25">
      <c r="A4314" s="1"/>
      <c r="C4314" s="1"/>
      <c r="D4314" s="1"/>
      <c r="E4314" s="1"/>
      <c r="F4314" s="1"/>
    </row>
    <row r="4315" spans="1:6" x14ac:dyDescent="0.25">
      <c r="A4315" s="1"/>
      <c r="C4315" s="1"/>
      <c r="D4315" s="1"/>
      <c r="E4315" s="1"/>
      <c r="F4315" s="1"/>
    </row>
    <row r="4316" spans="1:6" x14ac:dyDescent="0.25">
      <c r="A4316" s="1"/>
      <c r="C4316" s="1"/>
      <c r="D4316" s="1"/>
      <c r="E4316" s="1"/>
      <c r="F4316" s="1"/>
    </row>
    <row r="4317" spans="1:6" x14ac:dyDescent="0.25">
      <c r="A4317" s="1"/>
      <c r="C4317" s="1"/>
      <c r="D4317" s="1"/>
      <c r="E4317" s="1"/>
      <c r="F4317" s="1"/>
    </row>
    <row r="4318" spans="1:6" x14ac:dyDescent="0.25">
      <c r="A4318" s="1"/>
      <c r="C4318" s="1"/>
      <c r="D4318" s="1"/>
      <c r="E4318" s="1"/>
      <c r="F4318" s="1"/>
    </row>
    <row r="4319" spans="1:6" x14ac:dyDescent="0.25">
      <c r="A4319" s="1"/>
      <c r="C4319" s="1"/>
      <c r="D4319" s="1"/>
      <c r="E4319" s="1"/>
      <c r="F4319" s="1"/>
    </row>
    <row r="4320" spans="1:6" x14ac:dyDescent="0.25">
      <c r="A4320" s="1"/>
      <c r="C4320" s="1"/>
      <c r="D4320" s="1"/>
      <c r="E4320" s="1"/>
      <c r="F4320" s="1"/>
    </row>
    <row r="4321" spans="1:6" x14ac:dyDescent="0.25">
      <c r="A4321" s="1"/>
      <c r="C4321" s="1"/>
      <c r="D4321" s="1"/>
      <c r="E4321" s="1"/>
      <c r="F4321" s="1"/>
    </row>
    <row r="4322" spans="1:6" x14ac:dyDescent="0.25">
      <c r="A4322" s="1"/>
      <c r="C4322" s="1"/>
      <c r="D4322" s="1"/>
      <c r="E4322" s="1"/>
      <c r="F4322" s="1"/>
    </row>
    <row r="4323" spans="1:6" x14ac:dyDescent="0.25">
      <c r="A4323" s="1"/>
      <c r="C4323" s="1"/>
      <c r="D4323" s="1"/>
      <c r="E4323" s="1"/>
      <c r="F4323" s="1"/>
    </row>
    <row r="4324" spans="1:6" x14ac:dyDescent="0.25">
      <c r="A4324" s="1"/>
      <c r="C4324" s="1"/>
      <c r="D4324" s="1"/>
      <c r="E4324" s="1"/>
      <c r="F4324" s="1"/>
    </row>
    <row r="4325" spans="1:6" x14ac:dyDescent="0.25">
      <c r="A4325" s="1"/>
      <c r="C4325" s="1"/>
      <c r="D4325" s="1"/>
      <c r="E4325" s="1"/>
      <c r="F4325" s="1"/>
    </row>
    <row r="4326" spans="1:6" x14ac:dyDescent="0.25">
      <c r="A4326" s="1"/>
      <c r="C4326" s="1"/>
      <c r="D4326" s="1"/>
      <c r="E4326" s="1"/>
      <c r="F4326" s="1"/>
    </row>
    <row r="4327" spans="1:6" x14ac:dyDescent="0.25">
      <c r="A4327" s="1"/>
      <c r="C4327" s="1"/>
      <c r="D4327" s="1"/>
      <c r="E4327" s="1"/>
      <c r="F4327" s="1"/>
    </row>
    <row r="4328" spans="1:6" x14ac:dyDescent="0.25">
      <c r="A4328" s="1"/>
      <c r="C4328" s="1"/>
      <c r="D4328" s="1"/>
      <c r="E4328" s="1"/>
      <c r="F4328" s="1"/>
    </row>
    <row r="4329" spans="1:6" x14ac:dyDescent="0.25">
      <c r="A4329" s="1"/>
      <c r="C4329" s="1"/>
      <c r="D4329" s="1"/>
      <c r="E4329" s="1"/>
      <c r="F4329" s="1"/>
    </row>
    <row r="4330" spans="1:6" x14ac:dyDescent="0.25">
      <c r="A4330" s="1"/>
      <c r="C4330" s="1"/>
      <c r="D4330" s="1"/>
      <c r="E4330" s="1"/>
      <c r="F4330" s="1"/>
    </row>
    <row r="4331" spans="1:6" x14ac:dyDescent="0.25">
      <c r="A4331" s="1"/>
      <c r="C4331" s="1"/>
      <c r="D4331" s="1"/>
      <c r="E4331" s="1"/>
      <c r="F4331" s="1"/>
    </row>
    <row r="4332" spans="1:6" x14ac:dyDescent="0.25">
      <c r="A4332" s="1"/>
      <c r="C4332" s="1"/>
      <c r="D4332" s="1"/>
      <c r="E4332" s="1"/>
      <c r="F4332" s="1"/>
    </row>
    <row r="4333" spans="1:6" x14ac:dyDescent="0.25">
      <c r="A4333" s="1"/>
      <c r="C4333" s="1"/>
      <c r="D4333" s="1"/>
      <c r="E4333" s="1"/>
      <c r="F4333" s="1"/>
    </row>
    <row r="4334" spans="1:6" x14ac:dyDescent="0.25">
      <c r="A4334" s="1"/>
      <c r="C4334" s="1"/>
      <c r="D4334" s="1"/>
      <c r="E4334" s="1"/>
      <c r="F4334" s="1"/>
    </row>
    <row r="4335" spans="1:6" x14ac:dyDescent="0.25">
      <c r="A4335" s="1"/>
      <c r="C4335" s="1"/>
      <c r="D4335" s="1"/>
      <c r="E4335" s="1"/>
      <c r="F4335" s="1"/>
    </row>
    <row r="4336" spans="1:6" x14ac:dyDescent="0.25">
      <c r="A4336" s="1"/>
      <c r="C4336" s="1"/>
      <c r="D4336" s="1"/>
      <c r="E4336" s="1"/>
      <c r="F4336" s="1"/>
    </row>
    <row r="4337" spans="1:6" x14ac:dyDescent="0.25">
      <c r="A4337" s="1"/>
      <c r="C4337" s="1"/>
      <c r="D4337" s="1"/>
      <c r="E4337" s="1"/>
      <c r="F4337" s="1"/>
    </row>
    <row r="4338" spans="1:6" x14ac:dyDescent="0.25">
      <c r="A4338" s="1"/>
      <c r="C4338" s="1"/>
      <c r="D4338" s="1"/>
      <c r="E4338" s="1"/>
      <c r="F4338" s="1"/>
    </row>
    <row r="4339" spans="1:6" x14ac:dyDescent="0.25">
      <c r="A4339" s="1"/>
      <c r="C4339" s="1"/>
      <c r="D4339" s="1"/>
      <c r="E4339" s="1"/>
      <c r="F4339" s="1"/>
    </row>
    <row r="4340" spans="1:6" x14ac:dyDescent="0.25">
      <c r="A4340" s="1"/>
      <c r="C4340" s="1"/>
      <c r="D4340" s="1"/>
      <c r="E4340" s="1"/>
      <c r="F4340" s="1"/>
    </row>
    <row r="4341" spans="1:6" x14ac:dyDescent="0.25">
      <c r="A4341" s="1"/>
      <c r="C4341" s="1"/>
      <c r="D4341" s="1"/>
      <c r="E4341" s="1"/>
      <c r="F4341" s="1"/>
    </row>
    <row r="4342" spans="1:6" x14ac:dyDescent="0.25">
      <c r="A4342" s="1"/>
      <c r="C4342" s="1"/>
      <c r="D4342" s="1"/>
      <c r="E4342" s="1"/>
      <c r="F4342" s="1"/>
    </row>
    <row r="4343" spans="1:6" x14ac:dyDescent="0.25">
      <c r="A4343" s="1"/>
      <c r="C4343" s="1"/>
      <c r="D4343" s="1"/>
      <c r="E4343" s="1"/>
      <c r="F4343" s="1"/>
    </row>
    <row r="4344" spans="1:6" x14ac:dyDescent="0.25">
      <c r="A4344" s="1"/>
      <c r="C4344" s="1"/>
      <c r="D4344" s="1"/>
      <c r="E4344" s="1"/>
      <c r="F4344" s="1"/>
    </row>
    <row r="4345" spans="1:6" x14ac:dyDescent="0.25">
      <c r="A4345" s="1"/>
      <c r="C4345" s="1"/>
      <c r="D4345" s="1"/>
      <c r="E4345" s="1"/>
      <c r="F4345" s="1"/>
    </row>
    <row r="4346" spans="1:6" x14ac:dyDescent="0.25">
      <c r="A4346" s="1"/>
      <c r="C4346" s="1"/>
      <c r="D4346" s="1"/>
      <c r="E4346" s="1"/>
      <c r="F4346" s="1"/>
    </row>
    <row r="4347" spans="1:6" x14ac:dyDescent="0.25">
      <c r="A4347" s="1"/>
      <c r="C4347" s="1"/>
      <c r="D4347" s="1"/>
      <c r="E4347" s="1"/>
      <c r="F4347" s="1"/>
    </row>
    <row r="4348" spans="1:6" x14ac:dyDescent="0.25">
      <c r="A4348" s="1"/>
      <c r="C4348" s="1"/>
      <c r="D4348" s="1"/>
      <c r="E4348" s="1"/>
      <c r="F4348" s="1"/>
    </row>
    <row r="4349" spans="1:6" x14ac:dyDescent="0.25">
      <c r="A4349" s="1"/>
      <c r="C4349" s="1"/>
      <c r="D4349" s="1"/>
      <c r="E4349" s="1"/>
      <c r="F4349" s="1"/>
    </row>
    <row r="4350" spans="1:6" x14ac:dyDescent="0.25">
      <c r="A4350" s="1"/>
      <c r="C4350" s="1"/>
      <c r="D4350" s="1"/>
      <c r="E4350" s="1"/>
      <c r="F4350" s="1"/>
    </row>
    <row r="4351" spans="1:6" x14ac:dyDescent="0.25">
      <c r="A4351" s="1"/>
      <c r="C4351" s="1"/>
      <c r="D4351" s="1"/>
      <c r="E4351" s="1"/>
      <c r="F4351" s="1"/>
    </row>
    <row r="4352" spans="1:6" x14ac:dyDescent="0.25">
      <c r="A4352" s="1"/>
      <c r="C4352" s="1"/>
      <c r="D4352" s="1"/>
      <c r="E4352" s="1"/>
      <c r="F4352" s="1"/>
    </row>
    <row r="4353" spans="1:6" x14ac:dyDescent="0.25">
      <c r="A4353" s="1"/>
      <c r="C4353" s="1"/>
      <c r="D4353" s="1"/>
      <c r="E4353" s="1"/>
      <c r="F4353" s="1"/>
    </row>
    <row r="4354" spans="1:6" x14ac:dyDescent="0.25">
      <c r="A4354" s="1"/>
      <c r="C4354" s="1"/>
      <c r="D4354" s="1"/>
      <c r="E4354" s="1"/>
      <c r="F4354" s="1"/>
    </row>
    <row r="4355" spans="1:6" x14ac:dyDescent="0.25">
      <c r="A4355" s="1"/>
      <c r="C4355" s="1"/>
      <c r="D4355" s="1"/>
      <c r="E4355" s="1"/>
      <c r="F4355" s="1"/>
    </row>
    <row r="4356" spans="1:6" x14ac:dyDescent="0.25">
      <c r="A4356" s="1"/>
      <c r="C4356" s="1"/>
      <c r="D4356" s="1"/>
      <c r="E4356" s="1"/>
      <c r="F4356" s="1"/>
    </row>
    <row r="4357" spans="1:6" x14ac:dyDescent="0.25">
      <c r="A4357" s="1"/>
      <c r="C4357" s="1"/>
      <c r="D4357" s="1"/>
      <c r="E4357" s="1"/>
      <c r="F4357" s="1"/>
    </row>
    <row r="4358" spans="1:6" x14ac:dyDescent="0.25">
      <c r="A4358" s="1"/>
      <c r="C4358" s="1"/>
      <c r="D4358" s="1"/>
      <c r="E4358" s="1"/>
      <c r="F4358" s="1"/>
    </row>
    <row r="4359" spans="1:6" x14ac:dyDescent="0.25">
      <c r="A4359" s="1"/>
      <c r="C4359" s="1"/>
      <c r="D4359" s="1"/>
      <c r="E4359" s="1"/>
      <c r="F4359" s="1"/>
    </row>
    <row r="4360" spans="1:6" x14ac:dyDescent="0.25">
      <c r="A4360" s="1"/>
      <c r="C4360" s="1"/>
      <c r="D4360" s="1"/>
      <c r="E4360" s="1"/>
      <c r="F4360" s="1"/>
    </row>
    <row r="4361" spans="1:6" x14ac:dyDescent="0.25">
      <c r="A4361" s="1"/>
      <c r="C4361" s="1"/>
      <c r="D4361" s="1"/>
      <c r="E4361" s="1"/>
      <c r="F4361" s="1"/>
    </row>
    <row r="4362" spans="1:6" x14ac:dyDescent="0.25">
      <c r="A4362" s="1"/>
      <c r="C4362" s="1"/>
      <c r="D4362" s="1"/>
      <c r="E4362" s="1"/>
      <c r="F4362" s="1"/>
    </row>
    <row r="4363" spans="1:6" x14ac:dyDescent="0.25">
      <c r="A4363" s="1"/>
      <c r="C4363" s="1"/>
      <c r="D4363" s="1"/>
      <c r="E4363" s="1"/>
      <c r="F4363" s="1"/>
    </row>
    <row r="4364" spans="1:6" x14ac:dyDescent="0.25">
      <c r="A4364" s="1"/>
      <c r="C4364" s="1"/>
      <c r="D4364" s="1"/>
      <c r="E4364" s="1"/>
      <c r="F4364" s="1"/>
    </row>
    <row r="4365" spans="1:6" x14ac:dyDescent="0.25">
      <c r="A4365" s="1"/>
      <c r="C4365" s="1"/>
      <c r="D4365" s="1"/>
      <c r="E4365" s="1"/>
      <c r="F4365" s="1"/>
    </row>
    <row r="4366" spans="1:6" x14ac:dyDescent="0.25">
      <c r="A4366" s="1"/>
      <c r="C4366" s="1"/>
      <c r="D4366" s="1"/>
      <c r="E4366" s="1"/>
      <c r="F4366" s="1"/>
    </row>
    <row r="4367" spans="1:6" x14ac:dyDescent="0.25">
      <c r="A4367" s="1"/>
      <c r="C4367" s="1"/>
      <c r="D4367" s="1"/>
      <c r="E4367" s="1"/>
      <c r="F4367" s="1"/>
    </row>
    <row r="4368" spans="1:6" x14ac:dyDescent="0.25">
      <c r="A4368" s="1"/>
      <c r="C4368" s="1"/>
      <c r="D4368" s="1"/>
      <c r="E4368" s="1"/>
      <c r="F4368" s="1"/>
    </row>
    <row r="4369" spans="1:6" x14ac:dyDescent="0.25">
      <c r="A4369" s="1"/>
      <c r="C4369" s="1"/>
      <c r="D4369" s="1"/>
      <c r="E4369" s="1"/>
      <c r="F4369" s="1"/>
    </row>
    <row r="4370" spans="1:6" x14ac:dyDescent="0.25">
      <c r="A4370" s="1"/>
      <c r="C4370" s="1"/>
      <c r="D4370" s="1"/>
      <c r="E4370" s="1"/>
      <c r="F4370" s="1"/>
    </row>
    <row r="4371" spans="1:6" x14ac:dyDescent="0.25">
      <c r="A4371" s="1"/>
      <c r="C4371" s="1"/>
      <c r="D4371" s="1"/>
      <c r="E4371" s="1"/>
      <c r="F4371" s="1"/>
    </row>
    <row r="4372" spans="1:6" x14ac:dyDescent="0.25">
      <c r="A4372" s="1"/>
      <c r="C4372" s="1"/>
      <c r="D4372" s="1"/>
      <c r="E4372" s="1"/>
      <c r="F4372" s="1"/>
    </row>
    <row r="4373" spans="1:6" x14ac:dyDescent="0.25">
      <c r="A4373" s="1"/>
      <c r="C4373" s="1"/>
      <c r="D4373" s="1"/>
      <c r="E4373" s="1"/>
      <c r="F4373" s="1"/>
    </row>
    <row r="4374" spans="1:6" x14ac:dyDescent="0.25">
      <c r="A4374" s="1"/>
      <c r="C4374" s="1"/>
      <c r="D4374" s="1"/>
      <c r="E4374" s="1"/>
      <c r="F4374" s="1"/>
    </row>
    <row r="4375" spans="1:6" x14ac:dyDescent="0.25">
      <c r="A4375" s="1"/>
      <c r="C4375" s="1"/>
      <c r="D4375" s="1"/>
      <c r="E4375" s="1"/>
      <c r="F4375" s="1"/>
    </row>
    <row r="4376" spans="1:6" x14ac:dyDescent="0.25">
      <c r="A4376" s="1"/>
      <c r="C4376" s="1"/>
      <c r="D4376" s="1"/>
      <c r="E4376" s="1"/>
      <c r="F4376" s="1"/>
    </row>
    <row r="4377" spans="1:6" x14ac:dyDescent="0.25">
      <c r="A4377" s="1"/>
      <c r="C4377" s="1"/>
      <c r="D4377" s="1"/>
      <c r="E4377" s="1"/>
      <c r="F4377" s="1"/>
    </row>
    <row r="4378" spans="1:6" x14ac:dyDescent="0.25">
      <c r="A4378" s="1"/>
      <c r="C4378" s="1"/>
      <c r="D4378" s="1"/>
      <c r="E4378" s="1"/>
      <c r="F4378" s="1"/>
    </row>
    <row r="4379" spans="1:6" x14ac:dyDescent="0.25">
      <c r="A4379" s="1"/>
      <c r="C4379" s="1"/>
      <c r="D4379" s="1"/>
      <c r="E4379" s="1"/>
      <c r="F4379" s="1"/>
    </row>
    <row r="4380" spans="1:6" x14ac:dyDescent="0.25">
      <c r="A4380" s="1"/>
      <c r="C4380" s="1"/>
      <c r="D4380" s="1"/>
      <c r="E4380" s="1"/>
      <c r="F4380" s="1"/>
    </row>
    <row r="4381" spans="1:6" x14ac:dyDescent="0.25">
      <c r="A4381" s="1"/>
      <c r="C4381" s="1"/>
      <c r="D4381" s="1"/>
      <c r="E4381" s="1"/>
      <c r="F4381" s="1"/>
    </row>
    <row r="4382" spans="1:6" x14ac:dyDescent="0.25">
      <c r="A4382" s="1"/>
      <c r="C4382" s="1"/>
      <c r="D4382" s="1"/>
      <c r="E4382" s="1"/>
      <c r="F4382" s="1"/>
    </row>
    <row r="4383" spans="1:6" x14ac:dyDescent="0.25">
      <c r="A4383" s="1"/>
      <c r="C4383" s="1"/>
      <c r="D4383" s="1"/>
      <c r="E4383" s="1"/>
      <c r="F4383" s="1"/>
    </row>
    <row r="4384" spans="1:6" x14ac:dyDescent="0.25">
      <c r="A4384" s="1"/>
      <c r="C4384" s="1"/>
      <c r="D4384" s="1"/>
      <c r="E4384" s="1"/>
      <c r="F4384" s="1"/>
    </row>
    <row r="4385" spans="1:6" x14ac:dyDescent="0.25">
      <c r="A4385" s="1"/>
      <c r="C4385" s="1"/>
      <c r="D4385" s="1"/>
      <c r="E4385" s="1"/>
      <c r="F4385" s="1"/>
    </row>
    <row r="4386" spans="1:6" x14ac:dyDescent="0.25">
      <c r="A4386" s="1"/>
      <c r="C4386" s="1"/>
      <c r="D4386" s="1"/>
      <c r="E4386" s="1"/>
      <c r="F4386" s="1"/>
    </row>
    <row r="4387" spans="1:6" x14ac:dyDescent="0.25">
      <c r="A4387" s="1"/>
      <c r="C4387" s="1"/>
      <c r="D4387" s="1"/>
      <c r="E4387" s="1"/>
      <c r="F4387" s="1"/>
    </row>
    <row r="4388" spans="1:6" x14ac:dyDescent="0.25">
      <c r="A4388" s="1"/>
      <c r="C4388" s="1"/>
      <c r="D4388" s="1"/>
      <c r="E4388" s="1"/>
      <c r="F4388" s="1"/>
    </row>
    <row r="4389" spans="1:6" x14ac:dyDescent="0.25">
      <c r="A4389" s="1"/>
      <c r="C4389" s="1"/>
      <c r="D4389" s="1"/>
      <c r="E4389" s="1"/>
      <c r="F4389" s="1"/>
    </row>
    <row r="4390" spans="1:6" x14ac:dyDescent="0.25">
      <c r="A4390" s="1"/>
      <c r="C4390" s="1"/>
      <c r="D4390" s="1"/>
      <c r="E4390" s="1"/>
      <c r="F4390" s="1"/>
    </row>
    <row r="4391" spans="1:6" x14ac:dyDescent="0.25">
      <c r="A4391" s="1"/>
      <c r="C4391" s="1"/>
      <c r="D4391" s="1"/>
      <c r="E4391" s="1"/>
      <c r="F4391" s="1"/>
    </row>
    <row r="4392" spans="1:6" x14ac:dyDescent="0.25">
      <c r="A4392" s="1"/>
      <c r="C4392" s="1"/>
      <c r="D4392" s="1"/>
      <c r="E4392" s="1"/>
      <c r="F4392" s="1"/>
    </row>
    <row r="4393" spans="1:6" x14ac:dyDescent="0.25">
      <c r="A4393" s="1"/>
      <c r="C4393" s="1"/>
      <c r="D4393" s="1"/>
      <c r="E4393" s="1"/>
      <c r="F4393" s="1"/>
    </row>
    <row r="4394" spans="1:6" x14ac:dyDescent="0.25">
      <c r="A4394" s="1"/>
      <c r="C4394" s="1"/>
      <c r="D4394" s="1"/>
      <c r="E4394" s="1"/>
      <c r="F4394" s="1"/>
    </row>
    <row r="4395" spans="1:6" x14ac:dyDescent="0.25">
      <c r="A4395" s="1"/>
      <c r="C4395" s="1"/>
      <c r="D4395" s="1"/>
      <c r="E4395" s="1"/>
      <c r="F4395" s="1"/>
    </row>
    <row r="4396" spans="1:6" x14ac:dyDescent="0.25">
      <c r="A4396" s="1"/>
      <c r="C4396" s="1"/>
      <c r="D4396" s="1"/>
      <c r="E4396" s="1"/>
      <c r="F4396" s="1"/>
    </row>
    <row r="4397" spans="1:6" x14ac:dyDescent="0.25">
      <c r="A4397" s="1"/>
      <c r="C4397" s="1"/>
      <c r="D4397" s="1"/>
      <c r="E4397" s="1"/>
      <c r="F4397" s="1"/>
    </row>
    <row r="4398" spans="1:6" x14ac:dyDescent="0.25">
      <c r="A4398" s="1"/>
      <c r="C4398" s="1"/>
      <c r="D4398" s="1"/>
      <c r="E4398" s="1"/>
      <c r="F4398" s="1"/>
    </row>
    <row r="4399" spans="1:6" x14ac:dyDescent="0.25">
      <c r="A4399" s="1"/>
      <c r="C4399" s="1"/>
      <c r="D4399" s="1"/>
      <c r="E4399" s="1"/>
      <c r="F4399" s="1"/>
    </row>
    <row r="4400" spans="1:6" x14ac:dyDescent="0.25">
      <c r="A4400" s="1"/>
      <c r="C4400" s="1"/>
      <c r="D4400" s="1"/>
      <c r="E4400" s="1"/>
      <c r="F4400" s="1"/>
    </row>
    <row r="4401" spans="1:6" x14ac:dyDescent="0.25">
      <c r="A4401" s="1"/>
      <c r="C4401" s="1"/>
      <c r="D4401" s="1"/>
      <c r="E4401" s="1"/>
      <c r="F4401" s="1"/>
    </row>
    <row r="4402" spans="1:6" x14ac:dyDescent="0.25">
      <c r="A4402" s="1"/>
      <c r="C4402" s="1"/>
      <c r="D4402" s="1"/>
      <c r="E4402" s="1"/>
      <c r="F4402" s="1"/>
    </row>
    <row r="4403" spans="1:6" x14ac:dyDescent="0.25">
      <c r="A4403" s="1"/>
      <c r="C4403" s="1"/>
      <c r="D4403" s="1"/>
      <c r="E4403" s="1"/>
      <c r="F4403" s="1"/>
    </row>
    <row r="4404" spans="1:6" x14ac:dyDescent="0.25">
      <c r="A4404" s="1"/>
      <c r="C4404" s="1"/>
      <c r="D4404" s="1"/>
      <c r="E4404" s="1"/>
      <c r="F4404" s="1"/>
    </row>
    <row r="4405" spans="1:6" x14ac:dyDescent="0.25">
      <c r="A4405" s="1"/>
      <c r="C4405" s="1"/>
      <c r="D4405" s="1"/>
      <c r="E4405" s="1"/>
      <c r="F4405" s="1"/>
    </row>
    <row r="4406" spans="1:6" x14ac:dyDescent="0.25">
      <c r="A4406" s="1"/>
      <c r="C4406" s="1"/>
      <c r="D4406" s="1"/>
      <c r="E4406" s="1"/>
      <c r="F4406" s="1"/>
    </row>
    <row r="4407" spans="1:6" x14ac:dyDescent="0.25">
      <c r="A4407" s="1"/>
      <c r="C4407" s="1"/>
      <c r="D4407" s="1"/>
      <c r="E4407" s="1"/>
      <c r="F4407" s="1"/>
    </row>
    <row r="4408" spans="1:6" x14ac:dyDescent="0.25">
      <c r="A4408" s="1"/>
      <c r="C4408" s="1"/>
      <c r="D4408" s="1"/>
      <c r="E4408" s="1"/>
      <c r="F4408" s="1"/>
    </row>
    <row r="4409" spans="1:6" x14ac:dyDescent="0.25">
      <c r="A4409" s="1"/>
      <c r="C4409" s="1"/>
      <c r="D4409" s="1"/>
      <c r="E4409" s="1"/>
      <c r="F4409" s="1"/>
    </row>
    <row r="4410" spans="1:6" x14ac:dyDescent="0.25">
      <c r="A4410" s="1"/>
      <c r="C4410" s="1"/>
      <c r="D4410" s="1"/>
      <c r="E4410" s="1"/>
      <c r="F4410" s="1"/>
    </row>
    <row r="4411" spans="1:6" x14ac:dyDescent="0.25">
      <c r="A4411" s="1"/>
      <c r="C4411" s="1"/>
      <c r="D4411" s="1"/>
      <c r="E4411" s="1"/>
      <c r="F4411" s="1"/>
    </row>
    <row r="4412" spans="1:6" x14ac:dyDescent="0.25">
      <c r="A4412" s="1"/>
      <c r="C4412" s="1"/>
      <c r="D4412" s="1"/>
      <c r="E4412" s="1"/>
      <c r="F4412" s="1"/>
    </row>
    <row r="4413" spans="1:6" x14ac:dyDescent="0.25">
      <c r="A4413" s="1"/>
      <c r="C4413" s="1"/>
      <c r="D4413" s="1"/>
      <c r="E4413" s="1"/>
      <c r="F4413" s="1"/>
    </row>
    <row r="4414" spans="1:6" x14ac:dyDescent="0.25">
      <c r="A4414" s="1"/>
      <c r="C4414" s="1"/>
      <c r="D4414" s="1"/>
      <c r="E4414" s="1"/>
      <c r="F4414" s="1"/>
    </row>
    <row r="4415" spans="1:6" x14ac:dyDescent="0.25">
      <c r="A4415" s="1"/>
      <c r="C4415" s="1"/>
      <c r="D4415" s="1"/>
      <c r="E4415" s="1"/>
      <c r="F4415" s="1"/>
    </row>
    <row r="4416" spans="1:6" x14ac:dyDescent="0.25">
      <c r="A4416" s="1"/>
      <c r="C4416" s="1"/>
      <c r="D4416" s="1"/>
      <c r="E4416" s="1"/>
      <c r="F4416" s="1"/>
    </row>
    <row r="4417" spans="1:6" x14ac:dyDescent="0.25">
      <c r="A4417" s="1"/>
      <c r="C4417" s="1"/>
      <c r="D4417" s="1"/>
      <c r="E4417" s="1"/>
      <c r="F4417" s="1"/>
    </row>
    <row r="4418" spans="1:6" x14ac:dyDescent="0.25">
      <c r="A4418" s="1"/>
      <c r="C4418" s="1"/>
      <c r="D4418" s="1"/>
      <c r="E4418" s="1"/>
      <c r="F4418" s="1"/>
    </row>
    <row r="4419" spans="1:6" x14ac:dyDescent="0.25">
      <c r="A4419" s="1"/>
      <c r="C4419" s="1"/>
      <c r="D4419" s="1"/>
      <c r="E4419" s="1"/>
      <c r="F4419" s="1"/>
    </row>
    <row r="4420" spans="1:6" x14ac:dyDescent="0.25">
      <c r="A4420" s="1"/>
      <c r="C4420" s="1"/>
      <c r="D4420" s="1"/>
      <c r="E4420" s="1"/>
      <c r="F4420" s="1"/>
    </row>
    <row r="4421" spans="1:6" x14ac:dyDescent="0.25">
      <c r="A4421" s="1"/>
      <c r="C4421" s="1"/>
      <c r="D4421" s="1"/>
      <c r="E4421" s="1"/>
      <c r="F4421" s="1"/>
    </row>
    <row r="4422" spans="1:6" x14ac:dyDescent="0.25">
      <c r="A4422" s="1"/>
      <c r="C4422" s="1"/>
      <c r="D4422" s="1"/>
      <c r="E4422" s="1"/>
      <c r="F4422" s="1"/>
    </row>
    <row r="4423" spans="1:6" x14ac:dyDescent="0.25">
      <c r="A4423" s="1"/>
      <c r="C4423" s="1"/>
      <c r="D4423" s="1"/>
      <c r="E4423" s="1"/>
      <c r="F4423" s="1"/>
    </row>
    <row r="4424" spans="1:6" x14ac:dyDescent="0.25">
      <c r="A4424" s="1"/>
      <c r="C4424" s="1"/>
      <c r="D4424" s="1"/>
      <c r="E4424" s="1"/>
      <c r="F4424" s="1"/>
    </row>
    <row r="4425" spans="1:6" x14ac:dyDescent="0.25">
      <c r="A4425" s="1"/>
      <c r="C4425" s="1"/>
      <c r="D4425" s="1"/>
      <c r="E4425" s="1"/>
      <c r="F4425" s="1"/>
    </row>
    <row r="4426" spans="1:6" x14ac:dyDescent="0.25">
      <c r="A4426" s="1"/>
      <c r="C4426" s="1"/>
      <c r="D4426" s="1"/>
      <c r="E4426" s="1"/>
      <c r="F4426" s="1"/>
    </row>
    <row r="4427" spans="1:6" x14ac:dyDescent="0.25">
      <c r="A4427" s="1"/>
      <c r="C4427" s="1"/>
      <c r="D4427" s="1"/>
      <c r="E4427" s="1"/>
      <c r="F4427" s="1"/>
    </row>
    <row r="4428" spans="1:6" x14ac:dyDescent="0.25">
      <c r="A4428" s="1"/>
      <c r="C4428" s="1"/>
      <c r="D4428" s="1"/>
      <c r="E4428" s="1"/>
      <c r="F4428" s="1"/>
    </row>
    <row r="4429" spans="1:6" x14ac:dyDescent="0.25">
      <c r="A4429" s="1"/>
      <c r="C4429" s="1"/>
      <c r="D4429" s="1"/>
      <c r="E4429" s="1"/>
      <c r="F4429" s="1"/>
    </row>
    <row r="4430" spans="1:6" x14ac:dyDescent="0.25">
      <c r="A4430" s="1"/>
      <c r="C4430" s="1"/>
      <c r="D4430" s="1"/>
      <c r="E4430" s="1"/>
      <c r="F4430" s="1"/>
    </row>
    <row r="4431" spans="1:6" x14ac:dyDescent="0.25">
      <c r="A4431" s="1"/>
      <c r="C4431" s="1"/>
      <c r="D4431" s="1"/>
      <c r="E4431" s="1"/>
      <c r="F4431" s="1"/>
    </row>
    <row r="4432" spans="1:6" x14ac:dyDescent="0.25">
      <c r="A4432" s="1"/>
      <c r="C4432" s="1"/>
      <c r="D4432" s="1"/>
      <c r="E4432" s="1"/>
      <c r="F4432" s="1"/>
    </row>
    <row r="4433" spans="1:6" x14ac:dyDescent="0.25">
      <c r="A4433" s="1"/>
      <c r="C4433" s="1"/>
      <c r="D4433" s="1"/>
      <c r="E4433" s="1"/>
      <c r="F4433" s="1"/>
    </row>
    <row r="4434" spans="1:6" x14ac:dyDescent="0.25">
      <c r="A4434" s="1"/>
      <c r="C4434" s="1"/>
      <c r="D4434" s="1"/>
      <c r="E4434" s="1"/>
      <c r="F4434" s="1"/>
    </row>
    <row r="4435" spans="1:6" x14ac:dyDescent="0.25">
      <c r="A4435" s="1"/>
      <c r="C4435" s="1"/>
      <c r="D4435" s="1"/>
      <c r="E4435" s="1"/>
      <c r="F4435" s="1"/>
    </row>
    <row r="4436" spans="1:6" x14ac:dyDescent="0.25">
      <c r="A4436" s="1"/>
      <c r="C4436" s="1"/>
      <c r="D4436" s="1"/>
      <c r="E4436" s="1"/>
      <c r="F4436" s="1"/>
    </row>
    <row r="4437" spans="1:6" x14ac:dyDescent="0.25">
      <c r="A4437" s="1"/>
      <c r="C4437" s="1"/>
      <c r="D4437" s="1"/>
      <c r="E4437" s="1"/>
      <c r="F4437" s="1"/>
    </row>
    <row r="4438" spans="1:6" x14ac:dyDescent="0.25">
      <c r="A4438" s="1"/>
      <c r="C4438" s="1"/>
      <c r="D4438" s="1"/>
      <c r="E4438" s="1"/>
      <c r="F4438" s="1"/>
    </row>
    <row r="4439" spans="1:6" x14ac:dyDescent="0.25">
      <c r="A4439" s="1"/>
      <c r="C4439" s="1"/>
      <c r="D4439" s="1"/>
      <c r="E4439" s="1"/>
      <c r="F4439" s="1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E35"/>
  <sheetViews>
    <sheetView workbookViewId="0">
      <selection activeCell="B3" sqref="B3"/>
    </sheetView>
  </sheetViews>
  <sheetFormatPr defaultRowHeight="15" x14ac:dyDescent="0.25"/>
  <cols>
    <col min="2" max="2" width="14.28515625" bestFit="1" customWidth="1"/>
    <col min="4" max="4" width="9.140625" style="2"/>
    <col min="5" max="5" width="24" style="2" customWidth="1"/>
  </cols>
  <sheetData>
    <row r="1" spans="1:5" x14ac:dyDescent="0.25">
      <c r="A1" s="146" t="s">
        <v>59</v>
      </c>
      <c r="B1" s="146"/>
      <c r="C1" s="18"/>
    </row>
    <row r="2" spans="1:5" x14ac:dyDescent="0.25">
      <c r="A2" s="19" t="s">
        <v>60</v>
      </c>
      <c r="B2" s="19" t="s">
        <v>61</v>
      </c>
      <c r="C2" s="8"/>
      <c r="D2" s="2" t="s">
        <v>62</v>
      </c>
      <c r="E2" s="2" t="s">
        <v>63</v>
      </c>
    </row>
    <row r="3" spans="1:5" ht="15.75" thickBot="1" x14ac:dyDescent="0.3">
      <c r="A3" s="20">
        <v>101</v>
      </c>
      <c r="B3" s="20" cm="1">
        <f t="array" ref="B3:B35">COUNTIF('Base Completa'!J:J,Calculos!A3:A35)</f>
        <v>0</v>
      </c>
      <c r="D3" s="2">
        <v>10</v>
      </c>
      <c r="E3" s="2">
        <f>SUM(B3:B11)</f>
        <v>0</v>
      </c>
    </row>
    <row r="4" spans="1:5" ht="15.75" thickBot="1" x14ac:dyDescent="0.3">
      <c r="A4" s="20">
        <v>102</v>
      </c>
      <c r="B4" s="20">
        <v>0</v>
      </c>
      <c r="D4" s="2">
        <v>20</v>
      </c>
      <c r="E4" s="2">
        <f>SUM(B12:B19)</f>
        <v>0</v>
      </c>
    </row>
    <row r="5" spans="1:5" ht="15.75" thickBot="1" x14ac:dyDescent="0.3">
      <c r="A5" s="20">
        <v>103</v>
      </c>
      <c r="B5" s="20">
        <v>0</v>
      </c>
      <c r="D5" s="2">
        <v>30</v>
      </c>
      <c r="E5" s="2">
        <f>SUM(B20:B28)</f>
        <v>0</v>
      </c>
    </row>
    <row r="6" spans="1:5" ht="15.75" thickBot="1" x14ac:dyDescent="0.3">
      <c r="A6" s="20">
        <v>104</v>
      </c>
      <c r="B6" s="20">
        <v>0</v>
      </c>
      <c r="D6" s="2">
        <v>90</v>
      </c>
      <c r="E6" s="2">
        <f>SUM(B29:B33)</f>
        <v>0</v>
      </c>
    </row>
    <row r="7" spans="1:5" ht="15.75" thickBot="1" x14ac:dyDescent="0.3">
      <c r="A7" s="20">
        <v>105</v>
      </c>
      <c r="B7" s="20">
        <v>0</v>
      </c>
    </row>
    <row r="8" spans="1:5" ht="15.75" thickBot="1" x14ac:dyDescent="0.3">
      <c r="A8" s="20">
        <v>106</v>
      </c>
      <c r="B8" s="20">
        <v>0</v>
      </c>
    </row>
    <row r="9" spans="1:5" ht="15.75" thickBot="1" x14ac:dyDescent="0.3">
      <c r="A9" s="20">
        <v>107</v>
      </c>
      <c r="B9" s="20">
        <v>0</v>
      </c>
      <c r="D9" s="147" t="s">
        <v>66</v>
      </c>
      <c r="E9" s="147"/>
    </row>
    <row r="10" spans="1:5" ht="15.75" thickBot="1" x14ac:dyDescent="0.3">
      <c r="A10" s="20">
        <v>108</v>
      </c>
      <c r="B10" s="20">
        <v>0</v>
      </c>
      <c r="D10" s="145">
        <f>SUM(E3:E5)</f>
        <v>0</v>
      </c>
      <c r="E10" s="145"/>
    </row>
    <row r="11" spans="1:5" ht="15.75" thickBot="1" x14ac:dyDescent="0.3">
      <c r="A11" s="20">
        <v>109</v>
      </c>
      <c r="B11" s="20">
        <v>0</v>
      </c>
    </row>
    <row r="12" spans="1:5" ht="15.75" thickBot="1" x14ac:dyDescent="0.3">
      <c r="A12" s="20">
        <v>201</v>
      </c>
      <c r="B12" s="20">
        <v>0</v>
      </c>
      <c r="D12" s="147" t="s">
        <v>65</v>
      </c>
      <c r="E12" s="147"/>
    </row>
    <row r="13" spans="1:5" ht="15.75" thickBot="1" x14ac:dyDescent="0.3">
      <c r="A13" s="20">
        <v>202</v>
      </c>
      <c r="B13" s="20">
        <v>0</v>
      </c>
      <c r="D13" s="145">
        <f>SUM(Tabela7[Quantidade de Clientes])</f>
        <v>0</v>
      </c>
      <c r="E13" s="145"/>
    </row>
    <row r="14" spans="1:5" ht="15.75" thickBot="1" x14ac:dyDescent="0.3">
      <c r="A14" s="20">
        <v>203</v>
      </c>
      <c r="B14" s="20">
        <v>0</v>
      </c>
    </row>
    <row r="15" spans="1:5" ht="15.75" thickBot="1" x14ac:dyDescent="0.3">
      <c r="A15" s="20">
        <v>204</v>
      </c>
      <c r="B15" s="20">
        <v>0</v>
      </c>
    </row>
    <row r="16" spans="1:5" ht="15.75" thickBot="1" x14ac:dyDescent="0.3">
      <c r="A16" s="20">
        <v>205</v>
      </c>
      <c r="B16" s="20">
        <v>0</v>
      </c>
    </row>
    <row r="17" spans="1:2" ht="15.75" thickBot="1" x14ac:dyDescent="0.3">
      <c r="A17" s="20">
        <v>206</v>
      </c>
      <c r="B17" s="20">
        <v>0</v>
      </c>
    </row>
    <row r="18" spans="1:2" ht="15.75" thickBot="1" x14ac:dyDescent="0.3">
      <c r="A18" s="20">
        <v>207</v>
      </c>
      <c r="B18" s="20">
        <v>0</v>
      </c>
    </row>
    <row r="19" spans="1:2" ht="15.75" thickBot="1" x14ac:dyDescent="0.3">
      <c r="A19" s="20">
        <v>208</v>
      </c>
      <c r="B19" s="20">
        <v>0</v>
      </c>
    </row>
    <row r="20" spans="1:2" ht="15.75" thickBot="1" x14ac:dyDescent="0.3">
      <c r="A20" s="20">
        <v>301</v>
      </c>
      <c r="B20" s="20">
        <v>0</v>
      </c>
    </row>
    <row r="21" spans="1:2" ht="15.75" thickBot="1" x14ac:dyDescent="0.3">
      <c r="A21" s="20">
        <v>302</v>
      </c>
      <c r="B21" s="20">
        <v>0</v>
      </c>
    </row>
    <row r="22" spans="1:2" ht="15.75" thickBot="1" x14ac:dyDescent="0.3">
      <c r="A22" s="20">
        <v>303</v>
      </c>
      <c r="B22" s="20">
        <v>0</v>
      </c>
    </row>
    <row r="23" spans="1:2" ht="15.75" thickBot="1" x14ac:dyDescent="0.3">
      <c r="A23" s="20">
        <v>304</v>
      </c>
      <c r="B23" s="20">
        <v>0</v>
      </c>
    </row>
    <row r="24" spans="1:2" ht="15.75" thickBot="1" x14ac:dyDescent="0.3">
      <c r="A24" s="20">
        <v>305</v>
      </c>
      <c r="B24" s="20">
        <v>0</v>
      </c>
    </row>
    <row r="25" spans="1:2" ht="15.75" thickBot="1" x14ac:dyDescent="0.3">
      <c r="A25" s="20">
        <v>306</v>
      </c>
      <c r="B25" s="20">
        <v>0</v>
      </c>
    </row>
    <row r="26" spans="1:2" ht="15.75" thickBot="1" x14ac:dyDescent="0.3">
      <c r="A26" s="20">
        <v>307</v>
      </c>
      <c r="B26" s="20">
        <v>0</v>
      </c>
    </row>
    <row r="27" spans="1:2" ht="15.75" thickBot="1" x14ac:dyDescent="0.3">
      <c r="A27" s="20">
        <v>308</v>
      </c>
      <c r="B27" s="20">
        <v>0</v>
      </c>
    </row>
    <row r="28" spans="1:2" ht="15.75" thickBot="1" x14ac:dyDescent="0.3">
      <c r="A28" s="20">
        <v>309</v>
      </c>
      <c r="B28" s="20">
        <v>0</v>
      </c>
    </row>
    <row r="29" spans="1:2" ht="15.75" thickBot="1" x14ac:dyDescent="0.3">
      <c r="A29" s="20">
        <v>906</v>
      </c>
      <c r="B29" s="20">
        <v>0</v>
      </c>
    </row>
    <row r="30" spans="1:2" ht="15.75" thickBot="1" x14ac:dyDescent="0.3">
      <c r="A30" s="20">
        <v>907</v>
      </c>
      <c r="B30" s="20">
        <v>0</v>
      </c>
    </row>
    <row r="31" spans="1:2" ht="15.75" thickBot="1" x14ac:dyDescent="0.3">
      <c r="A31" s="20">
        <v>912</v>
      </c>
      <c r="B31" s="20">
        <v>0</v>
      </c>
    </row>
    <row r="32" spans="1:2" ht="15.75" thickBot="1" x14ac:dyDescent="0.3">
      <c r="A32" s="20">
        <v>916</v>
      </c>
      <c r="B32" s="20">
        <v>0</v>
      </c>
    </row>
    <row r="33" spans="1:2" ht="15.75" thickBot="1" x14ac:dyDescent="0.3">
      <c r="A33" s="20">
        <v>918</v>
      </c>
      <c r="B33" s="20">
        <v>0</v>
      </c>
    </row>
    <row r="34" spans="1:2" ht="15.75" thickBot="1" x14ac:dyDescent="0.3">
      <c r="A34" s="20"/>
      <c r="B34" s="20">
        <v>0</v>
      </c>
    </row>
    <row r="35" spans="1:2" ht="15.75" thickBot="1" x14ac:dyDescent="0.3">
      <c r="A35" s="20"/>
      <c r="B35" s="20">
        <v>0</v>
      </c>
    </row>
  </sheetData>
  <mergeCells count="5">
    <mergeCell ref="D13:E13"/>
    <mergeCell ref="A1:B1"/>
    <mergeCell ref="D9:E9"/>
    <mergeCell ref="D10:E10"/>
    <mergeCell ref="D12:E12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3"/>
  <dimension ref="A1:F4439"/>
  <sheetViews>
    <sheetView workbookViewId="0">
      <selection activeCell="A2" sqref="A2:F4439"/>
    </sheetView>
  </sheetViews>
  <sheetFormatPr defaultRowHeight="15" x14ac:dyDescent="0.25"/>
  <cols>
    <col min="1" max="1" width="11.140625" bestFit="1" customWidth="1"/>
    <col min="2" max="3" width="12" bestFit="1" customWidth="1"/>
    <col min="4" max="4" width="22.7109375" bestFit="1" customWidth="1"/>
    <col min="5" max="5" width="11.140625" bestFit="1" customWidth="1"/>
    <col min="6" max="6" width="31.14062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D2" s="1"/>
      <c r="F2" s="1"/>
    </row>
    <row r="3" spans="1:6" x14ac:dyDescent="0.25">
      <c r="D3" s="1"/>
      <c r="F3" s="1"/>
    </row>
    <row r="4" spans="1:6" x14ac:dyDescent="0.25">
      <c r="D4" s="1"/>
      <c r="F4" s="1"/>
    </row>
    <row r="5" spans="1:6" x14ac:dyDescent="0.25">
      <c r="D5" s="1"/>
      <c r="F5" s="1"/>
    </row>
    <row r="6" spans="1:6" x14ac:dyDescent="0.25">
      <c r="D6" s="1"/>
      <c r="F6" s="1"/>
    </row>
    <row r="7" spans="1:6" x14ac:dyDescent="0.25">
      <c r="D7" s="1"/>
      <c r="F7" s="1"/>
    </row>
    <row r="8" spans="1:6" x14ac:dyDescent="0.25">
      <c r="D8" s="1"/>
      <c r="F8" s="1"/>
    </row>
    <row r="9" spans="1:6" x14ac:dyDescent="0.25">
      <c r="D9" s="1"/>
      <c r="F9" s="1"/>
    </row>
    <row r="10" spans="1:6" x14ac:dyDescent="0.25">
      <c r="D10" s="1"/>
      <c r="F10" s="1"/>
    </row>
    <row r="11" spans="1:6" x14ac:dyDescent="0.25">
      <c r="D11" s="1"/>
      <c r="F11" s="1"/>
    </row>
    <row r="12" spans="1:6" x14ac:dyDescent="0.25">
      <c r="D12" s="1"/>
      <c r="F12" s="1"/>
    </row>
    <row r="13" spans="1:6" x14ac:dyDescent="0.25">
      <c r="D13" s="1"/>
      <c r="F13" s="1"/>
    </row>
    <row r="14" spans="1:6" x14ac:dyDescent="0.25">
      <c r="D14" s="1"/>
      <c r="F14" s="1"/>
    </row>
    <row r="15" spans="1:6" x14ac:dyDescent="0.25">
      <c r="D15" s="1"/>
      <c r="F15" s="1"/>
    </row>
    <row r="16" spans="1:6" x14ac:dyDescent="0.25">
      <c r="D16" s="1"/>
      <c r="F16" s="1"/>
    </row>
    <row r="17" spans="4:6" x14ac:dyDescent="0.25">
      <c r="D17" s="1"/>
      <c r="F17" s="1"/>
    </row>
    <row r="18" spans="4:6" x14ac:dyDescent="0.25">
      <c r="D18" s="1"/>
      <c r="F18" s="1"/>
    </row>
    <row r="19" spans="4:6" x14ac:dyDescent="0.25">
      <c r="D19" s="1"/>
      <c r="F19" s="1"/>
    </row>
    <row r="20" spans="4:6" x14ac:dyDescent="0.25">
      <c r="D20" s="1"/>
      <c r="F20" s="1"/>
    </row>
    <row r="21" spans="4:6" x14ac:dyDescent="0.25">
      <c r="D21" s="1"/>
      <c r="F21" s="1"/>
    </row>
    <row r="22" spans="4:6" x14ac:dyDescent="0.25">
      <c r="D22" s="1"/>
      <c r="F22" s="1"/>
    </row>
    <row r="23" spans="4:6" x14ac:dyDescent="0.25">
      <c r="D23" s="1"/>
      <c r="F23" s="1"/>
    </row>
    <row r="24" spans="4:6" x14ac:dyDescent="0.25">
      <c r="D24" s="1"/>
      <c r="F24" s="1"/>
    </row>
    <row r="25" spans="4:6" x14ac:dyDescent="0.25">
      <c r="D25" s="1"/>
      <c r="F25" s="1"/>
    </row>
    <row r="26" spans="4:6" x14ac:dyDescent="0.25">
      <c r="D26" s="1"/>
      <c r="F26" s="1"/>
    </row>
    <row r="27" spans="4:6" x14ac:dyDescent="0.25">
      <c r="D27" s="1"/>
      <c r="F27" s="1"/>
    </row>
    <row r="28" spans="4:6" x14ac:dyDescent="0.25">
      <c r="D28" s="1"/>
      <c r="F28" s="1"/>
    </row>
    <row r="29" spans="4:6" x14ac:dyDescent="0.25">
      <c r="D29" s="1"/>
      <c r="F29" s="1"/>
    </row>
    <row r="30" spans="4:6" x14ac:dyDescent="0.25">
      <c r="D30" s="1"/>
      <c r="F30" s="1"/>
    </row>
    <row r="31" spans="4:6" x14ac:dyDescent="0.25">
      <c r="D31" s="1"/>
      <c r="F31" s="1"/>
    </row>
    <row r="32" spans="4:6" x14ac:dyDescent="0.25">
      <c r="D32" s="1"/>
      <c r="F32" s="1"/>
    </row>
    <row r="33" spans="4:6" x14ac:dyDescent="0.25">
      <c r="D33" s="1"/>
      <c r="F33" s="1"/>
    </row>
    <row r="34" spans="4:6" x14ac:dyDescent="0.25">
      <c r="D34" s="1"/>
      <c r="F34" s="1"/>
    </row>
    <row r="35" spans="4:6" x14ac:dyDescent="0.25">
      <c r="D35" s="1"/>
      <c r="F35" s="1"/>
    </row>
    <row r="36" spans="4:6" x14ac:dyDescent="0.25">
      <c r="D36" s="1"/>
      <c r="F36" s="1"/>
    </row>
    <row r="37" spans="4:6" x14ac:dyDescent="0.25">
      <c r="D37" s="1"/>
      <c r="F37" s="1"/>
    </row>
    <row r="38" spans="4:6" x14ac:dyDescent="0.25">
      <c r="D38" s="1"/>
      <c r="F38" s="1"/>
    </row>
    <row r="39" spans="4:6" x14ac:dyDescent="0.25">
      <c r="D39" s="1"/>
      <c r="F39" s="1"/>
    </row>
    <row r="40" spans="4:6" x14ac:dyDescent="0.25">
      <c r="D40" s="1"/>
      <c r="F40" s="1"/>
    </row>
    <row r="41" spans="4:6" x14ac:dyDescent="0.25">
      <c r="D41" s="1"/>
      <c r="F41" s="1"/>
    </row>
    <row r="42" spans="4:6" x14ac:dyDescent="0.25">
      <c r="D42" s="1"/>
      <c r="F42" s="1"/>
    </row>
    <row r="43" spans="4:6" x14ac:dyDescent="0.25">
      <c r="D43" s="1"/>
      <c r="F43" s="1"/>
    </row>
    <row r="44" spans="4:6" x14ac:dyDescent="0.25">
      <c r="D44" s="1"/>
      <c r="F44" s="1"/>
    </row>
    <row r="45" spans="4:6" x14ac:dyDescent="0.25">
      <c r="D45" s="1"/>
      <c r="F45" s="1"/>
    </row>
    <row r="46" spans="4:6" x14ac:dyDescent="0.25">
      <c r="D46" s="1"/>
      <c r="F46" s="1"/>
    </row>
    <row r="47" spans="4:6" x14ac:dyDescent="0.25">
      <c r="D47" s="1"/>
      <c r="F47" s="1"/>
    </row>
    <row r="48" spans="4:6" x14ac:dyDescent="0.25">
      <c r="D48" s="1"/>
      <c r="F48" s="1"/>
    </row>
    <row r="49" spans="4:6" x14ac:dyDescent="0.25">
      <c r="D49" s="1"/>
      <c r="F49" s="1"/>
    </row>
    <row r="50" spans="4:6" x14ac:dyDescent="0.25">
      <c r="D50" s="1"/>
      <c r="F50" s="1"/>
    </row>
    <row r="51" spans="4:6" x14ac:dyDescent="0.25">
      <c r="D51" s="1"/>
      <c r="F51" s="1"/>
    </row>
    <row r="52" spans="4:6" x14ac:dyDescent="0.25">
      <c r="D52" s="1"/>
      <c r="F52" s="1"/>
    </row>
    <row r="53" spans="4:6" x14ac:dyDescent="0.25">
      <c r="D53" s="1"/>
      <c r="F53" s="1"/>
    </row>
    <row r="54" spans="4:6" x14ac:dyDescent="0.25">
      <c r="D54" s="1"/>
      <c r="F54" s="1"/>
    </row>
    <row r="55" spans="4:6" x14ac:dyDescent="0.25">
      <c r="D55" s="1"/>
      <c r="F55" s="1"/>
    </row>
    <row r="56" spans="4:6" x14ac:dyDescent="0.25">
      <c r="D56" s="1"/>
      <c r="F56" s="1"/>
    </row>
    <row r="57" spans="4:6" x14ac:dyDescent="0.25">
      <c r="D57" s="1"/>
      <c r="F57" s="1"/>
    </row>
    <row r="58" spans="4:6" x14ac:dyDescent="0.25">
      <c r="D58" s="1"/>
      <c r="F58" s="1"/>
    </row>
    <row r="59" spans="4:6" x14ac:dyDescent="0.25">
      <c r="D59" s="1"/>
      <c r="F59" s="1"/>
    </row>
    <row r="60" spans="4:6" x14ac:dyDescent="0.25">
      <c r="D60" s="1"/>
      <c r="F60" s="1"/>
    </row>
    <row r="61" spans="4:6" x14ac:dyDescent="0.25">
      <c r="D61" s="1"/>
      <c r="F61" s="1"/>
    </row>
    <row r="62" spans="4:6" x14ac:dyDescent="0.25">
      <c r="D62" s="1"/>
      <c r="F62" s="1"/>
    </row>
    <row r="63" spans="4:6" x14ac:dyDescent="0.25">
      <c r="D63" s="1"/>
      <c r="F63" s="1"/>
    </row>
    <row r="64" spans="4:6" x14ac:dyDescent="0.25">
      <c r="D64" s="1"/>
      <c r="F64" s="1"/>
    </row>
    <row r="65" spans="4:6" x14ac:dyDescent="0.25">
      <c r="D65" s="1"/>
      <c r="F65" s="1"/>
    </row>
    <row r="66" spans="4:6" x14ac:dyDescent="0.25">
      <c r="D66" s="1"/>
      <c r="F66" s="1"/>
    </row>
    <row r="67" spans="4:6" x14ac:dyDescent="0.25">
      <c r="D67" s="1"/>
      <c r="F67" s="1"/>
    </row>
    <row r="68" spans="4:6" x14ac:dyDescent="0.25">
      <c r="D68" s="1"/>
      <c r="F68" s="1"/>
    </row>
    <row r="69" spans="4:6" x14ac:dyDescent="0.25">
      <c r="D69" s="1"/>
      <c r="F69" s="1"/>
    </row>
    <row r="70" spans="4:6" x14ac:dyDescent="0.25">
      <c r="D70" s="1"/>
      <c r="F70" s="1"/>
    </row>
    <row r="71" spans="4:6" x14ac:dyDescent="0.25">
      <c r="D71" s="1"/>
      <c r="F71" s="1"/>
    </row>
    <row r="72" spans="4:6" x14ac:dyDescent="0.25">
      <c r="D72" s="1"/>
      <c r="F72" s="1"/>
    </row>
    <row r="73" spans="4:6" x14ac:dyDescent="0.25">
      <c r="D73" s="1"/>
      <c r="F73" s="1"/>
    </row>
    <row r="74" spans="4:6" x14ac:dyDescent="0.25">
      <c r="D74" s="1"/>
      <c r="F74" s="1"/>
    </row>
    <row r="75" spans="4:6" x14ac:dyDescent="0.25">
      <c r="D75" s="1"/>
      <c r="F75" s="1"/>
    </row>
    <row r="76" spans="4:6" x14ac:dyDescent="0.25">
      <c r="D76" s="1"/>
      <c r="F76" s="1"/>
    </row>
    <row r="77" spans="4:6" x14ac:dyDescent="0.25">
      <c r="D77" s="1"/>
      <c r="F77" s="1"/>
    </row>
    <row r="78" spans="4:6" x14ac:dyDescent="0.25">
      <c r="D78" s="1"/>
      <c r="F78" s="1"/>
    </row>
    <row r="79" spans="4:6" x14ac:dyDescent="0.25">
      <c r="D79" s="1"/>
      <c r="F79" s="1"/>
    </row>
    <row r="80" spans="4:6" x14ac:dyDescent="0.25">
      <c r="D80" s="1"/>
      <c r="F80" s="1"/>
    </row>
    <row r="81" spans="4:6" x14ac:dyDescent="0.25">
      <c r="D81" s="1"/>
      <c r="F81" s="1"/>
    </row>
    <row r="82" spans="4:6" x14ac:dyDescent="0.25">
      <c r="D82" s="1"/>
      <c r="F82" s="1"/>
    </row>
    <row r="83" spans="4:6" x14ac:dyDescent="0.25">
      <c r="D83" s="1"/>
      <c r="F83" s="1"/>
    </row>
    <row r="84" spans="4:6" x14ac:dyDescent="0.25">
      <c r="D84" s="1"/>
      <c r="F84" s="1"/>
    </row>
    <row r="85" spans="4:6" x14ac:dyDescent="0.25">
      <c r="D85" s="1"/>
      <c r="F85" s="1"/>
    </row>
    <row r="86" spans="4:6" x14ac:dyDescent="0.25">
      <c r="D86" s="1"/>
      <c r="F86" s="1"/>
    </row>
    <row r="87" spans="4:6" x14ac:dyDescent="0.25">
      <c r="D87" s="1"/>
      <c r="F87" s="1"/>
    </row>
    <row r="88" spans="4:6" x14ac:dyDescent="0.25">
      <c r="D88" s="1"/>
      <c r="F88" s="1"/>
    </row>
    <row r="89" spans="4:6" x14ac:dyDescent="0.25">
      <c r="D89" s="1"/>
      <c r="F89" s="1"/>
    </row>
    <row r="90" spans="4:6" x14ac:dyDescent="0.25">
      <c r="D90" s="1"/>
      <c r="F90" s="1"/>
    </row>
    <row r="91" spans="4:6" x14ac:dyDescent="0.25">
      <c r="D91" s="1"/>
      <c r="F91" s="1"/>
    </row>
    <row r="92" spans="4:6" x14ac:dyDescent="0.25">
      <c r="D92" s="1"/>
      <c r="F92" s="1"/>
    </row>
    <row r="93" spans="4:6" x14ac:dyDescent="0.25">
      <c r="D93" s="1"/>
      <c r="F93" s="1"/>
    </row>
    <row r="94" spans="4:6" x14ac:dyDescent="0.25">
      <c r="D94" s="1"/>
      <c r="F94" s="1"/>
    </row>
    <row r="95" spans="4:6" x14ac:dyDescent="0.25">
      <c r="D95" s="1"/>
      <c r="F95" s="1"/>
    </row>
    <row r="96" spans="4:6" x14ac:dyDescent="0.25">
      <c r="D96" s="1"/>
      <c r="F96" s="1"/>
    </row>
    <row r="97" spans="4:6" x14ac:dyDescent="0.25">
      <c r="D97" s="1"/>
      <c r="F97" s="1"/>
    </row>
    <row r="98" spans="4:6" x14ac:dyDescent="0.25">
      <c r="D98" s="1"/>
      <c r="F98" s="1"/>
    </row>
    <row r="99" spans="4:6" x14ac:dyDescent="0.25">
      <c r="D99" s="1"/>
      <c r="F99" s="1"/>
    </row>
    <row r="100" spans="4:6" x14ac:dyDescent="0.25">
      <c r="D100" s="1"/>
      <c r="F100" s="1"/>
    </row>
    <row r="101" spans="4:6" x14ac:dyDescent="0.25">
      <c r="D101" s="1"/>
      <c r="F101" s="1"/>
    </row>
    <row r="102" spans="4:6" x14ac:dyDescent="0.25">
      <c r="D102" s="1"/>
      <c r="F102" s="1"/>
    </row>
    <row r="103" spans="4:6" x14ac:dyDescent="0.25">
      <c r="D103" s="1"/>
      <c r="F103" s="1"/>
    </row>
    <row r="104" spans="4:6" x14ac:dyDescent="0.25">
      <c r="D104" s="1"/>
      <c r="F104" s="1"/>
    </row>
    <row r="105" spans="4:6" x14ac:dyDescent="0.25">
      <c r="D105" s="1"/>
      <c r="F105" s="1"/>
    </row>
    <row r="106" spans="4:6" x14ac:dyDescent="0.25">
      <c r="D106" s="1"/>
      <c r="F106" s="1"/>
    </row>
    <row r="107" spans="4:6" x14ac:dyDescent="0.25">
      <c r="D107" s="1"/>
      <c r="F107" s="1"/>
    </row>
    <row r="108" spans="4:6" x14ac:dyDescent="0.25">
      <c r="D108" s="1"/>
      <c r="F108" s="1"/>
    </row>
    <row r="109" spans="4:6" x14ac:dyDescent="0.25">
      <c r="D109" s="1"/>
      <c r="F109" s="1"/>
    </row>
    <row r="110" spans="4:6" x14ac:dyDescent="0.25">
      <c r="D110" s="1"/>
      <c r="F110" s="1"/>
    </row>
    <row r="111" spans="4:6" x14ac:dyDescent="0.25">
      <c r="D111" s="1"/>
      <c r="F111" s="1"/>
    </row>
    <row r="112" spans="4:6" x14ac:dyDescent="0.25">
      <c r="D112" s="1"/>
      <c r="F112" s="1"/>
    </row>
    <row r="113" spans="4:6" x14ac:dyDescent="0.25">
      <c r="D113" s="1"/>
      <c r="F113" s="1"/>
    </row>
    <row r="114" spans="4:6" x14ac:dyDescent="0.25">
      <c r="D114" s="1"/>
      <c r="F114" s="1"/>
    </row>
    <row r="115" spans="4:6" x14ac:dyDescent="0.25">
      <c r="D115" s="1"/>
      <c r="F115" s="1"/>
    </row>
    <row r="116" spans="4:6" x14ac:dyDescent="0.25">
      <c r="D116" s="1"/>
      <c r="F116" s="1"/>
    </row>
    <row r="117" spans="4:6" x14ac:dyDescent="0.25">
      <c r="D117" s="1"/>
      <c r="F117" s="1"/>
    </row>
    <row r="118" spans="4:6" x14ac:dyDescent="0.25">
      <c r="D118" s="1"/>
      <c r="F118" s="1"/>
    </row>
    <row r="119" spans="4:6" x14ac:dyDescent="0.25">
      <c r="D119" s="1"/>
      <c r="F119" s="1"/>
    </row>
    <row r="120" spans="4:6" x14ac:dyDescent="0.25">
      <c r="D120" s="1"/>
      <c r="F120" s="1"/>
    </row>
    <row r="121" spans="4:6" x14ac:dyDescent="0.25">
      <c r="D121" s="1"/>
      <c r="F121" s="1"/>
    </row>
    <row r="122" spans="4:6" x14ac:dyDescent="0.25">
      <c r="D122" s="1"/>
      <c r="F122" s="1"/>
    </row>
    <row r="123" spans="4:6" x14ac:dyDescent="0.25">
      <c r="D123" s="1"/>
      <c r="F123" s="1"/>
    </row>
    <row r="124" spans="4:6" x14ac:dyDescent="0.25">
      <c r="D124" s="1"/>
      <c r="F124" s="1"/>
    </row>
    <row r="125" spans="4:6" x14ac:dyDescent="0.25">
      <c r="D125" s="1"/>
      <c r="F125" s="1"/>
    </row>
    <row r="126" spans="4:6" x14ac:dyDescent="0.25">
      <c r="D126" s="1"/>
      <c r="F126" s="1"/>
    </row>
    <row r="127" spans="4:6" x14ac:dyDescent="0.25">
      <c r="D127" s="1"/>
      <c r="F127" s="1"/>
    </row>
    <row r="128" spans="4:6" x14ac:dyDescent="0.25">
      <c r="D128" s="1"/>
      <c r="F128" s="1"/>
    </row>
    <row r="129" spans="4:6" x14ac:dyDescent="0.25">
      <c r="D129" s="1"/>
      <c r="F129" s="1"/>
    </row>
    <row r="130" spans="4:6" x14ac:dyDescent="0.25">
      <c r="D130" s="1"/>
      <c r="F130" s="1"/>
    </row>
    <row r="131" spans="4:6" x14ac:dyDescent="0.25">
      <c r="D131" s="1"/>
      <c r="F131" s="1"/>
    </row>
    <row r="132" spans="4:6" x14ac:dyDescent="0.25">
      <c r="D132" s="1"/>
      <c r="F132" s="1"/>
    </row>
    <row r="133" spans="4:6" x14ac:dyDescent="0.25">
      <c r="D133" s="1"/>
      <c r="F133" s="1"/>
    </row>
    <row r="134" spans="4:6" x14ac:dyDescent="0.25">
      <c r="D134" s="1"/>
      <c r="F134" s="1"/>
    </row>
    <row r="135" spans="4:6" x14ac:dyDescent="0.25">
      <c r="D135" s="1"/>
      <c r="F135" s="1"/>
    </row>
    <row r="136" spans="4:6" x14ac:dyDescent="0.25">
      <c r="D136" s="1"/>
      <c r="F136" s="1"/>
    </row>
    <row r="137" spans="4:6" x14ac:dyDescent="0.25">
      <c r="D137" s="1"/>
      <c r="F137" s="1"/>
    </row>
    <row r="138" spans="4:6" x14ac:dyDescent="0.25">
      <c r="D138" s="1"/>
      <c r="F138" s="1"/>
    </row>
    <row r="139" spans="4:6" x14ac:dyDescent="0.25">
      <c r="D139" s="1"/>
      <c r="F139" s="1"/>
    </row>
    <row r="140" spans="4:6" x14ac:dyDescent="0.25">
      <c r="D140" s="1"/>
      <c r="F140" s="1"/>
    </row>
    <row r="141" spans="4:6" x14ac:dyDescent="0.25">
      <c r="D141" s="1"/>
      <c r="F141" s="1"/>
    </row>
    <row r="142" spans="4:6" x14ac:dyDescent="0.25">
      <c r="D142" s="1"/>
      <c r="F142" s="1"/>
    </row>
    <row r="143" spans="4:6" x14ac:dyDescent="0.25">
      <c r="D143" s="1"/>
      <c r="F143" s="1"/>
    </row>
    <row r="144" spans="4:6" x14ac:dyDescent="0.25">
      <c r="D144" s="1"/>
      <c r="F144" s="1"/>
    </row>
    <row r="145" spans="4:6" x14ac:dyDescent="0.25">
      <c r="D145" s="1"/>
      <c r="F145" s="1"/>
    </row>
    <row r="146" spans="4:6" x14ac:dyDescent="0.25">
      <c r="D146" s="1"/>
      <c r="F146" s="1"/>
    </row>
    <row r="147" spans="4:6" x14ac:dyDescent="0.25">
      <c r="D147" s="1"/>
      <c r="F147" s="1"/>
    </row>
    <row r="148" spans="4:6" x14ac:dyDescent="0.25">
      <c r="D148" s="1"/>
      <c r="F148" s="1"/>
    </row>
    <row r="149" spans="4:6" x14ac:dyDescent="0.25">
      <c r="D149" s="1"/>
      <c r="F149" s="1"/>
    </row>
    <row r="150" spans="4:6" x14ac:dyDescent="0.25">
      <c r="D150" s="1"/>
      <c r="F150" s="1"/>
    </row>
    <row r="151" spans="4:6" x14ac:dyDescent="0.25">
      <c r="D151" s="1"/>
      <c r="F151" s="1"/>
    </row>
    <row r="152" spans="4:6" x14ac:dyDescent="0.25">
      <c r="D152" s="1"/>
      <c r="F152" s="1"/>
    </row>
    <row r="153" spans="4:6" x14ac:dyDescent="0.25">
      <c r="D153" s="1"/>
      <c r="F153" s="1"/>
    </row>
    <row r="154" spans="4:6" x14ac:dyDescent="0.25">
      <c r="D154" s="1"/>
      <c r="F154" s="1"/>
    </row>
    <row r="155" spans="4:6" x14ac:dyDescent="0.25">
      <c r="D155" s="1"/>
      <c r="F155" s="1"/>
    </row>
    <row r="156" spans="4:6" x14ac:dyDescent="0.25">
      <c r="D156" s="1"/>
      <c r="F156" s="1"/>
    </row>
    <row r="157" spans="4:6" x14ac:dyDescent="0.25">
      <c r="D157" s="1"/>
      <c r="F157" s="1"/>
    </row>
    <row r="158" spans="4:6" x14ac:dyDescent="0.25">
      <c r="D158" s="1"/>
      <c r="F158" s="1"/>
    </row>
    <row r="159" spans="4:6" x14ac:dyDescent="0.25">
      <c r="D159" s="1"/>
      <c r="F159" s="1"/>
    </row>
    <row r="160" spans="4:6" x14ac:dyDescent="0.25">
      <c r="D160" s="1"/>
      <c r="F160" s="1"/>
    </row>
    <row r="161" spans="4:6" x14ac:dyDescent="0.25">
      <c r="D161" s="1"/>
      <c r="F161" s="1"/>
    </row>
    <row r="162" spans="4:6" x14ac:dyDescent="0.25">
      <c r="D162" s="1"/>
      <c r="F162" s="1"/>
    </row>
    <row r="163" spans="4:6" x14ac:dyDescent="0.25">
      <c r="D163" s="1"/>
      <c r="F163" s="1"/>
    </row>
    <row r="164" spans="4:6" x14ac:dyDescent="0.25">
      <c r="D164" s="1"/>
      <c r="F164" s="1"/>
    </row>
    <row r="165" spans="4:6" x14ac:dyDescent="0.25">
      <c r="D165" s="1"/>
      <c r="F165" s="1"/>
    </row>
    <row r="166" spans="4:6" x14ac:dyDescent="0.25">
      <c r="D166" s="1"/>
      <c r="F166" s="1"/>
    </row>
    <row r="167" spans="4:6" x14ac:dyDescent="0.25">
      <c r="D167" s="1"/>
      <c r="F167" s="1"/>
    </row>
    <row r="168" spans="4:6" x14ac:dyDescent="0.25">
      <c r="D168" s="1"/>
      <c r="F168" s="1"/>
    </row>
    <row r="169" spans="4:6" x14ac:dyDescent="0.25">
      <c r="D169" s="1"/>
      <c r="F169" s="1"/>
    </row>
    <row r="170" spans="4:6" x14ac:dyDescent="0.25">
      <c r="D170" s="1"/>
      <c r="F170" s="1"/>
    </row>
    <row r="171" spans="4:6" x14ac:dyDescent="0.25">
      <c r="D171" s="1"/>
      <c r="F171" s="1"/>
    </row>
    <row r="172" spans="4:6" x14ac:dyDescent="0.25">
      <c r="D172" s="1"/>
      <c r="F172" s="1"/>
    </row>
    <row r="173" spans="4:6" x14ac:dyDescent="0.25">
      <c r="D173" s="1"/>
      <c r="F173" s="1"/>
    </row>
    <row r="174" spans="4:6" x14ac:dyDescent="0.25">
      <c r="D174" s="1"/>
      <c r="F174" s="1"/>
    </row>
    <row r="175" spans="4:6" x14ac:dyDescent="0.25">
      <c r="D175" s="1"/>
      <c r="F175" s="1"/>
    </row>
    <row r="176" spans="4:6" x14ac:dyDescent="0.25">
      <c r="D176" s="1"/>
      <c r="F176" s="1"/>
    </row>
    <row r="177" spans="4:6" x14ac:dyDescent="0.25">
      <c r="D177" s="1"/>
      <c r="F177" s="1"/>
    </row>
    <row r="178" spans="4:6" x14ac:dyDescent="0.25">
      <c r="D178" s="1"/>
      <c r="F178" s="1"/>
    </row>
    <row r="179" spans="4:6" x14ac:dyDescent="0.25">
      <c r="D179" s="1"/>
      <c r="F179" s="1"/>
    </row>
    <row r="180" spans="4:6" x14ac:dyDescent="0.25">
      <c r="D180" s="1"/>
      <c r="F180" s="1"/>
    </row>
    <row r="181" spans="4:6" x14ac:dyDescent="0.25">
      <c r="D181" s="1"/>
      <c r="F181" s="1"/>
    </row>
    <row r="182" spans="4:6" x14ac:dyDescent="0.25">
      <c r="D182" s="1"/>
      <c r="F182" s="1"/>
    </row>
    <row r="183" spans="4:6" x14ac:dyDescent="0.25">
      <c r="D183" s="1"/>
      <c r="F183" s="1"/>
    </row>
    <row r="184" spans="4:6" x14ac:dyDescent="0.25">
      <c r="D184" s="1"/>
      <c r="F184" s="1"/>
    </row>
    <row r="185" spans="4:6" x14ac:dyDescent="0.25">
      <c r="D185" s="1"/>
      <c r="F185" s="1"/>
    </row>
    <row r="186" spans="4:6" x14ac:dyDescent="0.25">
      <c r="D186" s="1"/>
      <c r="F186" s="1"/>
    </row>
    <row r="187" spans="4:6" x14ac:dyDescent="0.25">
      <c r="D187" s="1"/>
      <c r="F187" s="1"/>
    </row>
    <row r="188" spans="4:6" x14ac:dyDescent="0.25">
      <c r="D188" s="1"/>
      <c r="F188" s="1"/>
    </row>
    <row r="189" spans="4:6" x14ac:dyDescent="0.25">
      <c r="D189" s="1"/>
      <c r="F189" s="1"/>
    </row>
    <row r="190" spans="4:6" x14ac:dyDescent="0.25">
      <c r="D190" s="1"/>
      <c r="F190" s="1"/>
    </row>
    <row r="191" spans="4:6" x14ac:dyDescent="0.25">
      <c r="D191" s="1"/>
      <c r="F191" s="1"/>
    </row>
    <row r="192" spans="4:6" x14ac:dyDescent="0.25">
      <c r="D192" s="1"/>
      <c r="F192" s="1"/>
    </row>
    <row r="193" spans="4:6" x14ac:dyDescent="0.25">
      <c r="D193" s="1"/>
      <c r="F193" s="1"/>
    </row>
    <row r="194" spans="4:6" x14ac:dyDescent="0.25">
      <c r="D194" s="1"/>
      <c r="F194" s="1"/>
    </row>
    <row r="195" spans="4:6" x14ac:dyDescent="0.25">
      <c r="D195" s="1"/>
      <c r="F195" s="1"/>
    </row>
    <row r="196" spans="4:6" x14ac:dyDescent="0.25">
      <c r="D196" s="1"/>
      <c r="F196" s="1"/>
    </row>
    <row r="197" spans="4:6" x14ac:dyDescent="0.25">
      <c r="D197" s="1"/>
      <c r="F197" s="1"/>
    </row>
    <row r="198" spans="4:6" x14ac:dyDescent="0.25">
      <c r="D198" s="1"/>
      <c r="F198" s="1"/>
    </row>
    <row r="199" spans="4:6" x14ac:dyDescent="0.25">
      <c r="D199" s="1"/>
      <c r="F199" s="1"/>
    </row>
    <row r="200" spans="4:6" x14ac:dyDescent="0.25">
      <c r="D200" s="1"/>
      <c r="F200" s="1"/>
    </row>
    <row r="201" spans="4:6" x14ac:dyDescent="0.25">
      <c r="D201" s="1"/>
      <c r="F201" s="1"/>
    </row>
    <row r="202" spans="4:6" x14ac:dyDescent="0.25">
      <c r="D202" s="1"/>
      <c r="F202" s="1"/>
    </row>
    <row r="203" spans="4:6" x14ac:dyDescent="0.25">
      <c r="D203" s="1"/>
      <c r="F203" s="1"/>
    </row>
    <row r="204" spans="4:6" x14ac:dyDescent="0.25">
      <c r="D204" s="1"/>
      <c r="F204" s="1"/>
    </row>
    <row r="205" spans="4:6" x14ac:dyDescent="0.25">
      <c r="D205" s="1"/>
      <c r="F205" s="1"/>
    </row>
    <row r="206" spans="4:6" x14ac:dyDescent="0.25">
      <c r="D206" s="1"/>
      <c r="F206" s="1"/>
    </row>
    <row r="207" spans="4:6" x14ac:dyDescent="0.25">
      <c r="D207" s="1"/>
      <c r="F207" s="1"/>
    </row>
    <row r="208" spans="4:6" x14ac:dyDescent="0.25">
      <c r="D208" s="1"/>
      <c r="F208" s="1"/>
    </row>
    <row r="209" spans="4:6" x14ac:dyDescent="0.25">
      <c r="D209" s="1"/>
      <c r="F209" s="1"/>
    </row>
    <row r="210" spans="4:6" x14ac:dyDescent="0.25">
      <c r="D210" s="1"/>
      <c r="F210" s="1"/>
    </row>
    <row r="211" spans="4:6" x14ac:dyDescent="0.25">
      <c r="D211" s="1"/>
      <c r="F211" s="1"/>
    </row>
    <row r="212" spans="4:6" x14ac:dyDescent="0.25">
      <c r="D212" s="1"/>
      <c r="F212" s="1"/>
    </row>
    <row r="213" spans="4:6" x14ac:dyDescent="0.25">
      <c r="D213" s="1"/>
      <c r="F213" s="1"/>
    </row>
    <row r="214" spans="4:6" x14ac:dyDescent="0.25">
      <c r="D214" s="1"/>
      <c r="F214" s="1"/>
    </row>
    <row r="215" spans="4:6" x14ac:dyDescent="0.25">
      <c r="D215" s="1"/>
      <c r="F215" s="1"/>
    </row>
    <row r="216" spans="4:6" x14ac:dyDescent="0.25">
      <c r="D216" s="1"/>
      <c r="F216" s="1"/>
    </row>
    <row r="217" spans="4:6" x14ac:dyDescent="0.25">
      <c r="D217" s="1"/>
      <c r="F217" s="1"/>
    </row>
    <row r="218" spans="4:6" x14ac:dyDescent="0.25">
      <c r="D218" s="1"/>
      <c r="F218" s="1"/>
    </row>
    <row r="219" spans="4:6" x14ac:dyDescent="0.25">
      <c r="D219" s="1"/>
      <c r="F219" s="1"/>
    </row>
    <row r="220" spans="4:6" x14ac:dyDescent="0.25">
      <c r="D220" s="1"/>
      <c r="F220" s="1"/>
    </row>
    <row r="221" spans="4:6" x14ac:dyDescent="0.25">
      <c r="D221" s="1"/>
      <c r="F221" s="1"/>
    </row>
    <row r="222" spans="4:6" x14ac:dyDescent="0.25">
      <c r="D222" s="1"/>
      <c r="F222" s="1"/>
    </row>
    <row r="223" spans="4:6" x14ac:dyDescent="0.25">
      <c r="D223" s="1"/>
      <c r="F223" s="1"/>
    </row>
    <row r="224" spans="4:6" x14ac:dyDescent="0.25">
      <c r="D224" s="1"/>
      <c r="F224" s="1"/>
    </row>
    <row r="225" spans="4:6" x14ac:dyDescent="0.25">
      <c r="D225" s="1"/>
      <c r="F225" s="1"/>
    </row>
    <row r="226" spans="4:6" x14ac:dyDescent="0.25">
      <c r="D226" s="1"/>
      <c r="F226" s="1"/>
    </row>
    <row r="227" spans="4:6" x14ac:dyDescent="0.25">
      <c r="D227" s="1"/>
      <c r="F227" s="1"/>
    </row>
    <row r="228" spans="4:6" x14ac:dyDescent="0.25">
      <c r="D228" s="1"/>
      <c r="F228" s="1"/>
    </row>
    <row r="229" spans="4:6" x14ac:dyDescent="0.25">
      <c r="D229" s="1"/>
      <c r="F229" s="1"/>
    </row>
    <row r="230" spans="4:6" x14ac:dyDescent="0.25">
      <c r="D230" s="1"/>
      <c r="F230" s="1"/>
    </row>
    <row r="231" spans="4:6" x14ac:dyDescent="0.25">
      <c r="D231" s="1"/>
      <c r="F231" s="1"/>
    </row>
    <row r="232" spans="4:6" x14ac:dyDescent="0.25">
      <c r="D232" s="1"/>
      <c r="F232" s="1"/>
    </row>
    <row r="233" spans="4:6" x14ac:dyDescent="0.25">
      <c r="D233" s="1"/>
      <c r="F233" s="1"/>
    </row>
    <row r="234" spans="4:6" x14ac:dyDescent="0.25">
      <c r="D234" s="1"/>
      <c r="F234" s="1"/>
    </row>
    <row r="235" spans="4:6" x14ac:dyDescent="0.25">
      <c r="D235" s="1"/>
      <c r="F235" s="1"/>
    </row>
    <row r="236" spans="4:6" x14ac:dyDescent="0.25">
      <c r="D236" s="1"/>
      <c r="F236" s="1"/>
    </row>
    <row r="237" spans="4:6" x14ac:dyDescent="0.25">
      <c r="D237" s="1"/>
      <c r="F237" s="1"/>
    </row>
    <row r="238" spans="4:6" x14ac:dyDescent="0.25">
      <c r="D238" s="1"/>
      <c r="F238" s="1"/>
    </row>
    <row r="239" spans="4:6" x14ac:dyDescent="0.25">
      <c r="D239" s="1"/>
      <c r="F239" s="1"/>
    </row>
    <row r="240" spans="4:6" x14ac:dyDescent="0.25">
      <c r="D240" s="1"/>
      <c r="F240" s="1"/>
    </row>
    <row r="241" spans="4:6" x14ac:dyDescent="0.25">
      <c r="D241" s="1"/>
      <c r="F241" s="1"/>
    </row>
    <row r="242" spans="4:6" x14ac:dyDescent="0.25">
      <c r="D242" s="1"/>
      <c r="F242" s="1"/>
    </row>
    <row r="243" spans="4:6" x14ac:dyDescent="0.25">
      <c r="D243" s="1"/>
      <c r="F243" s="1"/>
    </row>
    <row r="244" spans="4:6" x14ac:dyDescent="0.25">
      <c r="D244" s="1"/>
      <c r="F244" s="1"/>
    </row>
    <row r="245" spans="4:6" x14ac:dyDescent="0.25">
      <c r="D245" s="1"/>
      <c r="F245" s="1"/>
    </row>
    <row r="246" spans="4:6" x14ac:dyDescent="0.25">
      <c r="D246" s="1"/>
      <c r="F246" s="1"/>
    </row>
    <row r="247" spans="4:6" x14ac:dyDescent="0.25">
      <c r="D247" s="1"/>
      <c r="F247" s="1"/>
    </row>
    <row r="248" spans="4:6" x14ac:dyDescent="0.25">
      <c r="D248" s="1"/>
      <c r="F248" s="1"/>
    </row>
    <row r="249" spans="4:6" x14ac:dyDescent="0.25">
      <c r="D249" s="1"/>
      <c r="F249" s="1"/>
    </row>
    <row r="250" spans="4:6" x14ac:dyDescent="0.25">
      <c r="D250" s="1"/>
      <c r="F250" s="1"/>
    </row>
    <row r="251" spans="4:6" x14ac:dyDescent="0.25">
      <c r="D251" s="1"/>
      <c r="F251" s="1"/>
    </row>
    <row r="252" spans="4:6" x14ac:dyDescent="0.25">
      <c r="D252" s="1"/>
      <c r="F252" s="1"/>
    </row>
    <row r="253" spans="4:6" x14ac:dyDescent="0.25">
      <c r="D253" s="1"/>
      <c r="F253" s="1"/>
    </row>
    <row r="254" spans="4:6" x14ac:dyDescent="0.25">
      <c r="D254" s="1"/>
      <c r="F254" s="1"/>
    </row>
    <row r="255" spans="4:6" x14ac:dyDescent="0.25">
      <c r="D255" s="1"/>
      <c r="F255" s="1"/>
    </row>
    <row r="256" spans="4:6" x14ac:dyDescent="0.25">
      <c r="D256" s="1"/>
      <c r="F256" s="1"/>
    </row>
    <row r="257" spans="4:6" x14ac:dyDescent="0.25">
      <c r="D257" s="1"/>
      <c r="F257" s="1"/>
    </row>
    <row r="258" spans="4:6" x14ac:dyDescent="0.25">
      <c r="D258" s="1"/>
      <c r="F258" s="1"/>
    </row>
    <row r="259" spans="4:6" x14ac:dyDescent="0.25">
      <c r="D259" s="1"/>
      <c r="F259" s="1"/>
    </row>
    <row r="260" spans="4:6" x14ac:dyDescent="0.25">
      <c r="D260" s="1"/>
      <c r="F260" s="1"/>
    </row>
    <row r="261" spans="4:6" x14ac:dyDescent="0.25">
      <c r="D261" s="1"/>
      <c r="F261" s="1"/>
    </row>
    <row r="262" spans="4:6" x14ac:dyDescent="0.25">
      <c r="D262" s="1"/>
      <c r="F262" s="1"/>
    </row>
    <row r="263" spans="4:6" x14ac:dyDescent="0.25">
      <c r="D263" s="1"/>
      <c r="F263" s="1"/>
    </row>
    <row r="264" spans="4:6" x14ac:dyDescent="0.25">
      <c r="D264" s="1"/>
      <c r="F264" s="1"/>
    </row>
    <row r="265" spans="4:6" x14ac:dyDescent="0.25">
      <c r="D265" s="1"/>
      <c r="F265" s="1"/>
    </row>
    <row r="266" spans="4:6" x14ac:dyDescent="0.25">
      <c r="D266" s="1"/>
      <c r="F266" s="1"/>
    </row>
    <row r="267" spans="4:6" x14ac:dyDescent="0.25">
      <c r="D267" s="1"/>
      <c r="F267" s="1"/>
    </row>
    <row r="268" spans="4:6" x14ac:dyDescent="0.25">
      <c r="D268" s="1"/>
      <c r="F268" s="1"/>
    </row>
    <row r="269" spans="4:6" x14ac:dyDescent="0.25">
      <c r="D269" s="1"/>
      <c r="F269" s="1"/>
    </row>
    <row r="270" spans="4:6" x14ac:dyDescent="0.25">
      <c r="D270" s="1"/>
      <c r="F270" s="1"/>
    </row>
    <row r="271" spans="4:6" x14ac:dyDescent="0.25">
      <c r="D271" s="1"/>
      <c r="F271" s="1"/>
    </row>
    <row r="272" spans="4:6" x14ac:dyDescent="0.25">
      <c r="D272" s="1"/>
      <c r="F272" s="1"/>
    </row>
    <row r="273" spans="4:6" x14ac:dyDescent="0.25">
      <c r="D273" s="1"/>
      <c r="F273" s="1"/>
    </row>
    <row r="274" spans="4:6" x14ac:dyDescent="0.25">
      <c r="D274" s="1"/>
      <c r="F274" s="1"/>
    </row>
    <row r="275" spans="4:6" x14ac:dyDescent="0.25">
      <c r="D275" s="1"/>
      <c r="F275" s="1"/>
    </row>
    <row r="276" spans="4:6" x14ac:dyDescent="0.25">
      <c r="D276" s="1"/>
      <c r="F276" s="1"/>
    </row>
    <row r="277" spans="4:6" x14ac:dyDescent="0.25">
      <c r="D277" s="1"/>
      <c r="F277" s="1"/>
    </row>
    <row r="278" spans="4:6" x14ac:dyDescent="0.25">
      <c r="D278" s="1"/>
      <c r="F278" s="1"/>
    </row>
    <row r="279" spans="4:6" x14ac:dyDescent="0.25">
      <c r="D279" s="1"/>
      <c r="F279" s="1"/>
    </row>
    <row r="280" spans="4:6" x14ac:dyDescent="0.25">
      <c r="D280" s="1"/>
      <c r="F280" s="1"/>
    </row>
    <row r="281" spans="4:6" x14ac:dyDescent="0.25">
      <c r="D281" s="1"/>
      <c r="F281" s="1"/>
    </row>
    <row r="282" spans="4:6" x14ac:dyDescent="0.25">
      <c r="D282" s="1"/>
      <c r="F282" s="1"/>
    </row>
    <row r="283" spans="4:6" x14ac:dyDescent="0.25">
      <c r="D283" s="1"/>
      <c r="F283" s="1"/>
    </row>
    <row r="284" spans="4:6" x14ac:dyDescent="0.25">
      <c r="D284" s="1"/>
      <c r="F284" s="1"/>
    </row>
    <row r="285" spans="4:6" x14ac:dyDescent="0.25">
      <c r="D285" s="1"/>
      <c r="F285" s="1"/>
    </row>
    <row r="286" spans="4:6" x14ac:dyDescent="0.25">
      <c r="D286" s="1"/>
      <c r="F286" s="1"/>
    </row>
    <row r="287" spans="4:6" x14ac:dyDescent="0.25">
      <c r="D287" s="1"/>
      <c r="F287" s="1"/>
    </row>
    <row r="288" spans="4:6" x14ac:dyDescent="0.25">
      <c r="D288" s="1"/>
      <c r="F288" s="1"/>
    </row>
    <row r="289" spans="4:6" x14ac:dyDescent="0.25">
      <c r="D289" s="1"/>
      <c r="F289" s="1"/>
    </row>
    <row r="290" spans="4:6" x14ac:dyDescent="0.25">
      <c r="D290" s="1"/>
      <c r="F290" s="1"/>
    </row>
    <row r="291" spans="4:6" x14ac:dyDescent="0.25">
      <c r="D291" s="1"/>
      <c r="F291" s="1"/>
    </row>
    <row r="292" spans="4:6" x14ac:dyDescent="0.25">
      <c r="D292" s="1"/>
      <c r="F292" s="1"/>
    </row>
    <row r="293" spans="4:6" x14ac:dyDescent="0.25">
      <c r="D293" s="1"/>
      <c r="F293" s="1"/>
    </row>
    <row r="294" spans="4:6" x14ac:dyDescent="0.25">
      <c r="D294" s="1"/>
      <c r="F294" s="1"/>
    </row>
    <row r="295" spans="4:6" x14ac:dyDescent="0.25">
      <c r="D295" s="1"/>
      <c r="F295" s="1"/>
    </row>
    <row r="296" spans="4:6" x14ac:dyDescent="0.25">
      <c r="D296" s="1"/>
      <c r="F296" s="1"/>
    </row>
    <row r="297" spans="4:6" x14ac:dyDescent="0.25">
      <c r="D297" s="1"/>
      <c r="F297" s="1"/>
    </row>
    <row r="298" spans="4:6" x14ac:dyDescent="0.25">
      <c r="D298" s="1"/>
      <c r="F298" s="1"/>
    </row>
    <row r="299" spans="4:6" x14ac:dyDescent="0.25">
      <c r="D299" s="1"/>
      <c r="F299" s="1"/>
    </row>
    <row r="300" spans="4:6" x14ac:dyDescent="0.25">
      <c r="D300" s="1"/>
      <c r="F300" s="1"/>
    </row>
    <row r="301" spans="4:6" x14ac:dyDescent="0.25">
      <c r="D301" s="1"/>
      <c r="F301" s="1"/>
    </row>
    <row r="302" spans="4:6" x14ac:dyDescent="0.25">
      <c r="D302" s="1"/>
      <c r="F302" s="1"/>
    </row>
    <row r="303" spans="4:6" x14ac:dyDescent="0.25">
      <c r="D303" s="1"/>
      <c r="F303" s="1"/>
    </row>
    <row r="304" spans="4:6" x14ac:dyDescent="0.25">
      <c r="D304" s="1"/>
      <c r="F304" s="1"/>
    </row>
    <row r="305" spans="4:6" x14ac:dyDescent="0.25">
      <c r="D305" s="1"/>
      <c r="F305" s="1"/>
    </row>
    <row r="306" spans="4:6" x14ac:dyDescent="0.25">
      <c r="D306" s="1"/>
      <c r="F306" s="1"/>
    </row>
    <row r="307" spans="4:6" x14ac:dyDescent="0.25">
      <c r="D307" s="1"/>
      <c r="F307" s="1"/>
    </row>
    <row r="308" spans="4:6" x14ac:dyDescent="0.25">
      <c r="D308" s="1"/>
      <c r="F308" s="1"/>
    </row>
    <row r="309" spans="4:6" x14ac:dyDescent="0.25">
      <c r="D309" s="1"/>
      <c r="F309" s="1"/>
    </row>
    <row r="310" spans="4:6" x14ac:dyDescent="0.25">
      <c r="D310" s="1"/>
      <c r="F310" s="1"/>
    </row>
    <row r="311" spans="4:6" x14ac:dyDescent="0.25">
      <c r="D311" s="1"/>
      <c r="F311" s="1"/>
    </row>
    <row r="312" spans="4:6" x14ac:dyDescent="0.25">
      <c r="D312" s="1"/>
      <c r="F312" s="1"/>
    </row>
    <row r="313" spans="4:6" x14ac:dyDescent="0.25">
      <c r="D313" s="1"/>
      <c r="F313" s="1"/>
    </row>
    <row r="314" spans="4:6" x14ac:dyDescent="0.25">
      <c r="D314" s="1"/>
      <c r="F314" s="1"/>
    </row>
    <row r="315" spans="4:6" x14ac:dyDescent="0.25">
      <c r="D315" s="1"/>
      <c r="F315" s="1"/>
    </row>
    <row r="316" spans="4:6" x14ac:dyDescent="0.25">
      <c r="D316" s="1"/>
      <c r="F316" s="1"/>
    </row>
    <row r="317" spans="4:6" x14ac:dyDescent="0.25">
      <c r="D317" s="1"/>
      <c r="F317" s="1"/>
    </row>
    <row r="318" spans="4:6" x14ac:dyDescent="0.25">
      <c r="D318" s="1"/>
      <c r="F318" s="1"/>
    </row>
    <row r="319" spans="4:6" x14ac:dyDescent="0.25">
      <c r="D319" s="1"/>
      <c r="F319" s="1"/>
    </row>
    <row r="320" spans="4:6" x14ac:dyDescent="0.25">
      <c r="D320" s="1"/>
      <c r="F320" s="1"/>
    </row>
    <row r="321" spans="4:6" x14ac:dyDescent="0.25">
      <c r="D321" s="1"/>
      <c r="F321" s="1"/>
    </row>
    <row r="322" spans="4:6" x14ac:dyDescent="0.25">
      <c r="D322" s="1"/>
      <c r="F322" s="1"/>
    </row>
    <row r="323" spans="4:6" x14ac:dyDescent="0.25">
      <c r="D323" s="1"/>
      <c r="F323" s="1"/>
    </row>
    <row r="324" spans="4:6" x14ac:dyDescent="0.25">
      <c r="D324" s="1"/>
      <c r="F324" s="1"/>
    </row>
    <row r="325" spans="4:6" x14ac:dyDescent="0.25">
      <c r="D325" s="1"/>
      <c r="F325" s="1"/>
    </row>
    <row r="326" spans="4:6" x14ac:dyDescent="0.25">
      <c r="D326" s="1"/>
      <c r="F326" s="1"/>
    </row>
    <row r="327" spans="4:6" x14ac:dyDescent="0.25">
      <c r="D327" s="1"/>
      <c r="F327" s="1"/>
    </row>
    <row r="328" spans="4:6" x14ac:dyDescent="0.25">
      <c r="D328" s="1"/>
      <c r="F328" s="1"/>
    </row>
    <row r="329" spans="4:6" x14ac:dyDescent="0.25">
      <c r="D329" s="1"/>
      <c r="F329" s="1"/>
    </row>
    <row r="330" spans="4:6" x14ac:dyDescent="0.25">
      <c r="D330" s="1"/>
      <c r="F330" s="1"/>
    </row>
    <row r="331" spans="4:6" x14ac:dyDescent="0.25">
      <c r="D331" s="1"/>
      <c r="F331" s="1"/>
    </row>
    <row r="332" spans="4:6" x14ac:dyDescent="0.25">
      <c r="D332" s="1"/>
      <c r="F332" s="1"/>
    </row>
    <row r="333" spans="4:6" x14ac:dyDescent="0.25">
      <c r="D333" s="1"/>
      <c r="F333" s="1"/>
    </row>
    <row r="334" spans="4:6" x14ac:dyDescent="0.25">
      <c r="D334" s="1"/>
      <c r="F334" s="1"/>
    </row>
    <row r="335" spans="4:6" x14ac:dyDescent="0.25">
      <c r="D335" s="1"/>
      <c r="F335" s="1"/>
    </row>
    <row r="336" spans="4:6" x14ac:dyDescent="0.25">
      <c r="D336" s="1"/>
      <c r="F336" s="1"/>
    </row>
    <row r="337" spans="4:6" x14ac:dyDescent="0.25">
      <c r="D337" s="1"/>
      <c r="F337" s="1"/>
    </row>
    <row r="338" spans="4:6" x14ac:dyDescent="0.25">
      <c r="D338" s="1"/>
      <c r="F338" s="1"/>
    </row>
    <row r="339" spans="4:6" x14ac:dyDescent="0.25">
      <c r="D339" s="1"/>
      <c r="F339" s="1"/>
    </row>
    <row r="340" spans="4:6" x14ac:dyDescent="0.25">
      <c r="D340" s="1"/>
      <c r="F340" s="1"/>
    </row>
    <row r="341" spans="4:6" x14ac:dyDescent="0.25">
      <c r="D341" s="1"/>
      <c r="F341" s="1"/>
    </row>
    <row r="342" spans="4:6" x14ac:dyDescent="0.25">
      <c r="D342" s="1"/>
      <c r="F342" s="1"/>
    </row>
    <row r="343" spans="4:6" x14ac:dyDescent="0.25">
      <c r="D343" s="1"/>
      <c r="F343" s="1"/>
    </row>
    <row r="344" spans="4:6" x14ac:dyDescent="0.25">
      <c r="D344" s="1"/>
      <c r="F344" s="1"/>
    </row>
    <row r="345" spans="4:6" x14ac:dyDescent="0.25">
      <c r="D345" s="1"/>
      <c r="F345" s="1"/>
    </row>
    <row r="346" spans="4:6" x14ac:dyDescent="0.25">
      <c r="D346" s="1"/>
      <c r="F346" s="1"/>
    </row>
    <row r="347" spans="4:6" x14ac:dyDescent="0.25">
      <c r="D347" s="1"/>
      <c r="F347" s="1"/>
    </row>
    <row r="348" spans="4:6" x14ac:dyDescent="0.25">
      <c r="D348" s="1"/>
      <c r="F348" s="1"/>
    </row>
    <row r="349" spans="4:6" x14ac:dyDescent="0.25">
      <c r="D349" s="1"/>
      <c r="F349" s="1"/>
    </row>
    <row r="350" spans="4:6" x14ac:dyDescent="0.25">
      <c r="D350" s="1"/>
      <c r="F350" s="1"/>
    </row>
    <row r="351" spans="4:6" x14ac:dyDescent="0.25">
      <c r="D351" s="1"/>
      <c r="F351" s="1"/>
    </row>
    <row r="352" spans="4:6" x14ac:dyDescent="0.25">
      <c r="D352" s="1"/>
      <c r="F352" s="1"/>
    </row>
    <row r="353" spans="4:6" x14ac:dyDescent="0.25">
      <c r="D353" s="1"/>
      <c r="F353" s="1"/>
    </row>
    <row r="354" spans="4:6" x14ac:dyDescent="0.25">
      <c r="D354" s="1"/>
      <c r="F354" s="1"/>
    </row>
    <row r="355" spans="4:6" x14ac:dyDescent="0.25">
      <c r="D355" s="1"/>
      <c r="F355" s="1"/>
    </row>
    <row r="356" spans="4:6" x14ac:dyDescent="0.25">
      <c r="D356" s="1"/>
      <c r="F356" s="1"/>
    </row>
    <row r="357" spans="4:6" x14ac:dyDescent="0.25">
      <c r="D357" s="1"/>
      <c r="F357" s="1"/>
    </row>
    <row r="358" spans="4:6" x14ac:dyDescent="0.25">
      <c r="D358" s="1"/>
      <c r="F358" s="1"/>
    </row>
    <row r="359" spans="4:6" x14ac:dyDescent="0.25">
      <c r="D359" s="1"/>
      <c r="F359" s="1"/>
    </row>
    <row r="360" spans="4:6" x14ac:dyDescent="0.25">
      <c r="D360" s="1"/>
      <c r="F360" s="1"/>
    </row>
    <row r="361" spans="4:6" x14ac:dyDescent="0.25">
      <c r="D361" s="1"/>
      <c r="F361" s="1"/>
    </row>
    <row r="362" spans="4:6" x14ac:dyDescent="0.25">
      <c r="D362" s="1"/>
      <c r="F362" s="1"/>
    </row>
    <row r="363" spans="4:6" x14ac:dyDescent="0.25">
      <c r="D363" s="1"/>
      <c r="F363" s="1"/>
    </row>
    <row r="364" spans="4:6" x14ac:dyDescent="0.25">
      <c r="D364" s="1"/>
      <c r="F364" s="1"/>
    </row>
    <row r="365" spans="4:6" x14ac:dyDescent="0.25">
      <c r="D365" s="1"/>
      <c r="F365" s="1"/>
    </row>
    <row r="366" spans="4:6" x14ac:dyDescent="0.25">
      <c r="D366" s="1"/>
      <c r="F366" s="1"/>
    </row>
    <row r="367" spans="4:6" x14ac:dyDescent="0.25">
      <c r="D367" s="1"/>
      <c r="F367" s="1"/>
    </row>
    <row r="368" spans="4:6" x14ac:dyDescent="0.25">
      <c r="D368" s="1"/>
      <c r="F368" s="1"/>
    </row>
    <row r="369" spans="4:6" x14ac:dyDescent="0.25">
      <c r="D369" s="1"/>
      <c r="F369" s="1"/>
    </row>
    <row r="370" spans="4:6" x14ac:dyDescent="0.25">
      <c r="D370" s="1"/>
      <c r="F370" s="1"/>
    </row>
    <row r="371" spans="4:6" x14ac:dyDescent="0.25">
      <c r="D371" s="1"/>
      <c r="F371" s="1"/>
    </row>
    <row r="372" spans="4:6" x14ac:dyDescent="0.25">
      <c r="D372" s="1"/>
      <c r="F372" s="1"/>
    </row>
    <row r="373" spans="4:6" x14ac:dyDescent="0.25">
      <c r="D373" s="1"/>
      <c r="F373" s="1"/>
    </row>
    <row r="374" spans="4:6" x14ac:dyDescent="0.25">
      <c r="D374" s="1"/>
      <c r="F374" s="1"/>
    </row>
    <row r="375" spans="4:6" x14ac:dyDescent="0.25">
      <c r="D375" s="1"/>
      <c r="F375" s="1"/>
    </row>
    <row r="376" spans="4:6" x14ac:dyDescent="0.25">
      <c r="D376" s="1"/>
      <c r="F376" s="1"/>
    </row>
    <row r="377" spans="4:6" x14ac:dyDescent="0.25">
      <c r="D377" s="1"/>
      <c r="F377" s="1"/>
    </row>
    <row r="378" spans="4:6" x14ac:dyDescent="0.25">
      <c r="D378" s="1"/>
      <c r="F378" s="1"/>
    </row>
    <row r="379" spans="4:6" x14ac:dyDescent="0.25">
      <c r="D379" s="1"/>
      <c r="F379" s="1"/>
    </row>
    <row r="380" spans="4:6" x14ac:dyDescent="0.25">
      <c r="D380" s="1"/>
      <c r="F380" s="1"/>
    </row>
    <row r="381" spans="4:6" x14ac:dyDescent="0.25">
      <c r="D381" s="1"/>
      <c r="F381" s="1"/>
    </row>
    <row r="382" spans="4:6" x14ac:dyDescent="0.25">
      <c r="D382" s="1"/>
      <c r="F382" s="1"/>
    </row>
    <row r="383" spans="4:6" x14ac:dyDescent="0.25">
      <c r="D383" s="1"/>
      <c r="F383" s="1"/>
    </row>
    <row r="384" spans="4:6" x14ac:dyDescent="0.25">
      <c r="D384" s="1"/>
      <c r="F384" s="1"/>
    </row>
    <row r="385" spans="4:6" x14ac:dyDescent="0.25">
      <c r="D385" s="1"/>
      <c r="F385" s="1"/>
    </row>
    <row r="386" spans="4:6" x14ac:dyDescent="0.25">
      <c r="D386" s="1"/>
      <c r="F386" s="1"/>
    </row>
    <row r="387" spans="4:6" x14ac:dyDescent="0.25">
      <c r="D387" s="1"/>
      <c r="F387" s="1"/>
    </row>
    <row r="388" spans="4:6" x14ac:dyDescent="0.25">
      <c r="D388" s="1"/>
      <c r="F388" s="1"/>
    </row>
    <row r="389" spans="4:6" x14ac:dyDescent="0.25">
      <c r="D389" s="1"/>
      <c r="F389" s="1"/>
    </row>
    <row r="390" spans="4:6" x14ac:dyDescent="0.25">
      <c r="D390" s="1"/>
      <c r="F390" s="1"/>
    </row>
    <row r="391" spans="4:6" x14ac:dyDescent="0.25">
      <c r="D391" s="1"/>
      <c r="F391" s="1"/>
    </row>
    <row r="392" spans="4:6" x14ac:dyDescent="0.25">
      <c r="D392" s="1"/>
      <c r="F392" s="1"/>
    </row>
    <row r="393" spans="4:6" x14ac:dyDescent="0.25">
      <c r="D393" s="1"/>
      <c r="F393" s="1"/>
    </row>
    <row r="394" spans="4:6" x14ac:dyDescent="0.25">
      <c r="D394" s="1"/>
      <c r="F394" s="1"/>
    </row>
    <row r="395" spans="4:6" x14ac:dyDescent="0.25">
      <c r="D395" s="1"/>
      <c r="F395" s="1"/>
    </row>
    <row r="396" spans="4:6" x14ac:dyDescent="0.25">
      <c r="D396" s="1"/>
      <c r="F396" s="1"/>
    </row>
    <row r="397" spans="4:6" x14ac:dyDescent="0.25">
      <c r="D397" s="1"/>
      <c r="F397" s="1"/>
    </row>
    <row r="398" spans="4:6" x14ac:dyDescent="0.25">
      <c r="D398" s="1"/>
      <c r="F398" s="1"/>
    </row>
    <row r="399" spans="4:6" x14ac:dyDescent="0.25">
      <c r="D399" s="1"/>
      <c r="F399" s="1"/>
    </row>
    <row r="400" spans="4:6" x14ac:dyDescent="0.25">
      <c r="D400" s="1"/>
      <c r="F400" s="1"/>
    </row>
    <row r="401" spans="4:6" x14ac:dyDescent="0.25">
      <c r="D401" s="1"/>
      <c r="F401" s="1"/>
    </row>
    <row r="402" spans="4:6" x14ac:dyDescent="0.25">
      <c r="D402" s="1"/>
      <c r="F402" s="1"/>
    </row>
    <row r="403" spans="4:6" x14ac:dyDescent="0.25">
      <c r="D403" s="1"/>
      <c r="F403" s="1"/>
    </row>
    <row r="404" spans="4:6" x14ac:dyDescent="0.25">
      <c r="D404" s="1"/>
      <c r="F404" s="1"/>
    </row>
    <row r="405" spans="4:6" x14ac:dyDescent="0.25">
      <c r="D405" s="1"/>
      <c r="F405" s="1"/>
    </row>
    <row r="406" spans="4:6" x14ac:dyDescent="0.25">
      <c r="D406" s="1"/>
      <c r="F406" s="1"/>
    </row>
    <row r="407" spans="4:6" x14ac:dyDescent="0.25">
      <c r="D407" s="1"/>
      <c r="F407" s="1"/>
    </row>
    <row r="408" spans="4:6" x14ac:dyDescent="0.25">
      <c r="D408" s="1"/>
      <c r="F408" s="1"/>
    </row>
    <row r="409" spans="4:6" x14ac:dyDescent="0.25">
      <c r="D409" s="1"/>
      <c r="F409" s="1"/>
    </row>
    <row r="410" spans="4:6" x14ac:dyDescent="0.25">
      <c r="D410" s="1"/>
      <c r="F410" s="1"/>
    </row>
    <row r="411" spans="4:6" x14ac:dyDescent="0.25">
      <c r="D411" s="1"/>
      <c r="F411" s="1"/>
    </row>
    <row r="412" spans="4:6" x14ac:dyDescent="0.25">
      <c r="D412" s="1"/>
      <c r="F412" s="1"/>
    </row>
    <row r="413" spans="4:6" x14ac:dyDescent="0.25">
      <c r="D413" s="1"/>
      <c r="F413" s="1"/>
    </row>
    <row r="414" spans="4:6" x14ac:dyDescent="0.25">
      <c r="D414" s="1"/>
      <c r="F414" s="1"/>
    </row>
    <row r="415" spans="4:6" x14ac:dyDescent="0.25">
      <c r="D415" s="1"/>
      <c r="F415" s="1"/>
    </row>
    <row r="416" spans="4:6" x14ac:dyDescent="0.25">
      <c r="D416" s="1"/>
      <c r="F416" s="1"/>
    </row>
    <row r="417" spans="4:6" x14ac:dyDescent="0.25">
      <c r="D417" s="1"/>
      <c r="F417" s="1"/>
    </row>
    <row r="418" spans="4:6" x14ac:dyDescent="0.25">
      <c r="D418" s="1"/>
      <c r="F418" s="1"/>
    </row>
    <row r="419" spans="4:6" x14ac:dyDescent="0.25">
      <c r="D419" s="1"/>
      <c r="F419" s="1"/>
    </row>
    <row r="420" spans="4:6" x14ac:dyDescent="0.25">
      <c r="D420" s="1"/>
      <c r="F420" s="1"/>
    </row>
    <row r="421" spans="4:6" x14ac:dyDescent="0.25">
      <c r="D421" s="1"/>
      <c r="F421" s="1"/>
    </row>
    <row r="422" spans="4:6" x14ac:dyDescent="0.25">
      <c r="D422" s="1"/>
      <c r="F422" s="1"/>
    </row>
    <row r="423" spans="4:6" x14ac:dyDescent="0.25">
      <c r="D423" s="1"/>
      <c r="F423" s="1"/>
    </row>
    <row r="424" spans="4:6" x14ac:dyDescent="0.25">
      <c r="D424" s="1"/>
      <c r="F424" s="1"/>
    </row>
    <row r="425" spans="4:6" x14ac:dyDescent="0.25">
      <c r="D425" s="1"/>
      <c r="F425" s="1"/>
    </row>
    <row r="426" spans="4:6" x14ac:dyDescent="0.25">
      <c r="D426" s="1"/>
      <c r="F426" s="1"/>
    </row>
    <row r="427" spans="4:6" x14ac:dyDescent="0.25">
      <c r="D427" s="1"/>
      <c r="F427" s="1"/>
    </row>
    <row r="428" spans="4:6" x14ac:dyDescent="0.25">
      <c r="D428" s="1"/>
      <c r="F428" s="1"/>
    </row>
    <row r="429" spans="4:6" x14ac:dyDescent="0.25">
      <c r="D429" s="1"/>
      <c r="F429" s="1"/>
    </row>
    <row r="430" spans="4:6" x14ac:dyDescent="0.25">
      <c r="D430" s="1"/>
      <c r="F430" s="1"/>
    </row>
    <row r="431" spans="4:6" x14ac:dyDescent="0.25">
      <c r="D431" s="1"/>
      <c r="F431" s="1"/>
    </row>
    <row r="432" spans="4:6" x14ac:dyDescent="0.25">
      <c r="D432" s="1"/>
      <c r="F432" s="1"/>
    </row>
    <row r="433" spans="4:6" x14ac:dyDescent="0.25">
      <c r="D433" s="1"/>
      <c r="F433" s="1"/>
    </row>
    <row r="434" spans="4:6" x14ac:dyDescent="0.25">
      <c r="D434" s="1"/>
      <c r="F434" s="1"/>
    </row>
    <row r="435" spans="4:6" x14ac:dyDescent="0.25">
      <c r="D435" s="1"/>
      <c r="F435" s="1"/>
    </row>
    <row r="436" spans="4:6" x14ac:dyDescent="0.25">
      <c r="D436" s="1"/>
      <c r="F436" s="1"/>
    </row>
    <row r="437" spans="4:6" x14ac:dyDescent="0.25">
      <c r="D437" s="1"/>
      <c r="F437" s="1"/>
    </row>
    <row r="438" spans="4:6" x14ac:dyDescent="0.25">
      <c r="D438" s="1"/>
      <c r="F438" s="1"/>
    </row>
    <row r="439" spans="4:6" x14ac:dyDescent="0.25">
      <c r="D439" s="1"/>
      <c r="F439" s="1"/>
    </row>
    <row r="440" spans="4:6" x14ac:dyDescent="0.25">
      <c r="D440" s="1"/>
      <c r="F440" s="1"/>
    </row>
    <row r="441" spans="4:6" x14ac:dyDescent="0.25">
      <c r="D441" s="1"/>
      <c r="F441" s="1"/>
    </row>
    <row r="442" spans="4:6" x14ac:dyDescent="0.25">
      <c r="D442" s="1"/>
      <c r="F442" s="1"/>
    </row>
    <row r="443" spans="4:6" x14ac:dyDescent="0.25">
      <c r="D443" s="1"/>
      <c r="F443" s="1"/>
    </row>
    <row r="444" spans="4:6" x14ac:dyDescent="0.25">
      <c r="D444" s="1"/>
      <c r="F444" s="1"/>
    </row>
    <row r="445" spans="4:6" x14ac:dyDescent="0.25">
      <c r="D445" s="1"/>
      <c r="F445" s="1"/>
    </row>
    <row r="446" spans="4:6" x14ac:dyDescent="0.25">
      <c r="D446" s="1"/>
      <c r="F446" s="1"/>
    </row>
    <row r="447" spans="4:6" x14ac:dyDescent="0.25">
      <c r="D447" s="1"/>
      <c r="F447" s="1"/>
    </row>
    <row r="448" spans="4:6" x14ac:dyDescent="0.25">
      <c r="D448" s="1"/>
      <c r="F448" s="1"/>
    </row>
    <row r="449" spans="4:6" x14ac:dyDescent="0.25">
      <c r="D449" s="1"/>
      <c r="F449" s="1"/>
    </row>
    <row r="450" spans="4:6" x14ac:dyDescent="0.25">
      <c r="D450" s="1"/>
      <c r="F450" s="1"/>
    </row>
    <row r="451" spans="4:6" x14ac:dyDescent="0.25">
      <c r="D451" s="1"/>
      <c r="F451" s="1"/>
    </row>
    <row r="452" spans="4:6" x14ac:dyDescent="0.25">
      <c r="D452" s="1"/>
      <c r="F452" s="1"/>
    </row>
    <row r="453" spans="4:6" x14ac:dyDescent="0.25">
      <c r="D453" s="1"/>
      <c r="F453" s="1"/>
    </row>
    <row r="454" spans="4:6" x14ac:dyDescent="0.25">
      <c r="D454" s="1"/>
      <c r="F454" s="1"/>
    </row>
    <row r="455" spans="4:6" x14ac:dyDescent="0.25">
      <c r="D455" s="1"/>
      <c r="F455" s="1"/>
    </row>
    <row r="456" spans="4:6" x14ac:dyDescent="0.25">
      <c r="D456" s="1"/>
      <c r="F456" s="1"/>
    </row>
    <row r="457" spans="4:6" x14ac:dyDescent="0.25">
      <c r="D457" s="1"/>
      <c r="F457" s="1"/>
    </row>
    <row r="458" spans="4:6" x14ac:dyDescent="0.25">
      <c r="D458" s="1"/>
      <c r="F458" s="1"/>
    </row>
    <row r="459" spans="4:6" x14ac:dyDescent="0.25">
      <c r="D459" s="1"/>
      <c r="F459" s="1"/>
    </row>
    <row r="460" spans="4:6" x14ac:dyDescent="0.25">
      <c r="D460" s="1"/>
      <c r="F460" s="1"/>
    </row>
    <row r="461" spans="4:6" x14ac:dyDescent="0.25">
      <c r="D461" s="1"/>
      <c r="F461" s="1"/>
    </row>
    <row r="462" spans="4:6" x14ac:dyDescent="0.25">
      <c r="D462" s="1"/>
      <c r="F462" s="1"/>
    </row>
    <row r="463" spans="4:6" x14ac:dyDescent="0.25">
      <c r="D463" s="1"/>
      <c r="F463" s="1"/>
    </row>
    <row r="464" spans="4:6" x14ac:dyDescent="0.25">
      <c r="D464" s="1"/>
      <c r="F464" s="1"/>
    </row>
    <row r="465" spans="4:6" x14ac:dyDescent="0.25">
      <c r="D465" s="1"/>
      <c r="F465" s="1"/>
    </row>
    <row r="466" spans="4:6" x14ac:dyDescent="0.25">
      <c r="D466" s="1"/>
      <c r="F466" s="1"/>
    </row>
    <row r="467" spans="4:6" x14ac:dyDescent="0.25">
      <c r="D467" s="1"/>
      <c r="F467" s="1"/>
    </row>
    <row r="468" spans="4:6" x14ac:dyDescent="0.25">
      <c r="D468" s="1"/>
      <c r="F468" s="1"/>
    </row>
    <row r="469" spans="4:6" x14ac:dyDescent="0.25">
      <c r="D469" s="1"/>
      <c r="F469" s="1"/>
    </row>
    <row r="470" spans="4:6" x14ac:dyDescent="0.25">
      <c r="D470" s="1"/>
      <c r="F470" s="1"/>
    </row>
    <row r="471" spans="4:6" x14ac:dyDescent="0.25">
      <c r="D471" s="1"/>
      <c r="F471" s="1"/>
    </row>
    <row r="472" spans="4:6" x14ac:dyDescent="0.25">
      <c r="D472" s="1"/>
      <c r="F472" s="1"/>
    </row>
    <row r="473" spans="4:6" x14ac:dyDescent="0.25">
      <c r="D473" s="1"/>
      <c r="F473" s="1"/>
    </row>
    <row r="474" spans="4:6" x14ac:dyDescent="0.25">
      <c r="D474" s="1"/>
      <c r="F474" s="1"/>
    </row>
    <row r="475" spans="4:6" x14ac:dyDescent="0.25">
      <c r="D475" s="1"/>
      <c r="F475" s="1"/>
    </row>
    <row r="476" spans="4:6" x14ac:dyDescent="0.25">
      <c r="D476" s="1"/>
      <c r="F476" s="1"/>
    </row>
    <row r="477" spans="4:6" x14ac:dyDescent="0.25">
      <c r="D477" s="1"/>
      <c r="F477" s="1"/>
    </row>
    <row r="478" spans="4:6" x14ac:dyDescent="0.25">
      <c r="D478" s="1"/>
      <c r="F478" s="1"/>
    </row>
    <row r="479" spans="4:6" x14ac:dyDescent="0.25">
      <c r="D479" s="1"/>
      <c r="F479" s="1"/>
    </row>
    <row r="480" spans="4:6" x14ac:dyDescent="0.25">
      <c r="D480" s="1"/>
      <c r="F480" s="1"/>
    </row>
    <row r="481" spans="4:6" x14ac:dyDescent="0.25">
      <c r="D481" s="1"/>
      <c r="F481" s="1"/>
    </row>
    <row r="482" spans="4:6" x14ac:dyDescent="0.25">
      <c r="D482" s="1"/>
      <c r="F482" s="1"/>
    </row>
    <row r="483" spans="4:6" x14ac:dyDescent="0.25">
      <c r="D483" s="1"/>
      <c r="F483" s="1"/>
    </row>
    <row r="484" spans="4:6" x14ac:dyDescent="0.25">
      <c r="D484" s="1"/>
      <c r="F484" s="1"/>
    </row>
    <row r="485" spans="4:6" x14ac:dyDescent="0.25">
      <c r="D485" s="1"/>
      <c r="F485" s="1"/>
    </row>
    <row r="486" spans="4:6" x14ac:dyDescent="0.25">
      <c r="D486" s="1"/>
      <c r="F486" s="1"/>
    </row>
    <row r="487" spans="4:6" x14ac:dyDescent="0.25">
      <c r="D487" s="1"/>
      <c r="F487" s="1"/>
    </row>
    <row r="488" spans="4:6" x14ac:dyDescent="0.25">
      <c r="D488" s="1"/>
      <c r="F488" s="1"/>
    </row>
    <row r="489" spans="4:6" x14ac:dyDescent="0.25">
      <c r="D489" s="1"/>
      <c r="F489" s="1"/>
    </row>
    <row r="490" spans="4:6" x14ac:dyDescent="0.25">
      <c r="D490" s="1"/>
      <c r="F490" s="1"/>
    </row>
    <row r="491" spans="4:6" x14ac:dyDescent="0.25">
      <c r="D491" s="1"/>
      <c r="F491" s="1"/>
    </row>
    <row r="492" spans="4:6" x14ac:dyDescent="0.25">
      <c r="D492" s="1"/>
      <c r="F492" s="1"/>
    </row>
    <row r="493" spans="4:6" x14ac:dyDescent="0.25">
      <c r="D493" s="1"/>
      <c r="F493" s="1"/>
    </row>
    <row r="494" spans="4:6" x14ac:dyDescent="0.25">
      <c r="D494" s="1"/>
      <c r="F494" s="1"/>
    </row>
    <row r="495" spans="4:6" x14ac:dyDescent="0.25">
      <c r="D495" s="1"/>
      <c r="F495" s="1"/>
    </row>
    <row r="496" spans="4:6" x14ac:dyDescent="0.25">
      <c r="D496" s="1"/>
      <c r="F496" s="1"/>
    </row>
    <row r="497" spans="4:6" x14ac:dyDescent="0.25">
      <c r="D497" s="1"/>
      <c r="F497" s="1"/>
    </row>
    <row r="498" spans="4:6" x14ac:dyDescent="0.25">
      <c r="D498" s="1"/>
      <c r="F498" s="1"/>
    </row>
    <row r="499" spans="4:6" x14ac:dyDescent="0.25">
      <c r="D499" s="1"/>
      <c r="F499" s="1"/>
    </row>
    <row r="500" spans="4:6" x14ac:dyDescent="0.25">
      <c r="D500" s="1"/>
      <c r="F500" s="1"/>
    </row>
    <row r="501" spans="4:6" x14ac:dyDescent="0.25">
      <c r="D501" s="1"/>
      <c r="F501" s="1"/>
    </row>
    <row r="502" spans="4:6" x14ac:dyDescent="0.25">
      <c r="D502" s="1"/>
      <c r="F502" s="1"/>
    </row>
    <row r="503" spans="4:6" x14ac:dyDescent="0.25">
      <c r="D503" s="1"/>
      <c r="F503" s="1"/>
    </row>
    <row r="504" spans="4:6" x14ac:dyDescent="0.25">
      <c r="D504" s="1"/>
      <c r="F504" s="1"/>
    </row>
    <row r="505" spans="4:6" x14ac:dyDescent="0.25">
      <c r="D505" s="1"/>
      <c r="F505" s="1"/>
    </row>
    <row r="506" spans="4:6" x14ac:dyDescent="0.25">
      <c r="D506" s="1"/>
      <c r="F506" s="1"/>
    </row>
    <row r="507" spans="4:6" x14ac:dyDescent="0.25">
      <c r="D507" s="1"/>
      <c r="F507" s="1"/>
    </row>
    <row r="508" spans="4:6" x14ac:dyDescent="0.25">
      <c r="D508" s="1"/>
      <c r="F508" s="1"/>
    </row>
    <row r="509" spans="4:6" x14ac:dyDescent="0.25">
      <c r="D509" s="1"/>
      <c r="F509" s="1"/>
    </row>
    <row r="510" spans="4:6" x14ac:dyDescent="0.25">
      <c r="D510" s="1"/>
      <c r="F510" s="1"/>
    </row>
    <row r="511" spans="4:6" x14ac:dyDescent="0.25">
      <c r="D511" s="1"/>
      <c r="F511" s="1"/>
    </row>
    <row r="512" spans="4:6" x14ac:dyDescent="0.25">
      <c r="D512" s="1"/>
      <c r="F512" s="1"/>
    </row>
    <row r="513" spans="4:6" x14ac:dyDescent="0.25">
      <c r="D513" s="1"/>
      <c r="F513" s="1"/>
    </row>
    <row r="514" spans="4:6" x14ac:dyDescent="0.25">
      <c r="D514" s="1"/>
      <c r="F514" s="1"/>
    </row>
    <row r="515" spans="4:6" x14ac:dyDescent="0.25">
      <c r="D515" s="1"/>
      <c r="F515" s="1"/>
    </row>
    <row r="516" spans="4:6" x14ac:dyDescent="0.25">
      <c r="D516" s="1"/>
      <c r="F516" s="1"/>
    </row>
    <row r="517" spans="4:6" x14ac:dyDescent="0.25">
      <c r="D517" s="1"/>
      <c r="F517" s="1"/>
    </row>
    <row r="518" spans="4:6" x14ac:dyDescent="0.25">
      <c r="D518" s="1"/>
      <c r="F518" s="1"/>
    </row>
    <row r="519" spans="4:6" x14ac:dyDescent="0.25">
      <c r="D519" s="1"/>
      <c r="F519" s="1"/>
    </row>
    <row r="520" spans="4:6" x14ac:dyDescent="0.25">
      <c r="D520" s="1"/>
      <c r="F520" s="1"/>
    </row>
    <row r="521" spans="4:6" x14ac:dyDescent="0.25">
      <c r="D521" s="1"/>
      <c r="F521" s="1"/>
    </row>
    <row r="522" spans="4:6" x14ac:dyDescent="0.25">
      <c r="D522" s="1"/>
      <c r="F522" s="1"/>
    </row>
    <row r="523" spans="4:6" x14ac:dyDescent="0.25">
      <c r="D523" s="1"/>
      <c r="F523" s="1"/>
    </row>
    <row r="524" spans="4:6" x14ac:dyDescent="0.25">
      <c r="D524" s="1"/>
      <c r="F524" s="1"/>
    </row>
    <row r="525" spans="4:6" x14ac:dyDescent="0.25">
      <c r="D525" s="1"/>
      <c r="F525" s="1"/>
    </row>
    <row r="526" spans="4:6" x14ac:dyDescent="0.25">
      <c r="D526" s="1"/>
      <c r="F526" s="1"/>
    </row>
    <row r="527" spans="4:6" x14ac:dyDescent="0.25">
      <c r="D527" s="1"/>
      <c r="F527" s="1"/>
    </row>
    <row r="528" spans="4:6" x14ac:dyDescent="0.25">
      <c r="D528" s="1"/>
      <c r="F528" s="1"/>
    </row>
    <row r="529" spans="4:6" x14ac:dyDescent="0.25">
      <c r="D529" s="1"/>
      <c r="F529" s="1"/>
    </row>
    <row r="530" spans="4:6" x14ac:dyDescent="0.25">
      <c r="D530" s="1"/>
      <c r="F530" s="1"/>
    </row>
    <row r="531" spans="4:6" x14ac:dyDescent="0.25">
      <c r="D531" s="1"/>
      <c r="F531" s="1"/>
    </row>
    <row r="532" spans="4:6" x14ac:dyDescent="0.25">
      <c r="D532" s="1"/>
      <c r="F532" s="1"/>
    </row>
    <row r="533" spans="4:6" x14ac:dyDescent="0.25">
      <c r="D533" s="1"/>
      <c r="F533" s="1"/>
    </row>
    <row r="534" spans="4:6" x14ac:dyDescent="0.25">
      <c r="D534" s="1"/>
      <c r="F534" s="1"/>
    </row>
    <row r="535" spans="4:6" x14ac:dyDescent="0.25">
      <c r="D535" s="1"/>
      <c r="F535" s="1"/>
    </row>
    <row r="536" spans="4:6" x14ac:dyDescent="0.25">
      <c r="D536" s="1"/>
      <c r="F536" s="1"/>
    </row>
    <row r="537" spans="4:6" x14ac:dyDescent="0.25">
      <c r="D537" s="1"/>
      <c r="F537" s="1"/>
    </row>
    <row r="538" spans="4:6" x14ac:dyDescent="0.25">
      <c r="D538" s="1"/>
      <c r="F538" s="1"/>
    </row>
    <row r="539" spans="4:6" x14ac:dyDescent="0.25">
      <c r="D539" s="1"/>
      <c r="F539" s="1"/>
    </row>
    <row r="540" spans="4:6" x14ac:dyDescent="0.25">
      <c r="D540" s="1"/>
      <c r="F540" s="1"/>
    </row>
    <row r="541" spans="4:6" x14ac:dyDescent="0.25">
      <c r="D541" s="1"/>
      <c r="F541" s="1"/>
    </row>
    <row r="542" spans="4:6" x14ac:dyDescent="0.25">
      <c r="D542" s="1"/>
      <c r="F542" s="1"/>
    </row>
    <row r="543" spans="4:6" x14ac:dyDescent="0.25">
      <c r="D543" s="1"/>
      <c r="F543" s="1"/>
    </row>
    <row r="544" spans="4:6" x14ac:dyDescent="0.25">
      <c r="D544" s="1"/>
      <c r="F544" s="1"/>
    </row>
    <row r="545" spans="4:6" x14ac:dyDescent="0.25">
      <c r="D545" s="1"/>
      <c r="F545" s="1"/>
    </row>
    <row r="546" spans="4:6" x14ac:dyDescent="0.25">
      <c r="D546" s="1"/>
      <c r="F546" s="1"/>
    </row>
    <row r="547" spans="4:6" x14ac:dyDescent="0.25">
      <c r="D547" s="1"/>
      <c r="F547" s="1"/>
    </row>
    <row r="548" spans="4:6" x14ac:dyDescent="0.25">
      <c r="D548" s="1"/>
      <c r="F548" s="1"/>
    </row>
    <row r="549" spans="4:6" x14ac:dyDescent="0.25">
      <c r="D549" s="1"/>
      <c r="F549" s="1"/>
    </row>
    <row r="550" spans="4:6" x14ac:dyDescent="0.25">
      <c r="D550" s="1"/>
      <c r="F550" s="1"/>
    </row>
    <row r="551" spans="4:6" x14ac:dyDescent="0.25">
      <c r="D551" s="1"/>
      <c r="F551" s="1"/>
    </row>
    <row r="552" spans="4:6" x14ac:dyDescent="0.25">
      <c r="D552" s="1"/>
      <c r="F552" s="1"/>
    </row>
    <row r="553" spans="4:6" x14ac:dyDescent="0.25">
      <c r="D553" s="1"/>
      <c r="F553" s="1"/>
    </row>
    <row r="554" spans="4:6" x14ac:dyDescent="0.25">
      <c r="D554" s="1"/>
      <c r="F554" s="1"/>
    </row>
    <row r="555" spans="4:6" x14ac:dyDescent="0.25">
      <c r="D555" s="1"/>
      <c r="F555" s="1"/>
    </row>
    <row r="556" spans="4:6" x14ac:dyDescent="0.25">
      <c r="D556" s="1"/>
      <c r="F556" s="1"/>
    </row>
    <row r="557" spans="4:6" x14ac:dyDescent="0.25">
      <c r="D557" s="1"/>
      <c r="F557" s="1"/>
    </row>
    <row r="558" spans="4:6" x14ac:dyDescent="0.25">
      <c r="D558" s="1"/>
      <c r="F558" s="1"/>
    </row>
    <row r="559" spans="4:6" x14ac:dyDescent="0.25">
      <c r="D559" s="1"/>
      <c r="F559" s="1"/>
    </row>
    <row r="560" spans="4:6" x14ac:dyDescent="0.25">
      <c r="D560" s="1"/>
      <c r="F560" s="1"/>
    </row>
    <row r="561" spans="4:6" x14ac:dyDescent="0.25">
      <c r="D561" s="1"/>
      <c r="F561" s="1"/>
    </row>
    <row r="562" spans="4:6" x14ac:dyDescent="0.25">
      <c r="D562" s="1"/>
      <c r="F562" s="1"/>
    </row>
    <row r="563" spans="4:6" x14ac:dyDescent="0.25">
      <c r="D563" s="1"/>
      <c r="F563" s="1"/>
    </row>
    <row r="564" spans="4:6" x14ac:dyDescent="0.25">
      <c r="D564" s="1"/>
      <c r="F564" s="1"/>
    </row>
    <row r="565" spans="4:6" x14ac:dyDescent="0.25">
      <c r="D565" s="1"/>
      <c r="F565" s="1"/>
    </row>
    <row r="566" spans="4:6" x14ac:dyDescent="0.25">
      <c r="D566" s="1"/>
      <c r="F566" s="1"/>
    </row>
    <row r="567" spans="4:6" x14ac:dyDescent="0.25">
      <c r="D567" s="1"/>
      <c r="F567" s="1"/>
    </row>
    <row r="568" spans="4:6" x14ac:dyDescent="0.25">
      <c r="D568" s="1"/>
      <c r="F568" s="1"/>
    </row>
    <row r="569" spans="4:6" x14ac:dyDescent="0.25">
      <c r="D569" s="1"/>
      <c r="F569" s="1"/>
    </row>
    <row r="570" spans="4:6" x14ac:dyDescent="0.25">
      <c r="D570" s="1"/>
      <c r="F570" s="1"/>
    </row>
    <row r="571" spans="4:6" x14ac:dyDescent="0.25">
      <c r="D571" s="1"/>
      <c r="F571" s="1"/>
    </row>
    <row r="572" spans="4:6" x14ac:dyDescent="0.25">
      <c r="D572" s="1"/>
      <c r="F572" s="1"/>
    </row>
    <row r="573" spans="4:6" x14ac:dyDescent="0.25">
      <c r="D573" s="1"/>
      <c r="F573" s="1"/>
    </row>
    <row r="574" spans="4:6" x14ac:dyDescent="0.25">
      <c r="D574" s="1"/>
      <c r="F574" s="1"/>
    </row>
    <row r="575" spans="4:6" x14ac:dyDescent="0.25">
      <c r="D575" s="1"/>
      <c r="F575" s="1"/>
    </row>
    <row r="576" spans="4:6" x14ac:dyDescent="0.25">
      <c r="D576" s="1"/>
      <c r="F576" s="1"/>
    </row>
    <row r="577" spans="4:6" x14ac:dyDescent="0.25">
      <c r="D577" s="1"/>
      <c r="F577" s="1"/>
    </row>
    <row r="578" spans="4:6" x14ac:dyDescent="0.25">
      <c r="D578" s="1"/>
      <c r="F578" s="1"/>
    </row>
    <row r="579" spans="4:6" x14ac:dyDescent="0.25">
      <c r="D579" s="1"/>
      <c r="F579" s="1"/>
    </row>
    <row r="580" spans="4:6" x14ac:dyDescent="0.25">
      <c r="D580" s="1"/>
      <c r="F580" s="1"/>
    </row>
    <row r="581" spans="4:6" x14ac:dyDescent="0.25">
      <c r="D581" s="1"/>
      <c r="F581" s="1"/>
    </row>
    <row r="582" spans="4:6" x14ac:dyDescent="0.25">
      <c r="D582" s="1"/>
      <c r="F582" s="1"/>
    </row>
    <row r="583" spans="4:6" x14ac:dyDescent="0.25">
      <c r="D583" s="1"/>
      <c r="F583" s="1"/>
    </row>
    <row r="584" spans="4:6" x14ac:dyDescent="0.25">
      <c r="D584" s="1"/>
      <c r="F584" s="1"/>
    </row>
    <row r="585" spans="4:6" x14ac:dyDescent="0.25">
      <c r="D585" s="1"/>
      <c r="F585" s="1"/>
    </row>
    <row r="586" spans="4:6" x14ac:dyDescent="0.25">
      <c r="D586" s="1"/>
      <c r="F586" s="1"/>
    </row>
    <row r="587" spans="4:6" x14ac:dyDescent="0.25">
      <c r="D587" s="1"/>
      <c r="F587" s="1"/>
    </row>
    <row r="588" spans="4:6" x14ac:dyDescent="0.25">
      <c r="D588" s="1"/>
      <c r="F588" s="1"/>
    </row>
    <row r="589" spans="4:6" x14ac:dyDescent="0.25">
      <c r="D589" s="1"/>
      <c r="F589" s="1"/>
    </row>
    <row r="590" spans="4:6" x14ac:dyDescent="0.25">
      <c r="D590" s="1"/>
      <c r="F590" s="1"/>
    </row>
    <row r="591" spans="4:6" x14ac:dyDescent="0.25">
      <c r="D591" s="1"/>
      <c r="F591" s="1"/>
    </row>
    <row r="592" spans="4:6" x14ac:dyDescent="0.25">
      <c r="D592" s="1"/>
      <c r="F592" s="1"/>
    </row>
    <row r="593" spans="4:6" x14ac:dyDescent="0.25">
      <c r="D593" s="1"/>
      <c r="F593" s="1"/>
    </row>
    <row r="594" spans="4:6" x14ac:dyDescent="0.25">
      <c r="D594" s="1"/>
      <c r="F594" s="1"/>
    </row>
    <row r="595" spans="4:6" x14ac:dyDescent="0.25">
      <c r="D595" s="1"/>
      <c r="F595" s="1"/>
    </row>
    <row r="596" spans="4:6" x14ac:dyDescent="0.25">
      <c r="D596" s="1"/>
      <c r="F596" s="1"/>
    </row>
    <row r="597" spans="4:6" x14ac:dyDescent="0.25">
      <c r="D597" s="1"/>
      <c r="F597" s="1"/>
    </row>
    <row r="598" spans="4:6" x14ac:dyDescent="0.25">
      <c r="D598" s="1"/>
      <c r="F598" s="1"/>
    </row>
    <row r="599" spans="4:6" x14ac:dyDescent="0.25">
      <c r="D599" s="1"/>
      <c r="F599" s="1"/>
    </row>
    <row r="600" spans="4:6" x14ac:dyDescent="0.25">
      <c r="D600" s="1"/>
      <c r="F600" s="1"/>
    </row>
    <row r="601" spans="4:6" x14ac:dyDescent="0.25">
      <c r="D601" s="1"/>
      <c r="F601" s="1"/>
    </row>
    <row r="602" spans="4:6" x14ac:dyDescent="0.25">
      <c r="D602" s="1"/>
      <c r="F602" s="1"/>
    </row>
    <row r="603" spans="4:6" x14ac:dyDescent="0.25">
      <c r="D603" s="1"/>
      <c r="F603" s="1"/>
    </row>
    <row r="604" spans="4:6" x14ac:dyDescent="0.25">
      <c r="D604" s="1"/>
      <c r="F604" s="1"/>
    </row>
    <row r="605" spans="4:6" x14ac:dyDescent="0.25">
      <c r="D605" s="1"/>
      <c r="F605" s="1"/>
    </row>
    <row r="606" spans="4:6" x14ac:dyDescent="0.25">
      <c r="D606" s="1"/>
      <c r="F606" s="1"/>
    </row>
    <row r="607" spans="4:6" x14ac:dyDescent="0.25">
      <c r="D607" s="1"/>
      <c r="F607" s="1"/>
    </row>
    <row r="608" spans="4:6" x14ac:dyDescent="0.25">
      <c r="D608" s="1"/>
      <c r="F608" s="1"/>
    </row>
    <row r="609" spans="4:6" x14ac:dyDescent="0.25">
      <c r="D609" s="1"/>
      <c r="F609" s="1"/>
    </row>
    <row r="610" spans="4:6" x14ac:dyDescent="0.25">
      <c r="D610" s="1"/>
      <c r="F610" s="1"/>
    </row>
    <row r="611" spans="4:6" x14ac:dyDescent="0.25">
      <c r="D611" s="1"/>
      <c r="F611" s="1"/>
    </row>
    <row r="612" spans="4:6" x14ac:dyDescent="0.25">
      <c r="D612" s="1"/>
      <c r="F612" s="1"/>
    </row>
    <row r="613" spans="4:6" x14ac:dyDescent="0.25">
      <c r="D613" s="1"/>
      <c r="F613" s="1"/>
    </row>
    <row r="614" spans="4:6" x14ac:dyDescent="0.25">
      <c r="D614" s="1"/>
      <c r="F614" s="1"/>
    </row>
    <row r="615" spans="4:6" x14ac:dyDescent="0.25">
      <c r="D615" s="1"/>
      <c r="F615" s="1"/>
    </row>
    <row r="616" spans="4:6" x14ac:dyDescent="0.25">
      <c r="D616" s="1"/>
      <c r="F616" s="1"/>
    </row>
    <row r="617" spans="4:6" x14ac:dyDescent="0.25">
      <c r="D617" s="1"/>
      <c r="F617" s="1"/>
    </row>
    <row r="618" spans="4:6" x14ac:dyDescent="0.25">
      <c r="D618" s="1"/>
      <c r="F618" s="1"/>
    </row>
    <row r="619" spans="4:6" x14ac:dyDescent="0.25">
      <c r="D619" s="1"/>
      <c r="F619" s="1"/>
    </row>
    <row r="620" spans="4:6" x14ac:dyDescent="0.25">
      <c r="D620" s="1"/>
      <c r="F620" s="1"/>
    </row>
    <row r="621" spans="4:6" x14ac:dyDescent="0.25">
      <c r="D621" s="1"/>
      <c r="F621" s="1"/>
    </row>
    <row r="622" spans="4:6" x14ac:dyDescent="0.25">
      <c r="D622" s="1"/>
      <c r="F622" s="1"/>
    </row>
    <row r="623" spans="4:6" x14ac:dyDescent="0.25">
      <c r="D623" s="1"/>
      <c r="F623" s="1"/>
    </row>
    <row r="624" spans="4:6" x14ac:dyDescent="0.25">
      <c r="D624" s="1"/>
      <c r="F624" s="1"/>
    </row>
    <row r="625" spans="4:6" x14ac:dyDescent="0.25">
      <c r="D625" s="1"/>
      <c r="F625" s="1"/>
    </row>
    <row r="626" spans="4:6" x14ac:dyDescent="0.25">
      <c r="D626" s="1"/>
      <c r="F626" s="1"/>
    </row>
    <row r="627" spans="4:6" x14ac:dyDescent="0.25">
      <c r="D627" s="1"/>
      <c r="F627" s="1"/>
    </row>
    <row r="628" spans="4:6" x14ac:dyDescent="0.25">
      <c r="D628" s="1"/>
      <c r="F628" s="1"/>
    </row>
    <row r="629" spans="4:6" x14ac:dyDescent="0.25">
      <c r="D629" s="1"/>
      <c r="F629" s="1"/>
    </row>
    <row r="630" spans="4:6" x14ac:dyDescent="0.25">
      <c r="D630" s="1"/>
      <c r="F630" s="1"/>
    </row>
    <row r="631" spans="4:6" x14ac:dyDescent="0.25">
      <c r="D631" s="1"/>
      <c r="F631" s="1"/>
    </row>
    <row r="632" spans="4:6" x14ac:dyDescent="0.25">
      <c r="D632" s="1"/>
      <c r="F632" s="1"/>
    </row>
    <row r="633" spans="4:6" x14ac:dyDescent="0.25">
      <c r="D633" s="1"/>
      <c r="F633" s="1"/>
    </row>
    <row r="634" spans="4:6" x14ac:dyDescent="0.25">
      <c r="D634" s="1"/>
      <c r="F634" s="1"/>
    </row>
    <row r="635" spans="4:6" x14ac:dyDescent="0.25">
      <c r="D635" s="1"/>
      <c r="F635" s="1"/>
    </row>
    <row r="636" spans="4:6" x14ac:dyDescent="0.25">
      <c r="D636" s="1"/>
      <c r="F636" s="1"/>
    </row>
    <row r="637" spans="4:6" x14ac:dyDescent="0.25">
      <c r="D637" s="1"/>
      <c r="F637" s="1"/>
    </row>
    <row r="638" spans="4:6" x14ac:dyDescent="0.25">
      <c r="D638" s="1"/>
      <c r="F638" s="1"/>
    </row>
    <row r="639" spans="4:6" x14ac:dyDescent="0.25">
      <c r="D639" s="1"/>
      <c r="F639" s="1"/>
    </row>
    <row r="640" spans="4:6" x14ac:dyDescent="0.25">
      <c r="D640" s="1"/>
      <c r="F640" s="1"/>
    </row>
    <row r="641" spans="4:6" x14ac:dyDescent="0.25">
      <c r="D641" s="1"/>
      <c r="F641" s="1"/>
    </row>
    <row r="642" spans="4:6" x14ac:dyDescent="0.25">
      <c r="D642" s="1"/>
      <c r="F642" s="1"/>
    </row>
    <row r="643" spans="4:6" x14ac:dyDescent="0.25">
      <c r="D643" s="1"/>
      <c r="F643" s="1"/>
    </row>
    <row r="644" spans="4:6" x14ac:dyDescent="0.25">
      <c r="D644" s="1"/>
      <c r="F644" s="1"/>
    </row>
    <row r="645" spans="4:6" x14ac:dyDescent="0.25">
      <c r="D645" s="1"/>
      <c r="F645" s="1"/>
    </row>
    <row r="646" spans="4:6" x14ac:dyDescent="0.25">
      <c r="D646" s="1"/>
      <c r="F646" s="1"/>
    </row>
    <row r="647" spans="4:6" x14ac:dyDescent="0.25">
      <c r="D647" s="1"/>
      <c r="F647" s="1"/>
    </row>
    <row r="648" spans="4:6" x14ac:dyDescent="0.25">
      <c r="D648" s="1"/>
      <c r="F648" s="1"/>
    </row>
    <row r="649" spans="4:6" x14ac:dyDescent="0.25">
      <c r="D649" s="1"/>
      <c r="F649" s="1"/>
    </row>
    <row r="650" spans="4:6" x14ac:dyDescent="0.25">
      <c r="D650" s="1"/>
      <c r="F650" s="1"/>
    </row>
    <row r="651" spans="4:6" x14ac:dyDescent="0.25">
      <c r="D651" s="1"/>
      <c r="F651" s="1"/>
    </row>
    <row r="652" spans="4:6" x14ac:dyDescent="0.25">
      <c r="D652" s="1"/>
      <c r="F652" s="1"/>
    </row>
    <row r="653" spans="4:6" x14ac:dyDescent="0.25">
      <c r="D653" s="1"/>
      <c r="F653" s="1"/>
    </row>
    <row r="654" spans="4:6" x14ac:dyDescent="0.25">
      <c r="D654" s="1"/>
      <c r="F654" s="1"/>
    </row>
    <row r="655" spans="4:6" x14ac:dyDescent="0.25">
      <c r="D655" s="1"/>
      <c r="F655" s="1"/>
    </row>
    <row r="656" spans="4:6" x14ac:dyDescent="0.25">
      <c r="D656" s="1"/>
      <c r="F656" s="1"/>
    </row>
    <row r="657" spans="4:6" x14ac:dyDescent="0.25">
      <c r="D657" s="1"/>
      <c r="F657" s="1"/>
    </row>
    <row r="658" spans="4:6" x14ac:dyDescent="0.25">
      <c r="D658" s="1"/>
      <c r="F658" s="1"/>
    </row>
    <row r="659" spans="4:6" x14ac:dyDescent="0.25">
      <c r="D659" s="1"/>
      <c r="F659" s="1"/>
    </row>
    <row r="660" spans="4:6" x14ac:dyDescent="0.25">
      <c r="D660" s="1"/>
      <c r="F660" s="1"/>
    </row>
    <row r="661" spans="4:6" x14ac:dyDescent="0.25">
      <c r="D661" s="1"/>
      <c r="F661" s="1"/>
    </row>
    <row r="662" spans="4:6" x14ac:dyDescent="0.25">
      <c r="D662" s="1"/>
      <c r="F662" s="1"/>
    </row>
    <row r="663" spans="4:6" x14ac:dyDescent="0.25">
      <c r="D663" s="1"/>
      <c r="F663" s="1"/>
    </row>
    <row r="664" spans="4:6" x14ac:dyDescent="0.25">
      <c r="D664" s="1"/>
      <c r="F664" s="1"/>
    </row>
    <row r="665" spans="4:6" x14ac:dyDescent="0.25">
      <c r="D665" s="1"/>
      <c r="F665" s="1"/>
    </row>
    <row r="666" spans="4:6" x14ac:dyDescent="0.25">
      <c r="D666" s="1"/>
      <c r="F666" s="1"/>
    </row>
    <row r="667" spans="4:6" x14ac:dyDescent="0.25">
      <c r="D667" s="1"/>
      <c r="F667" s="1"/>
    </row>
    <row r="668" spans="4:6" x14ac:dyDescent="0.25">
      <c r="D668" s="1"/>
      <c r="F668" s="1"/>
    </row>
    <row r="669" spans="4:6" x14ac:dyDescent="0.25">
      <c r="D669" s="1"/>
      <c r="F669" s="1"/>
    </row>
    <row r="670" spans="4:6" x14ac:dyDescent="0.25">
      <c r="D670" s="1"/>
      <c r="F670" s="1"/>
    </row>
    <row r="671" spans="4:6" x14ac:dyDescent="0.25">
      <c r="D671" s="1"/>
      <c r="F671" s="1"/>
    </row>
    <row r="672" spans="4:6" x14ac:dyDescent="0.25">
      <c r="D672" s="1"/>
      <c r="F672" s="1"/>
    </row>
    <row r="673" spans="4:6" x14ac:dyDescent="0.25">
      <c r="D673" s="1"/>
      <c r="F673" s="1"/>
    </row>
    <row r="674" spans="4:6" x14ac:dyDescent="0.25">
      <c r="D674" s="1"/>
      <c r="F674" s="1"/>
    </row>
    <row r="675" spans="4:6" x14ac:dyDescent="0.25">
      <c r="D675" s="1"/>
      <c r="F675" s="1"/>
    </row>
    <row r="676" spans="4:6" x14ac:dyDescent="0.25">
      <c r="D676" s="1"/>
      <c r="F676" s="1"/>
    </row>
    <row r="677" spans="4:6" x14ac:dyDescent="0.25">
      <c r="D677" s="1"/>
      <c r="F677" s="1"/>
    </row>
    <row r="678" spans="4:6" x14ac:dyDescent="0.25">
      <c r="D678" s="1"/>
      <c r="F678" s="1"/>
    </row>
    <row r="679" spans="4:6" x14ac:dyDescent="0.25">
      <c r="D679" s="1"/>
      <c r="F679" s="1"/>
    </row>
    <row r="680" spans="4:6" x14ac:dyDescent="0.25">
      <c r="D680" s="1"/>
      <c r="F680" s="1"/>
    </row>
    <row r="681" spans="4:6" x14ac:dyDescent="0.25">
      <c r="D681" s="1"/>
      <c r="F681" s="1"/>
    </row>
    <row r="682" spans="4:6" x14ac:dyDescent="0.25">
      <c r="D682" s="1"/>
      <c r="F682" s="1"/>
    </row>
    <row r="683" spans="4:6" x14ac:dyDescent="0.25">
      <c r="D683" s="1"/>
      <c r="F683" s="1"/>
    </row>
    <row r="684" spans="4:6" x14ac:dyDescent="0.25">
      <c r="D684" s="1"/>
      <c r="F684" s="1"/>
    </row>
    <row r="685" spans="4:6" x14ac:dyDescent="0.25">
      <c r="D685" s="1"/>
      <c r="F685" s="1"/>
    </row>
    <row r="686" spans="4:6" x14ac:dyDescent="0.25">
      <c r="D686" s="1"/>
      <c r="F686" s="1"/>
    </row>
    <row r="687" spans="4:6" x14ac:dyDescent="0.25">
      <c r="D687" s="1"/>
      <c r="F687" s="1"/>
    </row>
    <row r="688" spans="4:6" x14ac:dyDescent="0.25">
      <c r="D688" s="1"/>
      <c r="F688" s="1"/>
    </row>
    <row r="689" spans="4:6" x14ac:dyDescent="0.25">
      <c r="D689" s="1"/>
      <c r="F689" s="1"/>
    </row>
    <row r="690" spans="4:6" x14ac:dyDescent="0.25">
      <c r="D690" s="1"/>
      <c r="F690" s="1"/>
    </row>
    <row r="691" spans="4:6" x14ac:dyDescent="0.25">
      <c r="D691" s="1"/>
      <c r="F691" s="1"/>
    </row>
    <row r="692" spans="4:6" x14ac:dyDescent="0.25">
      <c r="D692" s="1"/>
      <c r="F692" s="1"/>
    </row>
    <row r="693" spans="4:6" x14ac:dyDescent="0.25">
      <c r="D693" s="1"/>
      <c r="F693" s="1"/>
    </row>
    <row r="694" spans="4:6" x14ac:dyDescent="0.25">
      <c r="D694" s="1"/>
      <c r="F694" s="1"/>
    </row>
    <row r="695" spans="4:6" x14ac:dyDescent="0.25">
      <c r="D695" s="1"/>
      <c r="F695" s="1"/>
    </row>
    <row r="696" spans="4:6" x14ac:dyDescent="0.25">
      <c r="D696" s="1"/>
      <c r="F696" s="1"/>
    </row>
    <row r="697" spans="4:6" x14ac:dyDescent="0.25">
      <c r="D697" s="1"/>
      <c r="F697" s="1"/>
    </row>
    <row r="698" spans="4:6" x14ac:dyDescent="0.25">
      <c r="D698" s="1"/>
      <c r="F698" s="1"/>
    </row>
    <row r="699" spans="4:6" x14ac:dyDescent="0.25">
      <c r="D699" s="1"/>
      <c r="F699" s="1"/>
    </row>
    <row r="700" spans="4:6" x14ac:dyDescent="0.25">
      <c r="D700" s="1"/>
      <c r="F700" s="1"/>
    </row>
    <row r="701" spans="4:6" x14ac:dyDescent="0.25">
      <c r="D701" s="1"/>
      <c r="F701" s="1"/>
    </row>
    <row r="702" spans="4:6" x14ac:dyDescent="0.25">
      <c r="D702" s="1"/>
      <c r="F702" s="1"/>
    </row>
    <row r="703" spans="4:6" x14ac:dyDescent="0.25">
      <c r="D703" s="1"/>
      <c r="F703" s="1"/>
    </row>
    <row r="704" spans="4:6" x14ac:dyDescent="0.25">
      <c r="D704" s="1"/>
      <c r="F704" s="1"/>
    </row>
    <row r="705" spans="4:6" x14ac:dyDescent="0.25">
      <c r="D705" s="1"/>
      <c r="F705" s="1"/>
    </row>
    <row r="706" spans="4:6" x14ac:dyDescent="0.25">
      <c r="D706" s="1"/>
      <c r="F706" s="1"/>
    </row>
    <row r="707" spans="4:6" x14ac:dyDescent="0.25">
      <c r="D707" s="1"/>
      <c r="F707" s="1"/>
    </row>
    <row r="708" spans="4:6" x14ac:dyDescent="0.25">
      <c r="D708" s="1"/>
      <c r="F708" s="1"/>
    </row>
    <row r="709" spans="4:6" x14ac:dyDescent="0.25">
      <c r="D709" s="1"/>
      <c r="F709" s="1"/>
    </row>
    <row r="710" spans="4:6" x14ac:dyDescent="0.25">
      <c r="D710" s="1"/>
      <c r="F710" s="1"/>
    </row>
    <row r="711" spans="4:6" x14ac:dyDescent="0.25">
      <c r="D711" s="1"/>
      <c r="F711" s="1"/>
    </row>
    <row r="712" spans="4:6" x14ac:dyDescent="0.25">
      <c r="D712" s="1"/>
      <c r="F712" s="1"/>
    </row>
    <row r="713" spans="4:6" x14ac:dyDescent="0.25">
      <c r="D713" s="1"/>
      <c r="F713" s="1"/>
    </row>
    <row r="714" spans="4:6" x14ac:dyDescent="0.25">
      <c r="D714" s="1"/>
      <c r="F714" s="1"/>
    </row>
    <row r="715" spans="4:6" x14ac:dyDescent="0.25">
      <c r="D715" s="1"/>
      <c r="F715" s="1"/>
    </row>
    <row r="716" spans="4:6" x14ac:dyDescent="0.25">
      <c r="D716" s="1"/>
      <c r="F716" s="1"/>
    </row>
    <row r="717" spans="4:6" x14ac:dyDescent="0.25">
      <c r="D717" s="1"/>
      <c r="F717" s="1"/>
    </row>
    <row r="718" spans="4:6" x14ac:dyDescent="0.25">
      <c r="D718" s="1"/>
      <c r="F718" s="1"/>
    </row>
    <row r="719" spans="4:6" x14ac:dyDescent="0.25">
      <c r="D719" s="1"/>
      <c r="F719" s="1"/>
    </row>
    <row r="720" spans="4:6" x14ac:dyDescent="0.25">
      <c r="D720" s="1"/>
      <c r="F720" s="1"/>
    </row>
    <row r="721" spans="4:6" x14ac:dyDescent="0.25">
      <c r="D721" s="1"/>
      <c r="F721" s="1"/>
    </row>
    <row r="722" spans="4:6" x14ac:dyDescent="0.25">
      <c r="D722" s="1"/>
      <c r="F722" s="1"/>
    </row>
    <row r="723" spans="4:6" x14ac:dyDescent="0.25">
      <c r="D723" s="1"/>
      <c r="F723" s="1"/>
    </row>
    <row r="724" spans="4:6" x14ac:dyDescent="0.25">
      <c r="D724" s="1"/>
      <c r="F724" s="1"/>
    </row>
    <row r="725" spans="4:6" x14ac:dyDescent="0.25">
      <c r="D725" s="1"/>
      <c r="F725" s="1"/>
    </row>
    <row r="726" spans="4:6" x14ac:dyDescent="0.25">
      <c r="D726" s="1"/>
      <c r="F726" s="1"/>
    </row>
    <row r="727" spans="4:6" x14ac:dyDescent="0.25">
      <c r="D727" s="1"/>
      <c r="F727" s="1"/>
    </row>
    <row r="728" spans="4:6" x14ac:dyDescent="0.25">
      <c r="D728" s="1"/>
      <c r="F728" s="1"/>
    </row>
    <row r="729" spans="4:6" x14ac:dyDescent="0.25">
      <c r="D729" s="1"/>
      <c r="F729" s="1"/>
    </row>
    <row r="730" spans="4:6" x14ac:dyDescent="0.25">
      <c r="D730" s="1"/>
      <c r="F730" s="1"/>
    </row>
    <row r="731" spans="4:6" x14ac:dyDescent="0.25">
      <c r="D731" s="1"/>
      <c r="F731" s="1"/>
    </row>
    <row r="732" spans="4:6" x14ac:dyDescent="0.25">
      <c r="D732" s="1"/>
      <c r="F732" s="1"/>
    </row>
    <row r="733" spans="4:6" x14ac:dyDescent="0.25">
      <c r="D733" s="1"/>
      <c r="F733" s="1"/>
    </row>
    <row r="734" spans="4:6" x14ac:dyDescent="0.25">
      <c r="D734" s="1"/>
      <c r="F734" s="1"/>
    </row>
    <row r="735" spans="4:6" x14ac:dyDescent="0.25">
      <c r="D735" s="1"/>
      <c r="F735" s="1"/>
    </row>
    <row r="736" spans="4:6" x14ac:dyDescent="0.25">
      <c r="D736" s="1"/>
      <c r="F736" s="1"/>
    </row>
    <row r="737" spans="4:6" x14ac:dyDescent="0.25">
      <c r="D737" s="1"/>
      <c r="F737" s="1"/>
    </row>
    <row r="738" spans="4:6" x14ac:dyDescent="0.25">
      <c r="D738" s="1"/>
      <c r="F738" s="1"/>
    </row>
    <row r="739" spans="4:6" x14ac:dyDescent="0.25">
      <c r="D739" s="1"/>
      <c r="F739" s="1"/>
    </row>
    <row r="740" spans="4:6" x14ac:dyDescent="0.25">
      <c r="D740" s="1"/>
      <c r="F740" s="1"/>
    </row>
    <row r="741" spans="4:6" x14ac:dyDescent="0.25">
      <c r="D741" s="1"/>
      <c r="F741" s="1"/>
    </row>
    <row r="742" spans="4:6" x14ac:dyDescent="0.25">
      <c r="D742" s="1"/>
      <c r="F742" s="1"/>
    </row>
    <row r="743" spans="4:6" x14ac:dyDescent="0.25">
      <c r="D743" s="1"/>
      <c r="F743" s="1"/>
    </row>
    <row r="744" spans="4:6" x14ac:dyDescent="0.25">
      <c r="D744" s="1"/>
      <c r="F744" s="1"/>
    </row>
    <row r="745" spans="4:6" x14ac:dyDescent="0.25">
      <c r="D745" s="1"/>
      <c r="F745" s="1"/>
    </row>
    <row r="746" spans="4:6" x14ac:dyDescent="0.25">
      <c r="D746" s="1"/>
      <c r="F746" s="1"/>
    </row>
    <row r="747" spans="4:6" x14ac:dyDescent="0.25">
      <c r="D747" s="1"/>
      <c r="F747" s="1"/>
    </row>
    <row r="748" spans="4:6" x14ac:dyDescent="0.25">
      <c r="D748" s="1"/>
      <c r="F748" s="1"/>
    </row>
    <row r="749" spans="4:6" x14ac:dyDescent="0.25">
      <c r="D749" s="1"/>
      <c r="F749" s="1"/>
    </row>
    <row r="750" spans="4:6" x14ac:dyDescent="0.25">
      <c r="D750" s="1"/>
      <c r="F750" s="1"/>
    </row>
    <row r="751" spans="4:6" x14ac:dyDescent="0.25">
      <c r="D751" s="1"/>
      <c r="F751" s="1"/>
    </row>
    <row r="752" spans="4:6" x14ac:dyDescent="0.25">
      <c r="D752" s="1"/>
      <c r="F752" s="1"/>
    </row>
    <row r="753" spans="4:6" x14ac:dyDescent="0.25">
      <c r="D753" s="1"/>
      <c r="F753" s="1"/>
    </row>
    <row r="754" spans="4:6" x14ac:dyDescent="0.25">
      <c r="D754" s="1"/>
      <c r="F754" s="1"/>
    </row>
    <row r="755" spans="4:6" x14ac:dyDescent="0.25">
      <c r="D755" s="1"/>
      <c r="F755" s="1"/>
    </row>
    <row r="756" spans="4:6" x14ac:dyDescent="0.25">
      <c r="D756" s="1"/>
      <c r="F756" s="1"/>
    </row>
    <row r="757" spans="4:6" x14ac:dyDescent="0.25">
      <c r="D757" s="1"/>
      <c r="F757" s="1"/>
    </row>
    <row r="758" spans="4:6" x14ac:dyDescent="0.25">
      <c r="D758" s="1"/>
      <c r="F758" s="1"/>
    </row>
    <row r="759" spans="4:6" x14ac:dyDescent="0.25">
      <c r="D759" s="1"/>
      <c r="F759" s="1"/>
    </row>
    <row r="760" spans="4:6" x14ac:dyDescent="0.25">
      <c r="D760" s="1"/>
      <c r="F760" s="1"/>
    </row>
    <row r="761" spans="4:6" x14ac:dyDescent="0.25">
      <c r="D761" s="1"/>
      <c r="F761" s="1"/>
    </row>
    <row r="762" spans="4:6" x14ac:dyDescent="0.25">
      <c r="D762" s="1"/>
      <c r="F762" s="1"/>
    </row>
    <row r="763" spans="4:6" x14ac:dyDescent="0.25">
      <c r="D763" s="1"/>
      <c r="F763" s="1"/>
    </row>
    <row r="764" spans="4:6" x14ac:dyDescent="0.25">
      <c r="D764" s="1"/>
      <c r="F764" s="1"/>
    </row>
    <row r="765" spans="4:6" x14ac:dyDescent="0.25">
      <c r="D765" s="1"/>
      <c r="F765" s="1"/>
    </row>
    <row r="766" spans="4:6" x14ac:dyDescent="0.25">
      <c r="D766" s="1"/>
      <c r="F766" s="1"/>
    </row>
    <row r="767" spans="4:6" x14ac:dyDescent="0.25">
      <c r="D767" s="1"/>
      <c r="F767" s="1"/>
    </row>
    <row r="768" spans="4:6" x14ac:dyDescent="0.25">
      <c r="D768" s="1"/>
      <c r="F768" s="1"/>
    </row>
    <row r="769" spans="4:6" x14ac:dyDescent="0.25">
      <c r="D769" s="1"/>
      <c r="F769" s="1"/>
    </row>
    <row r="770" spans="4:6" x14ac:dyDescent="0.25">
      <c r="D770" s="1"/>
      <c r="F770" s="1"/>
    </row>
    <row r="771" spans="4:6" x14ac:dyDescent="0.25">
      <c r="D771" s="1"/>
      <c r="F771" s="1"/>
    </row>
    <row r="772" spans="4:6" x14ac:dyDescent="0.25">
      <c r="D772" s="1"/>
      <c r="F772" s="1"/>
    </row>
    <row r="773" spans="4:6" x14ac:dyDescent="0.25">
      <c r="D773" s="1"/>
      <c r="F773" s="1"/>
    </row>
    <row r="774" spans="4:6" x14ac:dyDescent="0.25">
      <c r="D774" s="1"/>
      <c r="F774" s="1"/>
    </row>
    <row r="775" spans="4:6" x14ac:dyDescent="0.25">
      <c r="D775" s="1"/>
      <c r="F775" s="1"/>
    </row>
    <row r="776" spans="4:6" x14ac:dyDescent="0.25">
      <c r="D776" s="1"/>
      <c r="F776" s="1"/>
    </row>
    <row r="777" spans="4:6" x14ac:dyDescent="0.25">
      <c r="D777" s="1"/>
      <c r="F777" s="1"/>
    </row>
    <row r="778" spans="4:6" x14ac:dyDescent="0.25">
      <c r="D778" s="1"/>
      <c r="F778" s="1"/>
    </row>
    <row r="779" spans="4:6" x14ac:dyDescent="0.25">
      <c r="D779" s="1"/>
      <c r="F779" s="1"/>
    </row>
    <row r="780" spans="4:6" x14ac:dyDescent="0.25">
      <c r="D780" s="1"/>
      <c r="F780" s="1"/>
    </row>
    <row r="781" spans="4:6" x14ac:dyDescent="0.25">
      <c r="D781" s="1"/>
      <c r="F781" s="1"/>
    </row>
    <row r="782" spans="4:6" x14ac:dyDescent="0.25">
      <c r="D782" s="1"/>
      <c r="F782" s="1"/>
    </row>
    <row r="783" spans="4:6" x14ac:dyDescent="0.25">
      <c r="D783" s="1"/>
      <c r="F783" s="1"/>
    </row>
    <row r="784" spans="4:6" x14ac:dyDescent="0.25">
      <c r="D784" s="1"/>
      <c r="F784" s="1"/>
    </row>
    <row r="785" spans="4:6" x14ac:dyDescent="0.25">
      <c r="D785" s="1"/>
      <c r="F785" s="1"/>
    </row>
    <row r="786" spans="4:6" x14ac:dyDescent="0.25">
      <c r="D786" s="1"/>
      <c r="F786" s="1"/>
    </row>
    <row r="787" spans="4:6" x14ac:dyDescent="0.25">
      <c r="D787" s="1"/>
      <c r="F787" s="1"/>
    </row>
    <row r="788" spans="4:6" x14ac:dyDescent="0.25">
      <c r="D788" s="1"/>
      <c r="F788" s="1"/>
    </row>
    <row r="789" spans="4:6" x14ac:dyDescent="0.25">
      <c r="D789" s="1"/>
      <c r="F789" s="1"/>
    </row>
    <row r="790" spans="4:6" x14ac:dyDescent="0.25">
      <c r="D790" s="1"/>
      <c r="F790" s="1"/>
    </row>
    <row r="791" spans="4:6" x14ac:dyDescent="0.25">
      <c r="D791" s="1"/>
      <c r="F791" s="1"/>
    </row>
    <row r="792" spans="4:6" x14ac:dyDescent="0.25">
      <c r="D792" s="1"/>
      <c r="F792" s="1"/>
    </row>
    <row r="793" spans="4:6" x14ac:dyDescent="0.25">
      <c r="D793" s="1"/>
      <c r="F793" s="1"/>
    </row>
    <row r="794" spans="4:6" x14ac:dyDescent="0.25">
      <c r="D794" s="1"/>
      <c r="F794" s="1"/>
    </row>
    <row r="795" spans="4:6" x14ac:dyDescent="0.25">
      <c r="D795" s="1"/>
      <c r="F795" s="1"/>
    </row>
    <row r="796" spans="4:6" x14ac:dyDescent="0.25">
      <c r="D796" s="1"/>
      <c r="F796" s="1"/>
    </row>
    <row r="797" spans="4:6" x14ac:dyDescent="0.25">
      <c r="D797" s="1"/>
      <c r="F797" s="1"/>
    </row>
    <row r="798" spans="4:6" x14ac:dyDescent="0.25">
      <c r="D798" s="1"/>
      <c r="F798" s="1"/>
    </row>
    <row r="799" spans="4:6" x14ac:dyDescent="0.25">
      <c r="D799" s="1"/>
      <c r="F799" s="1"/>
    </row>
    <row r="800" spans="4:6" x14ac:dyDescent="0.25">
      <c r="D800" s="1"/>
      <c r="F800" s="1"/>
    </row>
    <row r="801" spans="4:6" x14ac:dyDescent="0.25">
      <c r="D801" s="1"/>
      <c r="F801" s="1"/>
    </row>
    <row r="802" spans="4:6" x14ac:dyDescent="0.25">
      <c r="D802" s="1"/>
      <c r="F802" s="1"/>
    </row>
    <row r="803" spans="4:6" x14ac:dyDescent="0.25">
      <c r="D803" s="1"/>
      <c r="F803" s="1"/>
    </row>
    <row r="804" spans="4:6" x14ac:dyDescent="0.25">
      <c r="D804" s="1"/>
      <c r="F804" s="1"/>
    </row>
    <row r="805" spans="4:6" x14ac:dyDescent="0.25">
      <c r="D805" s="1"/>
      <c r="F805" s="1"/>
    </row>
    <row r="806" spans="4:6" x14ac:dyDescent="0.25">
      <c r="D806" s="1"/>
      <c r="F806" s="1"/>
    </row>
    <row r="807" spans="4:6" x14ac:dyDescent="0.25">
      <c r="D807" s="1"/>
      <c r="F807" s="1"/>
    </row>
    <row r="808" spans="4:6" x14ac:dyDescent="0.25">
      <c r="D808" s="1"/>
      <c r="F808" s="1"/>
    </row>
    <row r="809" spans="4:6" x14ac:dyDescent="0.25">
      <c r="D809" s="1"/>
      <c r="F809" s="1"/>
    </row>
    <row r="810" spans="4:6" x14ac:dyDescent="0.25">
      <c r="D810" s="1"/>
      <c r="F810" s="1"/>
    </row>
    <row r="811" spans="4:6" x14ac:dyDescent="0.25">
      <c r="D811" s="1"/>
      <c r="F811" s="1"/>
    </row>
    <row r="812" spans="4:6" x14ac:dyDescent="0.25">
      <c r="D812" s="1"/>
      <c r="F812" s="1"/>
    </row>
    <row r="813" spans="4:6" x14ac:dyDescent="0.25">
      <c r="D813" s="1"/>
      <c r="F813" s="1"/>
    </row>
    <row r="814" spans="4:6" x14ac:dyDescent="0.25">
      <c r="D814" s="1"/>
      <c r="F814" s="1"/>
    </row>
    <row r="815" spans="4:6" x14ac:dyDescent="0.25">
      <c r="D815" s="1"/>
      <c r="F815" s="1"/>
    </row>
    <row r="816" spans="4:6" x14ac:dyDescent="0.25">
      <c r="D816" s="1"/>
      <c r="F816" s="1"/>
    </row>
    <row r="817" spans="4:6" x14ac:dyDescent="0.25">
      <c r="D817" s="1"/>
      <c r="F817" s="1"/>
    </row>
    <row r="818" spans="4:6" x14ac:dyDescent="0.25">
      <c r="D818" s="1"/>
      <c r="F818" s="1"/>
    </row>
    <row r="819" spans="4:6" x14ac:dyDescent="0.25">
      <c r="D819" s="1"/>
      <c r="F819" s="1"/>
    </row>
    <row r="820" spans="4:6" x14ac:dyDescent="0.25">
      <c r="D820" s="1"/>
      <c r="F820" s="1"/>
    </row>
    <row r="821" spans="4:6" x14ac:dyDescent="0.25">
      <c r="D821" s="1"/>
      <c r="F821" s="1"/>
    </row>
    <row r="822" spans="4:6" x14ac:dyDescent="0.25">
      <c r="D822" s="1"/>
      <c r="F822" s="1"/>
    </row>
    <row r="823" spans="4:6" x14ac:dyDescent="0.25">
      <c r="D823" s="1"/>
      <c r="F823" s="1"/>
    </row>
    <row r="824" spans="4:6" x14ac:dyDescent="0.25">
      <c r="D824" s="1"/>
      <c r="F824" s="1"/>
    </row>
    <row r="825" spans="4:6" x14ac:dyDescent="0.25">
      <c r="D825" s="1"/>
      <c r="F825" s="1"/>
    </row>
    <row r="826" spans="4:6" x14ac:dyDescent="0.25">
      <c r="D826" s="1"/>
      <c r="F826" s="1"/>
    </row>
    <row r="827" spans="4:6" x14ac:dyDescent="0.25">
      <c r="D827" s="1"/>
      <c r="F827" s="1"/>
    </row>
    <row r="828" spans="4:6" x14ac:dyDescent="0.25">
      <c r="D828" s="1"/>
      <c r="F828" s="1"/>
    </row>
    <row r="829" spans="4:6" x14ac:dyDescent="0.25">
      <c r="D829" s="1"/>
      <c r="F829" s="1"/>
    </row>
    <row r="830" spans="4:6" x14ac:dyDescent="0.25">
      <c r="D830" s="1"/>
      <c r="F830" s="1"/>
    </row>
    <row r="831" spans="4:6" x14ac:dyDescent="0.25">
      <c r="D831" s="1"/>
      <c r="F831" s="1"/>
    </row>
    <row r="832" spans="4:6" x14ac:dyDescent="0.25">
      <c r="D832" s="1"/>
      <c r="F832" s="1"/>
    </row>
    <row r="833" spans="4:6" x14ac:dyDescent="0.25">
      <c r="D833" s="1"/>
      <c r="F833" s="1"/>
    </row>
    <row r="834" spans="4:6" x14ac:dyDescent="0.25">
      <c r="D834" s="1"/>
      <c r="F834" s="1"/>
    </row>
    <row r="835" spans="4:6" x14ac:dyDescent="0.25">
      <c r="D835" s="1"/>
      <c r="F835" s="1"/>
    </row>
    <row r="836" spans="4:6" x14ac:dyDescent="0.25">
      <c r="D836" s="1"/>
      <c r="F836" s="1"/>
    </row>
    <row r="837" spans="4:6" x14ac:dyDescent="0.25">
      <c r="D837" s="1"/>
      <c r="F837" s="1"/>
    </row>
    <row r="838" spans="4:6" x14ac:dyDescent="0.25">
      <c r="D838" s="1"/>
      <c r="F838" s="1"/>
    </row>
    <row r="839" spans="4:6" x14ac:dyDescent="0.25">
      <c r="D839" s="1"/>
      <c r="F839" s="1"/>
    </row>
    <row r="840" spans="4:6" x14ac:dyDescent="0.25">
      <c r="D840" s="1"/>
      <c r="F840" s="1"/>
    </row>
    <row r="841" spans="4:6" x14ac:dyDescent="0.25">
      <c r="D841" s="1"/>
      <c r="F841" s="1"/>
    </row>
    <row r="842" spans="4:6" x14ac:dyDescent="0.25">
      <c r="D842" s="1"/>
      <c r="F842" s="1"/>
    </row>
    <row r="843" spans="4:6" x14ac:dyDescent="0.25">
      <c r="D843" s="1"/>
      <c r="F843" s="1"/>
    </row>
    <row r="844" spans="4:6" x14ac:dyDescent="0.25">
      <c r="D844" s="1"/>
      <c r="F844" s="1"/>
    </row>
    <row r="845" spans="4:6" x14ac:dyDescent="0.25">
      <c r="D845" s="1"/>
      <c r="F845" s="1"/>
    </row>
    <row r="846" spans="4:6" x14ac:dyDescent="0.25">
      <c r="D846" s="1"/>
      <c r="F846" s="1"/>
    </row>
    <row r="847" spans="4:6" x14ac:dyDescent="0.25">
      <c r="D847" s="1"/>
      <c r="F847" s="1"/>
    </row>
    <row r="848" spans="4:6" x14ac:dyDescent="0.25">
      <c r="D848" s="1"/>
      <c r="F848" s="1"/>
    </row>
    <row r="849" spans="4:6" x14ac:dyDescent="0.25">
      <c r="D849" s="1"/>
      <c r="F849" s="1"/>
    </row>
    <row r="850" spans="4:6" x14ac:dyDescent="0.25">
      <c r="D850" s="1"/>
      <c r="F850" s="1"/>
    </row>
    <row r="851" spans="4:6" x14ac:dyDescent="0.25">
      <c r="D851" s="1"/>
      <c r="F851" s="1"/>
    </row>
    <row r="852" spans="4:6" x14ac:dyDescent="0.25">
      <c r="D852" s="1"/>
      <c r="F852" s="1"/>
    </row>
    <row r="853" spans="4:6" x14ac:dyDescent="0.25">
      <c r="D853" s="1"/>
      <c r="F853" s="1"/>
    </row>
    <row r="854" spans="4:6" x14ac:dyDescent="0.25">
      <c r="D854" s="1"/>
      <c r="F854" s="1"/>
    </row>
    <row r="855" spans="4:6" x14ac:dyDescent="0.25">
      <c r="D855" s="1"/>
      <c r="F855" s="1"/>
    </row>
    <row r="856" spans="4:6" x14ac:dyDescent="0.25">
      <c r="D856" s="1"/>
      <c r="F856" s="1"/>
    </row>
    <row r="857" spans="4:6" x14ac:dyDescent="0.25">
      <c r="D857" s="1"/>
      <c r="F857" s="1"/>
    </row>
    <row r="858" spans="4:6" x14ac:dyDescent="0.25">
      <c r="D858" s="1"/>
      <c r="F858" s="1"/>
    </row>
    <row r="859" spans="4:6" x14ac:dyDescent="0.25">
      <c r="D859" s="1"/>
      <c r="F859" s="1"/>
    </row>
    <row r="860" spans="4:6" x14ac:dyDescent="0.25">
      <c r="D860" s="1"/>
      <c r="F860" s="1"/>
    </row>
    <row r="861" spans="4:6" x14ac:dyDescent="0.25">
      <c r="D861" s="1"/>
      <c r="F861" s="1"/>
    </row>
    <row r="862" spans="4:6" x14ac:dyDescent="0.25">
      <c r="D862" s="1"/>
      <c r="F862" s="1"/>
    </row>
    <row r="863" spans="4:6" x14ac:dyDescent="0.25">
      <c r="D863" s="1"/>
      <c r="F863" s="1"/>
    </row>
    <row r="864" spans="4:6" x14ac:dyDescent="0.25">
      <c r="D864" s="1"/>
      <c r="F864" s="1"/>
    </row>
    <row r="865" spans="4:6" x14ac:dyDescent="0.25">
      <c r="D865" s="1"/>
      <c r="F865" s="1"/>
    </row>
    <row r="866" spans="4:6" x14ac:dyDescent="0.25">
      <c r="D866" s="1"/>
      <c r="F866" s="1"/>
    </row>
    <row r="867" spans="4:6" x14ac:dyDescent="0.25">
      <c r="D867" s="1"/>
      <c r="F867" s="1"/>
    </row>
    <row r="868" spans="4:6" x14ac:dyDescent="0.25">
      <c r="D868" s="1"/>
      <c r="F868" s="1"/>
    </row>
    <row r="869" spans="4:6" x14ac:dyDescent="0.25">
      <c r="D869" s="1"/>
      <c r="F869" s="1"/>
    </row>
    <row r="870" spans="4:6" x14ac:dyDescent="0.25">
      <c r="D870" s="1"/>
      <c r="F870" s="1"/>
    </row>
    <row r="871" spans="4:6" x14ac:dyDescent="0.25">
      <c r="D871" s="1"/>
      <c r="F871" s="1"/>
    </row>
    <row r="872" spans="4:6" x14ac:dyDescent="0.25">
      <c r="D872" s="1"/>
      <c r="F872" s="1"/>
    </row>
    <row r="873" spans="4:6" x14ac:dyDescent="0.25">
      <c r="D873" s="1"/>
      <c r="F873" s="1"/>
    </row>
    <row r="874" spans="4:6" x14ac:dyDescent="0.25">
      <c r="D874" s="1"/>
      <c r="F874" s="1"/>
    </row>
    <row r="875" spans="4:6" x14ac:dyDescent="0.25">
      <c r="D875" s="1"/>
      <c r="F875" s="1"/>
    </row>
    <row r="876" spans="4:6" x14ac:dyDescent="0.25">
      <c r="D876" s="1"/>
      <c r="F876" s="1"/>
    </row>
    <row r="877" spans="4:6" x14ac:dyDescent="0.25">
      <c r="D877" s="1"/>
      <c r="F877" s="1"/>
    </row>
    <row r="878" spans="4:6" x14ac:dyDescent="0.25">
      <c r="D878" s="1"/>
      <c r="F878" s="1"/>
    </row>
    <row r="879" spans="4:6" x14ac:dyDescent="0.25">
      <c r="D879" s="1"/>
      <c r="F879" s="1"/>
    </row>
    <row r="880" spans="4:6" x14ac:dyDescent="0.25">
      <c r="D880" s="1"/>
      <c r="F880" s="1"/>
    </row>
    <row r="881" spans="4:6" x14ac:dyDescent="0.25">
      <c r="D881" s="1"/>
      <c r="F881" s="1"/>
    </row>
    <row r="882" spans="4:6" x14ac:dyDescent="0.25">
      <c r="D882" s="1"/>
      <c r="F882" s="1"/>
    </row>
    <row r="883" spans="4:6" x14ac:dyDescent="0.25">
      <c r="D883" s="1"/>
      <c r="F883" s="1"/>
    </row>
    <row r="884" spans="4:6" x14ac:dyDescent="0.25">
      <c r="D884" s="1"/>
      <c r="F884" s="1"/>
    </row>
    <row r="885" spans="4:6" x14ac:dyDescent="0.25">
      <c r="D885" s="1"/>
      <c r="F885" s="1"/>
    </row>
    <row r="886" spans="4:6" x14ac:dyDescent="0.25">
      <c r="D886" s="1"/>
      <c r="F886" s="1"/>
    </row>
    <row r="887" spans="4:6" x14ac:dyDescent="0.25">
      <c r="D887" s="1"/>
      <c r="F887" s="1"/>
    </row>
    <row r="888" spans="4:6" x14ac:dyDescent="0.25">
      <c r="D888" s="1"/>
      <c r="F888" s="1"/>
    </row>
    <row r="889" spans="4:6" x14ac:dyDescent="0.25">
      <c r="D889" s="1"/>
      <c r="F889" s="1"/>
    </row>
    <row r="890" spans="4:6" x14ac:dyDescent="0.25">
      <c r="D890" s="1"/>
      <c r="F890" s="1"/>
    </row>
    <row r="891" spans="4:6" x14ac:dyDescent="0.25">
      <c r="D891" s="1"/>
      <c r="F891" s="1"/>
    </row>
    <row r="892" spans="4:6" x14ac:dyDescent="0.25">
      <c r="D892" s="1"/>
      <c r="F892" s="1"/>
    </row>
    <row r="893" spans="4:6" x14ac:dyDescent="0.25">
      <c r="D893" s="1"/>
      <c r="F893" s="1"/>
    </row>
    <row r="894" spans="4:6" x14ac:dyDescent="0.25">
      <c r="D894" s="1"/>
      <c r="F894" s="1"/>
    </row>
    <row r="895" spans="4:6" x14ac:dyDescent="0.25">
      <c r="D895" s="1"/>
      <c r="F895" s="1"/>
    </row>
    <row r="896" spans="4:6" x14ac:dyDescent="0.25">
      <c r="D896" s="1"/>
      <c r="F896" s="1"/>
    </row>
    <row r="897" spans="4:6" x14ac:dyDescent="0.25">
      <c r="D897" s="1"/>
      <c r="F897" s="1"/>
    </row>
    <row r="898" spans="4:6" x14ac:dyDescent="0.25">
      <c r="D898" s="1"/>
      <c r="F898" s="1"/>
    </row>
    <row r="899" spans="4:6" x14ac:dyDescent="0.25">
      <c r="D899" s="1"/>
      <c r="F899" s="1"/>
    </row>
    <row r="900" spans="4:6" x14ac:dyDescent="0.25">
      <c r="D900" s="1"/>
      <c r="F900" s="1"/>
    </row>
    <row r="901" spans="4:6" x14ac:dyDescent="0.25">
      <c r="D901" s="1"/>
      <c r="F901" s="1"/>
    </row>
    <row r="902" spans="4:6" x14ac:dyDescent="0.25">
      <c r="D902" s="1"/>
      <c r="F902" s="1"/>
    </row>
    <row r="903" spans="4:6" x14ac:dyDescent="0.25">
      <c r="D903" s="1"/>
      <c r="F903" s="1"/>
    </row>
    <row r="904" spans="4:6" x14ac:dyDescent="0.25">
      <c r="D904" s="1"/>
      <c r="F904" s="1"/>
    </row>
    <row r="905" spans="4:6" x14ac:dyDescent="0.25">
      <c r="D905" s="1"/>
      <c r="F905" s="1"/>
    </row>
    <row r="906" spans="4:6" x14ac:dyDescent="0.25">
      <c r="D906" s="1"/>
      <c r="F906" s="1"/>
    </row>
    <row r="907" spans="4:6" x14ac:dyDescent="0.25">
      <c r="D907" s="1"/>
      <c r="F907" s="1"/>
    </row>
    <row r="908" spans="4:6" x14ac:dyDescent="0.25">
      <c r="D908" s="1"/>
      <c r="F908" s="1"/>
    </row>
    <row r="909" spans="4:6" x14ac:dyDescent="0.25">
      <c r="D909" s="1"/>
      <c r="F909" s="1"/>
    </row>
    <row r="910" spans="4:6" x14ac:dyDescent="0.25">
      <c r="D910" s="1"/>
      <c r="F910" s="1"/>
    </row>
    <row r="911" spans="4:6" x14ac:dyDescent="0.25">
      <c r="D911" s="1"/>
      <c r="F911" s="1"/>
    </row>
    <row r="912" spans="4:6" x14ac:dyDescent="0.25">
      <c r="D912" s="1"/>
      <c r="F912" s="1"/>
    </row>
    <row r="913" spans="4:6" x14ac:dyDescent="0.25">
      <c r="D913" s="1"/>
      <c r="F913" s="1"/>
    </row>
    <row r="914" spans="4:6" x14ac:dyDescent="0.25">
      <c r="D914" s="1"/>
      <c r="F914" s="1"/>
    </row>
    <row r="915" spans="4:6" x14ac:dyDescent="0.25">
      <c r="D915" s="1"/>
      <c r="F915" s="1"/>
    </row>
    <row r="916" spans="4:6" x14ac:dyDescent="0.25">
      <c r="D916" s="1"/>
      <c r="F916" s="1"/>
    </row>
    <row r="917" spans="4:6" x14ac:dyDescent="0.25">
      <c r="D917" s="1"/>
      <c r="F917" s="1"/>
    </row>
    <row r="918" spans="4:6" x14ac:dyDescent="0.25">
      <c r="D918" s="1"/>
      <c r="F918" s="1"/>
    </row>
    <row r="919" spans="4:6" x14ac:dyDescent="0.25">
      <c r="D919" s="1"/>
      <c r="F919" s="1"/>
    </row>
    <row r="920" spans="4:6" x14ac:dyDescent="0.25">
      <c r="D920" s="1"/>
      <c r="F920" s="1"/>
    </row>
    <row r="921" spans="4:6" x14ac:dyDescent="0.25">
      <c r="D921" s="1"/>
      <c r="F921" s="1"/>
    </row>
    <row r="922" spans="4:6" x14ac:dyDescent="0.25">
      <c r="D922" s="1"/>
      <c r="F922" s="1"/>
    </row>
    <row r="923" spans="4:6" x14ac:dyDescent="0.25">
      <c r="D923" s="1"/>
      <c r="F923" s="1"/>
    </row>
    <row r="924" spans="4:6" x14ac:dyDescent="0.25">
      <c r="D924" s="1"/>
      <c r="F924" s="1"/>
    </row>
    <row r="925" spans="4:6" x14ac:dyDescent="0.25">
      <c r="D925" s="1"/>
      <c r="F925" s="1"/>
    </row>
    <row r="926" spans="4:6" x14ac:dyDescent="0.25">
      <c r="D926" s="1"/>
      <c r="F926" s="1"/>
    </row>
    <row r="927" spans="4:6" x14ac:dyDescent="0.25">
      <c r="D927" s="1"/>
      <c r="F927" s="1"/>
    </row>
    <row r="928" spans="4:6" x14ac:dyDescent="0.25">
      <c r="D928" s="1"/>
      <c r="F928" s="1"/>
    </row>
    <row r="929" spans="4:6" x14ac:dyDescent="0.25">
      <c r="D929" s="1"/>
      <c r="F929" s="1"/>
    </row>
    <row r="930" spans="4:6" x14ac:dyDescent="0.25">
      <c r="D930" s="1"/>
      <c r="F930" s="1"/>
    </row>
    <row r="931" spans="4:6" x14ac:dyDescent="0.25">
      <c r="D931" s="1"/>
      <c r="F931" s="1"/>
    </row>
    <row r="932" spans="4:6" x14ac:dyDescent="0.25">
      <c r="D932" s="1"/>
      <c r="F932" s="1"/>
    </row>
    <row r="933" spans="4:6" x14ac:dyDescent="0.25">
      <c r="D933" s="1"/>
      <c r="F933" s="1"/>
    </row>
    <row r="934" spans="4:6" x14ac:dyDescent="0.25">
      <c r="D934" s="1"/>
      <c r="F934" s="1"/>
    </row>
    <row r="935" spans="4:6" x14ac:dyDescent="0.25">
      <c r="D935" s="1"/>
      <c r="F935" s="1"/>
    </row>
    <row r="936" spans="4:6" x14ac:dyDescent="0.25">
      <c r="D936" s="1"/>
      <c r="F936" s="1"/>
    </row>
    <row r="937" spans="4:6" x14ac:dyDescent="0.25">
      <c r="D937" s="1"/>
      <c r="F937" s="1"/>
    </row>
    <row r="938" spans="4:6" x14ac:dyDescent="0.25">
      <c r="D938" s="1"/>
      <c r="F938" s="1"/>
    </row>
    <row r="939" spans="4:6" x14ac:dyDescent="0.25">
      <c r="D939" s="1"/>
      <c r="F939" s="1"/>
    </row>
    <row r="940" spans="4:6" x14ac:dyDescent="0.25">
      <c r="D940" s="1"/>
      <c r="F940" s="1"/>
    </row>
    <row r="941" spans="4:6" x14ac:dyDescent="0.25">
      <c r="D941" s="1"/>
      <c r="F941" s="1"/>
    </row>
    <row r="942" spans="4:6" x14ac:dyDescent="0.25">
      <c r="D942" s="1"/>
      <c r="F942" s="1"/>
    </row>
    <row r="943" spans="4:6" x14ac:dyDescent="0.25">
      <c r="D943" s="1"/>
      <c r="F943" s="1"/>
    </row>
    <row r="944" spans="4:6" x14ac:dyDescent="0.25">
      <c r="D944" s="1"/>
      <c r="F944" s="1"/>
    </row>
    <row r="945" spans="4:6" x14ac:dyDescent="0.25">
      <c r="D945" s="1"/>
      <c r="F945" s="1"/>
    </row>
    <row r="946" spans="4:6" x14ac:dyDescent="0.25">
      <c r="D946" s="1"/>
      <c r="F946" s="1"/>
    </row>
    <row r="947" spans="4:6" x14ac:dyDescent="0.25">
      <c r="D947" s="1"/>
      <c r="F947" s="1"/>
    </row>
    <row r="948" spans="4:6" x14ac:dyDescent="0.25">
      <c r="D948" s="1"/>
      <c r="F948" s="1"/>
    </row>
    <row r="949" spans="4:6" x14ac:dyDescent="0.25">
      <c r="D949" s="1"/>
      <c r="F949" s="1"/>
    </row>
    <row r="950" spans="4:6" x14ac:dyDescent="0.25">
      <c r="D950" s="1"/>
      <c r="F950" s="1"/>
    </row>
    <row r="951" spans="4:6" x14ac:dyDescent="0.25">
      <c r="D951" s="1"/>
      <c r="F951" s="1"/>
    </row>
    <row r="952" spans="4:6" x14ac:dyDescent="0.25">
      <c r="D952" s="1"/>
      <c r="F952" s="1"/>
    </row>
    <row r="953" spans="4:6" x14ac:dyDescent="0.25">
      <c r="D953" s="1"/>
      <c r="F953" s="1"/>
    </row>
    <row r="954" spans="4:6" x14ac:dyDescent="0.25">
      <c r="D954" s="1"/>
      <c r="F954" s="1"/>
    </row>
    <row r="955" spans="4:6" x14ac:dyDescent="0.25">
      <c r="D955" s="1"/>
      <c r="F955" s="1"/>
    </row>
    <row r="956" spans="4:6" x14ac:dyDescent="0.25">
      <c r="D956" s="1"/>
      <c r="F956" s="1"/>
    </row>
    <row r="957" spans="4:6" x14ac:dyDescent="0.25">
      <c r="D957" s="1"/>
      <c r="F957" s="1"/>
    </row>
    <row r="958" spans="4:6" x14ac:dyDescent="0.25">
      <c r="D958" s="1"/>
      <c r="F958" s="1"/>
    </row>
    <row r="959" spans="4:6" x14ac:dyDescent="0.25">
      <c r="D959" s="1"/>
      <c r="F959" s="1"/>
    </row>
    <row r="960" spans="4:6" x14ac:dyDescent="0.25">
      <c r="D960" s="1"/>
      <c r="F960" s="1"/>
    </row>
    <row r="961" spans="4:6" x14ac:dyDescent="0.25">
      <c r="D961" s="1"/>
      <c r="F961" s="1"/>
    </row>
    <row r="962" spans="4:6" x14ac:dyDescent="0.25">
      <c r="D962" s="1"/>
      <c r="F962" s="1"/>
    </row>
    <row r="963" spans="4:6" x14ac:dyDescent="0.25">
      <c r="D963" s="1"/>
      <c r="F963" s="1"/>
    </row>
    <row r="964" spans="4:6" x14ac:dyDescent="0.25">
      <c r="D964" s="1"/>
      <c r="F964" s="1"/>
    </row>
    <row r="965" spans="4:6" x14ac:dyDescent="0.25">
      <c r="D965" s="1"/>
      <c r="F965" s="1"/>
    </row>
    <row r="966" spans="4:6" x14ac:dyDescent="0.25">
      <c r="D966" s="1"/>
      <c r="F966" s="1"/>
    </row>
    <row r="967" spans="4:6" x14ac:dyDescent="0.25">
      <c r="D967" s="1"/>
      <c r="F967" s="1"/>
    </row>
    <row r="968" spans="4:6" x14ac:dyDescent="0.25">
      <c r="D968" s="1"/>
      <c r="F968" s="1"/>
    </row>
    <row r="969" spans="4:6" x14ac:dyDescent="0.25">
      <c r="D969" s="1"/>
      <c r="F969" s="1"/>
    </row>
    <row r="970" spans="4:6" x14ac:dyDescent="0.25">
      <c r="D970" s="1"/>
      <c r="F970" s="1"/>
    </row>
    <row r="971" spans="4:6" x14ac:dyDescent="0.25">
      <c r="D971" s="1"/>
      <c r="F971" s="1"/>
    </row>
    <row r="972" spans="4:6" x14ac:dyDescent="0.25">
      <c r="D972" s="1"/>
      <c r="F972" s="1"/>
    </row>
    <row r="973" spans="4:6" x14ac:dyDescent="0.25">
      <c r="D973" s="1"/>
      <c r="F973" s="1"/>
    </row>
    <row r="974" spans="4:6" x14ac:dyDescent="0.25">
      <c r="D974" s="1"/>
      <c r="F974" s="1"/>
    </row>
    <row r="975" spans="4:6" x14ac:dyDescent="0.25">
      <c r="D975" s="1"/>
      <c r="F975" s="1"/>
    </row>
    <row r="976" spans="4:6" x14ac:dyDescent="0.25">
      <c r="D976" s="1"/>
      <c r="F976" s="1"/>
    </row>
    <row r="977" spans="4:6" x14ac:dyDescent="0.25">
      <c r="D977" s="1"/>
      <c r="F977" s="1"/>
    </row>
    <row r="978" spans="4:6" x14ac:dyDescent="0.25">
      <c r="D978" s="1"/>
      <c r="F978" s="1"/>
    </row>
    <row r="979" spans="4:6" x14ac:dyDescent="0.25">
      <c r="D979" s="1"/>
      <c r="F979" s="1"/>
    </row>
    <row r="980" spans="4:6" x14ac:dyDescent="0.25">
      <c r="D980" s="1"/>
      <c r="F980" s="1"/>
    </row>
    <row r="981" spans="4:6" x14ac:dyDescent="0.25">
      <c r="D981" s="1"/>
      <c r="F981" s="1"/>
    </row>
    <row r="982" spans="4:6" x14ac:dyDescent="0.25">
      <c r="D982" s="1"/>
      <c r="F982" s="1"/>
    </row>
    <row r="983" spans="4:6" x14ac:dyDescent="0.25">
      <c r="D983" s="1"/>
      <c r="F983" s="1"/>
    </row>
    <row r="984" spans="4:6" x14ac:dyDescent="0.25">
      <c r="D984" s="1"/>
      <c r="F984" s="1"/>
    </row>
    <row r="985" spans="4:6" x14ac:dyDescent="0.25">
      <c r="D985" s="1"/>
      <c r="F985" s="1"/>
    </row>
    <row r="986" spans="4:6" x14ac:dyDescent="0.25">
      <c r="D986" s="1"/>
      <c r="F986" s="1"/>
    </row>
    <row r="987" spans="4:6" x14ac:dyDescent="0.25">
      <c r="D987" s="1"/>
      <c r="F987" s="1"/>
    </row>
    <row r="988" spans="4:6" x14ac:dyDescent="0.25">
      <c r="D988" s="1"/>
      <c r="F988" s="1"/>
    </row>
    <row r="989" spans="4:6" x14ac:dyDescent="0.25">
      <c r="D989" s="1"/>
      <c r="F989" s="1"/>
    </row>
    <row r="990" spans="4:6" x14ac:dyDescent="0.25">
      <c r="D990" s="1"/>
      <c r="F990" s="1"/>
    </row>
    <row r="991" spans="4:6" x14ac:dyDescent="0.25">
      <c r="D991" s="1"/>
      <c r="F991" s="1"/>
    </row>
    <row r="992" spans="4:6" x14ac:dyDescent="0.25">
      <c r="D992" s="1"/>
      <c r="F992" s="1"/>
    </row>
    <row r="993" spans="4:6" x14ac:dyDescent="0.25">
      <c r="D993" s="1"/>
      <c r="F993" s="1"/>
    </row>
    <row r="994" spans="4:6" x14ac:dyDescent="0.25">
      <c r="D994" s="1"/>
      <c r="F994" s="1"/>
    </row>
    <row r="995" spans="4:6" x14ac:dyDescent="0.25">
      <c r="D995" s="1"/>
      <c r="F995" s="1"/>
    </row>
    <row r="996" spans="4:6" x14ac:dyDescent="0.25">
      <c r="D996" s="1"/>
      <c r="F996" s="1"/>
    </row>
    <row r="997" spans="4:6" x14ac:dyDescent="0.25">
      <c r="D997" s="1"/>
      <c r="F997" s="1"/>
    </row>
    <row r="998" spans="4:6" x14ac:dyDescent="0.25">
      <c r="D998" s="1"/>
      <c r="F998" s="1"/>
    </row>
    <row r="999" spans="4:6" x14ac:dyDescent="0.25">
      <c r="D999" s="1"/>
      <c r="F999" s="1"/>
    </row>
    <row r="1000" spans="4:6" x14ac:dyDescent="0.25">
      <c r="D1000" s="1"/>
      <c r="F1000" s="1"/>
    </row>
    <row r="1001" spans="4:6" x14ac:dyDescent="0.25">
      <c r="D1001" s="1"/>
      <c r="F1001" s="1"/>
    </row>
    <row r="1002" spans="4:6" x14ac:dyDescent="0.25">
      <c r="D1002" s="1"/>
      <c r="F1002" s="1"/>
    </row>
    <row r="1003" spans="4:6" x14ac:dyDescent="0.25">
      <c r="D1003" s="1"/>
      <c r="F1003" s="1"/>
    </row>
    <row r="1004" spans="4:6" x14ac:dyDescent="0.25">
      <c r="D1004" s="1"/>
      <c r="F1004" s="1"/>
    </row>
    <row r="1005" spans="4:6" x14ac:dyDescent="0.25">
      <c r="D1005" s="1"/>
      <c r="F1005" s="1"/>
    </row>
    <row r="1006" spans="4:6" x14ac:dyDescent="0.25">
      <c r="D1006" s="1"/>
      <c r="F1006" s="1"/>
    </row>
    <row r="1007" spans="4:6" x14ac:dyDescent="0.25">
      <c r="D1007" s="1"/>
      <c r="F1007" s="1"/>
    </row>
    <row r="1008" spans="4:6" x14ac:dyDescent="0.25">
      <c r="D1008" s="1"/>
      <c r="F1008" s="1"/>
    </row>
    <row r="1009" spans="4:6" x14ac:dyDescent="0.25">
      <c r="D1009" s="1"/>
      <c r="F1009" s="1"/>
    </row>
    <row r="1010" spans="4:6" x14ac:dyDescent="0.25">
      <c r="D1010" s="1"/>
      <c r="F1010" s="1"/>
    </row>
    <row r="1011" spans="4:6" x14ac:dyDescent="0.25">
      <c r="D1011" s="1"/>
      <c r="F1011" s="1"/>
    </row>
    <row r="1012" spans="4:6" x14ac:dyDescent="0.25">
      <c r="D1012" s="1"/>
      <c r="F1012" s="1"/>
    </row>
    <row r="1013" spans="4:6" x14ac:dyDescent="0.25">
      <c r="D1013" s="1"/>
      <c r="F1013" s="1"/>
    </row>
    <row r="1014" spans="4:6" x14ac:dyDescent="0.25">
      <c r="D1014" s="1"/>
      <c r="F1014" s="1"/>
    </row>
    <row r="1015" spans="4:6" x14ac:dyDescent="0.25">
      <c r="D1015" s="1"/>
      <c r="F1015" s="1"/>
    </row>
    <row r="1016" spans="4:6" x14ac:dyDescent="0.25">
      <c r="D1016" s="1"/>
      <c r="F1016" s="1"/>
    </row>
    <row r="1017" spans="4:6" x14ac:dyDescent="0.25">
      <c r="D1017" s="1"/>
      <c r="F1017" s="1"/>
    </row>
    <row r="1018" spans="4:6" x14ac:dyDescent="0.25">
      <c r="D1018" s="1"/>
      <c r="F1018" s="1"/>
    </row>
    <row r="1019" spans="4:6" x14ac:dyDescent="0.25">
      <c r="D1019" s="1"/>
      <c r="F1019" s="1"/>
    </row>
    <row r="1020" spans="4:6" x14ac:dyDescent="0.25">
      <c r="D1020" s="1"/>
      <c r="F1020" s="1"/>
    </row>
    <row r="1021" spans="4:6" x14ac:dyDescent="0.25">
      <c r="D1021" s="1"/>
      <c r="F1021" s="1"/>
    </row>
    <row r="1022" spans="4:6" x14ac:dyDescent="0.25">
      <c r="D1022" s="1"/>
      <c r="F1022" s="1"/>
    </row>
    <row r="1023" spans="4:6" x14ac:dyDescent="0.25">
      <c r="D1023" s="1"/>
      <c r="F1023" s="1"/>
    </row>
    <row r="1024" spans="4:6" x14ac:dyDescent="0.25">
      <c r="D1024" s="1"/>
      <c r="F1024" s="1"/>
    </row>
    <row r="1025" spans="4:6" x14ac:dyDescent="0.25">
      <c r="D1025" s="1"/>
      <c r="F1025" s="1"/>
    </row>
    <row r="1026" spans="4:6" x14ac:dyDescent="0.25">
      <c r="D1026" s="1"/>
      <c r="F1026" s="1"/>
    </row>
    <row r="1027" spans="4:6" x14ac:dyDescent="0.25">
      <c r="D1027" s="1"/>
      <c r="F1027" s="1"/>
    </row>
    <row r="1028" spans="4:6" x14ac:dyDescent="0.25">
      <c r="D1028" s="1"/>
      <c r="F1028" s="1"/>
    </row>
    <row r="1029" spans="4:6" x14ac:dyDescent="0.25">
      <c r="D1029" s="1"/>
      <c r="F1029" s="1"/>
    </row>
    <row r="1030" spans="4:6" x14ac:dyDescent="0.25">
      <c r="D1030" s="1"/>
      <c r="F1030" s="1"/>
    </row>
    <row r="1031" spans="4:6" x14ac:dyDescent="0.25">
      <c r="D1031" s="1"/>
      <c r="F1031" s="1"/>
    </row>
    <row r="1032" spans="4:6" x14ac:dyDescent="0.25">
      <c r="D1032" s="1"/>
      <c r="F1032" s="1"/>
    </row>
    <row r="1033" spans="4:6" x14ac:dyDescent="0.25">
      <c r="D1033" s="1"/>
      <c r="F1033" s="1"/>
    </row>
    <row r="1034" spans="4:6" x14ac:dyDescent="0.25">
      <c r="D1034" s="1"/>
      <c r="F1034" s="1"/>
    </row>
    <row r="1035" spans="4:6" x14ac:dyDescent="0.25">
      <c r="D1035" s="1"/>
      <c r="F1035" s="1"/>
    </row>
    <row r="1036" spans="4:6" x14ac:dyDescent="0.25">
      <c r="D1036" s="1"/>
      <c r="F1036" s="1"/>
    </row>
    <row r="1037" spans="4:6" x14ac:dyDescent="0.25">
      <c r="D1037" s="1"/>
      <c r="F1037" s="1"/>
    </row>
    <row r="1038" spans="4:6" x14ac:dyDescent="0.25">
      <c r="D1038" s="1"/>
      <c r="F1038" s="1"/>
    </row>
    <row r="1039" spans="4:6" x14ac:dyDescent="0.25">
      <c r="D1039" s="1"/>
      <c r="F1039" s="1"/>
    </row>
    <row r="1040" spans="4:6" x14ac:dyDescent="0.25">
      <c r="D1040" s="1"/>
      <c r="F1040" s="1"/>
    </row>
    <row r="1041" spans="4:6" x14ac:dyDescent="0.25">
      <c r="D1041" s="1"/>
      <c r="F1041" s="1"/>
    </row>
    <row r="1042" spans="4:6" x14ac:dyDescent="0.25">
      <c r="D1042" s="1"/>
      <c r="F1042" s="1"/>
    </row>
    <row r="1043" spans="4:6" x14ac:dyDescent="0.25">
      <c r="D1043" s="1"/>
      <c r="F1043" s="1"/>
    </row>
    <row r="1044" spans="4:6" x14ac:dyDescent="0.25">
      <c r="D1044" s="1"/>
      <c r="F1044" s="1"/>
    </row>
    <row r="1045" spans="4:6" x14ac:dyDescent="0.25">
      <c r="D1045" s="1"/>
      <c r="F1045" s="1"/>
    </row>
    <row r="1046" spans="4:6" x14ac:dyDescent="0.25">
      <c r="D1046" s="1"/>
      <c r="F1046" s="1"/>
    </row>
    <row r="1047" spans="4:6" x14ac:dyDescent="0.25">
      <c r="D1047" s="1"/>
      <c r="F1047" s="1"/>
    </row>
    <row r="1048" spans="4:6" x14ac:dyDescent="0.25">
      <c r="D1048" s="1"/>
      <c r="F1048" s="1"/>
    </row>
    <row r="1049" spans="4:6" x14ac:dyDescent="0.25">
      <c r="D1049" s="1"/>
      <c r="F1049" s="1"/>
    </row>
    <row r="1050" spans="4:6" x14ac:dyDescent="0.25">
      <c r="D1050" s="1"/>
      <c r="F1050" s="1"/>
    </row>
    <row r="1051" spans="4:6" x14ac:dyDescent="0.25">
      <c r="D1051" s="1"/>
      <c r="F1051" s="1"/>
    </row>
    <row r="1052" spans="4:6" x14ac:dyDescent="0.25">
      <c r="D1052" s="1"/>
      <c r="F1052" s="1"/>
    </row>
    <row r="1053" spans="4:6" x14ac:dyDescent="0.25">
      <c r="D1053" s="1"/>
      <c r="F1053" s="1"/>
    </row>
    <row r="1054" spans="4:6" x14ac:dyDescent="0.25">
      <c r="D1054" s="1"/>
      <c r="F1054" s="1"/>
    </row>
    <row r="1055" spans="4:6" x14ac:dyDescent="0.25">
      <c r="D1055" s="1"/>
      <c r="F1055" s="1"/>
    </row>
    <row r="1056" spans="4:6" x14ac:dyDescent="0.25">
      <c r="D1056" s="1"/>
      <c r="F1056" s="1"/>
    </row>
    <row r="1057" spans="4:6" x14ac:dyDescent="0.25">
      <c r="D1057" s="1"/>
      <c r="F1057" s="1"/>
    </row>
    <row r="1058" spans="4:6" x14ac:dyDescent="0.25">
      <c r="D1058" s="1"/>
      <c r="F1058" s="1"/>
    </row>
    <row r="1059" spans="4:6" x14ac:dyDescent="0.25">
      <c r="D1059" s="1"/>
      <c r="F1059" s="1"/>
    </row>
    <row r="1060" spans="4:6" x14ac:dyDescent="0.25">
      <c r="D1060" s="1"/>
      <c r="F1060" s="1"/>
    </row>
    <row r="1061" spans="4:6" x14ac:dyDescent="0.25">
      <c r="D1061" s="1"/>
      <c r="F1061" s="1"/>
    </row>
    <row r="1062" spans="4:6" x14ac:dyDescent="0.25">
      <c r="D1062" s="1"/>
      <c r="F1062" s="1"/>
    </row>
    <row r="1063" spans="4:6" x14ac:dyDescent="0.25">
      <c r="D1063" s="1"/>
      <c r="F1063" s="1"/>
    </row>
    <row r="1064" spans="4:6" x14ac:dyDescent="0.25">
      <c r="D1064" s="1"/>
      <c r="F1064" s="1"/>
    </row>
    <row r="1065" spans="4:6" x14ac:dyDescent="0.25">
      <c r="D1065" s="1"/>
      <c r="F1065" s="1"/>
    </row>
    <row r="1066" spans="4:6" x14ac:dyDescent="0.25">
      <c r="D1066" s="1"/>
      <c r="F1066" s="1"/>
    </row>
    <row r="1067" spans="4:6" x14ac:dyDescent="0.25">
      <c r="D1067" s="1"/>
      <c r="F1067" s="1"/>
    </row>
    <row r="1068" spans="4:6" x14ac:dyDescent="0.25">
      <c r="D1068" s="1"/>
      <c r="F1068" s="1"/>
    </row>
    <row r="1069" spans="4:6" x14ac:dyDescent="0.25">
      <c r="D1069" s="1"/>
      <c r="F1069" s="1"/>
    </row>
    <row r="1070" spans="4:6" x14ac:dyDescent="0.25">
      <c r="D1070" s="1"/>
      <c r="F1070" s="1"/>
    </row>
    <row r="1071" spans="4:6" x14ac:dyDescent="0.25">
      <c r="D1071" s="1"/>
      <c r="F1071" s="1"/>
    </row>
    <row r="1072" spans="4:6" x14ac:dyDescent="0.25">
      <c r="D1072" s="1"/>
      <c r="F1072" s="1"/>
    </row>
    <row r="1073" spans="4:6" x14ac:dyDescent="0.25">
      <c r="D1073" s="1"/>
      <c r="F1073" s="1"/>
    </row>
    <row r="1074" spans="4:6" x14ac:dyDescent="0.25">
      <c r="D1074" s="1"/>
      <c r="F1074" s="1"/>
    </row>
    <row r="1075" spans="4:6" x14ac:dyDescent="0.25">
      <c r="D1075" s="1"/>
      <c r="F1075" s="1"/>
    </row>
    <row r="1076" spans="4:6" x14ac:dyDescent="0.25">
      <c r="D1076" s="1"/>
      <c r="F1076" s="1"/>
    </row>
    <row r="1077" spans="4:6" x14ac:dyDescent="0.25">
      <c r="D1077" s="1"/>
      <c r="F1077" s="1"/>
    </row>
    <row r="1078" spans="4:6" x14ac:dyDescent="0.25">
      <c r="D1078" s="1"/>
      <c r="F1078" s="1"/>
    </row>
    <row r="1079" spans="4:6" x14ac:dyDescent="0.25">
      <c r="D1079" s="1"/>
      <c r="F1079" s="1"/>
    </row>
    <row r="1080" spans="4:6" x14ac:dyDescent="0.25">
      <c r="D1080" s="1"/>
      <c r="F1080" s="1"/>
    </row>
    <row r="1081" spans="4:6" x14ac:dyDescent="0.25">
      <c r="D1081" s="1"/>
      <c r="F1081" s="1"/>
    </row>
    <row r="1082" spans="4:6" x14ac:dyDescent="0.25">
      <c r="D1082" s="1"/>
      <c r="F1082" s="1"/>
    </row>
    <row r="1083" spans="4:6" x14ac:dyDescent="0.25">
      <c r="D1083" s="1"/>
      <c r="F1083" s="1"/>
    </row>
    <row r="1084" spans="4:6" x14ac:dyDescent="0.25">
      <c r="D1084" s="1"/>
      <c r="F1084" s="1"/>
    </row>
    <row r="1085" spans="4:6" x14ac:dyDescent="0.25">
      <c r="D1085" s="1"/>
      <c r="F1085" s="1"/>
    </row>
    <row r="1086" spans="4:6" x14ac:dyDescent="0.25">
      <c r="D1086" s="1"/>
      <c r="F1086" s="1"/>
    </row>
    <row r="1087" spans="4:6" x14ac:dyDescent="0.25">
      <c r="D1087" s="1"/>
      <c r="F1087" s="1"/>
    </row>
    <row r="1088" spans="4:6" x14ac:dyDescent="0.25">
      <c r="D1088" s="1"/>
      <c r="F1088" s="1"/>
    </row>
    <row r="1089" spans="4:6" x14ac:dyDescent="0.25">
      <c r="D1089" s="1"/>
      <c r="F1089" s="1"/>
    </row>
    <row r="1090" spans="4:6" x14ac:dyDescent="0.25">
      <c r="D1090" s="1"/>
      <c r="F1090" s="1"/>
    </row>
    <row r="1091" spans="4:6" x14ac:dyDescent="0.25">
      <c r="D1091" s="1"/>
      <c r="F1091" s="1"/>
    </row>
    <row r="1092" spans="4:6" x14ac:dyDescent="0.25">
      <c r="D1092" s="1"/>
      <c r="F1092" s="1"/>
    </row>
    <row r="1093" spans="4:6" x14ac:dyDescent="0.25">
      <c r="D1093" s="1"/>
      <c r="F1093" s="1"/>
    </row>
    <row r="1094" spans="4:6" x14ac:dyDescent="0.25">
      <c r="D1094" s="1"/>
      <c r="F1094" s="1"/>
    </row>
    <row r="1095" spans="4:6" x14ac:dyDescent="0.25">
      <c r="D1095" s="1"/>
      <c r="F1095" s="1"/>
    </row>
    <row r="1096" spans="4:6" x14ac:dyDescent="0.25">
      <c r="D1096" s="1"/>
      <c r="F1096" s="1"/>
    </row>
    <row r="1097" spans="4:6" x14ac:dyDescent="0.25">
      <c r="D1097" s="1"/>
      <c r="F1097" s="1"/>
    </row>
    <row r="1098" spans="4:6" x14ac:dyDescent="0.25">
      <c r="D1098" s="1"/>
      <c r="F1098" s="1"/>
    </row>
    <row r="1099" spans="4:6" x14ac:dyDescent="0.25">
      <c r="D1099" s="1"/>
      <c r="F1099" s="1"/>
    </row>
    <row r="1100" spans="4:6" x14ac:dyDescent="0.25">
      <c r="D1100" s="1"/>
      <c r="F1100" s="1"/>
    </row>
    <row r="1101" spans="4:6" x14ac:dyDescent="0.25">
      <c r="D1101" s="1"/>
      <c r="F1101" s="1"/>
    </row>
    <row r="1102" spans="4:6" x14ac:dyDescent="0.25">
      <c r="D1102" s="1"/>
      <c r="F1102" s="1"/>
    </row>
    <row r="1103" spans="4:6" x14ac:dyDescent="0.25">
      <c r="D1103" s="1"/>
      <c r="F1103" s="1"/>
    </row>
    <row r="1104" spans="4:6" x14ac:dyDescent="0.25">
      <c r="D1104" s="1"/>
      <c r="F1104" s="1"/>
    </row>
    <row r="1105" spans="4:6" x14ac:dyDescent="0.25">
      <c r="D1105" s="1"/>
      <c r="F1105" s="1"/>
    </row>
    <row r="1106" spans="4:6" x14ac:dyDescent="0.25">
      <c r="D1106" s="1"/>
      <c r="F1106" s="1"/>
    </row>
    <row r="1107" spans="4:6" x14ac:dyDescent="0.25">
      <c r="D1107" s="1"/>
      <c r="F1107" s="1"/>
    </row>
    <row r="1108" spans="4:6" x14ac:dyDescent="0.25">
      <c r="D1108" s="1"/>
      <c r="F1108" s="1"/>
    </row>
    <row r="1109" spans="4:6" x14ac:dyDescent="0.25">
      <c r="D1109" s="1"/>
      <c r="F1109" s="1"/>
    </row>
    <row r="1110" spans="4:6" x14ac:dyDescent="0.25">
      <c r="D1110" s="1"/>
      <c r="F1110" s="1"/>
    </row>
    <row r="1111" spans="4:6" x14ac:dyDescent="0.25">
      <c r="D1111" s="1"/>
      <c r="F1111" s="1"/>
    </row>
    <row r="1112" spans="4:6" x14ac:dyDescent="0.25">
      <c r="D1112" s="1"/>
      <c r="F1112" s="1"/>
    </row>
    <row r="1113" spans="4:6" x14ac:dyDescent="0.25">
      <c r="D1113" s="1"/>
      <c r="F1113" s="1"/>
    </row>
    <row r="1114" spans="4:6" x14ac:dyDescent="0.25">
      <c r="D1114" s="1"/>
      <c r="F1114" s="1"/>
    </row>
    <row r="1115" spans="4:6" x14ac:dyDescent="0.25">
      <c r="D1115" s="1"/>
      <c r="F1115" s="1"/>
    </row>
    <row r="1116" spans="4:6" x14ac:dyDescent="0.25">
      <c r="D1116" s="1"/>
      <c r="F1116" s="1"/>
    </row>
    <row r="1117" spans="4:6" x14ac:dyDescent="0.25">
      <c r="D1117" s="1"/>
      <c r="F1117" s="1"/>
    </row>
    <row r="1118" spans="4:6" x14ac:dyDescent="0.25">
      <c r="D1118" s="1"/>
      <c r="F1118" s="1"/>
    </row>
    <row r="1119" spans="4:6" x14ac:dyDescent="0.25">
      <c r="D1119" s="1"/>
      <c r="F1119" s="1"/>
    </row>
    <row r="1120" spans="4:6" x14ac:dyDescent="0.25">
      <c r="D1120" s="1"/>
      <c r="F1120" s="1"/>
    </row>
    <row r="1121" spans="4:6" x14ac:dyDescent="0.25">
      <c r="D1121" s="1"/>
      <c r="F1121" s="1"/>
    </row>
    <row r="1122" spans="4:6" x14ac:dyDescent="0.25">
      <c r="D1122" s="1"/>
      <c r="F1122" s="1"/>
    </row>
    <row r="1123" spans="4:6" x14ac:dyDescent="0.25">
      <c r="D1123" s="1"/>
      <c r="F1123" s="1"/>
    </row>
    <row r="1124" spans="4:6" x14ac:dyDescent="0.25">
      <c r="D1124" s="1"/>
      <c r="F1124" s="1"/>
    </row>
    <row r="1125" spans="4:6" x14ac:dyDescent="0.25">
      <c r="D1125" s="1"/>
      <c r="F1125" s="1"/>
    </row>
    <row r="1126" spans="4:6" x14ac:dyDescent="0.25">
      <c r="D1126" s="1"/>
      <c r="F1126" s="1"/>
    </row>
    <row r="1127" spans="4:6" x14ac:dyDescent="0.25">
      <c r="D1127" s="1"/>
      <c r="F1127" s="1"/>
    </row>
    <row r="1128" spans="4:6" x14ac:dyDescent="0.25">
      <c r="D1128" s="1"/>
      <c r="F1128" s="1"/>
    </row>
    <row r="1129" spans="4:6" x14ac:dyDescent="0.25">
      <c r="D1129" s="1"/>
      <c r="F1129" s="1"/>
    </row>
    <row r="1130" spans="4:6" x14ac:dyDescent="0.25">
      <c r="D1130" s="1"/>
      <c r="F1130" s="1"/>
    </row>
    <row r="1131" spans="4:6" x14ac:dyDescent="0.25">
      <c r="D1131" s="1"/>
      <c r="F1131" s="1"/>
    </row>
    <row r="1132" spans="4:6" x14ac:dyDescent="0.25">
      <c r="D1132" s="1"/>
      <c r="F1132" s="1"/>
    </row>
    <row r="1133" spans="4:6" x14ac:dyDescent="0.25">
      <c r="D1133" s="1"/>
      <c r="F1133" s="1"/>
    </row>
    <row r="1134" spans="4:6" x14ac:dyDescent="0.25">
      <c r="D1134" s="1"/>
      <c r="F1134" s="1"/>
    </row>
    <row r="1135" spans="4:6" x14ac:dyDescent="0.25">
      <c r="D1135" s="1"/>
      <c r="F1135" s="1"/>
    </row>
    <row r="1136" spans="4:6" x14ac:dyDescent="0.25">
      <c r="D1136" s="1"/>
      <c r="F1136" s="1"/>
    </row>
    <row r="1137" spans="4:6" x14ac:dyDescent="0.25">
      <c r="D1137" s="1"/>
      <c r="F1137" s="1"/>
    </row>
    <row r="1138" spans="4:6" x14ac:dyDescent="0.25">
      <c r="D1138" s="1"/>
      <c r="F1138" s="1"/>
    </row>
    <row r="1139" spans="4:6" x14ac:dyDescent="0.25">
      <c r="D1139" s="1"/>
      <c r="F1139" s="1"/>
    </row>
    <row r="1140" spans="4:6" x14ac:dyDescent="0.25">
      <c r="D1140" s="1"/>
      <c r="F1140" s="1"/>
    </row>
    <row r="1141" spans="4:6" x14ac:dyDescent="0.25">
      <c r="D1141" s="1"/>
      <c r="F1141" s="1"/>
    </row>
    <row r="1142" spans="4:6" x14ac:dyDescent="0.25">
      <c r="D1142" s="1"/>
      <c r="F1142" s="1"/>
    </row>
    <row r="1143" spans="4:6" x14ac:dyDescent="0.25">
      <c r="D1143" s="1"/>
      <c r="F1143" s="1"/>
    </row>
    <row r="1144" spans="4:6" x14ac:dyDescent="0.25">
      <c r="D1144" s="1"/>
      <c r="F1144" s="1"/>
    </row>
    <row r="1145" spans="4:6" x14ac:dyDescent="0.25">
      <c r="D1145" s="1"/>
      <c r="F1145" s="1"/>
    </row>
    <row r="1146" spans="4:6" x14ac:dyDescent="0.25">
      <c r="D1146" s="1"/>
      <c r="F1146" s="1"/>
    </row>
    <row r="1147" spans="4:6" x14ac:dyDescent="0.25">
      <c r="D1147" s="1"/>
      <c r="F1147" s="1"/>
    </row>
    <row r="1148" spans="4:6" x14ac:dyDescent="0.25">
      <c r="D1148" s="1"/>
      <c r="F1148" s="1"/>
    </row>
    <row r="1149" spans="4:6" x14ac:dyDescent="0.25">
      <c r="D1149" s="1"/>
      <c r="F1149" s="1"/>
    </row>
    <row r="1150" spans="4:6" x14ac:dyDescent="0.25">
      <c r="D1150" s="1"/>
      <c r="F1150" s="1"/>
    </row>
    <row r="1151" spans="4:6" x14ac:dyDescent="0.25">
      <c r="D1151" s="1"/>
      <c r="F1151" s="1"/>
    </row>
    <row r="1152" spans="4:6" x14ac:dyDescent="0.25">
      <c r="D1152" s="1"/>
      <c r="F1152" s="1"/>
    </row>
    <row r="1153" spans="4:6" x14ac:dyDescent="0.25">
      <c r="D1153" s="1"/>
      <c r="F1153" s="1"/>
    </row>
    <row r="1154" spans="4:6" x14ac:dyDescent="0.25">
      <c r="D1154" s="1"/>
      <c r="F1154" s="1"/>
    </row>
    <row r="1155" spans="4:6" x14ac:dyDescent="0.25">
      <c r="D1155" s="1"/>
      <c r="F1155" s="1"/>
    </row>
    <row r="1156" spans="4:6" x14ac:dyDescent="0.25">
      <c r="D1156" s="1"/>
      <c r="F1156" s="1"/>
    </row>
    <row r="1157" spans="4:6" x14ac:dyDescent="0.25">
      <c r="D1157" s="1"/>
      <c r="F1157" s="1"/>
    </row>
    <row r="1158" spans="4:6" x14ac:dyDescent="0.25">
      <c r="D1158" s="1"/>
      <c r="F1158" s="1"/>
    </row>
    <row r="1159" spans="4:6" x14ac:dyDescent="0.25">
      <c r="D1159" s="1"/>
      <c r="F1159" s="1"/>
    </row>
    <row r="1160" spans="4:6" x14ac:dyDescent="0.25">
      <c r="D1160" s="1"/>
      <c r="F1160" s="1"/>
    </row>
    <row r="1161" spans="4:6" x14ac:dyDescent="0.25">
      <c r="D1161" s="1"/>
      <c r="F1161" s="1"/>
    </row>
    <row r="1162" spans="4:6" x14ac:dyDescent="0.25">
      <c r="D1162" s="1"/>
      <c r="F1162" s="1"/>
    </row>
    <row r="1163" spans="4:6" x14ac:dyDescent="0.25">
      <c r="D1163" s="1"/>
      <c r="F1163" s="1"/>
    </row>
    <row r="1164" spans="4:6" x14ac:dyDescent="0.25">
      <c r="D1164" s="1"/>
      <c r="F1164" s="1"/>
    </row>
    <row r="1165" spans="4:6" x14ac:dyDescent="0.25">
      <c r="D1165" s="1"/>
      <c r="F1165" s="1"/>
    </row>
    <row r="1166" spans="4:6" x14ac:dyDescent="0.25">
      <c r="D1166" s="1"/>
      <c r="F1166" s="1"/>
    </row>
    <row r="1167" spans="4:6" x14ac:dyDescent="0.25">
      <c r="D1167" s="1"/>
      <c r="F1167" s="1"/>
    </row>
    <row r="1168" spans="4:6" x14ac:dyDescent="0.25">
      <c r="D1168" s="1"/>
      <c r="F1168" s="1"/>
    </row>
    <row r="1169" spans="4:6" x14ac:dyDescent="0.25">
      <c r="D1169" s="1"/>
      <c r="F1169" s="1"/>
    </row>
    <row r="1170" spans="4:6" x14ac:dyDescent="0.25">
      <c r="D1170" s="1"/>
      <c r="F1170" s="1"/>
    </row>
    <row r="1171" spans="4:6" x14ac:dyDescent="0.25">
      <c r="D1171" s="1"/>
      <c r="F1171" s="1"/>
    </row>
    <row r="1172" spans="4:6" x14ac:dyDescent="0.25">
      <c r="D1172" s="1"/>
      <c r="F1172" s="1"/>
    </row>
    <row r="1173" spans="4:6" x14ac:dyDescent="0.25">
      <c r="D1173" s="1"/>
      <c r="F1173" s="1"/>
    </row>
    <row r="1174" spans="4:6" x14ac:dyDescent="0.25">
      <c r="D1174" s="1"/>
      <c r="F1174" s="1"/>
    </row>
    <row r="1175" spans="4:6" x14ac:dyDescent="0.25">
      <c r="D1175" s="1"/>
      <c r="F1175" s="1"/>
    </row>
    <row r="1176" spans="4:6" x14ac:dyDescent="0.25">
      <c r="D1176" s="1"/>
      <c r="F1176" s="1"/>
    </row>
    <row r="1177" spans="4:6" x14ac:dyDescent="0.25">
      <c r="D1177" s="1"/>
      <c r="F1177" s="1"/>
    </row>
    <row r="1178" spans="4:6" x14ac:dyDescent="0.25">
      <c r="D1178" s="1"/>
      <c r="F1178" s="1"/>
    </row>
    <row r="1179" spans="4:6" x14ac:dyDescent="0.25">
      <c r="D1179" s="1"/>
      <c r="F1179" s="1"/>
    </row>
    <row r="1180" spans="4:6" x14ac:dyDescent="0.25">
      <c r="D1180" s="1"/>
      <c r="F1180" s="1"/>
    </row>
    <row r="1181" spans="4:6" x14ac:dyDescent="0.25">
      <c r="D1181" s="1"/>
      <c r="F1181" s="1"/>
    </row>
    <row r="1182" spans="4:6" x14ac:dyDescent="0.25">
      <c r="D1182" s="1"/>
      <c r="F1182" s="1"/>
    </row>
    <row r="1183" spans="4:6" x14ac:dyDescent="0.25">
      <c r="D1183" s="1"/>
      <c r="F1183" s="1"/>
    </row>
    <row r="1184" spans="4:6" x14ac:dyDescent="0.25">
      <c r="D1184" s="1"/>
      <c r="F1184" s="1"/>
    </row>
    <row r="1185" spans="4:6" x14ac:dyDescent="0.25">
      <c r="D1185" s="1"/>
      <c r="F1185" s="1"/>
    </row>
    <row r="1186" spans="4:6" x14ac:dyDescent="0.25">
      <c r="D1186" s="1"/>
      <c r="F1186" s="1"/>
    </row>
    <row r="1187" spans="4:6" x14ac:dyDescent="0.25">
      <c r="D1187" s="1"/>
      <c r="F1187" s="1"/>
    </row>
    <row r="1188" spans="4:6" x14ac:dyDescent="0.25">
      <c r="D1188" s="1"/>
      <c r="F1188" s="1"/>
    </row>
    <row r="1189" spans="4:6" x14ac:dyDescent="0.25">
      <c r="D1189" s="1"/>
      <c r="F1189" s="1"/>
    </row>
    <row r="1190" spans="4:6" x14ac:dyDescent="0.25">
      <c r="D1190" s="1"/>
      <c r="F1190" s="1"/>
    </row>
    <row r="1191" spans="4:6" x14ac:dyDescent="0.25">
      <c r="D1191" s="1"/>
      <c r="F1191" s="1"/>
    </row>
    <row r="1192" spans="4:6" x14ac:dyDescent="0.25">
      <c r="D1192" s="1"/>
      <c r="F1192" s="1"/>
    </row>
    <row r="1193" spans="4:6" x14ac:dyDescent="0.25">
      <c r="D1193" s="1"/>
      <c r="F1193" s="1"/>
    </row>
    <row r="1194" spans="4:6" x14ac:dyDescent="0.25">
      <c r="D1194" s="1"/>
      <c r="F1194" s="1"/>
    </row>
    <row r="1195" spans="4:6" x14ac:dyDescent="0.25">
      <c r="D1195" s="1"/>
      <c r="F1195" s="1"/>
    </row>
    <row r="1196" spans="4:6" x14ac:dyDescent="0.25">
      <c r="D1196" s="1"/>
      <c r="F1196" s="1"/>
    </row>
    <row r="1197" spans="4:6" x14ac:dyDescent="0.25">
      <c r="D1197" s="1"/>
      <c r="F1197" s="1"/>
    </row>
    <row r="1198" spans="4:6" x14ac:dyDescent="0.25">
      <c r="D1198" s="1"/>
      <c r="F1198" s="1"/>
    </row>
    <row r="1199" spans="4:6" x14ac:dyDescent="0.25">
      <c r="D1199" s="1"/>
      <c r="F1199" s="1"/>
    </row>
    <row r="1200" spans="4:6" x14ac:dyDescent="0.25">
      <c r="D1200" s="1"/>
      <c r="F1200" s="1"/>
    </row>
    <row r="1201" spans="4:6" x14ac:dyDescent="0.25">
      <c r="D1201" s="1"/>
      <c r="F1201" s="1"/>
    </row>
    <row r="1202" spans="4:6" x14ac:dyDescent="0.25">
      <c r="D1202" s="1"/>
      <c r="F1202" s="1"/>
    </row>
    <row r="1203" spans="4:6" x14ac:dyDescent="0.25">
      <c r="D1203" s="1"/>
      <c r="F1203" s="1"/>
    </row>
    <row r="1204" spans="4:6" x14ac:dyDescent="0.25">
      <c r="D1204" s="1"/>
      <c r="F1204" s="1"/>
    </row>
    <row r="1205" spans="4:6" x14ac:dyDescent="0.25">
      <c r="D1205" s="1"/>
      <c r="F1205" s="1"/>
    </row>
    <row r="1206" spans="4:6" x14ac:dyDescent="0.25">
      <c r="D1206" s="1"/>
      <c r="F1206" s="1"/>
    </row>
    <row r="1207" spans="4:6" x14ac:dyDescent="0.25">
      <c r="D1207" s="1"/>
      <c r="F1207" s="1"/>
    </row>
    <row r="1208" spans="4:6" x14ac:dyDescent="0.25">
      <c r="D1208" s="1"/>
      <c r="F1208" s="1"/>
    </row>
    <row r="1209" spans="4:6" x14ac:dyDescent="0.25">
      <c r="D1209" s="1"/>
      <c r="F1209" s="1"/>
    </row>
    <row r="1210" spans="4:6" x14ac:dyDescent="0.25">
      <c r="D1210" s="1"/>
      <c r="F1210" s="1"/>
    </row>
    <row r="1211" spans="4:6" x14ac:dyDescent="0.25">
      <c r="D1211" s="1"/>
      <c r="F1211" s="1"/>
    </row>
    <row r="1212" spans="4:6" x14ac:dyDescent="0.25">
      <c r="D1212" s="1"/>
      <c r="F1212" s="1"/>
    </row>
    <row r="1213" spans="4:6" x14ac:dyDescent="0.25">
      <c r="D1213" s="1"/>
      <c r="F1213" s="1"/>
    </row>
    <row r="1214" spans="4:6" x14ac:dyDescent="0.25">
      <c r="D1214" s="1"/>
      <c r="F1214" s="1"/>
    </row>
    <row r="1215" spans="4:6" x14ac:dyDescent="0.25">
      <c r="D1215" s="1"/>
      <c r="F1215" s="1"/>
    </row>
    <row r="1216" spans="4:6" x14ac:dyDescent="0.25">
      <c r="D1216" s="1"/>
      <c r="F1216" s="1"/>
    </row>
    <row r="1217" spans="4:6" x14ac:dyDescent="0.25">
      <c r="D1217" s="1"/>
      <c r="F1217" s="1"/>
    </row>
    <row r="1218" spans="4:6" x14ac:dyDescent="0.25">
      <c r="D1218" s="1"/>
      <c r="F1218" s="1"/>
    </row>
    <row r="1219" spans="4:6" x14ac:dyDescent="0.25">
      <c r="D1219" s="1"/>
      <c r="F1219" s="1"/>
    </row>
    <row r="1220" spans="4:6" x14ac:dyDescent="0.25">
      <c r="D1220" s="1"/>
      <c r="F1220" s="1"/>
    </row>
    <row r="1221" spans="4:6" x14ac:dyDescent="0.25">
      <c r="D1221" s="1"/>
      <c r="F1221" s="1"/>
    </row>
    <row r="1222" spans="4:6" x14ac:dyDescent="0.25">
      <c r="D1222" s="1"/>
      <c r="F1222" s="1"/>
    </row>
    <row r="1223" spans="4:6" x14ac:dyDescent="0.25">
      <c r="D1223" s="1"/>
      <c r="F1223" s="1"/>
    </row>
    <row r="1224" spans="4:6" x14ac:dyDescent="0.25">
      <c r="D1224" s="1"/>
      <c r="F1224" s="1"/>
    </row>
    <row r="1225" spans="4:6" x14ac:dyDescent="0.25">
      <c r="D1225" s="1"/>
      <c r="F1225" s="1"/>
    </row>
    <row r="1226" spans="4:6" x14ac:dyDescent="0.25">
      <c r="D1226" s="1"/>
      <c r="F1226" s="1"/>
    </row>
    <row r="1227" spans="4:6" x14ac:dyDescent="0.25">
      <c r="D1227" s="1"/>
      <c r="F1227" s="1"/>
    </row>
    <row r="1228" spans="4:6" x14ac:dyDescent="0.25">
      <c r="D1228" s="1"/>
      <c r="F1228" s="1"/>
    </row>
    <row r="1229" spans="4:6" x14ac:dyDescent="0.25">
      <c r="D1229" s="1"/>
      <c r="F1229" s="1"/>
    </row>
    <row r="1230" spans="4:6" x14ac:dyDescent="0.25">
      <c r="D1230" s="1"/>
      <c r="F1230" s="1"/>
    </row>
    <row r="1231" spans="4:6" x14ac:dyDescent="0.25">
      <c r="D1231" s="1"/>
      <c r="F1231" s="1"/>
    </row>
    <row r="1232" spans="4:6" x14ac:dyDescent="0.25">
      <c r="D1232" s="1"/>
      <c r="F1232" s="1"/>
    </row>
    <row r="1233" spans="4:6" x14ac:dyDescent="0.25">
      <c r="D1233" s="1"/>
      <c r="F1233" s="1"/>
    </row>
    <row r="1234" spans="4:6" x14ac:dyDescent="0.25">
      <c r="D1234" s="1"/>
      <c r="F1234" s="1"/>
    </row>
    <row r="1235" spans="4:6" x14ac:dyDescent="0.25">
      <c r="D1235" s="1"/>
      <c r="F1235" s="1"/>
    </row>
    <row r="1236" spans="4:6" x14ac:dyDescent="0.25">
      <c r="D1236" s="1"/>
      <c r="F1236" s="1"/>
    </row>
    <row r="1237" spans="4:6" x14ac:dyDescent="0.25">
      <c r="D1237" s="1"/>
      <c r="F1237" s="1"/>
    </row>
    <row r="1238" spans="4:6" x14ac:dyDescent="0.25">
      <c r="D1238" s="1"/>
      <c r="F1238" s="1"/>
    </row>
    <row r="1239" spans="4:6" x14ac:dyDescent="0.25">
      <c r="D1239" s="1"/>
      <c r="F1239" s="1"/>
    </row>
    <row r="1240" spans="4:6" x14ac:dyDescent="0.25">
      <c r="D1240" s="1"/>
      <c r="F1240" s="1"/>
    </row>
    <row r="1241" spans="4:6" x14ac:dyDescent="0.25">
      <c r="D1241" s="1"/>
      <c r="F1241" s="1"/>
    </row>
    <row r="1242" spans="4:6" x14ac:dyDescent="0.25">
      <c r="D1242" s="1"/>
      <c r="F1242" s="1"/>
    </row>
    <row r="1243" spans="4:6" x14ac:dyDescent="0.25">
      <c r="D1243" s="1"/>
      <c r="F1243" s="1"/>
    </row>
    <row r="1244" spans="4:6" x14ac:dyDescent="0.25">
      <c r="D1244" s="1"/>
      <c r="F1244" s="1"/>
    </row>
    <row r="1245" spans="4:6" x14ac:dyDescent="0.25">
      <c r="D1245" s="1"/>
      <c r="F1245" s="1"/>
    </row>
    <row r="1246" spans="4:6" x14ac:dyDescent="0.25">
      <c r="D1246" s="1"/>
      <c r="F1246" s="1"/>
    </row>
    <row r="1247" spans="4:6" x14ac:dyDescent="0.25">
      <c r="D1247" s="1"/>
      <c r="F1247" s="1"/>
    </row>
    <row r="1248" spans="4:6" x14ac:dyDescent="0.25">
      <c r="D1248" s="1"/>
      <c r="F1248" s="1"/>
    </row>
    <row r="1249" spans="4:6" x14ac:dyDescent="0.25">
      <c r="D1249" s="1"/>
      <c r="F1249" s="1"/>
    </row>
    <row r="1250" spans="4:6" x14ac:dyDescent="0.25">
      <c r="D1250" s="1"/>
      <c r="F1250" s="1"/>
    </row>
    <row r="1251" spans="4:6" x14ac:dyDescent="0.25">
      <c r="D1251" s="1"/>
      <c r="F1251" s="1"/>
    </row>
    <row r="1252" spans="4:6" x14ac:dyDescent="0.25">
      <c r="D1252" s="1"/>
      <c r="F1252" s="1"/>
    </row>
    <row r="1253" spans="4:6" x14ac:dyDescent="0.25">
      <c r="D1253" s="1"/>
      <c r="F1253" s="1"/>
    </row>
    <row r="1254" spans="4:6" x14ac:dyDescent="0.25">
      <c r="D1254" s="1"/>
      <c r="F1254" s="1"/>
    </row>
    <row r="1255" spans="4:6" x14ac:dyDescent="0.25">
      <c r="D1255" s="1"/>
      <c r="F1255" s="1"/>
    </row>
    <row r="1256" spans="4:6" x14ac:dyDescent="0.25">
      <c r="D1256" s="1"/>
      <c r="F1256" s="1"/>
    </row>
    <row r="1257" spans="4:6" x14ac:dyDescent="0.25">
      <c r="D1257" s="1"/>
      <c r="F1257" s="1"/>
    </row>
    <row r="1258" spans="4:6" x14ac:dyDescent="0.25">
      <c r="D1258" s="1"/>
      <c r="F1258" s="1"/>
    </row>
    <row r="1259" spans="4:6" x14ac:dyDescent="0.25">
      <c r="D1259" s="1"/>
      <c r="F1259" s="1"/>
    </row>
    <row r="1260" spans="4:6" x14ac:dyDescent="0.25">
      <c r="D1260" s="1"/>
      <c r="F1260" s="1"/>
    </row>
    <row r="1261" spans="4:6" x14ac:dyDescent="0.25">
      <c r="D1261" s="1"/>
      <c r="F1261" s="1"/>
    </row>
    <row r="1262" spans="4:6" x14ac:dyDescent="0.25">
      <c r="D1262" s="1"/>
      <c r="F1262" s="1"/>
    </row>
    <row r="1263" spans="4:6" x14ac:dyDescent="0.25">
      <c r="D1263" s="1"/>
      <c r="F1263" s="1"/>
    </row>
    <row r="1264" spans="4:6" x14ac:dyDescent="0.25">
      <c r="D1264" s="1"/>
      <c r="F1264" s="1"/>
    </row>
    <row r="1265" spans="4:6" x14ac:dyDescent="0.25">
      <c r="D1265" s="1"/>
      <c r="F1265" s="1"/>
    </row>
    <row r="1266" spans="4:6" x14ac:dyDescent="0.25">
      <c r="D1266" s="1"/>
      <c r="F1266" s="1"/>
    </row>
    <row r="1267" spans="4:6" x14ac:dyDescent="0.25">
      <c r="D1267" s="1"/>
      <c r="F1267" s="1"/>
    </row>
    <row r="1268" spans="4:6" x14ac:dyDescent="0.25">
      <c r="D1268" s="1"/>
      <c r="F1268" s="1"/>
    </row>
    <row r="1269" spans="4:6" x14ac:dyDescent="0.25">
      <c r="D1269" s="1"/>
      <c r="F1269" s="1"/>
    </row>
    <row r="1270" spans="4:6" x14ac:dyDescent="0.25">
      <c r="D1270" s="1"/>
      <c r="F1270" s="1"/>
    </row>
    <row r="1271" spans="4:6" x14ac:dyDescent="0.25">
      <c r="D1271" s="1"/>
      <c r="F1271" s="1"/>
    </row>
    <row r="1272" spans="4:6" x14ac:dyDescent="0.25">
      <c r="D1272" s="1"/>
      <c r="F1272" s="1"/>
    </row>
    <row r="1273" spans="4:6" x14ac:dyDescent="0.25">
      <c r="D1273" s="1"/>
      <c r="F1273" s="1"/>
    </row>
    <row r="1274" spans="4:6" x14ac:dyDescent="0.25">
      <c r="D1274" s="1"/>
      <c r="F1274" s="1"/>
    </row>
    <row r="1275" spans="4:6" x14ac:dyDescent="0.25">
      <c r="D1275" s="1"/>
      <c r="F1275" s="1"/>
    </row>
    <row r="1276" spans="4:6" x14ac:dyDescent="0.25">
      <c r="D1276" s="1"/>
      <c r="F1276" s="1"/>
    </row>
    <row r="1277" spans="4:6" x14ac:dyDescent="0.25">
      <c r="D1277" s="1"/>
      <c r="F1277" s="1"/>
    </row>
    <row r="1278" spans="4:6" x14ac:dyDescent="0.25">
      <c r="D1278" s="1"/>
      <c r="F1278" s="1"/>
    </row>
    <row r="1279" spans="4:6" x14ac:dyDescent="0.25">
      <c r="D1279" s="1"/>
      <c r="F1279" s="1"/>
    </row>
    <row r="1280" spans="4:6" x14ac:dyDescent="0.25">
      <c r="D1280" s="1"/>
      <c r="F1280" s="1"/>
    </row>
    <row r="1281" spans="4:6" x14ac:dyDescent="0.25">
      <c r="D1281" s="1"/>
      <c r="F1281" s="1"/>
    </row>
    <row r="1282" spans="4:6" x14ac:dyDescent="0.25">
      <c r="D1282" s="1"/>
      <c r="F1282" s="1"/>
    </row>
    <row r="1283" spans="4:6" x14ac:dyDescent="0.25">
      <c r="D1283" s="1"/>
      <c r="F1283" s="1"/>
    </row>
    <row r="1284" spans="4:6" x14ac:dyDescent="0.25">
      <c r="D1284" s="1"/>
      <c r="F1284" s="1"/>
    </row>
    <row r="1285" spans="4:6" x14ac:dyDescent="0.25">
      <c r="D1285" s="1"/>
      <c r="F1285" s="1"/>
    </row>
    <row r="1286" spans="4:6" x14ac:dyDescent="0.25">
      <c r="D1286" s="1"/>
      <c r="F1286" s="1"/>
    </row>
    <row r="1287" spans="4:6" x14ac:dyDescent="0.25">
      <c r="D1287" s="1"/>
      <c r="F1287" s="1"/>
    </row>
    <row r="1288" spans="4:6" x14ac:dyDescent="0.25">
      <c r="D1288" s="1"/>
      <c r="F1288" s="1"/>
    </row>
    <row r="1289" spans="4:6" x14ac:dyDescent="0.25">
      <c r="D1289" s="1"/>
      <c r="F1289" s="1"/>
    </row>
    <row r="1290" spans="4:6" x14ac:dyDescent="0.25">
      <c r="D1290" s="1"/>
      <c r="F1290" s="1"/>
    </row>
    <row r="1291" spans="4:6" x14ac:dyDescent="0.25">
      <c r="D1291" s="1"/>
      <c r="F1291" s="1"/>
    </row>
    <row r="1292" spans="4:6" x14ac:dyDescent="0.25">
      <c r="D1292" s="1"/>
      <c r="F1292" s="1"/>
    </row>
    <row r="1293" spans="4:6" x14ac:dyDescent="0.25">
      <c r="D1293" s="1"/>
      <c r="F1293" s="1"/>
    </row>
    <row r="1294" spans="4:6" x14ac:dyDescent="0.25">
      <c r="D1294" s="1"/>
      <c r="F1294" s="1"/>
    </row>
    <row r="1295" spans="4:6" x14ac:dyDescent="0.25">
      <c r="D1295" s="1"/>
      <c r="F1295" s="1"/>
    </row>
    <row r="1296" spans="4:6" x14ac:dyDescent="0.25">
      <c r="D1296" s="1"/>
      <c r="F1296" s="1"/>
    </row>
    <row r="1297" spans="4:6" x14ac:dyDescent="0.25">
      <c r="D1297" s="1"/>
      <c r="F1297" s="1"/>
    </row>
    <row r="1298" spans="4:6" x14ac:dyDescent="0.25">
      <c r="D1298" s="1"/>
      <c r="F1298" s="1"/>
    </row>
    <row r="1299" spans="4:6" x14ac:dyDescent="0.25">
      <c r="D1299" s="1"/>
      <c r="F1299" s="1"/>
    </row>
    <row r="1300" spans="4:6" x14ac:dyDescent="0.25">
      <c r="D1300" s="1"/>
      <c r="F1300" s="1"/>
    </row>
    <row r="1301" spans="4:6" x14ac:dyDescent="0.25">
      <c r="D1301" s="1"/>
      <c r="F1301" s="1"/>
    </row>
    <row r="1302" spans="4:6" x14ac:dyDescent="0.25">
      <c r="D1302" s="1"/>
      <c r="F1302" s="1"/>
    </row>
    <row r="1303" spans="4:6" x14ac:dyDescent="0.25">
      <c r="D1303" s="1"/>
      <c r="F1303" s="1"/>
    </row>
    <row r="1304" spans="4:6" x14ac:dyDescent="0.25">
      <c r="D1304" s="1"/>
      <c r="F1304" s="1"/>
    </row>
    <row r="1305" spans="4:6" x14ac:dyDescent="0.25">
      <c r="D1305" s="1"/>
      <c r="F1305" s="1"/>
    </row>
    <row r="1306" spans="4:6" x14ac:dyDescent="0.25">
      <c r="D1306" s="1"/>
      <c r="F1306" s="1"/>
    </row>
    <row r="1307" spans="4:6" x14ac:dyDescent="0.25">
      <c r="D1307" s="1"/>
      <c r="F1307" s="1"/>
    </row>
    <row r="1308" spans="4:6" x14ac:dyDescent="0.25">
      <c r="D1308" s="1"/>
      <c r="F1308" s="1"/>
    </row>
    <row r="1309" spans="4:6" x14ac:dyDescent="0.25">
      <c r="D1309" s="1"/>
      <c r="F1309" s="1"/>
    </row>
    <row r="1310" spans="4:6" x14ac:dyDescent="0.25">
      <c r="D1310" s="1"/>
      <c r="F1310" s="1"/>
    </row>
    <row r="1311" spans="4:6" x14ac:dyDescent="0.25">
      <c r="D1311" s="1"/>
      <c r="F1311" s="1"/>
    </row>
    <row r="1312" spans="4:6" x14ac:dyDescent="0.25">
      <c r="D1312" s="1"/>
      <c r="F1312" s="1"/>
    </row>
    <row r="1313" spans="4:6" x14ac:dyDescent="0.25">
      <c r="D1313" s="1"/>
      <c r="F1313" s="1"/>
    </row>
    <row r="1314" spans="4:6" x14ac:dyDescent="0.25">
      <c r="D1314" s="1"/>
      <c r="F1314" s="1"/>
    </row>
    <row r="1315" spans="4:6" x14ac:dyDescent="0.25">
      <c r="D1315" s="1"/>
      <c r="F1315" s="1"/>
    </row>
    <row r="1316" spans="4:6" x14ac:dyDescent="0.25">
      <c r="D1316" s="1"/>
      <c r="F1316" s="1"/>
    </row>
    <row r="1317" spans="4:6" x14ac:dyDescent="0.25">
      <c r="D1317" s="1"/>
      <c r="F1317" s="1"/>
    </row>
    <row r="1318" spans="4:6" x14ac:dyDescent="0.25">
      <c r="D1318" s="1"/>
      <c r="F1318" s="1"/>
    </row>
    <row r="1319" spans="4:6" x14ac:dyDescent="0.25">
      <c r="D1319" s="1"/>
      <c r="F1319" s="1"/>
    </row>
    <row r="1320" spans="4:6" x14ac:dyDescent="0.25">
      <c r="D1320" s="1"/>
      <c r="F1320" s="1"/>
    </row>
    <row r="1321" spans="4:6" x14ac:dyDescent="0.25">
      <c r="D1321" s="1"/>
      <c r="F1321" s="1"/>
    </row>
    <row r="1322" spans="4:6" x14ac:dyDescent="0.25">
      <c r="D1322" s="1"/>
      <c r="F1322" s="1"/>
    </row>
    <row r="1323" spans="4:6" x14ac:dyDescent="0.25">
      <c r="D1323" s="1"/>
      <c r="F1323" s="1"/>
    </row>
    <row r="1324" spans="4:6" x14ac:dyDescent="0.25">
      <c r="D1324" s="1"/>
      <c r="F1324" s="1"/>
    </row>
    <row r="1325" spans="4:6" x14ac:dyDescent="0.25">
      <c r="D1325" s="1"/>
      <c r="F1325" s="1"/>
    </row>
    <row r="1326" spans="4:6" x14ac:dyDescent="0.25">
      <c r="D1326" s="1"/>
      <c r="F1326" s="1"/>
    </row>
    <row r="1327" spans="4:6" x14ac:dyDescent="0.25">
      <c r="D1327" s="1"/>
      <c r="F1327" s="1"/>
    </row>
    <row r="1328" spans="4:6" x14ac:dyDescent="0.25">
      <c r="D1328" s="1"/>
      <c r="F1328" s="1"/>
    </row>
    <row r="1329" spans="4:6" x14ac:dyDescent="0.25">
      <c r="D1329" s="1"/>
      <c r="F1329" s="1"/>
    </row>
    <row r="1330" spans="4:6" x14ac:dyDescent="0.25">
      <c r="D1330" s="1"/>
      <c r="F1330" s="1"/>
    </row>
    <row r="1331" spans="4:6" x14ac:dyDescent="0.25">
      <c r="D1331" s="1"/>
      <c r="F1331" s="1"/>
    </row>
    <row r="1332" spans="4:6" x14ac:dyDescent="0.25">
      <c r="D1332" s="1"/>
      <c r="F1332" s="1"/>
    </row>
    <row r="1333" spans="4:6" x14ac:dyDescent="0.25">
      <c r="D1333" s="1"/>
      <c r="F1333" s="1"/>
    </row>
    <row r="1334" spans="4:6" x14ac:dyDescent="0.25">
      <c r="D1334" s="1"/>
      <c r="F1334" s="1"/>
    </row>
    <row r="1335" spans="4:6" x14ac:dyDescent="0.25">
      <c r="D1335" s="1"/>
      <c r="F1335" s="1"/>
    </row>
    <row r="1336" spans="4:6" x14ac:dyDescent="0.25">
      <c r="D1336" s="1"/>
      <c r="F1336" s="1"/>
    </row>
    <row r="1337" spans="4:6" x14ac:dyDescent="0.25">
      <c r="D1337" s="1"/>
      <c r="F1337" s="1"/>
    </row>
    <row r="1338" spans="4:6" x14ac:dyDescent="0.25">
      <c r="D1338" s="1"/>
      <c r="F1338" s="1"/>
    </row>
    <row r="1339" spans="4:6" x14ac:dyDescent="0.25">
      <c r="D1339" s="1"/>
      <c r="F1339" s="1"/>
    </row>
    <row r="1340" spans="4:6" x14ac:dyDescent="0.25">
      <c r="D1340" s="1"/>
      <c r="F1340" s="1"/>
    </row>
    <row r="1341" spans="4:6" x14ac:dyDescent="0.25">
      <c r="D1341" s="1"/>
      <c r="F1341" s="1"/>
    </row>
    <row r="1342" spans="4:6" x14ac:dyDescent="0.25">
      <c r="D1342" s="1"/>
      <c r="F1342" s="1"/>
    </row>
    <row r="1343" spans="4:6" x14ac:dyDescent="0.25">
      <c r="D1343" s="1"/>
      <c r="F1343" s="1"/>
    </row>
    <row r="1344" spans="4:6" x14ac:dyDescent="0.25">
      <c r="D1344" s="1"/>
      <c r="F1344" s="1"/>
    </row>
    <row r="1345" spans="4:6" x14ac:dyDescent="0.25">
      <c r="D1345" s="1"/>
      <c r="F1345" s="1"/>
    </row>
    <row r="1346" spans="4:6" x14ac:dyDescent="0.25">
      <c r="D1346" s="1"/>
      <c r="F1346" s="1"/>
    </row>
    <row r="1347" spans="4:6" x14ac:dyDescent="0.25">
      <c r="D1347" s="1"/>
      <c r="F1347" s="1"/>
    </row>
    <row r="1348" spans="4:6" x14ac:dyDescent="0.25">
      <c r="D1348" s="1"/>
      <c r="F1348" s="1"/>
    </row>
    <row r="1349" spans="4:6" x14ac:dyDescent="0.25">
      <c r="D1349" s="1"/>
      <c r="F1349" s="1"/>
    </row>
    <row r="1350" spans="4:6" x14ac:dyDescent="0.25">
      <c r="D1350" s="1"/>
      <c r="F1350" s="1"/>
    </row>
    <row r="1351" spans="4:6" x14ac:dyDescent="0.25">
      <c r="D1351" s="1"/>
      <c r="F1351" s="1"/>
    </row>
    <row r="1352" spans="4:6" x14ac:dyDescent="0.25">
      <c r="D1352" s="1"/>
      <c r="F1352" s="1"/>
    </row>
    <row r="1353" spans="4:6" x14ac:dyDescent="0.25">
      <c r="D1353" s="1"/>
      <c r="F1353" s="1"/>
    </row>
    <row r="1354" spans="4:6" x14ac:dyDescent="0.25">
      <c r="D1354" s="1"/>
      <c r="F1354" s="1"/>
    </row>
    <row r="1355" spans="4:6" x14ac:dyDescent="0.25">
      <c r="D1355" s="1"/>
      <c r="F1355" s="1"/>
    </row>
    <row r="1356" spans="4:6" x14ac:dyDescent="0.25">
      <c r="D1356" s="1"/>
      <c r="F1356" s="1"/>
    </row>
    <row r="1357" spans="4:6" x14ac:dyDescent="0.25">
      <c r="D1357" s="1"/>
      <c r="F1357" s="1"/>
    </row>
    <row r="1358" spans="4:6" x14ac:dyDescent="0.25">
      <c r="D1358" s="1"/>
      <c r="F1358" s="1"/>
    </row>
    <row r="1359" spans="4:6" x14ac:dyDescent="0.25">
      <c r="D1359" s="1"/>
      <c r="F1359" s="1"/>
    </row>
    <row r="1360" spans="4:6" x14ac:dyDescent="0.25">
      <c r="D1360" s="1"/>
      <c r="F1360" s="1"/>
    </row>
    <row r="1361" spans="4:6" x14ac:dyDescent="0.25">
      <c r="D1361" s="1"/>
      <c r="F1361" s="1"/>
    </row>
    <row r="1362" spans="4:6" x14ac:dyDescent="0.25">
      <c r="D1362" s="1"/>
      <c r="F1362" s="1"/>
    </row>
    <row r="1363" spans="4:6" x14ac:dyDescent="0.25">
      <c r="D1363" s="1"/>
      <c r="F1363" s="1"/>
    </row>
    <row r="1364" spans="4:6" x14ac:dyDescent="0.25">
      <c r="D1364" s="1"/>
      <c r="F1364" s="1"/>
    </row>
    <row r="1365" spans="4:6" x14ac:dyDescent="0.25">
      <c r="D1365" s="1"/>
      <c r="F1365" s="1"/>
    </row>
    <row r="1366" spans="4:6" x14ac:dyDescent="0.25">
      <c r="D1366" s="1"/>
      <c r="F1366" s="1"/>
    </row>
    <row r="1367" spans="4:6" x14ac:dyDescent="0.25">
      <c r="D1367" s="1"/>
      <c r="F1367" s="1"/>
    </row>
    <row r="1368" spans="4:6" x14ac:dyDescent="0.25">
      <c r="D1368" s="1"/>
      <c r="F1368" s="1"/>
    </row>
    <row r="1369" spans="4:6" x14ac:dyDescent="0.25">
      <c r="D1369" s="1"/>
      <c r="F1369" s="1"/>
    </row>
    <row r="1370" spans="4:6" x14ac:dyDescent="0.25">
      <c r="D1370" s="1"/>
      <c r="F1370" s="1"/>
    </row>
    <row r="1371" spans="4:6" x14ac:dyDescent="0.25">
      <c r="D1371" s="1"/>
      <c r="F1371" s="1"/>
    </row>
    <row r="1372" spans="4:6" x14ac:dyDescent="0.25">
      <c r="D1372" s="1"/>
      <c r="F1372" s="1"/>
    </row>
    <row r="1373" spans="4:6" x14ac:dyDescent="0.25">
      <c r="D1373" s="1"/>
      <c r="F1373" s="1"/>
    </row>
    <row r="1374" spans="4:6" x14ac:dyDescent="0.25">
      <c r="D1374" s="1"/>
      <c r="F1374" s="1"/>
    </row>
    <row r="1375" spans="4:6" x14ac:dyDescent="0.25">
      <c r="D1375" s="1"/>
      <c r="F1375" s="1"/>
    </row>
    <row r="1376" spans="4:6" x14ac:dyDescent="0.25">
      <c r="D1376" s="1"/>
      <c r="F1376" s="1"/>
    </row>
    <row r="1377" spans="4:6" x14ac:dyDescent="0.25">
      <c r="D1377" s="1"/>
      <c r="F1377" s="1"/>
    </row>
    <row r="1378" spans="4:6" x14ac:dyDescent="0.25">
      <c r="D1378" s="1"/>
      <c r="F1378" s="1"/>
    </row>
    <row r="1379" spans="4:6" x14ac:dyDescent="0.25">
      <c r="D1379" s="1"/>
      <c r="F1379" s="1"/>
    </row>
    <row r="1380" spans="4:6" x14ac:dyDescent="0.25">
      <c r="D1380" s="1"/>
      <c r="F1380" s="1"/>
    </row>
    <row r="1381" spans="4:6" x14ac:dyDescent="0.25">
      <c r="D1381" s="1"/>
      <c r="F1381" s="1"/>
    </row>
    <row r="1382" spans="4:6" x14ac:dyDescent="0.25">
      <c r="D1382" s="1"/>
      <c r="F1382" s="1"/>
    </row>
    <row r="1383" spans="4:6" x14ac:dyDescent="0.25">
      <c r="D1383" s="1"/>
      <c r="F1383" s="1"/>
    </row>
    <row r="1384" spans="4:6" x14ac:dyDescent="0.25">
      <c r="D1384" s="1"/>
      <c r="F1384" s="1"/>
    </row>
    <row r="1385" spans="4:6" x14ac:dyDescent="0.25">
      <c r="D1385" s="1"/>
      <c r="F1385" s="1"/>
    </row>
    <row r="1386" spans="4:6" x14ac:dyDescent="0.25">
      <c r="D1386" s="1"/>
      <c r="F1386" s="1"/>
    </row>
    <row r="1387" spans="4:6" x14ac:dyDescent="0.25">
      <c r="D1387" s="1"/>
      <c r="F1387" s="1"/>
    </row>
    <row r="1388" spans="4:6" x14ac:dyDescent="0.25">
      <c r="D1388" s="1"/>
      <c r="F1388" s="1"/>
    </row>
    <row r="1389" spans="4:6" x14ac:dyDescent="0.25">
      <c r="D1389" s="1"/>
      <c r="F1389" s="1"/>
    </row>
    <row r="1390" spans="4:6" x14ac:dyDescent="0.25">
      <c r="D1390" s="1"/>
      <c r="F1390" s="1"/>
    </row>
    <row r="1391" spans="4:6" x14ac:dyDescent="0.25">
      <c r="D1391" s="1"/>
      <c r="F1391" s="1"/>
    </row>
    <row r="1392" spans="4:6" x14ac:dyDescent="0.25">
      <c r="D1392" s="1"/>
      <c r="F1392" s="1"/>
    </row>
    <row r="1393" spans="4:6" x14ac:dyDescent="0.25">
      <c r="D1393" s="1"/>
      <c r="F1393" s="1"/>
    </row>
    <row r="1394" spans="4:6" x14ac:dyDescent="0.25">
      <c r="D1394" s="1"/>
      <c r="F1394" s="1"/>
    </row>
    <row r="1395" spans="4:6" x14ac:dyDescent="0.25">
      <c r="D1395" s="1"/>
      <c r="F1395" s="1"/>
    </row>
    <row r="1396" spans="4:6" x14ac:dyDescent="0.25">
      <c r="D1396" s="1"/>
      <c r="F1396" s="1"/>
    </row>
    <row r="1397" spans="4:6" x14ac:dyDescent="0.25">
      <c r="D1397" s="1"/>
      <c r="F1397" s="1"/>
    </row>
    <row r="1398" spans="4:6" x14ac:dyDescent="0.25">
      <c r="D1398" s="1"/>
      <c r="F1398" s="1"/>
    </row>
    <row r="1399" spans="4:6" x14ac:dyDescent="0.25">
      <c r="D1399" s="1"/>
      <c r="F1399" s="1"/>
    </row>
    <row r="1400" spans="4:6" x14ac:dyDescent="0.25">
      <c r="D1400" s="1"/>
      <c r="F1400" s="1"/>
    </row>
    <row r="1401" spans="4:6" x14ac:dyDescent="0.25">
      <c r="D1401" s="1"/>
      <c r="F1401" s="1"/>
    </row>
    <row r="1402" spans="4:6" x14ac:dyDescent="0.25">
      <c r="D1402" s="1"/>
      <c r="F1402" s="1"/>
    </row>
    <row r="1403" spans="4:6" x14ac:dyDescent="0.25">
      <c r="D1403" s="1"/>
      <c r="F1403" s="1"/>
    </row>
    <row r="1404" spans="4:6" x14ac:dyDescent="0.25">
      <c r="D1404" s="1"/>
      <c r="F1404" s="1"/>
    </row>
    <row r="1405" spans="4:6" x14ac:dyDescent="0.25">
      <c r="D1405" s="1"/>
      <c r="F1405" s="1"/>
    </row>
    <row r="1406" spans="4:6" x14ac:dyDescent="0.25">
      <c r="D1406" s="1"/>
      <c r="F1406" s="1"/>
    </row>
    <row r="1407" spans="4:6" x14ac:dyDescent="0.25">
      <c r="D1407" s="1"/>
      <c r="F1407" s="1"/>
    </row>
    <row r="1408" spans="4:6" x14ac:dyDescent="0.25">
      <c r="D1408" s="1"/>
      <c r="F1408" s="1"/>
    </row>
    <row r="1409" spans="4:6" x14ac:dyDescent="0.25">
      <c r="D1409" s="1"/>
      <c r="F1409" s="1"/>
    </row>
    <row r="1410" spans="4:6" x14ac:dyDescent="0.25">
      <c r="D1410" s="1"/>
      <c r="F1410" s="1"/>
    </row>
    <row r="1411" spans="4:6" x14ac:dyDescent="0.25">
      <c r="D1411" s="1"/>
      <c r="F1411" s="1"/>
    </row>
    <row r="1412" spans="4:6" x14ac:dyDescent="0.25">
      <c r="D1412" s="1"/>
      <c r="F1412" s="1"/>
    </row>
    <row r="1413" spans="4:6" x14ac:dyDescent="0.25">
      <c r="D1413" s="1"/>
      <c r="F1413" s="1"/>
    </row>
    <row r="1414" spans="4:6" x14ac:dyDescent="0.25">
      <c r="D1414" s="1"/>
      <c r="F1414" s="1"/>
    </row>
    <row r="1415" spans="4:6" x14ac:dyDescent="0.25">
      <c r="D1415" s="1"/>
      <c r="F1415" s="1"/>
    </row>
    <row r="1416" spans="4:6" x14ac:dyDescent="0.25">
      <c r="D1416" s="1"/>
      <c r="F1416" s="1"/>
    </row>
    <row r="1417" spans="4:6" x14ac:dyDescent="0.25">
      <c r="D1417" s="1"/>
      <c r="F1417" s="1"/>
    </row>
    <row r="1418" spans="4:6" x14ac:dyDescent="0.25">
      <c r="D1418" s="1"/>
      <c r="F1418" s="1"/>
    </row>
    <row r="1419" spans="4:6" x14ac:dyDescent="0.25">
      <c r="D1419" s="1"/>
      <c r="F1419" s="1"/>
    </row>
    <row r="1420" spans="4:6" x14ac:dyDescent="0.25">
      <c r="D1420" s="1"/>
      <c r="F1420" s="1"/>
    </row>
    <row r="1421" spans="4:6" x14ac:dyDescent="0.25">
      <c r="D1421" s="1"/>
      <c r="F1421" s="1"/>
    </row>
    <row r="1422" spans="4:6" x14ac:dyDescent="0.25">
      <c r="D1422" s="1"/>
      <c r="F1422" s="1"/>
    </row>
    <row r="1423" spans="4:6" x14ac:dyDescent="0.25">
      <c r="D1423" s="1"/>
      <c r="F1423" s="1"/>
    </row>
    <row r="1424" spans="4:6" x14ac:dyDescent="0.25">
      <c r="D1424" s="1"/>
      <c r="F1424" s="1"/>
    </row>
    <row r="1425" spans="4:6" x14ac:dyDescent="0.25">
      <c r="D1425" s="1"/>
      <c r="F1425" s="1"/>
    </row>
    <row r="1426" spans="4:6" x14ac:dyDescent="0.25">
      <c r="D1426" s="1"/>
      <c r="F1426" s="1"/>
    </row>
    <row r="1427" spans="4:6" x14ac:dyDescent="0.25">
      <c r="D1427" s="1"/>
      <c r="F1427" s="1"/>
    </row>
    <row r="1428" spans="4:6" x14ac:dyDescent="0.25">
      <c r="D1428" s="1"/>
      <c r="F1428" s="1"/>
    </row>
    <row r="1429" spans="4:6" x14ac:dyDescent="0.25">
      <c r="D1429" s="1"/>
      <c r="F1429" s="1"/>
    </row>
    <row r="1430" spans="4:6" x14ac:dyDescent="0.25">
      <c r="D1430" s="1"/>
      <c r="F1430" s="1"/>
    </row>
    <row r="1431" spans="4:6" x14ac:dyDescent="0.25">
      <c r="D1431" s="1"/>
      <c r="F1431" s="1"/>
    </row>
    <row r="1432" spans="4:6" x14ac:dyDescent="0.25">
      <c r="D1432" s="1"/>
      <c r="F1432" s="1"/>
    </row>
    <row r="1433" spans="4:6" x14ac:dyDescent="0.25">
      <c r="D1433" s="1"/>
      <c r="F1433" s="1"/>
    </row>
    <row r="1434" spans="4:6" x14ac:dyDescent="0.25">
      <c r="D1434" s="1"/>
      <c r="F1434" s="1"/>
    </row>
    <row r="1435" spans="4:6" x14ac:dyDescent="0.25">
      <c r="D1435" s="1"/>
      <c r="F1435" s="1"/>
    </row>
    <row r="1436" spans="4:6" x14ac:dyDescent="0.25">
      <c r="D1436" s="1"/>
      <c r="F1436" s="1"/>
    </row>
    <row r="1437" spans="4:6" x14ac:dyDescent="0.25">
      <c r="D1437" s="1"/>
      <c r="F1437" s="1"/>
    </row>
    <row r="1438" spans="4:6" x14ac:dyDescent="0.25">
      <c r="D1438" s="1"/>
      <c r="F1438" s="1"/>
    </row>
    <row r="1439" spans="4:6" x14ac:dyDescent="0.25">
      <c r="D1439" s="1"/>
      <c r="F1439" s="1"/>
    </row>
    <row r="1440" spans="4:6" x14ac:dyDescent="0.25">
      <c r="D1440" s="1"/>
      <c r="F1440" s="1"/>
    </row>
    <row r="1441" spans="4:6" x14ac:dyDescent="0.25">
      <c r="D1441" s="1"/>
      <c r="F1441" s="1"/>
    </row>
    <row r="1442" spans="4:6" x14ac:dyDescent="0.25">
      <c r="D1442" s="1"/>
      <c r="F1442" s="1"/>
    </row>
    <row r="1443" spans="4:6" x14ac:dyDescent="0.25">
      <c r="D1443" s="1"/>
      <c r="F1443" s="1"/>
    </row>
    <row r="1444" spans="4:6" x14ac:dyDescent="0.25">
      <c r="D1444" s="1"/>
      <c r="F1444" s="1"/>
    </row>
    <row r="1445" spans="4:6" x14ac:dyDescent="0.25">
      <c r="D1445" s="1"/>
      <c r="F1445" s="1"/>
    </row>
    <row r="1446" spans="4:6" x14ac:dyDescent="0.25">
      <c r="D1446" s="1"/>
      <c r="F1446" s="1"/>
    </row>
    <row r="1447" spans="4:6" x14ac:dyDescent="0.25">
      <c r="D1447" s="1"/>
      <c r="F1447" s="1"/>
    </row>
    <row r="1448" spans="4:6" x14ac:dyDescent="0.25">
      <c r="D1448" s="1"/>
      <c r="F1448" s="1"/>
    </row>
    <row r="1449" spans="4:6" x14ac:dyDescent="0.25">
      <c r="D1449" s="1"/>
      <c r="F1449" s="1"/>
    </row>
    <row r="1450" spans="4:6" x14ac:dyDescent="0.25">
      <c r="D1450" s="1"/>
      <c r="F1450" s="1"/>
    </row>
    <row r="1451" spans="4:6" x14ac:dyDescent="0.25">
      <c r="D1451" s="1"/>
      <c r="F1451" s="1"/>
    </row>
    <row r="1452" spans="4:6" x14ac:dyDescent="0.25">
      <c r="D1452" s="1"/>
      <c r="F1452" s="1"/>
    </row>
    <row r="1453" spans="4:6" x14ac:dyDescent="0.25">
      <c r="D1453" s="1"/>
      <c r="F1453" s="1"/>
    </row>
    <row r="1454" spans="4:6" x14ac:dyDescent="0.25">
      <c r="D1454" s="1"/>
      <c r="F1454" s="1"/>
    </row>
    <row r="1455" spans="4:6" x14ac:dyDescent="0.25">
      <c r="D1455" s="1"/>
      <c r="F1455" s="1"/>
    </row>
    <row r="1456" spans="4:6" x14ac:dyDescent="0.25">
      <c r="D1456" s="1"/>
      <c r="F1456" s="1"/>
    </row>
    <row r="1457" spans="4:6" x14ac:dyDescent="0.25">
      <c r="D1457" s="1"/>
      <c r="F1457" s="1"/>
    </row>
    <row r="1458" spans="4:6" x14ac:dyDescent="0.25">
      <c r="D1458" s="1"/>
      <c r="F1458" s="1"/>
    </row>
    <row r="1459" spans="4:6" x14ac:dyDescent="0.25">
      <c r="D1459" s="1"/>
      <c r="F1459" s="1"/>
    </row>
    <row r="1460" spans="4:6" x14ac:dyDescent="0.25">
      <c r="D1460" s="1"/>
      <c r="F1460" s="1"/>
    </row>
    <row r="1461" spans="4:6" x14ac:dyDescent="0.25">
      <c r="D1461" s="1"/>
      <c r="F1461" s="1"/>
    </row>
    <row r="1462" spans="4:6" x14ac:dyDescent="0.25">
      <c r="D1462" s="1"/>
      <c r="F1462" s="1"/>
    </row>
    <row r="1463" spans="4:6" x14ac:dyDescent="0.25">
      <c r="D1463" s="1"/>
      <c r="F1463" s="1"/>
    </row>
    <row r="1464" spans="4:6" x14ac:dyDescent="0.25">
      <c r="D1464" s="1"/>
      <c r="F1464" s="1"/>
    </row>
    <row r="1465" spans="4:6" x14ac:dyDescent="0.25">
      <c r="D1465" s="1"/>
      <c r="F1465" s="1"/>
    </row>
    <row r="1466" spans="4:6" x14ac:dyDescent="0.25">
      <c r="D1466" s="1"/>
      <c r="F1466" s="1"/>
    </row>
    <row r="1467" spans="4:6" x14ac:dyDescent="0.25">
      <c r="D1467" s="1"/>
      <c r="F1467" s="1"/>
    </row>
    <row r="1468" spans="4:6" x14ac:dyDescent="0.25">
      <c r="D1468" s="1"/>
      <c r="F1468" s="1"/>
    </row>
    <row r="1469" spans="4:6" x14ac:dyDescent="0.25">
      <c r="D1469" s="1"/>
      <c r="F1469" s="1"/>
    </row>
    <row r="1470" spans="4:6" x14ac:dyDescent="0.25">
      <c r="D1470" s="1"/>
      <c r="F1470" s="1"/>
    </row>
    <row r="1471" spans="4:6" x14ac:dyDescent="0.25">
      <c r="D1471" s="1"/>
      <c r="F1471" s="1"/>
    </row>
    <row r="1472" spans="4:6" x14ac:dyDescent="0.25">
      <c r="D1472" s="1"/>
      <c r="F1472" s="1"/>
    </row>
    <row r="1473" spans="4:6" x14ac:dyDescent="0.25">
      <c r="D1473" s="1"/>
      <c r="F1473" s="1"/>
    </row>
    <row r="1474" spans="4:6" x14ac:dyDescent="0.25">
      <c r="D1474" s="1"/>
      <c r="F1474" s="1"/>
    </row>
    <row r="1475" spans="4:6" x14ac:dyDescent="0.25">
      <c r="D1475" s="1"/>
      <c r="F1475" s="1"/>
    </row>
    <row r="1476" spans="4:6" x14ac:dyDescent="0.25">
      <c r="D1476" s="1"/>
      <c r="F1476" s="1"/>
    </row>
    <row r="1477" spans="4:6" x14ac:dyDescent="0.25">
      <c r="D1477" s="1"/>
      <c r="F1477" s="1"/>
    </row>
    <row r="1478" spans="4:6" x14ac:dyDescent="0.25">
      <c r="D1478" s="1"/>
      <c r="F1478" s="1"/>
    </row>
    <row r="1479" spans="4:6" x14ac:dyDescent="0.25">
      <c r="D1479" s="1"/>
      <c r="F1479" s="1"/>
    </row>
    <row r="1480" spans="4:6" x14ac:dyDescent="0.25">
      <c r="D1480" s="1"/>
      <c r="F1480" s="1"/>
    </row>
    <row r="1481" spans="4:6" x14ac:dyDescent="0.25">
      <c r="D1481" s="1"/>
      <c r="F1481" s="1"/>
    </row>
    <row r="1482" spans="4:6" x14ac:dyDescent="0.25">
      <c r="D1482" s="1"/>
      <c r="F1482" s="1"/>
    </row>
    <row r="1483" spans="4:6" x14ac:dyDescent="0.25">
      <c r="D1483" s="1"/>
      <c r="F1483" s="1"/>
    </row>
    <row r="1484" spans="4:6" x14ac:dyDescent="0.25">
      <c r="D1484" s="1"/>
      <c r="F1484" s="1"/>
    </row>
    <row r="1485" spans="4:6" x14ac:dyDescent="0.25">
      <c r="D1485" s="1"/>
      <c r="F1485" s="1"/>
    </row>
    <row r="1486" spans="4:6" x14ac:dyDescent="0.25">
      <c r="D1486" s="1"/>
      <c r="F1486" s="1"/>
    </row>
    <row r="1487" spans="4:6" x14ac:dyDescent="0.25">
      <c r="D1487" s="1"/>
      <c r="F1487" s="1"/>
    </row>
    <row r="1488" spans="4:6" x14ac:dyDescent="0.25">
      <c r="D1488" s="1"/>
      <c r="F1488" s="1"/>
    </row>
    <row r="1489" spans="4:6" x14ac:dyDescent="0.25">
      <c r="D1489" s="1"/>
      <c r="F1489" s="1"/>
    </row>
    <row r="1490" spans="4:6" x14ac:dyDescent="0.25">
      <c r="D1490" s="1"/>
      <c r="F1490" s="1"/>
    </row>
    <row r="1491" spans="4:6" x14ac:dyDescent="0.25">
      <c r="D1491" s="1"/>
      <c r="F1491" s="1"/>
    </row>
    <row r="1492" spans="4:6" x14ac:dyDescent="0.25">
      <c r="D1492" s="1"/>
      <c r="F1492" s="1"/>
    </row>
    <row r="1493" spans="4:6" x14ac:dyDescent="0.25">
      <c r="D1493" s="1"/>
      <c r="F1493" s="1"/>
    </row>
    <row r="1494" spans="4:6" x14ac:dyDescent="0.25">
      <c r="D1494" s="1"/>
      <c r="F1494" s="1"/>
    </row>
    <row r="1495" spans="4:6" x14ac:dyDescent="0.25">
      <c r="D1495" s="1"/>
      <c r="F1495" s="1"/>
    </row>
    <row r="1496" spans="4:6" x14ac:dyDescent="0.25">
      <c r="D1496" s="1"/>
      <c r="F1496" s="1"/>
    </row>
    <row r="1497" spans="4:6" x14ac:dyDescent="0.25">
      <c r="D1497" s="1"/>
      <c r="F1497" s="1"/>
    </row>
    <row r="1498" spans="4:6" x14ac:dyDescent="0.25">
      <c r="D1498" s="1"/>
      <c r="F1498" s="1"/>
    </row>
    <row r="1499" spans="4:6" x14ac:dyDescent="0.25">
      <c r="D1499" s="1"/>
      <c r="F1499" s="1"/>
    </row>
    <row r="1500" spans="4:6" x14ac:dyDescent="0.25">
      <c r="D1500" s="1"/>
      <c r="F1500" s="1"/>
    </row>
    <row r="1501" spans="4:6" x14ac:dyDescent="0.25">
      <c r="D1501" s="1"/>
      <c r="F1501" s="1"/>
    </row>
    <row r="1502" spans="4:6" x14ac:dyDescent="0.25">
      <c r="D1502" s="1"/>
      <c r="F1502" s="1"/>
    </row>
    <row r="1503" spans="4:6" x14ac:dyDescent="0.25">
      <c r="D1503" s="1"/>
      <c r="F1503" s="1"/>
    </row>
    <row r="1504" spans="4:6" x14ac:dyDescent="0.25">
      <c r="D1504" s="1"/>
      <c r="F1504" s="1"/>
    </row>
    <row r="1505" spans="4:6" x14ac:dyDescent="0.25">
      <c r="D1505" s="1"/>
      <c r="F1505" s="1"/>
    </row>
    <row r="1506" spans="4:6" x14ac:dyDescent="0.25">
      <c r="D1506" s="1"/>
      <c r="F1506" s="1"/>
    </row>
    <row r="1507" spans="4:6" x14ac:dyDescent="0.25">
      <c r="D1507" s="1"/>
      <c r="F1507" s="1"/>
    </row>
    <row r="1508" spans="4:6" x14ac:dyDescent="0.25">
      <c r="D1508" s="1"/>
      <c r="F1508" s="1"/>
    </row>
    <row r="1509" spans="4:6" x14ac:dyDescent="0.25">
      <c r="D1509" s="1"/>
      <c r="F1509" s="1"/>
    </row>
    <row r="1510" spans="4:6" x14ac:dyDescent="0.25">
      <c r="D1510" s="1"/>
      <c r="F1510" s="1"/>
    </row>
    <row r="1511" spans="4:6" x14ac:dyDescent="0.25">
      <c r="D1511" s="1"/>
      <c r="F1511" s="1"/>
    </row>
    <row r="1512" spans="4:6" x14ac:dyDescent="0.25">
      <c r="D1512" s="1"/>
      <c r="F1512" s="1"/>
    </row>
    <row r="1513" spans="4:6" x14ac:dyDescent="0.25">
      <c r="D1513" s="1"/>
      <c r="F1513" s="1"/>
    </row>
    <row r="1514" spans="4:6" x14ac:dyDescent="0.25">
      <c r="D1514" s="1"/>
      <c r="F1514" s="1"/>
    </row>
    <row r="1515" spans="4:6" x14ac:dyDescent="0.25">
      <c r="D1515" s="1"/>
      <c r="F1515" s="1"/>
    </row>
    <row r="1516" spans="4:6" x14ac:dyDescent="0.25">
      <c r="D1516" s="1"/>
      <c r="F1516" s="1"/>
    </row>
    <row r="1517" spans="4:6" x14ac:dyDescent="0.25">
      <c r="D1517" s="1"/>
      <c r="F1517" s="1"/>
    </row>
    <row r="1518" spans="4:6" x14ac:dyDescent="0.25">
      <c r="D1518" s="1"/>
      <c r="F1518" s="1"/>
    </row>
    <row r="1519" spans="4:6" x14ac:dyDescent="0.25">
      <c r="D1519" s="1"/>
      <c r="F1519" s="1"/>
    </row>
    <row r="1520" spans="4:6" x14ac:dyDescent="0.25">
      <c r="D1520" s="1"/>
      <c r="F1520" s="1"/>
    </row>
    <row r="1521" spans="4:6" x14ac:dyDescent="0.25">
      <c r="D1521" s="1"/>
      <c r="F1521" s="1"/>
    </row>
    <row r="1522" spans="4:6" x14ac:dyDescent="0.25">
      <c r="D1522" s="1"/>
      <c r="F1522" s="1"/>
    </row>
    <row r="1523" spans="4:6" x14ac:dyDescent="0.25">
      <c r="D1523" s="1"/>
      <c r="F1523" s="1"/>
    </row>
    <row r="1524" spans="4:6" x14ac:dyDescent="0.25">
      <c r="D1524" s="1"/>
      <c r="F1524" s="1"/>
    </row>
    <row r="1525" spans="4:6" x14ac:dyDescent="0.25">
      <c r="D1525" s="1"/>
      <c r="F1525" s="1"/>
    </row>
    <row r="1526" spans="4:6" x14ac:dyDescent="0.25">
      <c r="D1526" s="1"/>
      <c r="F1526" s="1"/>
    </row>
    <row r="1527" spans="4:6" x14ac:dyDescent="0.25">
      <c r="D1527" s="1"/>
      <c r="F1527" s="1"/>
    </row>
    <row r="1528" spans="4:6" x14ac:dyDescent="0.25">
      <c r="D1528" s="1"/>
      <c r="F1528" s="1"/>
    </row>
    <row r="1529" spans="4:6" x14ac:dyDescent="0.25">
      <c r="D1529" s="1"/>
      <c r="F1529" s="1"/>
    </row>
    <row r="1530" spans="4:6" x14ac:dyDescent="0.25">
      <c r="D1530" s="1"/>
      <c r="F1530" s="1"/>
    </row>
    <row r="1531" spans="4:6" x14ac:dyDescent="0.25">
      <c r="D1531" s="1"/>
      <c r="F1531" s="1"/>
    </row>
    <row r="1532" spans="4:6" x14ac:dyDescent="0.25">
      <c r="D1532" s="1"/>
      <c r="F1532" s="1"/>
    </row>
    <row r="1533" spans="4:6" x14ac:dyDescent="0.25">
      <c r="D1533" s="1"/>
      <c r="F1533" s="1"/>
    </row>
    <row r="1534" spans="4:6" x14ac:dyDescent="0.25">
      <c r="D1534" s="1"/>
      <c r="F1534" s="1"/>
    </row>
    <row r="1535" spans="4:6" x14ac:dyDescent="0.25">
      <c r="D1535" s="1"/>
      <c r="F1535" s="1"/>
    </row>
    <row r="1536" spans="4:6" x14ac:dyDescent="0.25">
      <c r="D1536" s="1"/>
      <c r="F1536" s="1"/>
    </row>
    <row r="1537" spans="4:6" x14ac:dyDescent="0.25">
      <c r="D1537" s="1"/>
      <c r="F1537" s="1"/>
    </row>
    <row r="1538" spans="4:6" x14ac:dyDescent="0.25">
      <c r="D1538" s="1"/>
      <c r="F1538" s="1"/>
    </row>
    <row r="1539" spans="4:6" x14ac:dyDescent="0.25">
      <c r="D1539" s="1"/>
      <c r="F1539" s="1"/>
    </row>
    <row r="1540" spans="4:6" x14ac:dyDescent="0.25">
      <c r="D1540" s="1"/>
      <c r="F1540" s="1"/>
    </row>
    <row r="1541" spans="4:6" x14ac:dyDescent="0.25">
      <c r="D1541" s="1"/>
      <c r="F1541" s="1"/>
    </row>
    <row r="1542" spans="4:6" x14ac:dyDescent="0.25">
      <c r="D1542" s="1"/>
      <c r="F1542" s="1"/>
    </row>
    <row r="1543" spans="4:6" x14ac:dyDescent="0.25">
      <c r="D1543" s="1"/>
      <c r="F1543" s="1"/>
    </row>
    <row r="1544" spans="4:6" x14ac:dyDescent="0.25">
      <c r="D1544" s="1"/>
      <c r="F1544" s="1"/>
    </row>
    <row r="1545" spans="4:6" x14ac:dyDescent="0.25">
      <c r="D1545" s="1"/>
      <c r="F1545" s="1"/>
    </row>
    <row r="1546" spans="4:6" x14ac:dyDescent="0.25">
      <c r="D1546" s="1"/>
      <c r="F1546" s="1"/>
    </row>
    <row r="1547" spans="4:6" x14ac:dyDescent="0.25">
      <c r="D1547" s="1"/>
      <c r="F1547" s="1"/>
    </row>
    <row r="1548" spans="4:6" x14ac:dyDescent="0.25">
      <c r="D1548" s="1"/>
      <c r="F1548" s="1"/>
    </row>
    <row r="1549" spans="4:6" x14ac:dyDescent="0.25">
      <c r="D1549" s="1"/>
      <c r="F1549" s="1"/>
    </row>
    <row r="1550" spans="4:6" x14ac:dyDescent="0.25">
      <c r="D1550" s="1"/>
      <c r="F1550" s="1"/>
    </row>
    <row r="1551" spans="4:6" x14ac:dyDescent="0.25">
      <c r="D1551" s="1"/>
      <c r="F1551" s="1"/>
    </row>
    <row r="1552" spans="4:6" x14ac:dyDescent="0.25">
      <c r="D1552" s="1"/>
      <c r="F1552" s="1"/>
    </row>
    <row r="1553" spans="4:6" x14ac:dyDescent="0.25">
      <c r="D1553" s="1"/>
      <c r="F1553" s="1"/>
    </row>
    <row r="1554" spans="4:6" x14ac:dyDescent="0.25">
      <c r="D1554" s="1"/>
      <c r="F1554" s="1"/>
    </row>
    <row r="1555" spans="4:6" x14ac:dyDescent="0.25">
      <c r="D1555" s="1"/>
      <c r="F1555" s="1"/>
    </row>
    <row r="1556" spans="4:6" x14ac:dyDescent="0.25">
      <c r="D1556" s="1"/>
      <c r="F1556" s="1"/>
    </row>
    <row r="1557" spans="4:6" x14ac:dyDescent="0.25">
      <c r="D1557" s="1"/>
      <c r="F1557" s="1"/>
    </row>
    <row r="1558" spans="4:6" x14ac:dyDescent="0.25">
      <c r="D1558" s="1"/>
      <c r="F1558" s="1"/>
    </row>
    <row r="1559" spans="4:6" x14ac:dyDescent="0.25">
      <c r="D1559" s="1"/>
      <c r="F1559" s="1"/>
    </row>
    <row r="1560" spans="4:6" x14ac:dyDescent="0.25">
      <c r="D1560" s="1"/>
      <c r="F1560" s="1"/>
    </row>
    <row r="1561" spans="4:6" x14ac:dyDescent="0.25">
      <c r="D1561" s="1"/>
      <c r="F1561" s="1"/>
    </row>
    <row r="1562" spans="4:6" x14ac:dyDescent="0.25">
      <c r="D1562" s="1"/>
      <c r="F1562" s="1"/>
    </row>
    <row r="1563" spans="4:6" x14ac:dyDescent="0.25">
      <c r="D1563" s="1"/>
      <c r="F1563" s="1"/>
    </row>
    <row r="1564" spans="4:6" x14ac:dyDescent="0.25">
      <c r="D1564" s="1"/>
      <c r="F1564" s="1"/>
    </row>
    <row r="1565" spans="4:6" x14ac:dyDescent="0.25">
      <c r="D1565" s="1"/>
      <c r="F1565" s="1"/>
    </row>
    <row r="1566" spans="4:6" x14ac:dyDescent="0.25">
      <c r="D1566" s="1"/>
      <c r="F1566" s="1"/>
    </row>
    <row r="1567" spans="4:6" x14ac:dyDescent="0.25">
      <c r="D1567" s="1"/>
      <c r="F1567" s="1"/>
    </row>
    <row r="1568" spans="4:6" x14ac:dyDescent="0.25">
      <c r="D1568" s="1"/>
      <c r="F1568" s="1"/>
    </row>
    <row r="1569" spans="4:6" x14ac:dyDescent="0.25">
      <c r="D1569" s="1"/>
      <c r="F1569" s="1"/>
    </row>
    <row r="1570" spans="4:6" x14ac:dyDescent="0.25">
      <c r="D1570" s="1"/>
      <c r="F1570" s="1"/>
    </row>
    <row r="1571" spans="4:6" x14ac:dyDescent="0.25">
      <c r="D1571" s="1"/>
      <c r="F1571" s="1"/>
    </row>
    <row r="1572" spans="4:6" x14ac:dyDescent="0.25">
      <c r="D1572" s="1"/>
      <c r="F1572" s="1"/>
    </row>
    <row r="1573" spans="4:6" x14ac:dyDescent="0.25">
      <c r="D1573" s="1"/>
      <c r="F1573" s="1"/>
    </row>
    <row r="1574" spans="4:6" x14ac:dyDescent="0.25">
      <c r="D1574" s="1"/>
      <c r="F1574" s="1"/>
    </row>
    <row r="1575" spans="4:6" x14ac:dyDescent="0.25">
      <c r="D1575" s="1"/>
      <c r="F1575" s="1"/>
    </row>
    <row r="1576" spans="4:6" x14ac:dyDescent="0.25">
      <c r="D1576" s="1"/>
      <c r="F1576" s="1"/>
    </row>
    <row r="1577" spans="4:6" x14ac:dyDescent="0.25">
      <c r="D1577" s="1"/>
      <c r="F1577" s="1"/>
    </row>
    <row r="1578" spans="4:6" x14ac:dyDescent="0.25">
      <c r="D1578" s="1"/>
      <c r="F1578" s="1"/>
    </row>
    <row r="1579" spans="4:6" x14ac:dyDescent="0.25">
      <c r="D1579" s="1"/>
      <c r="F1579" s="1"/>
    </row>
    <row r="1580" spans="4:6" x14ac:dyDescent="0.25">
      <c r="D1580" s="1"/>
      <c r="F1580" s="1"/>
    </row>
    <row r="1581" spans="4:6" x14ac:dyDescent="0.25">
      <c r="D1581" s="1"/>
      <c r="F1581" s="1"/>
    </row>
    <row r="1582" spans="4:6" x14ac:dyDescent="0.25">
      <c r="D1582" s="1"/>
      <c r="F1582" s="1"/>
    </row>
    <row r="1583" spans="4:6" x14ac:dyDescent="0.25">
      <c r="D1583" s="1"/>
      <c r="F1583" s="1"/>
    </row>
    <row r="1584" spans="4:6" x14ac:dyDescent="0.25">
      <c r="D1584" s="1"/>
      <c r="F1584" s="1"/>
    </row>
    <row r="1585" spans="4:6" x14ac:dyDescent="0.25">
      <c r="D1585" s="1"/>
      <c r="F1585" s="1"/>
    </row>
    <row r="1586" spans="4:6" x14ac:dyDescent="0.25">
      <c r="D1586" s="1"/>
      <c r="F1586" s="1"/>
    </row>
    <row r="1587" spans="4:6" x14ac:dyDescent="0.25">
      <c r="D1587" s="1"/>
      <c r="F1587" s="1"/>
    </row>
    <row r="1588" spans="4:6" x14ac:dyDescent="0.25">
      <c r="D1588" s="1"/>
      <c r="F1588" s="1"/>
    </row>
    <row r="1589" spans="4:6" x14ac:dyDescent="0.25">
      <c r="D1589" s="1"/>
      <c r="F1589" s="1"/>
    </row>
    <row r="1590" spans="4:6" x14ac:dyDescent="0.25">
      <c r="D1590" s="1"/>
      <c r="F1590" s="1"/>
    </row>
    <row r="1591" spans="4:6" x14ac:dyDescent="0.25">
      <c r="D1591" s="1"/>
      <c r="F1591" s="1"/>
    </row>
    <row r="1592" spans="4:6" x14ac:dyDescent="0.25">
      <c r="D1592" s="1"/>
      <c r="F1592" s="1"/>
    </row>
    <row r="1593" spans="4:6" x14ac:dyDescent="0.25">
      <c r="D1593" s="1"/>
      <c r="F1593" s="1"/>
    </row>
    <row r="1594" spans="4:6" x14ac:dyDescent="0.25">
      <c r="D1594" s="1"/>
      <c r="F1594" s="1"/>
    </row>
    <row r="1595" spans="4:6" x14ac:dyDescent="0.25">
      <c r="D1595" s="1"/>
      <c r="F1595" s="1"/>
    </row>
    <row r="1596" spans="4:6" x14ac:dyDescent="0.25">
      <c r="D1596" s="1"/>
      <c r="F1596" s="1"/>
    </row>
    <row r="1597" spans="4:6" x14ac:dyDescent="0.25">
      <c r="D1597" s="1"/>
      <c r="F1597" s="1"/>
    </row>
    <row r="1598" spans="4:6" x14ac:dyDescent="0.25">
      <c r="D1598" s="1"/>
      <c r="F1598" s="1"/>
    </row>
    <row r="1599" spans="4:6" x14ac:dyDescent="0.25">
      <c r="D1599" s="1"/>
      <c r="F1599" s="1"/>
    </row>
    <row r="1600" spans="4:6" x14ac:dyDescent="0.25">
      <c r="D1600" s="1"/>
      <c r="F1600" s="1"/>
    </row>
    <row r="1601" spans="4:6" x14ac:dyDescent="0.25">
      <c r="D1601" s="1"/>
      <c r="F1601" s="1"/>
    </row>
    <row r="1602" spans="4:6" x14ac:dyDescent="0.25">
      <c r="D1602" s="1"/>
      <c r="F1602" s="1"/>
    </row>
    <row r="1603" spans="4:6" x14ac:dyDescent="0.25">
      <c r="D1603" s="1"/>
      <c r="F1603" s="1"/>
    </row>
    <row r="1604" spans="4:6" x14ac:dyDescent="0.25">
      <c r="D1604" s="1"/>
      <c r="F1604" s="1"/>
    </row>
    <row r="1605" spans="4:6" x14ac:dyDescent="0.25">
      <c r="D1605" s="1"/>
      <c r="F1605" s="1"/>
    </row>
    <row r="1606" spans="4:6" x14ac:dyDescent="0.25">
      <c r="D1606" s="1"/>
      <c r="F1606" s="1"/>
    </row>
    <row r="1607" spans="4:6" x14ac:dyDescent="0.25">
      <c r="D1607" s="1"/>
      <c r="F1607" s="1"/>
    </row>
    <row r="1608" spans="4:6" x14ac:dyDescent="0.25">
      <c r="D1608" s="1"/>
      <c r="F1608" s="1"/>
    </row>
    <row r="1609" spans="4:6" x14ac:dyDescent="0.25">
      <c r="D1609" s="1"/>
      <c r="F1609" s="1"/>
    </row>
    <row r="1610" spans="4:6" x14ac:dyDescent="0.25">
      <c r="D1610" s="1"/>
      <c r="F1610" s="1"/>
    </row>
    <row r="1611" spans="4:6" x14ac:dyDescent="0.25">
      <c r="D1611" s="1"/>
      <c r="F1611" s="1"/>
    </row>
    <row r="1612" spans="4:6" x14ac:dyDescent="0.25">
      <c r="D1612" s="1"/>
      <c r="F1612" s="1"/>
    </row>
    <row r="1613" spans="4:6" x14ac:dyDescent="0.25">
      <c r="D1613" s="1"/>
      <c r="F1613" s="1"/>
    </row>
    <row r="1614" spans="4:6" x14ac:dyDescent="0.25">
      <c r="D1614" s="1"/>
      <c r="F1614" s="1"/>
    </row>
    <row r="1615" spans="4:6" x14ac:dyDescent="0.25">
      <c r="D1615" s="1"/>
      <c r="F1615" s="1"/>
    </row>
    <row r="1616" spans="4:6" x14ac:dyDescent="0.25">
      <c r="D1616" s="1"/>
      <c r="F1616" s="1"/>
    </row>
    <row r="1617" spans="4:6" x14ac:dyDescent="0.25">
      <c r="D1617" s="1"/>
      <c r="F1617" s="1"/>
    </row>
    <row r="1618" spans="4:6" x14ac:dyDescent="0.25">
      <c r="D1618" s="1"/>
      <c r="F1618" s="1"/>
    </row>
    <row r="1619" spans="4:6" x14ac:dyDescent="0.25">
      <c r="D1619" s="1"/>
      <c r="F1619" s="1"/>
    </row>
    <row r="1620" spans="4:6" x14ac:dyDescent="0.25">
      <c r="D1620" s="1"/>
      <c r="F1620" s="1"/>
    </row>
    <row r="1621" spans="4:6" x14ac:dyDescent="0.25">
      <c r="D1621" s="1"/>
      <c r="F1621" s="1"/>
    </row>
    <row r="1622" spans="4:6" x14ac:dyDescent="0.25">
      <c r="D1622" s="1"/>
      <c r="F1622" s="1"/>
    </row>
    <row r="1623" spans="4:6" x14ac:dyDescent="0.25">
      <c r="D1623" s="1"/>
      <c r="F1623" s="1"/>
    </row>
    <row r="1624" spans="4:6" x14ac:dyDescent="0.25">
      <c r="D1624" s="1"/>
      <c r="F1624" s="1"/>
    </row>
    <row r="1625" spans="4:6" x14ac:dyDescent="0.25">
      <c r="D1625" s="1"/>
      <c r="F1625" s="1"/>
    </row>
    <row r="1626" spans="4:6" x14ac:dyDescent="0.25">
      <c r="D1626" s="1"/>
      <c r="F1626" s="1"/>
    </row>
    <row r="1627" spans="4:6" x14ac:dyDescent="0.25">
      <c r="D1627" s="1"/>
      <c r="F1627" s="1"/>
    </row>
    <row r="1628" spans="4:6" x14ac:dyDescent="0.25">
      <c r="D1628" s="1"/>
      <c r="F1628" s="1"/>
    </row>
    <row r="1629" spans="4:6" x14ac:dyDescent="0.25">
      <c r="D1629" s="1"/>
      <c r="F1629" s="1"/>
    </row>
    <row r="1630" spans="4:6" x14ac:dyDescent="0.25">
      <c r="D1630" s="1"/>
      <c r="F1630" s="1"/>
    </row>
    <row r="1631" spans="4:6" x14ac:dyDescent="0.25">
      <c r="D1631" s="1"/>
      <c r="F1631" s="1"/>
    </row>
    <row r="1632" spans="4:6" x14ac:dyDescent="0.25">
      <c r="D1632" s="1"/>
      <c r="F1632" s="1"/>
    </row>
    <row r="1633" spans="4:6" x14ac:dyDescent="0.25">
      <c r="D1633" s="1"/>
      <c r="F1633" s="1"/>
    </row>
    <row r="1634" spans="4:6" x14ac:dyDescent="0.25">
      <c r="D1634" s="1"/>
      <c r="F1634" s="1"/>
    </row>
    <row r="1635" spans="4:6" x14ac:dyDescent="0.25">
      <c r="D1635" s="1"/>
      <c r="F1635" s="1"/>
    </row>
    <row r="1636" spans="4:6" x14ac:dyDescent="0.25">
      <c r="D1636" s="1"/>
      <c r="F1636" s="1"/>
    </row>
    <row r="1637" spans="4:6" x14ac:dyDescent="0.25">
      <c r="D1637" s="1"/>
      <c r="F1637" s="1"/>
    </row>
    <row r="1638" spans="4:6" x14ac:dyDescent="0.25">
      <c r="D1638" s="1"/>
      <c r="F1638" s="1"/>
    </row>
    <row r="1639" spans="4:6" x14ac:dyDescent="0.25">
      <c r="D1639" s="1"/>
      <c r="F1639" s="1"/>
    </row>
    <row r="1640" spans="4:6" x14ac:dyDescent="0.25">
      <c r="D1640" s="1"/>
      <c r="F1640" s="1"/>
    </row>
    <row r="1641" spans="4:6" x14ac:dyDescent="0.25">
      <c r="D1641" s="1"/>
      <c r="F1641" s="1"/>
    </row>
    <row r="1642" spans="4:6" x14ac:dyDescent="0.25">
      <c r="D1642" s="1"/>
      <c r="F1642" s="1"/>
    </row>
    <row r="1643" spans="4:6" x14ac:dyDescent="0.25">
      <c r="D1643" s="1"/>
      <c r="F1643" s="1"/>
    </row>
    <row r="1644" spans="4:6" x14ac:dyDescent="0.25">
      <c r="D1644" s="1"/>
      <c r="F1644" s="1"/>
    </row>
    <row r="1645" spans="4:6" x14ac:dyDescent="0.25">
      <c r="D1645" s="1"/>
      <c r="F1645" s="1"/>
    </row>
    <row r="1646" spans="4:6" x14ac:dyDescent="0.25">
      <c r="D1646" s="1"/>
      <c r="F1646" s="1"/>
    </row>
    <row r="1647" spans="4:6" x14ac:dyDescent="0.25">
      <c r="D1647" s="1"/>
      <c r="F1647" s="1"/>
    </row>
    <row r="1648" spans="4:6" x14ac:dyDescent="0.25">
      <c r="D1648" s="1"/>
      <c r="F1648" s="1"/>
    </row>
    <row r="1649" spans="4:6" x14ac:dyDescent="0.25">
      <c r="D1649" s="1"/>
      <c r="F1649" s="1"/>
    </row>
    <row r="1650" spans="4:6" x14ac:dyDescent="0.25">
      <c r="D1650" s="1"/>
      <c r="F1650" s="1"/>
    </row>
    <row r="1651" spans="4:6" x14ac:dyDescent="0.25">
      <c r="D1651" s="1"/>
      <c r="F1651" s="1"/>
    </row>
    <row r="1652" spans="4:6" x14ac:dyDescent="0.25">
      <c r="D1652" s="1"/>
      <c r="F1652" s="1"/>
    </row>
    <row r="1653" spans="4:6" x14ac:dyDescent="0.25">
      <c r="D1653" s="1"/>
      <c r="F1653" s="1"/>
    </row>
    <row r="1654" spans="4:6" x14ac:dyDescent="0.25">
      <c r="D1654" s="1"/>
      <c r="F1654" s="1"/>
    </row>
    <row r="1655" spans="4:6" x14ac:dyDescent="0.25">
      <c r="D1655" s="1"/>
      <c r="F1655" s="1"/>
    </row>
    <row r="1656" spans="4:6" x14ac:dyDescent="0.25">
      <c r="D1656" s="1"/>
      <c r="F1656" s="1"/>
    </row>
    <row r="1657" spans="4:6" x14ac:dyDescent="0.25">
      <c r="D1657" s="1"/>
      <c r="F1657" s="1"/>
    </row>
    <row r="1658" spans="4:6" x14ac:dyDescent="0.25">
      <c r="D1658" s="1"/>
      <c r="F1658" s="1"/>
    </row>
    <row r="1659" spans="4:6" x14ac:dyDescent="0.25">
      <c r="D1659" s="1"/>
      <c r="F1659" s="1"/>
    </row>
    <row r="1660" spans="4:6" x14ac:dyDescent="0.25">
      <c r="D1660" s="1"/>
      <c r="F1660" s="1"/>
    </row>
    <row r="1661" spans="4:6" x14ac:dyDescent="0.25">
      <c r="D1661" s="1"/>
      <c r="F1661" s="1"/>
    </row>
    <row r="1662" spans="4:6" x14ac:dyDescent="0.25">
      <c r="D1662" s="1"/>
      <c r="F1662" s="1"/>
    </row>
    <row r="1663" spans="4:6" x14ac:dyDescent="0.25">
      <c r="D1663" s="1"/>
      <c r="F1663" s="1"/>
    </row>
    <row r="1664" spans="4:6" x14ac:dyDescent="0.25">
      <c r="D1664" s="1"/>
      <c r="F1664" s="1"/>
    </row>
    <row r="1665" spans="4:6" x14ac:dyDescent="0.25">
      <c r="D1665" s="1"/>
      <c r="F1665" s="1"/>
    </row>
    <row r="1666" spans="4:6" x14ac:dyDescent="0.25">
      <c r="D1666" s="1"/>
      <c r="F1666" s="1"/>
    </row>
    <row r="1667" spans="4:6" x14ac:dyDescent="0.25">
      <c r="D1667" s="1"/>
      <c r="F1667" s="1"/>
    </row>
    <row r="1668" spans="4:6" x14ac:dyDescent="0.25">
      <c r="D1668" s="1"/>
      <c r="F1668" s="1"/>
    </row>
    <row r="1669" spans="4:6" x14ac:dyDescent="0.25">
      <c r="D1669" s="1"/>
      <c r="F1669" s="1"/>
    </row>
    <row r="1670" spans="4:6" x14ac:dyDescent="0.25">
      <c r="D1670" s="1"/>
      <c r="F1670" s="1"/>
    </row>
    <row r="1671" spans="4:6" x14ac:dyDescent="0.25">
      <c r="D1671" s="1"/>
      <c r="F1671" s="1"/>
    </row>
    <row r="1672" spans="4:6" x14ac:dyDescent="0.25">
      <c r="D1672" s="1"/>
      <c r="F1672" s="1"/>
    </row>
    <row r="1673" spans="4:6" x14ac:dyDescent="0.25">
      <c r="D1673" s="1"/>
      <c r="F1673" s="1"/>
    </row>
    <row r="1674" spans="4:6" x14ac:dyDescent="0.25">
      <c r="D1674" s="1"/>
      <c r="F1674" s="1"/>
    </row>
    <row r="1675" spans="4:6" x14ac:dyDescent="0.25">
      <c r="D1675" s="1"/>
      <c r="F1675" s="1"/>
    </row>
    <row r="1676" spans="4:6" x14ac:dyDescent="0.25">
      <c r="D1676" s="1"/>
      <c r="F1676" s="1"/>
    </row>
    <row r="1677" spans="4:6" x14ac:dyDescent="0.25">
      <c r="D1677" s="1"/>
      <c r="F1677" s="1"/>
    </row>
    <row r="1678" spans="4:6" x14ac:dyDescent="0.25">
      <c r="D1678" s="1"/>
      <c r="F1678" s="1"/>
    </row>
    <row r="1679" spans="4:6" x14ac:dyDescent="0.25">
      <c r="D1679" s="1"/>
      <c r="F1679" s="1"/>
    </row>
    <row r="1680" spans="4:6" x14ac:dyDescent="0.25">
      <c r="D1680" s="1"/>
      <c r="F1680" s="1"/>
    </row>
    <row r="1681" spans="4:6" x14ac:dyDescent="0.25">
      <c r="D1681" s="1"/>
      <c r="F1681" s="1"/>
    </row>
    <row r="1682" spans="4:6" x14ac:dyDescent="0.25">
      <c r="D1682" s="1"/>
      <c r="F1682" s="1"/>
    </row>
    <row r="1683" spans="4:6" x14ac:dyDescent="0.25">
      <c r="D1683" s="1"/>
      <c r="F1683" s="1"/>
    </row>
    <row r="1684" spans="4:6" x14ac:dyDescent="0.25">
      <c r="D1684" s="1"/>
      <c r="F1684" s="1"/>
    </row>
    <row r="1685" spans="4:6" x14ac:dyDescent="0.25">
      <c r="D1685" s="1"/>
      <c r="F1685" s="1"/>
    </row>
    <row r="1686" spans="4:6" x14ac:dyDescent="0.25">
      <c r="D1686" s="1"/>
      <c r="F1686" s="1"/>
    </row>
    <row r="1687" spans="4:6" x14ac:dyDescent="0.25">
      <c r="D1687" s="1"/>
      <c r="F1687" s="1"/>
    </row>
    <row r="1688" spans="4:6" x14ac:dyDescent="0.25">
      <c r="D1688" s="1"/>
      <c r="F1688" s="1"/>
    </row>
    <row r="1689" spans="4:6" x14ac:dyDescent="0.25">
      <c r="D1689" s="1"/>
      <c r="F1689" s="1"/>
    </row>
    <row r="1690" spans="4:6" x14ac:dyDescent="0.25">
      <c r="D1690" s="1"/>
      <c r="F1690" s="1"/>
    </row>
    <row r="1691" spans="4:6" x14ac:dyDescent="0.25">
      <c r="D1691" s="1"/>
      <c r="F1691" s="1"/>
    </row>
    <row r="1692" spans="4:6" x14ac:dyDescent="0.25">
      <c r="D1692" s="1"/>
      <c r="F1692" s="1"/>
    </row>
    <row r="1693" spans="4:6" x14ac:dyDescent="0.25">
      <c r="D1693" s="1"/>
      <c r="F1693" s="1"/>
    </row>
    <row r="1694" spans="4:6" x14ac:dyDescent="0.25">
      <c r="D1694" s="1"/>
      <c r="F1694" s="1"/>
    </row>
    <row r="1695" spans="4:6" x14ac:dyDescent="0.25">
      <c r="D1695" s="1"/>
      <c r="F1695" s="1"/>
    </row>
    <row r="1696" spans="4:6" x14ac:dyDescent="0.25">
      <c r="D1696" s="1"/>
      <c r="F1696" s="1"/>
    </row>
    <row r="1697" spans="4:6" x14ac:dyDescent="0.25">
      <c r="D1697" s="1"/>
      <c r="F1697" s="1"/>
    </row>
    <row r="1698" spans="4:6" x14ac:dyDescent="0.25">
      <c r="D1698" s="1"/>
      <c r="F1698" s="1"/>
    </row>
    <row r="1699" spans="4:6" x14ac:dyDescent="0.25">
      <c r="D1699" s="1"/>
      <c r="F1699" s="1"/>
    </row>
    <row r="1700" spans="4:6" x14ac:dyDescent="0.25">
      <c r="D1700" s="1"/>
      <c r="F1700" s="1"/>
    </row>
    <row r="1701" spans="4:6" x14ac:dyDescent="0.25">
      <c r="D1701" s="1"/>
      <c r="F1701" s="1"/>
    </row>
    <row r="1702" spans="4:6" x14ac:dyDescent="0.25">
      <c r="D1702" s="1"/>
      <c r="F1702" s="1"/>
    </row>
    <row r="1703" spans="4:6" x14ac:dyDescent="0.25">
      <c r="D1703" s="1"/>
      <c r="F1703" s="1"/>
    </row>
    <row r="1704" spans="4:6" x14ac:dyDescent="0.25">
      <c r="D1704" s="1"/>
      <c r="F1704" s="1"/>
    </row>
    <row r="1705" spans="4:6" x14ac:dyDescent="0.25">
      <c r="D1705" s="1"/>
      <c r="F1705" s="1"/>
    </row>
    <row r="1706" spans="4:6" x14ac:dyDescent="0.25">
      <c r="D1706" s="1"/>
      <c r="F1706" s="1"/>
    </row>
    <row r="1707" spans="4:6" x14ac:dyDescent="0.25">
      <c r="D1707" s="1"/>
      <c r="F1707" s="1"/>
    </row>
    <row r="1708" spans="4:6" x14ac:dyDescent="0.25">
      <c r="D1708" s="1"/>
      <c r="F1708" s="1"/>
    </row>
    <row r="1709" spans="4:6" x14ac:dyDescent="0.25">
      <c r="D1709" s="1"/>
      <c r="F1709" s="1"/>
    </row>
    <row r="1710" spans="4:6" x14ac:dyDescent="0.25">
      <c r="D1710" s="1"/>
      <c r="F1710" s="1"/>
    </row>
    <row r="1711" spans="4:6" x14ac:dyDescent="0.25">
      <c r="D1711" s="1"/>
      <c r="F1711" s="1"/>
    </row>
    <row r="1712" spans="4:6" x14ac:dyDescent="0.25">
      <c r="D1712" s="1"/>
      <c r="F1712" s="1"/>
    </row>
    <row r="1713" spans="4:6" x14ac:dyDescent="0.25">
      <c r="D1713" s="1"/>
      <c r="F1713" s="1"/>
    </row>
    <row r="1714" spans="4:6" x14ac:dyDescent="0.25">
      <c r="D1714" s="1"/>
      <c r="F1714" s="1"/>
    </row>
    <row r="1715" spans="4:6" x14ac:dyDescent="0.25">
      <c r="D1715" s="1"/>
      <c r="F1715" s="1"/>
    </row>
    <row r="1716" spans="4:6" x14ac:dyDescent="0.25">
      <c r="D1716" s="1"/>
      <c r="F1716" s="1"/>
    </row>
    <row r="1717" spans="4:6" x14ac:dyDescent="0.25">
      <c r="D1717" s="1"/>
      <c r="F1717" s="1"/>
    </row>
    <row r="1718" spans="4:6" x14ac:dyDescent="0.25">
      <c r="D1718" s="1"/>
      <c r="F1718" s="1"/>
    </row>
    <row r="1719" spans="4:6" x14ac:dyDescent="0.25">
      <c r="D1719" s="1"/>
      <c r="F1719" s="1"/>
    </row>
    <row r="1720" spans="4:6" x14ac:dyDescent="0.25">
      <c r="D1720" s="1"/>
      <c r="F1720" s="1"/>
    </row>
    <row r="1721" spans="4:6" x14ac:dyDescent="0.25">
      <c r="D1721" s="1"/>
      <c r="F1721" s="1"/>
    </row>
    <row r="1722" spans="4:6" x14ac:dyDescent="0.25">
      <c r="D1722" s="1"/>
      <c r="F1722" s="1"/>
    </row>
    <row r="1723" spans="4:6" x14ac:dyDescent="0.25">
      <c r="D1723" s="1"/>
      <c r="F1723" s="1"/>
    </row>
    <row r="1724" spans="4:6" x14ac:dyDescent="0.25">
      <c r="D1724" s="1"/>
      <c r="F1724" s="1"/>
    </row>
    <row r="1725" spans="4:6" x14ac:dyDescent="0.25">
      <c r="D1725" s="1"/>
      <c r="F1725" s="1"/>
    </row>
    <row r="1726" spans="4:6" x14ac:dyDescent="0.25">
      <c r="D1726" s="1"/>
      <c r="F1726" s="1"/>
    </row>
    <row r="1727" spans="4:6" x14ac:dyDescent="0.25">
      <c r="D1727" s="1"/>
      <c r="F1727" s="1"/>
    </row>
    <row r="1728" spans="4:6" x14ac:dyDescent="0.25">
      <c r="D1728" s="1"/>
      <c r="F1728" s="1"/>
    </row>
    <row r="1729" spans="4:6" x14ac:dyDescent="0.25">
      <c r="D1729" s="1"/>
      <c r="F1729" s="1"/>
    </row>
    <row r="1730" spans="4:6" x14ac:dyDescent="0.25">
      <c r="D1730" s="1"/>
      <c r="F1730" s="1"/>
    </row>
    <row r="1731" spans="4:6" x14ac:dyDescent="0.25">
      <c r="D1731" s="1"/>
      <c r="F1731" s="1"/>
    </row>
    <row r="1732" spans="4:6" x14ac:dyDescent="0.25">
      <c r="D1732" s="1"/>
      <c r="F1732" s="1"/>
    </row>
    <row r="1733" spans="4:6" x14ac:dyDescent="0.25">
      <c r="D1733" s="1"/>
      <c r="F1733" s="1"/>
    </row>
    <row r="1734" spans="4:6" x14ac:dyDescent="0.25">
      <c r="D1734" s="1"/>
      <c r="F1734" s="1"/>
    </row>
    <row r="1735" spans="4:6" x14ac:dyDescent="0.25">
      <c r="D1735" s="1"/>
      <c r="F1735" s="1"/>
    </row>
    <row r="1736" spans="4:6" x14ac:dyDescent="0.25">
      <c r="D1736" s="1"/>
      <c r="F1736" s="1"/>
    </row>
    <row r="1737" spans="4:6" x14ac:dyDescent="0.25">
      <c r="D1737" s="1"/>
      <c r="F1737" s="1"/>
    </row>
    <row r="1738" spans="4:6" x14ac:dyDescent="0.25">
      <c r="D1738" s="1"/>
      <c r="F1738" s="1"/>
    </row>
    <row r="1739" spans="4:6" x14ac:dyDescent="0.25">
      <c r="D1739" s="1"/>
      <c r="F1739" s="1"/>
    </row>
    <row r="1740" spans="4:6" x14ac:dyDescent="0.25">
      <c r="D1740" s="1"/>
      <c r="F1740" s="1"/>
    </row>
    <row r="1741" spans="4:6" x14ac:dyDescent="0.25">
      <c r="D1741" s="1"/>
      <c r="F1741" s="1"/>
    </row>
    <row r="1742" spans="4:6" x14ac:dyDescent="0.25">
      <c r="D1742" s="1"/>
      <c r="F1742" s="1"/>
    </row>
    <row r="1743" spans="4:6" x14ac:dyDescent="0.25">
      <c r="D1743" s="1"/>
      <c r="F1743" s="1"/>
    </row>
    <row r="1744" spans="4:6" x14ac:dyDescent="0.25">
      <c r="D1744" s="1"/>
      <c r="F1744" s="1"/>
    </row>
    <row r="1745" spans="4:6" x14ac:dyDescent="0.25">
      <c r="D1745" s="1"/>
      <c r="F1745" s="1"/>
    </row>
    <row r="1746" spans="4:6" x14ac:dyDescent="0.25">
      <c r="D1746" s="1"/>
      <c r="F1746" s="1"/>
    </row>
    <row r="1747" spans="4:6" x14ac:dyDescent="0.25">
      <c r="D1747" s="1"/>
      <c r="F1747" s="1"/>
    </row>
    <row r="1748" spans="4:6" x14ac:dyDescent="0.25">
      <c r="D1748" s="1"/>
      <c r="F1748" s="1"/>
    </row>
    <row r="1749" spans="4:6" x14ac:dyDescent="0.25">
      <c r="D1749" s="1"/>
      <c r="F1749" s="1"/>
    </row>
    <row r="1750" spans="4:6" x14ac:dyDescent="0.25">
      <c r="D1750" s="1"/>
      <c r="F1750" s="1"/>
    </row>
    <row r="1751" spans="4:6" x14ac:dyDescent="0.25">
      <c r="D1751" s="1"/>
      <c r="F1751" s="1"/>
    </row>
    <row r="1752" spans="4:6" x14ac:dyDescent="0.25">
      <c r="D1752" s="1"/>
      <c r="F1752" s="1"/>
    </row>
    <row r="1753" spans="4:6" x14ac:dyDescent="0.25">
      <c r="D1753" s="1"/>
      <c r="F1753" s="1"/>
    </row>
    <row r="1754" spans="4:6" x14ac:dyDescent="0.25">
      <c r="D1754" s="1"/>
      <c r="F1754" s="1"/>
    </row>
    <row r="1755" spans="4:6" x14ac:dyDescent="0.25">
      <c r="D1755" s="1"/>
      <c r="F1755" s="1"/>
    </row>
    <row r="1756" spans="4:6" x14ac:dyDescent="0.25">
      <c r="D1756" s="1"/>
      <c r="F1756" s="1"/>
    </row>
    <row r="1757" spans="4:6" x14ac:dyDescent="0.25">
      <c r="D1757" s="1"/>
      <c r="F1757" s="1"/>
    </row>
    <row r="1758" spans="4:6" x14ac:dyDescent="0.25">
      <c r="D1758" s="1"/>
      <c r="F1758" s="1"/>
    </row>
    <row r="1759" spans="4:6" x14ac:dyDescent="0.25">
      <c r="D1759" s="1"/>
      <c r="F1759" s="1"/>
    </row>
    <row r="1760" spans="4:6" x14ac:dyDescent="0.25">
      <c r="D1760" s="1"/>
      <c r="F1760" s="1"/>
    </row>
    <row r="1761" spans="4:6" x14ac:dyDescent="0.25">
      <c r="D1761" s="1"/>
      <c r="F1761" s="1"/>
    </row>
    <row r="1762" spans="4:6" x14ac:dyDescent="0.25">
      <c r="D1762" s="1"/>
      <c r="F1762" s="1"/>
    </row>
    <row r="1763" spans="4:6" x14ac:dyDescent="0.25">
      <c r="D1763" s="1"/>
      <c r="F1763" s="1"/>
    </row>
    <row r="1764" spans="4:6" x14ac:dyDescent="0.25">
      <c r="D1764" s="1"/>
      <c r="F1764" s="1"/>
    </row>
    <row r="1765" spans="4:6" x14ac:dyDescent="0.25">
      <c r="D1765" s="1"/>
      <c r="F1765" s="1"/>
    </row>
    <row r="1766" spans="4:6" x14ac:dyDescent="0.25">
      <c r="D1766" s="1"/>
      <c r="F1766" s="1"/>
    </row>
    <row r="1767" spans="4:6" x14ac:dyDescent="0.25">
      <c r="D1767" s="1"/>
      <c r="F1767" s="1"/>
    </row>
    <row r="1768" spans="4:6" x14ac:dyDescent="0.25">
      <c r="D1768" s="1"/>
      <c r="F1768" s="1"/>
    </row>
    <row r="1769" spans="4:6" x14ac:dyDescent="0.25">
      <c r="D1769" s="1"/>
      <c r="F1769" s="1"/>
    </row>
    <row r="1770" spans="4:6" x14ac:dyDescent="0.25">
      <c r="D1770" s="1"/>
      <c r="F1770" s="1"/>
    </row>
    <row r="1771" spans="4:6" x14ac:dyDescent="0.25">
      <c r="D1771" s="1"/>
      <c r="F1771" s="1"/>
    </row>
    <row r="1772" spans="4:6" x14ac:dyDescent="0.25">
      <c r="D1772" s="1"/>
      <c r="F1772" s="1"/>
    </row>
    <row r="1773" spans="4:6" x14ac:dyDescent="0.25">
      <c r="D1773" s="1"/>
      <c r="F1773" s="1"/>
    </row>
    <row r="1774" spans="4:6" x14ac:dyDescent="0.25">
      <c r="D1774" s="1"/>
      <c r="F1774" s="1"/>
    </row>
    <row r="1775" spans="4:6" x14ac:dyDescent="0.25">
      <c r="D1775" s="1"/>
      <c r="F1775" s="1"/>
    </row>
    <row r="1776" spans="4:6" x14ac:dyDescent="0.25">
      <c r="D1776" s="1"/>
      <c r="F1776" s="1"/>
    </row>
    <row r="1777" spans="4:6" x14ac:dyDescent="0.25">
      <c r="D1777" s="1"/>
      <c r="F1777" s="1"/>
    </row>
    <row r="1778" spans="4:6" x14ac:dyDescent="0.25">
      <c r="D1778" s="1"/>
      <c r="F1778" s="1"/>
    </row>
    <row r="1779" spans="4:6" x14ac:dyDescent="0.25">
      <c r="D1779" s="1"/>
      <c r="F1779" s="1"/>
    </row>
    <row r="1780" spans="4:6" x14ac:dyDescent="0.25">
      <c r="D1780" s="1"/>
      <c r="F1780" s="1"/>
    </row>
    <row r="1781" spans="4:6" x14ac:dyDescent="0.25">
      <c r="D1781" s="1"/>
      <c r="F1781" s="1"/>
    </row>
    <row r="1782" spans="4:6" x14ac:dyDescent="0.25">
      <c r="D1782" s="1"/>
      <c r="F1782" s="1"/>
    </row>
    <row r="1783" spans="4:6" x14ac:dyDescent="0.25">
      <c r="D1783" s="1"/>
      <c r="F1783" s="1"/>
    </row>
    <row r="1784" spans="4:6" x14ac:dyDescent="0.25">
      <c r="D1784" s="1"/>
      <c r="F1784" s="1"/>
    </row>
    <row r="1785" spans="4:6" x14ac:dyDescent="0.25">
      <c r="D1785" s="1"/>
      <c r="F1785" s="1"/>
    </row>
    <row r="1786" spans="4:6" x14ac:dyDescent="0.25">
      <c r="D1786" s="1"/>
      <c r="F1786" s="1"/>
    </row>
    <row r="1787" spans="4:6" x14ac:dyDescent="0.25">
      <c r="D1787" s="1"/>
      <c r="F1787" s="1"/>
    </row>
    <row r="1788" spans="4:6" x14ac:dyDescent="0.25">
      <c r="D1788" s="1"/>
      <c r="F1788" s="1"/>
    </row>
    <row r="1789" spans="4:6" x14ac:dyDescent="0.25">
      <c r="D1789" s="1"/>
      <c r="F1789" s="1"/>
    </row>
    <row r="1790" spans="4:6" x14ac:dyDescent="0.25">
      <c r="D1790" s="1"/>
      <c r="F1790" s="1"/>
    </row>
    <row r="1791" spans="4:6" x14ac:dyDescent="0.25">
      <c r="D1791" s="1"/>
      <c r="F1791" s="1"/>
    </row>
    <row r="1792" spans="4:6" x14ac:dyDescent="0.25">
      <c r="D1792" s="1"/>
      <c r="F1792" s="1"/>
    </row>
    <row r="1793" spans="4:6" x14ac:dyDescent="0.25">
      <c r="D1793" s="1"/>
      <c r="F1793" s="1"/>
    </row>
    <row r="1794" spans="4:6" x14ac:dyDescent="0.25">
      <c r="D1794" s="1"/>
      <c r="F1794" s="1"/>
    </row>
    <row r="1795" spans="4:6" x14ac:dyDescent="0.25">
      <c r="D1795" s="1"/>
      <c r="F1795" s="1"/>
    </row>
    <row r="1796" spans="4:6" x14ac:dyDescent="0.25">
      <c r="D1796" s="1"/>
      <c r="F1796" s="1"/>
    </row>
    <row r="1797" spans="4:6" x14ac:dyDescent="0.25">
      <c r="D1797" s="1"/>
      <c r="F1797" s="1"/>
    </row>
    <row r="1798" spans="4:6" x14ac:dyDescent="0.25">
      <c r="D1798" s="1"/>
      <c r="F1798" s="1"/>
    </row>
    <row r="1799" spans="4:6" x14ac:dyDescent="0.25">
      <c r="D1799" s="1"/>
      <c r="F1799" s="1"/>
    </row>
    <row r="1800" spans="4:6" x14ac:dyDescent="0.25">
      <c r="D1800" s="1"/>
      <c r="F1800" s="1"/>
    </row>
    <row r="1801" spans="4:6" x14ac:dyDescent="0.25">
      <c r="D1801" s="1"/>
      <c r="F1801" s="1"/>
    </row>
    <row r="1802" spans="4:6" x14ac:dyDescent="0.25">
      <c r="D1802" s="1"/>
      <c r="F1802" s="1"/>
    </row>
    <row r="1803" spans="4:6" x14ac:dyDescent="0.25">
      <c r="D1803" s="1"/>
      <c r="F1803" s="1"/>
    </row>
    <row r="1804" spans="4:6" x14ac:dyDescent="0.25">
      <c r="D1804" s="1"/>
      <c r="F1804" s="1"/>
    </row>
    <row r="1805" spans="4:6" x14ac:dyDescent="0.25">
      <c r="D1805" s="1"/>
      <c r="F1805" s="1"/>
    </row>
    <row r="1806" spans="4:6" x14ac:dyDescent="0.25">
      <c r="D1806" s="1"/>
      <c r="F1806" s="1"/>
    </row>
    <row r="1807" spans="4:6" x14ac:dyDescent="0.25">
      <c r="D1807" s="1"/>
      <c r="F1807" s="1"/>
    </row>
    <row r="1808" spans="4:6" x14ac:dyDescent="0.25">
      <c r="D1808" s="1"/>
      <c r="F1808" s="1"/>
    </row>
    <row r="1809" spans="4:6" x14ac:dyDescent="0.25">
      <c r="D1809" s="1"/>
      <c r="F1809" s="1"/>
    </row>
    <row r="1810" spans="4:6" x14ac:dyDescent="0.25">
      <c r="D1810" s="1"/>
      <c r="F1810" s="1"/>
    </row>
    <row r="1811" spans="4:6" x14ac:dyDescent="0.25">
      <c r="D1811" s="1"/>
      <c r="F1811" s="1"/>
    </row>
    <row r="1812" spans="4:6" x14ac:dyDescent="0.25">
      <c r="D1812" s="1"/>
      <c r="F1812" s="1"/>
    </row>
    <row r="1813" spans="4:6" x14ac:dyDescent="0.25">
      <c r="D1813" s="1"/>
      <c r="F1813" s="1"/>
    </row>
    <row r="1814" spans="4:6" x14ac:dyDescent="0.25">
      <c r="D1814" s="1"/>
      <c r="F1814" s="1"/>
    </row>
    <row r="1815" spans="4:6" x14ac:dyDescent="0.25">
      <c r="D1815" s="1"/>
      <c r="F1815" s="1"/>
    </row>
    <row r="1816" spans="4:6" x14ac:dyDescent="0.25">
      <c r="D1816" s="1"/>
      <c r="F1816" s="1"/>
    </row>
    <row r="1817" spans="4:6" x14ac:dyDescent="0.25">
      <c r="D1817" s="1"/>
      <c r="F1817" s="1"/>
    </row>
    <row r="1818" spans="4:6" x14ac:dyDescent="0.25">
      <c r="D1818" s="1"/>
      <c r="F1818" s="1"/>
    </row>
    <row r="1819" spans="4:6" x14ac:dyDescent="0.25">
      <c r="D1819" s="1"/>
      <c r="F1819" s="1"/>
    </row>
    <row r="1820" spans="4:6" x14ac:dyDescent="0.25">
      <c r="D1820" s="1"/>
      <c r="F1820" s="1"/>
    </row>
    <row r="1821" spans="4:6" x14ac:dyDescent="0.25">
      <c r="D1821" s="1"/>
      <c r="F1821" s="1"/>
    </row>
    <row r="1822" spans="4:6" x14ac:dyDescent="0.25">
      <c r="D1822" s="1"/>
      <c r="F1822" s="1"/>
    </row>
    <row r="1823" spans="4:6" x14ac:dyDescent="0.25">
      <c r="D1823" s="1"/>
      <c r="F1823" s="1"/>
    </row>
    <row r="1824" spans="4:6" x14ac:dyDescent="0.25">
      <c r="D1824" s="1"/>
      <c r="F1824" s="1"/>
    </row>
    <row r="1825" spans="4:6" x14ac:dyDescent="0.25">
      <c r="D1825" s="1"/>
      <c r="F1825" s="1"/>
    </row>
    <row r="1826" spans="4:6" x14ac:dyDescent="0.25">
      <c r="D1826" s="1"/>
      <c r="F1826" s="1"/>
    </row>
    <row r="1827" spans="4:6" x14ac:dyDescent="0.25">
      <c r="D1827" s="1"/>
      <c r="F1827" s="1"/>
    </row>
    <row r="1828" spans="4:6" x14ac:dyDescent="0.25">
      <c r="D1828" s="1"/>
      <c r="F1828" s="1"/>
    </row>
    <row r="1829" spans="4:6" x14ac:dyDescent="0.25">
      <c r="D1829" s="1"/>
      <c r="F1829" s="1"/>
    </row>
    <row r="1830" spans="4:6" x14ac:dyDescent="0.25">
      <c r="D1830" s="1"/>
      <c r="F1830" s="1"/>
    </row>
    <row r="1831" spans="4:6" x14ac:dyDescent="0.25">
      <c r="D1831" s="1"/>
      <c r="F1831" s="1"/>
    </row>
    <row r="1832" spans="4:6" x14ac:dyDescent="0.25">
      <c r="D1832" s="1"/>
      <c r="F1832" s="1"/>
    </row>
    <row r="1833" spans="4:6" x14ac:dyDescent="0.25">
      <c r="D1833" s="1"/>
      <c r="F1833" s="1"/>
    </row>
    <row r="1834" spans="4:6" x14ac:dyDescent="0.25">
      <c r="D1834" s="1"/>
      <c r="F1834" s="1"/>
    </row>
    <row r="1835" spans="4:6" x14ac:dyDescent="0.25">
      <c r="D1835" s="1"/>
      <c r="F1835" s="1"/>
    </row>
    <row r="1836" spans="4:6" x14ac:dyDescent="0.25">
      <c r="D1836" s="1"/>
      <c r="F1836" s="1"/>
    </row>
    <row r="1837" spans="4:6" x14ac:dyDescent="0.25">
      <c r="D1837" s="1"/>
      <c r="F1837" s="1"/>
    </row>
    <row r="1838" spans="4:6" x14ac:dyDescent="0.25">
      <c r="D1838" s="1"/>
      <c r="F1838" s="1"/>
    </row>
    <row r="1839" spans="4:6" x14ac:dyDescent="0.25">
      <c r="D1839" s="1"/>
      <c r="F1839" s="1"/>
    </row>
    <row r="1840" spans="4:6" x14ac:dyDescent="0.25">
      <c r="D1840" s="1"/>
      <c r="F1840" s="1"/>
    </row>
    <row r="1841" spans="4:6" x14ac:dyDescent="0.25">
      <c r="D1841" s="1"/>
      <c r="F1841" s="1"/>
    </row>
    <row r="1842" spans="4:6" x14ac:dyDescent="0.25">
      <c r="D1842" s="1"/>
      <c r="F1842" s="1"/>
    </row>
    <row r="1843" spans="4:6" x14ac:dyDescent="0.25">
      <c r="D1843" s="1"/>
      <c r="F1843" s="1"/>
    </row>
    <row r="1844" spans="4:6" x14ac:dyDescent="0.25">
      <c r="D1844" s="1"/>
      <c r="F1844" s="1"/>
    </row>
    <row r="1845" spans="4:6" x14ac:dyDescent="0.25">
      <c r="D1845" s="1"/>
      <c r="F1845" s="1"/>
    </row>
    <row r="1846" spans="4:6" x14ac:dyDescent="0.25">
      <c r="D1846" s="1"/>
      <c r="F1846" s="1"/>
    </row>
    <row r="1847" spans="4:6" x14ac:dyDescent="0.25">
      <c r="D1847" s="1"/>
      <c r="F1847" s="1"/>
    </row>
    <row r="1848" spans="4:6" x14ac:dyDescent="0.25">
      <c r="D1848" s="1"/>
      <c r="F1848" s="1"/>
    </row>
    <row r="1849" spans="4:6" x14ac:dyDescent="0.25">
      <c r="D1849" s="1"/>
      <c r="F1849" s="1"/>
    </row>
    <row r="1850" spans="4:6" x14ac:dyDescent="0.25">
      <c r="D1850" s="1"/>
      <c r="F1850" s="1"/>
    </row>
    <row r="1851" spans="4:6" x14ac:dyDescent="0.25">
      <c r="D1851" s="1"/>
      <c r="F1851" s="1"/>
    </row>
    <row r="1852" spans="4:6" x14ac:dyDescent="0.25">
      <c r="D1852" s="1"/>
      <c r="F1852" s="1"/>
    </row>
    <row r="1853" spans="4:6" x14ac:dyDescent="0.25">
      <c r="D1853" s="1"/>
      <c r="F1853" s="1"/>
    </row>
    <row r="1854" spans="4:6" x14ac:dyDescent="0.25">
      <c r="D1854" s="1"/>
      <c r="F1854" s="1"/>
    </row>
    <row r="1855" spans="4:6" x14ac:dyDescent="0.25">
      <c r="D1855" s="1"/>
      <c r="F1855" s="1"/>
    </row>
    <row r="1856" spans="4:6" x14ac:dyDescent="0.25">
      <c r="D1856" s="1"/>
      <c r="F1856" s="1"/>
    </row>
    <row r="1857" spans="4:6" x14ac:dyDescent="0.25">
      <c r="D1857" s="1"/>
      <c r="F1857" s="1"/>
    </row>
    <row r="1858" spans="4:6" x14ac:dyDescent="0.25">
      <c r="D1858" s="1"/>
      <c r="F1858" s="1"/>
    </row>
    <row r="1859" spans="4:6" x14ac:dyDescent="0.25">
      <c r="D1859" s="1"/>
      <c r="F1859" s="1"/>
    </row>
    <row r="1860" spans="4:6" x14ac:dyDescent="0.25">
      <c r="D1860" s="1"/>
      <c r="F1860" s="1"/>
    </row>
    <row r="1861" spans="4:6" x14ac:dyDescent="0.25">
      <c r="D1861" s="1"/>
      <c r="F1861" s="1"/>
    </row>
    <row r="1862" spans="4:6" x14ac:dyDescent="0.25">
      <c r="D1862" s="1"/>
      <c r="F1862" s="1"/>
    </row>
    <row r="1863" spans="4:6" x14ac:dyDescent="0.25">
      <c r="D1863" s="1"/>
      <c r="F1863" s="1"/>
    </row>
    <row r="1864" spans="4:6" x14ac:dyDescent="0.25">
      <c r="D1864" s="1"/>
      <c r="F1864" s="1"/>
    </row>
    <row r="1865" spans="4:6" x14ac:dyDescent="0.25">
      <c r="D1865" s="1"/>
      <c r="F1865" s="1"/>
    </row>
    <row r="1866" spans="4:6" x14ac:dyDescent="0.25">
      <c r="D1866" s="1"/>
      <c r="F1866" s="1"/>
    </row>
    <row r="1867" spans="4:6" x14ac:dyDescent="0.25">
      <c r="D1867" s="1"/>
      <c r="F1867" s="1"/>
    </row>
    <row r="1868" spans="4:6" x14ac:dyDescent="0.25">
      <c r="D1868" s="1"/>
      <c r="F1868" s="1"/>
    </row>
    <row r="1869" spans="4:6" x14ac:dyDescent="0.25">
      <c r="D1869" s="1"/>
      <c r="F1869" s="1"/>
    </row>
    <row r="1870" spans="4:6" x14ac:dyDescent="0.25">
      <c r="D1870" s="1"/>
      <c r="F1870" s="1"/>
    </row>
    <row r="1871" spans="4:6" x14ac:dyDescent="0.25">
      <c r="D1871" s="1"/>
      <c r="F1871" s="1"/>
    </row>
    <row r="1872" spans="4:6" x14ac:dyDescent="0.25">
      <c r="D1872" s="1"/>
      <c r="F1872" s="1"/>
    </row>
    <row r="1873" spans="4:6" x14ac:dyDescent="0.25">
      <c r="D1873" s="1"/>
      <c r="F1873" s="1"/>
    </row>
    <row r="1874" spans="4:6" x14ac:dyDescent="0.25">
      <c r="D1874" s="1"/>
      <c r="F1874" s="1"/>
    </row>
    <row r="1875" spans="4:6" x14ac:dyDescent="0.25">
      <c r="D1875" s="1"/>
      <c r="F1875" s="1"/>
    </row>
    <row r="1876" spans="4:6" x14ac:dyDescent="0.25">
      <c r="D1876" s="1"/>
      <c r="F1876" s="1"/>
    </row>
    <row r="1877" spans="4:6" x14ac:dyDescent="0.25">
      <c r="D1877" s="1"/>
      <c r="F1877" s="1"/>
    </row>
    <row r="1878" spans="4:6" x14ac:dyDescent="0.25">
      <c r="D1878" s="1"/>
      <c r="F1878" s="1"/>
    </row>
    <row r="1879" spans="4:6" x14ac:dyDescent="0.25">
      <c r="D1879" s="1"/>
      <c r="F1879" s="1"/>
    </row>
    <row r="1880" spans="4:6" x14ac:dyDescent="0.25">
      <c r="D1880" s="1"/>
      <c r="F1880" s="1"/>
    </row>
    <row r="1881" spans="4:6" x14ac:dyDescent="0.25">
      <c r="D1881" s="1"/>
      <c r="F1881" s="1"/>
    </row>
    <row r="1882" spans="4:6" x14ac:dyDescent="0.25">
      <c r="D1882" s="1"/>
      <c r="F1882" s="1"/>
    </row>
    <row r="1883" spans="4:6" x14ac:dyDescent="0.25">
      <c r="D1883" s="1"/>
      <c r="F1883" s="1"/>
    </row>
    <row r="1884" spans="4:6" x14ac:dyDescent="0.25">
      <c r="D1884" s="1"/>
      <c r="F1884" s="1"/>
    </row>
    <row r="1885" spans="4:6" x14ac:dyDescent="0.25">
      <c r="D1885" s="1"/>
      <c r="F1885" s="1"/>
    </row>
    <row r="1886" spans="4:6" x14ac:dyDescent="0.25">
      <c r="D1886" s="1"/>
      <c r="F1886" s="1"/>
    </row>
    <row r="1887" spans="4:6" x14ac:dyDescent="0.25">
      <c r="D1887" s="1"/>
      <c r="F1887" s="1"/>
    </row>
    <row r="1888" spans="4:6" x14ac:dyDescent="0.25">
      <c r="D1888" s="1"/>
      <c r="F1888" s="1"/>
    </row>
    <row r="1889" spans="4:6" x14ac:dyDescent="0.25">
      <c r="D1889" s="1"/>
      <c r="F1889" s="1"/>
    </row>
    <row r="1890" spans="4:6" x14ac:dyDescent="0.25">
      <c r="D1890" s="1"/>
      <c r="F1890" s="1"/>
    </row>
    <row r="1891" spans="4:6" x14ac:dyDescent="0.25">
      <c r="D1891" s="1"/>
      <c r="F1891" s="1"/>
    </row>
    <row r="1892" spans="4:6" x14ac:dyDescent="0.25">
      <c r="D1892" s="1"/>
      <c r="F1892" s="1"/>
    </row>
    <row r="1893" spans="4:6" x14ac:dyDescent="0.25">
      <c r="D1893" s="1"/>
      <c r="F1893" s="1"/>
    </row>
    <row r="1894" spans="4:6" x14ac:dyDescent="0.25">
      <c r="D1894" s="1"/>
      <c r="F1894" s="1"/>
    </row>
    <row r="1895" spans="4:6" x14ac:dyDescent="0.25">
      <c r="D1895" s="1"/>
      <c r="F1895" s="1"/>
    </row>
    <row r="1896" spans="4:6" x14ac:dyDescent="0.25">
      <c r="D1896" s="1"/>
      <c r="F1896" s="1"/>
    </row>
    <row r="1897" spans="4:6" x14ac:dyDescent="0.25">
      <c r="D1897" s="1"/>
      <c r="F1897" s="1"/>
    </row>
    <row r="1898" spans="4:6" x14ac:dyDescent="0.25">
      <c r="D1898" s="1"/>
      <c r="F1898" s="1"/>
    </row>
    <row r="1899" spans="4:6" x14ac:dyDescent="0.25">
      <c r="D1899" s="1"/>
      <c r="F1899" s="1"/>
    </row>
    <row r="1900" spans="4:6" x14ac:dyDescent="0.25">
      <c r="D1900" s="1"/>
      <c r="F1900" s="1"/>
    </row>
    <row r="1901" spans="4:6" x14ac:dyDescent="0.25">
      <c r="D1901" s="1"/>
      <c r="F1901" s="1"/>
    </row>
    <row r="1902" spans="4:6" x14ac:dyDescent="0.25">
      <c r="D1902" s="1"/>
      <c r="F1902" s="1"/>
    </row>
    <row r="1903" spans="4:6" x14ac:dyDescent="0.25">
      <c r="D1903" s="1"/>
      <c r="F1903" s="1"/>
    </row>
    <row r="1904" spans="4:6" x14ac:dyDescent="0.25">
      <c r="D1904" s="1"/>
      <c r="F1904" s="1"/>
    </row>
    <row r="1905" spans="4:6" x14ac:dyDescent="0.25">
      <c r="D1905" s="1"/>
      <c r="F1905" s="1"/>
    </row>
    <row r="1906" spans="4:6" x14ac:dyDescent="0.25">
      <c r="D1906" s="1"/>
      <c r="F1906" s="1"/>
    </row>
    <row r="1907" spans="4:6" x14ac:dyDescent="0.25">
      <c r="D1907" s="1"/>
      <c r="F1907" s="1"/>
    </row>
    <row r="1908" spans="4:6" x14ac:dyDescent="0.25">
      <c r="D1908" s="1"/>
      <c r="F1908" s="1"/>
    </row>
    <row r="1909" spans="4:6" x14ac:dyDescent="0.25">
      <c r="D1909" s="1"/>
      <c r="F1909" s="1"/>
    </row>
    <row r="1910" spans="4:6" x14ac:dyDescent="0.25">
      <c r="D1910" s="1"/>
      <c r="F1910" s="1"/>
    </row>
    <row r="1911" spans="4:6" x14ac:dyDescent="0.25">
      <c r="D1911" s="1"/>
      <c r="F1911" s="1"/>
    </row>
    <row r="1912" spans="4:6" x14ac:dyDescent="0.25">
      <c r="D1912" s="1"/>
      <c r="F1912" s="1"/>
    </row>
    <row r="1913" spans="4:6" x14ac:dyDescent="0.25">
      <c r="D1913" s="1"/>
      <c r="F1913" s="1"/>
    </row>
    <row r="1914" spans="4:6" x14ac:dyDescent="0.25">
      <c r="D1914" s="1"/>
      <c r="F1914" s="1"/>
    </row>
    <row r="1915" spans="4:6" x14ac:dyDescent="0.25">
      <c r="D1915" s="1"/>
      <c r="F1915" s="1"/>
    </row>
    <row r="1916" spans="4:6" x14ac:dyDescent="0.25">
      <c r="D1916" s="1"/>
      <c r="F1916" s="1"/>
    </row>
    <row r="1917" spans="4:6" x14ac:dyDescent="0.25">
      <c r="D1917" s="1"/>
      <c r="F1917" s="1"/>
    </row>
    <row r="1918" spans="4:6" x14ac:dyDescent="0.25">
      <c r="D1918" s="1"/>
      <c r="F1918" s="1"/>
    </row>
    <row r="1919" spans="4:6" x14ac:dyDescent="0.25">
      <c r="D1919" s="1"/>
      <c r="F1919" s="1"/>
    </row>
    <row r="1920" spans="4:6" x14ac:dyDescent="0.25">
      <c r="D1920" s="1"/>
      <c r="F1920" s="1"/>
    </row>
    <row r="1921" spans="4:6" x14ac:dyDescent="0.25">
      <c r="D1921" s="1"/>
      <c r="F1921" s="1"/>
    </row>
    <row r="1922" spans="4:6" x14ac:dyDescent="0.25">
      <c r="D1922" s="1"/>
      <c r="F1922" s="1"/>
    </row>
    <row r="1923" spans="4:6" x14ac:dyDescent="0.25">
      <c r="D1923" s="1"/>
      <c r="F1923" s="1"/>
    </row>
    <row r="1924" spans="4:6" x14ac:dyDescent="0.25">
      <c r="D1924" s="1"/>
      <c r="F1924" s="1"/>
    </row>
    <row r="1925" spans="4:6" x14ac:dyDescent="0.25">
      <c r="D1925" s="1"/>
      <c r="F1925" s="1"/>
    </row>
    <row r="1926" spans="4:6" x14ac:dyDescent="0.25">
      <c r="D1926" s="1"/>
      <c r="F1926" s="1"/>
    </row>
    <row r="1927" spans="4:6" x14ac:dyDescent="0.25">
      <c r="D1927" s="1"/>
      <c r="F1927" s="1"/>
    </row>
    <row r="1928" spans="4:6" x14ac:dyDescent="0.25">
      <c r="D1928" s="1"/>
      <c r="F1928" s="1"/>
    </row>
    <row r="1929" spans="4:6" x14ac:dyDescent="0.25">
      <c r="D1929" s="1"/>
      <c r="F1929" s="1"/>
    </row>
    <row r="1930" spans="4:6" x14ac:dyDescent="0.25">
      <c r="D1930" s="1"/>
      <c r="F1930" s="1"/>
    </row>
    <row r="1931" spans="4:6" x14ac:dyDescent="0.25">
      <c r="D1931" s="1"/>
      <c r="F1931" s="1"/>
    </row>
    <row r="1932" spans="4:6" x14ac:dyDescent="0.25">
      <c r="D1932" s="1"/>
      <c r="F1932" s="1"/>
    </row>
    <row r="1933" spans="4:6" x14ac:dyDescent="0.25">
      <c r="D1933" s="1"/>
      <c r="F1933" s="1"/>
    </row>
    <row r="1934" spans="4:6" x14ac:dyDescent="0.25">
      <c r="D1934" s="1"/>
      <c r="F1934" s="1"/>
    </row>
    <row r="1935" spans="4:6" x14ac:dyDescent="0.25">
      <c r="D1935" s="1"/>
      <c r="F1935" s="1"/>
    </row>
    <row r="1936" spans="4:6" x14ac:dyDescent="0.25">
      <c r="D1936" s="1"/>
      <c r="F1936" s="1"/>
    </row>
    <row r="1937" spans="4:6" x14ac:dyDescent="0.25">
      <c r="D1937" s="1"/>
      <c r="F1937" s="1"/>
    </row>
    <row r="1938" spans="4:6" x14ac:dyDescent="0.25">
      <c r="D1938" s="1"/>
      <c r="F1938" s="1"/>
    </row>
    <row r="1939" spans="4:6" x14ac:dyDescent="0.25">
      <c r="D1939" s="1"/>
      <c r="F1939" s="1"/>
    </row>
    <row r="1940" spans="4:6" x14ac:dyDescent="0.25">
      <c r="D1940" s="1"/>
      <c r="F1940" s="1"/>
    </row>
    <row r="1941" spans="4:6" x14ac:dyDescent="0.25">
      <c r="D1941" s="1"/>
      <c r="F1941" s="1"/>
    </row>
    <row r="1942" spans="4:6" x14ac:dyDescent="0.25">
      <c r="D1942" s="1"/>
      <c r="F1942" s="1"/>
    </row>
    <row r="1943" spans="4:6" x14ac:dyDescent="0.25">
      <c r="D1943" s="1"/>
      <c r="F1943" s="1"/>
    </row>
    <row r="1944" spans="4:6" x14ac:dyDescent="0.25">
      <c r="D1944" s="1"/>
      <c r="F1944" s="1"/>
    </row>
    <row r="1945" spans="4:6" x14ac:dyDescent="0.25">
      <c r="D1945" s="1"/>
      <c r="F1945" s="1"/>
    </row>
    <row r="1946" spans="4:6" x14ac:dyDescent="0.25">
      <c r="D1946" s="1"/>
      <c r="F1946" s="1"/>
    </row>
    <row r="1947" spans="4:6" x14ac:dyDescent="0.25">
      <c r="D1947" s="1"/>
      <c r="F1947" s="1"/>
    </row>
    <row r="1948" spans="4:6" x14ac:dyDescent="0.25">
      <c r="D1948" s="1"/>
      <c r="F1948" s="1"/>
    </row>
    <row r="1949" spans="4:6" x14ac:dyDescent="0.25">
      <c r="D1949" s="1"/>
      <c r="F1949" s="1"/>
    </row>
    <row r="1950" spans="4:6" x14ac:dyDescent="0.25">
      <c r="D1950" s="1"/>
      <c r="F1950" s="1"/>
    </row>
    <row r="1951" spans="4:6" x14ac:dyDescent="0.25">
      <c r="D1951" s="1"/>
      <c r="F1951" s="1"/>
    </row>
    <row r="1952" spans="4:6" x14ac:dyDescent="0.25">
      <c r="D1952" s="1"/>
      <c r="F1952" s="1"/>
    </row>
    <row r="1953" spans="4:6" x14ac:dyDescent="0.25">
      <c r="D1953" s="1"/>
      <c r="F1953" s="1"/>
    </row>
    <row r="1954" spans="4:6" x14ac:dyDescent="0.25">
      <c r="D1954" s="1"/>
      <c r="F1954" s="1"/>
    </row>
    <row r="1955" spans="4:6" x14ac:dyDescent="0.25">
      <c r="D1955" s="1"/>
      <c r="F1955" s="1"/>
    </row>
    <row r="1956" spans="4:6" x14ac:dyDescent="0.25">
      <c r="D1956" s="1"/>
      <c r="F1956" s="1"/>
    </row>
    <row r="1957" spans="4:6" x14ac:dyDescent="0.25">
      <c r="D1957" s="1"/>
      <c r="F1957" s="1"/>
    </row>
    <row r="1958" spans="4:6" x14ac:dyDescent="0.25">
      <c r="D1958" s="1"/>
      <c r="F1958" s="1"/>
    </row>
    <row r="1959" spans="4:6" x14ac:dyDescent="0.25">
      <c r="D1959" s="1"/>
      <c r="F1959" s="1"/>
    </row>
    <row r="1960" spans="4:6" x14ac:dyDescent="0.25">
      <c r="D1960" s="1"/>
      <c r="F1960" s="1"/>
    </row>
    <row r="1961" spans="4:6" x14ac:dyDescent="0.25">
      <c r="D1961" s="1"/>
      <c r="F1961" s="1"/>
    </row>
    <row r="1962" spans="4:6" x14ac:dyDescent="0.25">
      <c r="D1962" s="1"/>
      <c r="F1962" s="1"/>
    </row>
    <row r="1963" spans="4:6" x14ac:dyDescent="0.25">
      <c r="D1963" s="1"/>
      <c r="F1963" s="1"/>
    </row>
    <row r="1964" spans="4:6" x14ac:dyDescent="0.25">
      <c r="D1964" s="1"/>
      <c r="F1964" s="1"/>
    </row>
    <row r="1965" spans="4:6" x14ac:dyDescent="0.25">
      <c r="D1965" s="1"/>
      <c r="F1965" s="1"/>
    </row>
    <row r="1966" spans="4:6" x14ac:dyDescent="0.25">
      <c r="D1966" s="1"/>
      <c r="F1966" s="1"/>
    </row>
    <row r="1967" spans="4:6" x14ac:dyDescent="0.25">
      <c r="D1967" s="1"/>
      <c r="F1967" s="1"/>
    </row>
    <row r="1968" spans="4:6" x14ac:dyDescent="0.25">
      <c r="D1968" s="1"/>
      <c r="F1968" s="1"/>
    </row>
    <row r="1969" spans="4:6" x14ac:dyDescent="0.25">
      <c r="D1969" s="1"/>
      <c r="F1969" s="1"/>
    </row>
    <row r="1970" spans="4:6" x14ac:dyDescent="0.25">
      <c r="D1970" s="1"/>
      <c r="F1970" s="1"/>
    </row>
    <row r="1971" spans="4:6" x14ac:dyDescent="0.25">
      <c r="D1971" s="1"/>
      <c r="F1971" s="1"/>
    </row>
    <row r="1972" spans="4:6" x14ac:dyDescent="0.25">
      <c r="D1972" s="1"/>
      <c r="F1972" s="1"/>
    </row>
    <row r="1973" spans="4:6" x14ac:dyDescent="0.25">
      <c r="D1973" s="1"/>
      <c r="F1973" s="1"/>
    </row>
    <row r="1974" spans="4:6" x14ac:dyDescent="0.25">
      <c r="D1974" s="1"/>
      <c r="F1974" s="1"/>
    </row>
    <row r="1975" spans="4:6" x14ac:dyDescent="0.25">
      <c r="D1975" s="1"/>
      <c r="F1975" s="1"/>
    </row>
    <row r="1976" spans="4:6" x14ac:dyDescent="0.25">
      <c r="D1976" s="1"/>
      <c r="F1976" s="1"/>
    </row>
    <row r="1977" spans="4:6" x14ac:dyDescent="0.25">
      <c r="D1977" s="1"/>
      <c r="F1977" s="1"/>
    </row>
    <row r="1978" spans="4:6" x14ac:dyDescent="0.25">
      <c r="D1978" s="1"/>
      <c r="F1978" s="1"/>
    </row>
    <row r="1979" spans="4:6" x14ac:dyDescent="0.25">
      <c r="D1979" s="1"/>
      <c r="F1979" s="1"/>
    </row>
    <row r="1980" spans="4:6" x14ac:dyDescent="0.25">
      <c r="D1980" s="1"/>
      <c r="F1980" s="1"/>
    </row>
    <row r="1981" spans="4:6" x14ac:dyDescent="0.25">
      <c r="D1981" s="1"/>
      <c r="F1981" s="1"/>
    </row>
    <row r="1982" spans="4:6" x14ac:dyDescent="0.25">
      <c r="D1982" s="1"/>
      <c r="F1982" s="1"/>
    </row>
    <row r="1983" spans="4:6" x14ac:dyDescent="0.25">
      <c r="D1983" s="1"/>
      <c r="F1983" s="1"/>
    </row>
    <row r="1984" spans="4:6" x14ac:dyDescent="0.25">
      <c r="D1984" s="1"/>
      <c r="F1984" s="1"/>
    </row>
    <row r="1985" spans="4:6" x14ac:dyDescent="0.25">
      <c r="D1985" s="1"/>
      <c r="F1985" s="1"/>
    </row>
    <row r="1986" spans="4:6" x14ac:dyDescent="0.25">
      <c r="D1986" s="1"/>
      <c r="F1986" s="1"/>
    </row>
    <row r="1987" spans="4:6" x14ac:dyDescent="0.25">
      <c r="D1987" s="1"/>
      <c r="F1987" s="1"/>
    </row>
    <row r="1988" spans="4:6" x14ac:dyDescent="0.25">
      <c r="D1988" s="1"/>
      <c r="F1988" s="1"/>
    </row>
    <row r="1989" spans="4:6" x14ac:dyDescent="0.25">
      <c r="D1989" s="1"/>
      <c r="F1989" s="1"/>
    </row>
    <row r="1990" spans="4:6" x14ac:dyDescent="0.25">
      <c r="D1990" s="1"/>
      <c r="F1990" s="1"/>
    </row>
    <row r="1991" spans="4:6" x14ac:dyDescent="0.25">
      <c r="D1991" s="1"/>
      <c r="F1991" s="1"/>
    </row>
    <row r="1992" spans="4:6" x14ac:dyDescent="0.25">
      <c r="D1992" s="1"/>
      <c r="F1992" s="1"/>
    </row>
    <row r="1993" spans="4:6" x14ac:dyDescent="0.25">
      <c r="D1993" s="1"/>
      <c r="F1993" s="1"/>
    </row>
    <row r="1994" spans="4:6" x14ac:dyDescent="0.25">
      <c r="D1994" s="1"/>
      <c r="F1994" s="1"/>
    </row>
    <row r="1995" spans="4:6" x14ac:dyDescent="0.25">
      <c r="D1995" s="1"/>
      <c r="F1995" s="1"/>
    </row>
    <row r="1996" spans="4:6" x14ac:dyDescent="0.25">
      <c r="D1996" s="1"/>
      <c r="F1996" s="1"/>
    </row>
    <row r="1997" spans="4:6" x14ac:dyDescent="0.25">
      <c r="D1997" s="1"/>
      <c r="F1997" s="1"/>
    </row>
    <row r="1998" spans="4:6" x14ac:dyDescent="0.25">
      <c r="D1998" s="1"/>
      <c r="F1998" s="1"/>
    </row>
    <row r="1999" spans="4:6" x14ac:dyDescent="0.25">
      <c r="D1999" s="1"/>
      <c r="F1999" s="1"/>
    </row>
    <row r="2000" spans="4:6" x14ac:dyDescent="0.25">
      <c r="D2000" s="1"/>
      <c r="F2000" s="1"/>
    </row>
    <row r="2001" spans="4:6" x14ac:dyDescent="0.25">
      <c r="D2001" s="1"/>
      <c r="F2001" s="1"/>
    </row>
    <row r="2002" spans="4:6" x14ac:dyDescent="0.25">
      <c r="D2002" s="1"/>
      <c r="F2002" s="1"/>
    </row>
    <row r="2003" spans="4:6" x14ac:dyDescent="0.25">
      <c r="D2003" s="1"/>
      <c r="F2003" s="1"/>
    </row>
    <row r="2004" spans="4:6" x14ac:dyDescent="0.25">
      <c r="D2004" s="1"/>
      <c r="F2004" s="1"/>
    </row>
    <row r="2005" spans="4:6" x14ac:dyDescent="0.25">
      <c r="D2005" s="1"/>
      <c r="F2005" s="1"/>
    </row>
    <row r="2006" spans="4:6" x14ac:dyDescent="0.25">
      <c r="D2006" s="1"/>
      <c r="F2006" s="1"/>
    </row>
    <row r="2007" spans="4:6" x14ac:dyDescent="0.25">
      <c r="D2007" s="1"/>
      <c r="F2007" s="1"/>
    </row>
    <row r="2008" spans="4:6" x14ac:dyDescent="0.25">
      <c r="D2008" s="1"/>
      <c r="F2008" s="1"/>
    </row>
    <row r="2009" spans="4:6" x14ac:dyDescent="0.25">
      <c r="D2009" s="1"/>
      <c r="F2009" s="1"/>
    </row>
    <row r="2010" spans="4:6" x14ac:dyDescent="0.25">
      <c r="D2010" s="1"/>
      <c r="F2010" s="1"/>
    </row>
    <row r="2011" spans="4:6" x14ac:dyDescent="0.25">
      <c r="D2011" s="1"/>
      <c r="F2011" s="1"/>
    </row>
    <row r="2012" spans="4:6" x14ac:dyDescent="0.25">
      <c r="D2012" s="1"/>
      <c r="F2012" s="1"/>
    </row>
    <row r="2013" spans="4:6" x14ac:dyDescent="0.25">
      <c r="D2013" s="1"/>
      <c r="F2013" s="1"/>
    </row>
    <row r="2014" spans="4:6" x14ac:dyDescent="0.25">
      <c r="D2014" s="1"/>
      <c r="F2014" s="1"/>
    </row>
    <row r="2015" spans="4:6" x14ac:dyDescent="0.25">
      <c r="D2015" s="1"/>
      <c r="F2015" s="1"/>
    </row>
    <row r="2016" spans="4:6" x14ac:dyDescent="0.25">
      <c r="D2016" s="1"/>
      <c r="F2016" s="1"/>
    </row>
    <row r="2017" spans="4:6" x14ac:dyDescent="0.25">
      <c r="D2017" s="1"/>
      <c r="F2017" s="1"/>
    </row>
    <row r="2018" spans="4:6" x14ac:dyDescent="0.25">
      <c r="D2018" s="1"/>
      <c r="F2018" s="1"/>
    </row>
    <row r="2019" spans="4:6" x14ac:dyDescent="0.25">
      <c r="D2019" s="1"/>
      <c r="F2019" s="1"/>
    </row>
    <row r="2020" spans="4:6" x14ac:dyDescent="0.25">
      <c r="D2020" s="1"/>
      <c r="F2020" s="1"/>
    </row>
    <row r="2021" spans="4:6" x14ac:dyDescent="0.25">
      <c r="D2021" s="1"/>
      <c r="F2021" s="1"/>
    </row>
    <row r="2022" spans="4:6" x14ac:dyDescent="0.25">
      <c r="D2022" s="1"/>
      <c r="F2022" s="1"/>
    </row>
    <row r="2023" spans="4:6" x14ac:dyDescent="0.25">
      <c r="D2023" s="1"/>
      <c r="F2023" s="1"/>
    </row>
    <row r="2024" spans="4:6" x14ac:dyDescent="0.25">
      <c r="D2024" s="1"/>
      <c r="F2024" s="1"/>
    </row>
    <row r="2025" spans="4:6" x14ac:dyDescent="0.25">
      <c r="D2025" s="1"/>
      <c r="F2025" s="1"/>
    </row>
    <row r="2026" spans="4:6" x14ac:dyDescent="0.25">
      <c r="D2026" s="1"/>
      <c r="F2026" s="1"/>
    </row>
    <row r="2027" spans="4:6" x14ac:dyDescent="0.25">
      <c r="D2027" s="1"/>
      <c r="F2027" s="1"/>
    </row>
    <row r="2028" spans="4:6" x14ac:dyDescent="0.25">
      <c r="D2028" s="1"/>
      <c r="F2028" s="1"/>
    </row>
    <row r="2029" spans="4:6" x14ac:dyDescent="0.25">
      <c r="D2029" s="1"/>
      <c r="F2029" s="1"/>
    </row>
    <row r="2030" spans="4:6" x14ac:dyDescent="0.25">
      <c r="D2030" s="1"/>
      <c r="F2030" s="1"/>
    </row>
    <row r="2031" spans="4:6" x14ac:dyDescent="0.25">
      <c r="D2031" s="1"/>
      <c r="F2031" s="1"/>
    </row>
    <row r="2032" spans="4:6" x14ac:dyDescent="0.25">
      <c r="D2032" s="1"/>
      <c r="F2032" s="1"/>
    </row>
    <row r="2033" spans="4:6" x14ac:dyDescent="0.25">
      <c r="D2033" s="1"/>
      <c r="F2033" s="1"/>
    </row>
    <row r="2034" spans="4:6" x14ac:dyDescent="0.25">
      <c r="D2034" s="1"/>
      <c r="F2034" s="1"/>
    </row>
    <row r="2035" spans="4:6" x14ac:dyDescent="0.25">
      <c r="D2035" s="1"/>
      <c r="F2035" s="1"/>
    </row>
    <row r="2036" spans="4:6" x14ac:dyDescent="0.25">
      <c r="D2036" s="1"/>
      <c r="F2036" s="1"/>
    </row>
    <row r="2037" spans="4:6" x14ac:dyDescent="0.25">
      <c r="D2037" s="1"/>
      <c r="F2037" s="1"/>
    </row>
    <row r="2038" spans="4:6" x14ac:dyDescent="0.25">
      <c r="D2038" s="1"/>
      <c r="F2038" s="1"/>
    </row>
    <row r="2039" spans="4:6" x14ac:dyDescent="0.25">
      <c r="D2039" s="1"/>
      <c r="F2039" s="1"/>
    </row>
    <row r="2040" spans="4:6" x14ac:dyDescent="0.25">
      <c r="D2040" s="1"/>
      <c r="F2040" s="1"/>
    </row>
    <row r="2041" spans="4:6" x14ac:dyDescent="0.25">
      <c r="D2041" s="1"/>
      <c r="F2041" s="1"/>
    </row>
    <row r="2042" spans="4:6" x14ac:dyDescent="0.25">
      <c r="D2042" s="1"/>
      <c r="F2042" s="1"/>
    </row>
    <row r="2043" spans="4:6" x14ac:dyDescent="0.25">
      <c r="D2043" s="1"/>
      <c r="F2043" s="1"/>
    </row>
    <row r="2044" spans="4:6" x14ac:dyDescent="0.25">
      <c r="D2044" s="1"/>
      <c r="F2044" s="1"/>
    </row>
    <row r="2045" spans="4:6" x14ac:dyDescent="0.25">
      <c r="D2045" s="1"/>
      <c r="F2045" s="1"/>
    </row>
    <row r="2046" spans="4:6" x14ac:dyDescent="0.25">
      <c r="D2046" s="1"/>
      <c r="F2046" s="1"/>
    </row>
    <row r="2047" spans="4:6" x14ac:dyDescent="0.25">
      <c r="D2047" s="1"/>
      <c r="F2047" s="1"/>
    </row>
    <row r="2048" spans="4:6" x14ac:dyDescent="0.25">
      <c r="D2048" s="1"/>
      <c r="F2048" s="1"/>
    </row>
    <row r="2049" spans="4:6" x14ac:dyDescent="0.25">
      <c r="D2049" s="1"/>
      <c r="F2049" s="1"/>
    </row>
    <row r="2050" spans="4:6" x14ac:dyDescent="0.25">
      <c r="D2050" s="1"/>
      <c r="F2050" s="1"/>
    </row>
    <row r="2051" spans="4:6" x14ac:dyDescent="0.25">
      <c r="D2051" s="1"/>
      <c r="F2051" s="1"/>
    </row>
    <row r="2052" spans="4:6" x14ac:dyDescent="0.25">
      <c r="D2052" s="1"/>
      <c r="F2052" s="1"/>
    </row>
    <row r="2053" spans="4:6" x14ac:dyDescent="0.25">
      <c r="D2053" s="1"/>
      <c r="F2053" s="1"/>
    </row>
    <row r="2054" spans="4:6" x14ac:dyDescent="0.25">
      <c r="D2054" s="1"/>
      <c r="F2054" s="1"/>
    </row>
    <row r="2055" spans="4:6" x14ac:dyDescent="0.25">
      <c r="D2055" s="1"/>
      <c r="F2055" s="1"/>
    </row>
    <row r="2056" spans="4:6" x14ac:dyDescent="0.25">
      <c r="D2056" s="1"/>
      <c r="F2056" s="1"/>
    </row>
    <row r="2057" spans="4:6" x14ac:dyDescent="0.25">
      <c r="D2057" s="1"/>
      <c r="F2057" s="1"/>
    </row>
    <row r="2058" spans="4:6" x14ac:dyDescent="0.25">
      <c r="D2058" s="1"/>
      <c r="F2058" s="1"/>
    </row>
    <row r="2059" spans="4:6" x14ac:dyDescent="0.25">
      <c r="D2059" s="1"/>
      <c r="F2059" s="1"/>
    </row>
    <row r="2060" spans="4:6" x14ac:dyDescent="0.25">
      <c r="D2060" s="1"/>
      <c r="F2060" s="1"/>
    </row>
    <row r="2061" spans="4:6" x14ac:dyDescent="0.25">
      <c r="D2061" s="1"/>
      <c r="F2061" s="1"/>
    </row>
    <row r="2062" spans="4:6" x14ac:dyDescent="0.25">
      <c r="D2062" s="1"/>
      <c r="F2062" s="1"/>
    </row>
    <row r="2063" spans="4:6" x14ac:dyDescent="0.25">
      <c r="D2063" s="1"/>
      <c r="F2063" s="1"/>
    </row>
    <row r="2064" spans="4:6" x14ac:dyDescent="0.25">
      <c r="D2064" s="1"/>
      <c r="F2064" s="1"/>
    </row>
    <row r="2065" spans="4:6" x14ac:dyDescent="0.25">
      <c r="D2065" s="1"/>
      <c r="F2065" s="1"/>
    </row>
    <row r="2066" spans="4:6" x14ac:dyDescent="0.25">
      <c r="D2066" s="1"/>
      <c r="F2066" s="1"/>
    </row>
    <row r="2067" spans="4:6" x14ac:dyDescent="0.25">
      <c r="D2067" s="1"/>
      <c r="F2067" s="1"/>
    </row>
    <row r="2068" spans="4:6" x14ac:dyDescent="0.25">
      <c r="D2068" s="1"/>
      <c r="F2068" s="1"/>
    </row>
    <row r="2069" spans="4:6" x14ac:dyDescent="0.25">
      <c r="D2069" s="1"/>
      <c r="F2069" s="1"/>
    </row>
    <row r="2070" spans="4:6" x14ac:dyDescent="0.25">
      <c r="D2070" s="1"/>
      <c r="F2070" s="1"/>
    </row>
    <row r="2071" spans="4:6" x14ac:dyDescent="0.25">
      <c r="D2071" s="1"/>
      <c r="F2071" s="1"/>
    </row>
    <row r="2072" spans="4:6" x14ac:dyDescent="0.25">
      <c r="D2072" s="1"/>
      <c r="F2072" s="1"/>
    </row>
    <row r="2073" spans="4:6" x14ac:dyDescent="0.25">
      <c r="D2073" s="1"/>
      <c r="F2073" s="1"/>
    </row>
    <row r="2074" spans="4:6" x14ac:dyDescent="0.25">
      <c r="D2074" s="1"/>
      <c r="F2074" s="1"/>
    </row>
    <row r="2075" spans="4:6" x14ac:dyDescent="0.25">
      <c r="D2075" s="1"/>
      <c r="F2075" s="1"/>
    </row>
    <row r="2076" spans="4:6" x14ac:dyDescent="0.25">
      <c r="D2076" s="1"/>
      <c r="F2076" s="1"/>
    </row>
    <row r="2077" spans="4:6" x14ac:dyDescent="0.25">
      <c r="D2077" s="1"/>
      <c r="F2077" s="1"/>
    </row>
    <row r="2078" spans="4:6" x14ac:dyDescent="0.25">
      <c r="D2078" s="1"/>
      <c r="F2078" s="1"/>
    </row>
    <row r="2079" spans="4:6" x14ac:dyDescent="0.25">
      <c r="D2079" s="1"/>
      <c r="F2079" s="1"/>
    </row>
    <row r="2080" spans="4:6" x14ac:dyDescent="0.25">
      <c r="D2080" s="1"/>
      <c r="F2080" s="1"/>
    </row>
    <row r="2081" spans="4:6" x14ac:dyDescent="0.25">
      <c r="D2081" s="1"/>
      <c r="F2081" s="1"/>
    </row>
    <row r="2082" spans="4:6" x14ac:dyDescent="0.25">
      <c r="D2082" s="1"/>
      <c r="F2082" s="1"/>
    </row>
    <row r="2083" spans="4:6" x14ac:dyDescent="0.25">
      <c r="D2083" s="1"/>
      <c r="F2083" s="1"/>
    </row>
    <row r="2084" spans="4:6" x14ac:dyDescent="0.25">
      <c r="D2084" s="1"/>
      <c r="F2084" s="1"/>
    </row>
    <row r="2085" spans="4:6" x14ac:dyDescent="0.25">
      <c r="D2085" s="1"/>
      <c r="F2085" s="1"/>
    </row>
    <row r="2086" spans="4:6" x14ac:dyDescent="0.25">
      <c r="D2086" s="1"/>
      <c r="F2086" s="1"/>
    </row>
    <row r="2087" spans="4:6" x14ac:dyDescent="0.25">
      <c r="D2087" s="1"/>
      <c r="F2087" s="1"/>
    </row>
    <row r="2088" spans="4:6" x14ac:dyDescent="0.25">
      <c r="D2088" s="1"/>
      <c r="F2088" s="1"/>
    </row>
    <row r="2089" spans="4:6" x14ac:dyDescent="0.25">
      <c r="D2089" s="1"/>
      <c r="F2089" s="1"/>
    </row>
    <row r="2090" spans="4:6" x14ac:dyDescent="0.25">
      <c r="D2090" s="1"/>
      <c r="F2090" s="1"/>
    </row>
    <row r="2091" spans="4:6" x14ac:dyDescent="0.25">
      <c r="D2091" s="1"/>
      <c r="F2091" s="1"/>
    </row>
    <row r="2092" spans="4:6" x14ac:dyDescent="0.25">
      <c r="D2092" s="1"/>
      <c r="F2092" s="1"/>
    </row>
    <row r="2093" spans="4:6" x14ac:dyDescent="0.25">
      <c r="D2093" s="1"/>
      <c r="F2093" s="1"/>
    </row>
    <row r="2094" spans="4:6" x14ac:dyDescent="0.25">
      <c r="D2094" s="1"/>
      <c r="F2094" s="1"/>
    </row>
    <row r="2095" spans="4:6" x14ac:dyDescent="0.25">
      <c r="D2095" s="1"/>
      <c r="F2095" s="1"/>
    </row>
    <row r="2096" spans="4:6" x14ac:dyDescent="0.25">
      <c r="D2096" s="1"/>
      <c r="F2096" s="1"/>
    </row>
    <row r="2097" spans="4:6" x14ac:dyDescent="0.25">
      <c r="D2097" s="1"/>
      <c r="F2097" s="1"/>
    </row>
    <row r="2098" spans="4:6" x14ac:dyDescent="0.25">
      <c r="D2098" s="1"/>
      <c r="F2098" s="1"/>
    </row>
    <row r="2099" spans="4:6" x14ac:dyDescent="0.25">
      <c r="D2099" s="1"/>
      <c r="F2099" s="1"/>
    </row>
    <row r="2100" spans="4:6" x14ac:dyDescent="0.25">
      <c r="D2100" s="1"/>
      <c r="F2100" s="1"/>
    </row>
    <row r="2101" spans="4:6" x14ac:dyDescent="0.25">
      <c r="D2101" s="1"/>
      <c r="F2101" s="1"/>
    </row>
    <row r="2102" spans="4:6" x14ac:dyDescent="0.25">
      <c r="D2102" s="1"/>
      <c r="F2102" s="1"/>
    </row>
    <row r="2103" spans="4:6" x14ac:dyDescent="0.25">
      <c r="D2103" s="1"/>
      <c r="F2103" s="1"/>
    </row>
    <row r="2104" spans="4:6" x14ac:dyDescent="0.25">
      <c r="D2104" s="1"/>
      <c r="F2104" s="1"/>
    </row>
    <row r="2105" spans="4:6" x14ac:dyDescent="0.25">
      <c r="D2105" s="1"/>
      <c r="F2105" s="1"/>
    </row>
    <row r="2106" spans="4:6" x14ac:dyDescent="0.25">
      <c r="D2106" s="1"/>
      <c r="F2106" s="1"/>
    </row>
    <row r="2107" spans="4:6" x14ac:dyDescent="0.25">
      <c r="D2107" s="1"/>
      <c r="F2107" s="1"/>
    </row>
    <row r="2108" spans="4:6" x14ac:dyDescent="0.25">
      <c r="D2108" s="1"/>
      <c r="F2108" s="1"/>
    </row>
    <row r="2109" spans="4:6" x14ac:dyDescent="0.25">
      <c r="D2109" s="1"/>
      <c r="F2109" s="1"/>
    </row>
    <row r="2110" spans="4:6" x14ac:dyDescent="0.25">
      <c r="D2110" s="1"/>
      <c r="F2110" s="1"/>
    </row>
    <row r="2111" spans="4:6" x14ac:dyDescent="0.25">
      <c r="D2111" s="1"/>
      <c r="F2111" s="1"/>
    </row>
    <row r="2112" spans="4:6" x14ac:dyDescent="0.25">
      <c r="D2112" s="1"/>
      <c r="F2112" s="1"/>
    </row>
    <row r="2113" spans="4:6" x14ac:dyDescent="0.25">
      <c r="D2113" s="1"/>
      <c r="F2113" s="1"/>
    </row>
    <row r="2114" spans="4:6" x14ac:dyDescent="0.25">
      <c r="D2114" s="1"/>
      <c r="F2114" s="1"/>
    </row>
    <row r="2115" spans="4:6" x14ac:dyDescent="0.25">
      <c r="D2115" s="1"/>
      <c r="F2115" s="1"/>
    </row>
    <row r="2116" spans="4:6" x14ac:dyDescent="0.25">
      <c r="D2116" s="1"/>
      <c r="F2116" s="1"/>
    </row>
    <row r="2117" spans="4:6" x14ac:dyDescent="0.25">
      <c r="D2117" s="1"/>
      <c r="F2117" s="1"/>
    </row>
    <row r="2118" spans="4:6" x14ac:dyDescent="0.25">
      <c r="D2118" s="1"/>
      <c r="F2118" s="1"/>
    </row>
    <row r="2119" spans="4:6" x14ac:dyDescent="0.25">
      <c r="D2119" s="1"/>
      <c r="F2119" s="1"/>
    </row>
    <row r="2120" spans="4:6" x14ac:dyDescent="0.25">
      <c r="D2120" s="1"/>
      <c r="F2120" s="1"/>
    </row>
    <row r="2121" spans="4:6" x14ac:dyDescent="0.25">
      <c r="D2121" s="1"/>
      <c r="F2121" s="1"/>
    </row>
    <row r="2122" spans="4:6" x14ac:dyDescent="0.25">
      <c r="D2122" s="1"/>
      <c r="F2122" s="1"/>
    </row>
    <row r="2123" spans="4:6" x14ac:dyDescent="0.25">
      <c r="D2123" s="1"/>
      <c r="F2123" s="1"/>
    </row>
    <row r="2124" spans="4:6" x14ac:dyDescent="0.25">
      <c r="D2124" s="1"/>
      <c r="F2124" s="1"/>
    </row>
    <row r="2125" spans="4:6" x14ac:dyDescent="0.25">
      <c r="D2125" s="1"/>
      <c r="F2125" s="1"/>
    </row>
    <row r="2126" spans="4:6" x14ac:dyDescent="0.25">
      <c r="D2126" s="1"/>
      <c r="F2126" s="1"/>
    </row>
    <row r="2127" spans="4:6" x14ac:dyDescent="0.25">
      <c r="D2127" s="1"/>
      <c r="F2127" s="1"/>
    </row>
    <row r="2128" spans="4:6" x14ac:dyDescent="0.25">
      <c r="D2128" s="1"/>
      <c r="F2128" s="1"/>
    </row>
    <row r="2129" spans="4:6" x14ac:dyDescent="0.25">
      <c r="D2129" s="1"/>
      <c r="F2129" s="1"/>
    </row>
    <row r="2130" spans="4:6" x14ac:dyDescent="0.25">
      <c r="D2130" s="1"/>
      <c r="F2130" s="1"/>
    </row>
    <row r="2131" spans="4:6" x14ac:dyDescent="0.25">
      <c r="D2131" s="1"/>
      <c r="F2131" s="1"/>
    </row>
    <row r="2132" spans="4:6" x14ac:dyDescent="0.25">
      <c r="D2132" s="1"/>
      <c r="F2132" s="1"/>
    </row>
    <row r="2133" spans="4:6" x14ac:dyDescent="0.25">
      <c r="D2133" s="1"/>
      <c r="F2133" s="1"/>
    </row>
    <row r="2134" spans="4:6" x14ac:dyDescent="0.25">
      <c r="D2134" s="1"/>
      <c r="F2134" s="1"/>
    </row>
    <row r="2135" spans="4:6" x14ac:dyDescent="0.25">
      <c r="D2135" s="1"/>
      <c r="F2135" s="1"/>
    </row>
    <row r="2136" spans="4:6" x14ac:dyDescent="0.25">
      <c r="D2136" s="1"/>
      <c r="F2136" s="1"/>
    </row>
    <row r="2137" spans="4:6" x14ac:dyDescent="0.25">
      <c r="D2137" s="1"/>
      <c r="F2137" s="1"/>
    </row>
    <row r="2138" spans="4:6" x14ac:dyDescent="0.25">
      <c r="D2138" s="1"/>
      <c r="F2138" s="1"/>
    </row>
    <row r="2139" spans="4:6" x14ac:dyDescent="0.25">
      <c r="D2139" s="1"/>
      <c r="F2139" s="1"/>
    </row>
    <row r="2140" spans="4:6" x14ac:dyDescent="0.25">
      <c r="D2140" s="1"/>
      <c r="F2140" s="1"/>
    </row>
    <row r="2141" spans="4:6" x14ac:dyDescent="0.25">
      <c r="D2141" s="1"/>
      <c r="F2141" s="1"/>
    </row>
    <row r="2142" spans="4:6" x14ac:dyDescent="0.25">
      <c r="D2142" s="1"/>
      <c r="F2142" s="1"/>
    </row>
    <row r="2143" spans="4:6" x14ac:dyDescent="0.25">
      <c r="D2143" s="1"/>
      <c r="F2143" s="1"/>
    </row>
    <row r="2144" spans="4:6" x14ac:dyDescent="0.25">
      <c r="D2144" s="1"/>
      <c r="F2144" s="1"/>
    </row>
    <row r="2145" spans="4:6" x14ac:dyDescent="0.25">
      <c r="D2145" s="1"/>
      <c r="F2145" s="1"/>
    </row>
    <row r="2146" spans="4:6" x14ac:dyDescent="0.25">
      <c r="D2146" s="1"/>
      <c r="F2146" s="1"/>
    </row>
    <row r="2147" spans="4:6" x14ac:dyDescent="0.25">
      <c r="D2147" s="1"/>
      <c r="F2147" s="1"/>
    </row>
    <row r="2148" spans="4:6" x14ac:dyDescent="0.25">
      <c r="D2148" s="1"/>
      <c r="F2148" s="1"/>
    </row>
    <row r="2149" spans="4:6" x14ac:dyDescent="0.25">
      <c r="D2149" s="1"/>
      <c r="F2149" s="1"/>
    </row>
    <row r="2150" spans="4:6" x14ac:dyDescent="0.25">
      <c r="D2150" s="1"/>
      <c r="F2150" s="1"/>
    </row>
    <row r="2151" spans="4:6" x14ac:dyDescent="0.25">
      <c r="D2151" s="1"/>
      <c r="F2151" s="1"/>
    </row>
    <row r="2152" spans="4:6" x14ac:dyDescent="0.25">
      <c r="D2152" s="1"/>
      <c r="F2152" s="1"/>
    </row>
    <row r="2153" spans="4:6" x14ac:dyDescent="0.25">
      <c r="D2153" s="1"/>
      <c r="F2153" s="1"/>
    </row>
    <row r="2154" spans="4:6" x14ac:dyDescent="0.25">
      <c r="D2154" s="1"/>
      <c r="F2154" s="1"/>
    </row>
    <row r="2155" spans="4:6" x14ac:dyDescent="0.25">
      <c r="D2155" s="1"/>
      <c r="F2155" s="1"/>
    </row>
    <row r="2156" spans="4:6" x14ac:dyDescent="0.25">
      <c r="D2156" s="1"/>
      <c r="F2156" s="1"/>
    </row>
    <row r="2157" spans="4:6" x14ac:dyDescent="0.25">
      <c r="D2157" s="1"/>
      <c r="F2157" s="1"/>
    </row>
    <row r="2158" spans="4:6" x14ac:dyDescent="0.25">
      <c r="D2158" s="1"/>
      <c r="F2158" s="1"/>
    </row>
    <row r="2159" spans="4:6" x14ac:dyDescent="0.25">
      <c r="D2159" s="1"/>
      <c r="F2159" s="1"/>
    </row>
    <row r="2160" spans="4:6" x14ac:dyDescent="0.25">
      <c r="D2160" s="1"/>
      <c r="F2160" s="1"/>
    </row>
    <row r="2161" spans="4:6" x14ac:dyDescent="0.25">
      <c r="D2161" s="1"/>
      <c r="F2161" s="1"/>
    </row>
    <row r="2162" spans="4:6" x14ac:dyDescent="0.25">
      <c r="D2162" s="1"/>
      <c r="F2162" s="1"/>
    </row>
    <row r="2163" spans="4:6" x14ac:dyDescent="0.25">
      <c r="D2163" s="1"/>
      <c r="F2163" s="1"/>
    </row>
    <row r="2164" spans="4:6" x14ac:dyDescent="0.25">
      <c r="D2164" s="1"/>
      <c r="F2164" s="1"/>
    </row>
    <row r="2165" spans="4:6" x14ac:dyDescent="0.25">
      <c r="D2165" s="1"/>
      <c r="F2165" s="1"/>
    </row>
    <row r="2166" spans="4:6" x14ac:dyDescent="0.25">
      <c r="D2166" s="1"/>
      <c r="F2166" s="1"/>
    </row>
    <row r="2167" spans="4:6" x14ac:dyDescent="0.25">
      <c r="D2167" s="1"/>
      <c r="F2167" s="1"/>
    </row>
    <row r="2168" spans="4:6" x14ac:dyDescent="0.25">
      <c r="D2168" s="1"/>
      <c r="F2168" s="1"/>
    </row>
    <row r="2169" spans="4:6" x14ac:dyDescent="0.25">
      <c r="D2169" s="1"/>
      <c r="F2169" s="1"/>
    </row>
    <row r="2170" spans="4:6" x14ac:dyDescent="0.25">
      <c r="D2170" s="1"/>
      <c r="F2170" s="1"/>
    </row>
    <row r="2171" spans="4:6" x14ac:dyDescent="0.25">
      <c r="D2171" s="1"/>
      <c r="F2171" s="1"/>
    </row>
    <row r="2172" spans="4:6" x14ac:dyDescent="0.25">
      <c r="D2172" s="1"/>
      <c r="F2172" s="1"/>
    </row>
    <row r="2173" spans="4:6" x14ac:dyDescent="0.25">
      <c r="D2173" s="1"/>
      <c r="F2173" s="1"/>
    </row>
    <row r="2174" spans="4:6" x14ac:dyDescent="0.25">
      <c r="D2174" s="1"/>
      <c r="F2174" s="1"/>
    </row>
    <row r="2175" spans="4:6" x14ac:dyDescent="0.25">
      <c r="D2175" s="1"/>
      <c r="F2175" s="1"/>
    </row>
    <row r="2176" spans="4:6" x14ac:dyDescent="0.25">
      <c r="D2176" s="1"/>
      <c r="F2176" s="1"/>
    </row>
    <row r="2177" spans="4:6" x14ac:dyDescent="0.25">
      <c r="D2177" s="1"/>
      <c r="F2177" s="1"/>
    </row>
    <row r="2178" spans="4:6" x14ac:dyDescent="0.25">
      <c r="D2178" s="1"/>
      <c r="F2178" s="1"/>
    </row>
    <row r="2179" spans="4:6" x14ac:dyDescent="0.25">
      <c r="D2179" s="1"/>
      <c r="F2179" s="1"/>
    </row>
    <row r="2180" spans="4:6" x14ac:dyDescent="0.25">
      <c r="D2180" s="1"/>
      <c r="F2180" s="1"/>
    </row>
    <row r="2181" spans="4:6" x14ac:dyDescent="0.25">
      <c r="D2181" s="1"/>
      <c r="F2181" s="1"/>
    </row>
    <row r="2182" spans="4:6" x14ac:dyDescent="0.25">
      <c r="D2182" s="1"/>
      <c r="F2182" s="1"/>
    </row>
    <row r="2183" spans="4:6" x14ac:dyDescent="0.25">
      <c r="D2183" s="1"/>
      <c r="F2183" s="1"/>
    </row>
    <row r="2184" spans="4:6" x14ac:dyDescent="0.25">
      <c r="D2184" s="1"/>
      <c r="F2184" s="1"/>
    </row>
    <row r="2185" spans="4:6" x14ac:dyDescent="0.25">
      <c r="D2185" s="1"/>
      <c r="F2185" s="1"/>
    </row>
    <row r="2186" spans="4:6" x14ac:dyDescent="0.25">
      <c r="D2186" s="1"/>
      <c r="F2186" s="1"/>
    </row>
    <row r="2187" spans="4:6" x14ac:dyDescent="0.25">
      <c r="D2187" s="1"/>
      <c r="F2187" s="1"/>
    </row>
    <row r="2188" spans="4:6" x14ac:dyDescent="0.25">
      <c r="D2188" s="1"/>
      <c r="F2188" s="1"/>
    </row>
    <row r="2189" spans="4:6" x14ac:dyDescent="0.25">
      <c r="D2189" s="1"/>
      <c r="F2189" s="1"/>
    </row>
    <row r="2190" spans="4:6" x14ac:dyDescent="0.25">
      <c r="D2190" s="1"/>
      <c r="F2190" s="1"/>
    </row>
    <row r="2191" spans="4:6" x14ac:dyDescent="0.25">
      <c r="D2191" s="1"/>
      <c r="F2191" s="1"/>
    </row>
    <row r="2192" spans="4:6" x14ac:dyDescent="0.25">
      <c r="D2192" s="1"/>
      <c r="F2192" s="1"/>
    </row>
    <row r="2193" spans="4:6" x14ac:dyDescent="0.25">
      <c r="D2193" s="1"/>
      <c r="F2193" s="1"/>
    </row>
    <row r="2194" spans="4:6" x14ac:dyDescent="0.25">
      <c r="D2194" s="1"/>
      <c r="F2194" s="1"/>
    </row>
    <row r="2195" spans="4:6" x14ac:dyDescent="0.25">
      <c r="D2195" s="1"/>
      <c r="F2195" s="1"/>
    </row>
    <row r="2196" spans="4:6" x14ac:dyDescent="0.25">
      <c r="D2196" s="1"/>
      <c r="F2196" s="1"/>
    </row>
    <row r="2197" spans="4:6" x14ac:dyDescent="0.25">
      <c r="D2197" s="1"/>
      <c r="F2197" s="1"/>
    </row>
    <row r="2198" spans="4:6" x14ac:dyDescent="0.25">
      <c r="D2198" s="1"/>
      <c r="F2198" s="1"/>
    </row>
    <row r="2199" spans="4:6" x14ac:dyDescent="0.25">
      <c r="D2199" s="1"/>
      <c r="F2199" s="1"/>
    </row>
    <row r="2200" spans="4:6" x14ac:dyDescent="0.25">
      <c r="D2200" s="1"/>
      <c r="F2200" s="1"/>
    </row>
    <row r="2201" spans="4:6" x14ac:dyDescent="0.25">
      <c r="D2201" s="1"/>
      <c r="F2201" s="1"/>
    </row>
    <row r="2202" spans="4:6" x14ac:dyDescent="0.25">
      <c r="D2202" s="1"/>
      <c r="F2202" s="1"/>
    </row>
    <row r="2203" spans="4:6" x14ac:dyDescent="0.25">
      <c r="D2203" s="1"/>
      <c r="F2203" s="1"/>
    </row>
    <row r="2204" spans="4:6" x14ac:dyDescent="0.25">
      <c r="D2204" s="1"/>
      <c r="F2204" s="1"/>
    </row>
    <row r="2205" spans="4:6" x14ac:dyDescent="0.25">
      <c r="D2205" s="1"/>
      <c r="F2205" s="1"/>
    </row>
    <row r="2206" spans="4:6" x14ac:dyDescent="0.25">
      <c r="D2206" s="1"/>
      <c r="F2206" s="1"/>
    </row>
    <row r="2207" spans="4:6" x14ac:dyDescent="0.25">
      <c r="D2207" s="1"/>
      <c r="F2207" s="1"/>
    </row>
    <row r="2208" spans="4:6" x14ac:dyDescent="0.25">
      <c r="D2208" s="1"/>
      <c r="F2208" s="1"/>
    </row>
    <row r="2209" spans="4:6" x14ac:dyDescent="0.25">
      <c r="D2209" s="1"/>
      <c r="F2209" s="1"/>
    </row>
    <row r="2210" spans="4:6" x14ac:dyDescent="0.25">
      <c r="D2210" s="1"/>
      <c r="F2210" s="1"/>
    </row>
    <row r="2211" spans="4:6" x14ac:dyDescent="0.25">
      <c r="D2211" s="1"/>
      <c r="F2211" s="1"/>
    </row>
    <row r="2212" spans="4:6" x14ac:dyDescent="0.25">
      <c r="D2212" s="1"/>
      <c r="F2212" s="1"/>
    </row>
    <row r="2213" spans="4:6" x14ac:dyDescent="0.25">
      <c r="D2213" s="1"/>
      <c r="F2213" s="1"/>
    </row>
    <row r="2214" spans="4:6" x14ac:dyDescent="0.25">
      <c r="D2214" s="1"/>
      <c r="F2214" s="1"/>
    </row>
    <row r="2215" spans="4:6" x14ac:dyDescent="0.25">
      <c r="D2215" s="1"/>
      <c r="F2215" s="1"/>
    </row>
    <row r="2216" spans="4:6" x14ac:dyDescent="0.25">
      <c r="D2216" s="1"/>
      <c r="F2216" s="1"/>
    </row>
    <row r="2217" spans="4:6" x14ac:dyDescent="0.25">
      <c r="D2217" s="1"/>
      <c r="F2217" s="1"/>
    </row>
    <row r="2218" spans="4:6" x14ac:dyDescent="0.25">
      <c r="D2218" s="1"/>
      <c r="F2218" s="1"/>
    </row>
    <row r="2219" spans="4:6" x14ac:dyDescent="0.25">
      <c r="D2219" s="1"/>
      <c r="F2219" s="1"/>
    </row>
    <row r="2220" spans="4:6" x14ac:dyDescent="0.25">
      <c r="D2220" s="1"/>
      <c r="F2220" s="1"/>
    </row>
    <row r="2221" spans="4:6" x14ac:dyDescent="0.25">
      <c r="D2221" s="1"/>
      <c r="F2221" s="1"/>
    </row>
    <row r="2222" spans="4:6" x14ac:dyDescent="0.25">
      <c r="D2222" s="1"/>
      <c r="F2222" s="1"/>
    </row>
    <row r="2223" spans="4:6" x14ac:dyDescent="0.25">
      <c r="D2223" s="1"/>
      <c r="F2223" s="1"/>
    </row>
    <row r="2224" spans="4:6" x14ac:dyDescent="0.25">
      <c r="D2224" s="1"/>
      <c r="F2224" s="1"/>
    </row>
    <row r="2225" spans="4:6" x14ac:dyDescent="0.25">
      <c r="D2225" s="1"/>
      <c r="F2225" s="1"/>
    </row>
    <row r="2226" spans="4:6" x14ac:dyDescent="0.25">
      <c r="D2226" s="1"/>
      <c r="F2226" s="1"/>
    </row>
    <row r="2227" spans="4:6" x14ac:dyDescent="0.25">
      <c r="D2227" s="1"/>
      <c r="F2227" s="1"/>
    </row>
    <row r="2228" spans="4:6" x14ac:dyDescent="0.25">
      <c r="D2228" s="1"/>
      <c r="F2228" s="1"/>
    </row>
    <row r="2229" spans="4:6" x14ac:dyDescent="0.25">
      <c r="D2229" s="1"/>
      <c r="F2229" s="1"/>
    </row>
    <row r="2230" spans="4:6" x14ac:dyDescent="0.25">
      <c r="D2230" s="1"/>
      <c r="F2230" s="1"/>
    </row>
    <row r="2231" spans="4:6" x14ac:dyDescent="0.25">
      <c r="D2231" s="1"/>
      <c r="F2231" s="1"/>
    </row>
    <row r="2232" spans="4:6" x14ac:dyDescent="0.25">
      <c r="D2232" s="1"/>
      <c r="F2232" s="1"/>
    </row>
    <row r="2233" spans="4:6" x14ac:dyDescent="0.25">
      <c r="D2233" s="1"/>
      <c r="F2233" s="1"/>
    </row>
    <row r="2234" spans="4:6" x14ac:dyDescent="0.25">
      <c r="D2234" s="1"/>
      <c r="F2234" s="1"/>
    </row>
    <row r="2235" spans="4:6" x14ac:dyDescent="0.25">
      <c r="D2235" s="1"/>
      <c r="F2235" s="1"/>
    </row>
    <row r="2236" spans="4:6" x14ac:dyDescent="0.25">
      <c r="D2236" s="1"/>
      <c r="F2236" s="1"/>
    </row>
    <row r="2237" spans="4:6" x14ac:dyDescent="0.25">
      <c r="D2237" s="1"/>
      <c r="F2237" s="1"/>
    </row>
    <row r="2238" spans="4:6" x14ac:dyDescent="0.25">
      <c r="D2238" s="1"/>
      <c r="F2238" s="1"/>
    </row>
    <row r="2239" spans="4:6" x14ac:dyDescent="0.25">
      <c r="D2239" s="1"/>
      <c r="F2239" s="1"/>
    </row>
    <row r="2240" spans="4:6" x14ac:dyDescent="0.25">
      <c r="D2240" s="1"/>
      <c r="F2240" s="1"/>
    </row>
    <row r="2241" spans="4:6" x14ac:dyDescent="0.25">
      <c r="D2241" s="1"/>
      <c r="F2241" s="1"/>
    </row>
    <row r="2242" spans="4:6" x14ac:dyDescent="0.25">
      <c r="D2242" s="1"/>
      <c r="F2242" s="1"/>
    </row>
    <row r="2243" spans="4:6" x14ac:dyDescent="0.25">
      <c r="D2243" s="1"/>
      <c r="F2243" s="1"/>
    </row>
    <row r="2244" spans="4:6" x14ac:dyDescent="0.25">
      <c r="D2244" s="1"/>
      <c r="F2244" s="1"/>
    </row>
    <row r="2245" spans="4:6" x14ac:dyDescent="0.25">
      <c r="D2245" s="1"/>
      <c r="F2245" s="1"/>
    </row>
    <row r="2246" spans="4:6" x14ac:dyDescent="0.25">
      <c r="D2246" s="1"/>
      <c r="F2246" s="1"/>
    </row>
    <row r="2247" spans="4:6" x14ac:dyDescent="0.25">
      <c r="D2247" s="1"/>
      <c r="F2247" s="1"/>
    </row>
    <row r="2248" spans="4:6" x14ac:dyDescent="0.25">
      <c r="D2248" s="1"/>
      <c r="F2248" s="1"/>
    </row>
    <row r="2249" spans="4:6" x14ac:dyDescent="0.25">
      <c r="D2249" s="1"/>
      <c r="F2249" s="1"/>
    </row>
    <row r="2250" spans="4:6" x14ac:dyDescent="0.25">
      <c r="D2250" s="1"/>
      <c r="F2250" s="1"/>
    </row>
    <row r="2251" spans="4:6" x14ac:dyDescent="0.25">
      <c r="D2251" s="1"/>
      <c r="F2251" s="1"/>
    </row>
    <row r="2252" spans="4:6" x14ac:dyDescent="0.25">
      <c r="D2252" s="1"/>
      <c r="F2252" s="1"/>
    </row>
    <row r="2253" spans="4:6" x14ac:dyDescent="0.25">
      <c r="D2253" s="1"/>
      <c r="F2253" s="1"/>
    </row>
    <row r="2254" spans="4:6" x14ac:dyDescent="0.25">
      <c r="D2254" s="1"/>
      <c r="F2254" s="1"/>
    </row>
    <row r="2255" spans="4:6" x14ac:dyDescent="0.25">
      <c r="D2255" s="1"/>
      <c r="F2255" s="1"/>
    </row>
    <row r="2256" spans="4:6" x14ac:dyDescent="0.25">
      <c r="D2256" s="1"/>
      <c r="F2256" s="1"/>
    </row>
    <row r="2257" spans="4:6" x14ac:dyDescent="0.25">
      <c r="D2257" s="1"/>
      <c r="F2257" s="1"/>
    </row>
    <row r="2258" spans="4:6" x14ac:dyDescent="0.25">
      <c r="D2258" s="1"/>
      <c r="F2258" s="1"/>
    </row>
    <row r="2259" spans="4:6" x14ac:dyDescent="0.25">
      <c r="D2259" s="1"/>
      <c r="F2259" s="1"/>
    </row>
    <row r="2260" spans="4:6" x14ac:dyDescent="0.25">
      <c r="D2260" s="1"/>
      <c r="F2260" s="1"/>
    </row>
    <row r="2261" spans="4:6" x14ac:dyDescent="0.25">
      <c r="D2261" s="1"/>
      <c r="F2261" s="1"/>
    </row>
    <row r="2262" spans="4:6" x14ac:dyDescent="0.25">
      <c r="D2262" s="1"/>
      <c r="F2262" s="1"/>
    </row>
    <row r="2263" spans="4:6" x14ac:dyDescent="0.25">
      <c r="D2263" s="1"/>
      <c r="F2263" s="1"/>
    </row>
    <row r="2264" spans="4:6" x14ac:dyDescent="0.25">
      <c r="D2264" s="1"/>
      <c r="F2264" s="1"/>
    </row>
    <row r="2265" spans="4:6" x14ac:dyDescent="0.25">
      <c r="D2265" s="1"/>
      <c r="F2265" s="1"/>
    </row>
    <row r="2266" spans="4:6" x14ac:dyDescent="0.25">
      <c r="D2266" s="1"/>
      <c r="F2266" s="1"/>
    </row>
    <row r="2267" spans="4:6" x14ac:dyDescent="0.25">
      <c r="D2267" s="1"/>
      <c r="F2267" s="1"/>
    </row>
    <row r="2268" spans="4:6" x14ac:dyDescent="0.25">
      <c r="D2268" s="1"/>
      <c r="F2268" s="1"/>
    </row>
    <row r="2269" spans="4:6" x14ac:dyDescent="0.25">
      <c r="D2269" s="1"/>
      <c r="F2269" s="1"/>
    </row>
    <row r="2270" spans="4:6" x14ac:dyDescent="0.25">
      <c r="D2270" s="1"/>
      <c r="F2270" s="1"/>
    </row>
    <row r="2271" spans="4:6" x14ac:dyDescent="0.25">
      <c r="D2271" s="1"/>
      <c r="F2271" s="1"/>
    </row>
    <row r="2272" spans="4:6" x14ac:dyDescent="0.25">
      <c r="D2272" s="1"/>
      <c r="F2272" s="1"/>
    </row>
    <row r="2273" spans="4:6" x14ac:dyDescent="0.25">
      <c r="D2273" s="1"/>
      <c r="F2273" s="1"/>
    </row>
    <row r="2274" spans="4:6" x14ac:dyDescent="0.25">
      <c r="D2274" s="1"/>
      <c r="F2274" s="1"/>
    </row>
    <row r="2275" spans="4:6" x14ac:dyDescent="0.25">
      <c r="D2275" s="1"/>
      <c r="F2275" s="1"/>
    </row>
    <row r="2276" spans="4:6" x14ac:dyDescent="0.25">
      <c r="D2276" s="1"/>
      <c r="F2276" s="1"/>
    </row>
    <row r="2277" spans="4:6" x14ac:dyDescent="0.25">
      <c r="D2277" s="1"/>
      <c r="F2277" s="1"/>
    </row>
    <row r="2278" spans="4:6" x14ac:dyDescent="0.25">
      <c r="D2278" s="1"/>
      <c r="F2278" s="1"/>
    </row>
    <row r="2279" spans="4:6" x14ac:dyDescent="0.25">
      <c r="D2279" s="1"/>
      <c r="F2279" s="1"/>
    </row>
    <row r="2280" spans="4:6" x14ac:dyDescent="0.25">
      <c r="D2280" s="1"/>
      <c r="F2280" s="1"/>
    </row>
    <row r="2281" spans="4:6" x14ac:dyDescent="0.25">
      <c r="D2281" s="1"/>
      <c r="F2281" s="1"/>
    </row>
    <row r="2282" spans="4:6" x14ac:dyDescent="0.25">
      <c r="D2282" s="1"/>
      <c r="F2282" s="1"/>
    </row>
    <row r="2283" spans="4:6" x14ac:dyDescent="0.25">
      <c r="D2283" s="1"/>
      <c r="F2283" s="1"/>
    </row>
    <row r="2284" spans="4:6" x14ac:dyDescent="0.25">
      <c r="D2284" s="1"/>
      <c r="F2284" s="1"/>
    </row>
    <row r="2285" spans="4:6" x14ac:dyDescent="0.25">
      <c r="D2285" s="1"/>
      <c r="F2285" s="1"/>
    </row>
    <row r="2286" spans="4:6" x14ac:dyDescent="0.25">
      <c r="D2286" s="1"/>
      <c r="F2286" s="1"/>
    </row>
    <row r="2287" spans="4:6" x14ac:dyDescent="0.25">
      <c r="D2287" s="1"/>
      <c r="F2287" s="1"/>
    </row>
    <row r="2288" spans="4:6" x14ac:dyDescent="0.25">
      <c r="D2288" s="1"/>
      <c r="F2288" s="1"/>
    </row>
    <row r="2289" spans="4:6" x14ac:dyDescent="0.25">
      <c r="D2289" s="1"/>
      <c r="F2289" s="1"/>
    </row>
    <row r="2290" spans="4:6" x14ac:dyDescent="0.25">
      <c r="D2290" s="1"/>
      <c r="F2290" s="1"/>
    </row>
    <row r="2291" spans="4:6" x14ac:dyDescent="0.25">
      <c r="D2291" s="1"/>
      <c r="F2291" s="1"/>
    </row>
    <row r="2292" spans="4:6" x14ac:dyDescent="0.25">
      <c r="D2292" s="1"/>
      <c r="F2292" s="1"/>
    </row>
    <row r="2293" spans="4:6" x14ac:dyDescent="0.25">
      <c r="D2293" s="1"/>
      <c r="F2293" s="1"/>
    </row>
    <row r="2294" spans="4:6" x14ac:dyDescent="0.25">
      <c r="D2294" s="1"/>
      <c r="F2294" s="1"/>
    </row>
    <row r="2295" spans="4:6" x14ac:dyDescent="0.25">
      <c r="D2295" s="1"/>
      <c r="F2295" s="1"/>
    </row>
    <row r="2296" spans="4:6" x14ac:dyDescent="0.25">
      <c r="D2296" s="1"/>
      <c r="F2296" s="1"/>
    </row>
    <row r="2297" spans="4:6" x14ac:dyDescent="0.25">
      <c r="D2297" s="1"/>
      <c r="F2297" s="1"/>
    </row>
    <row r="2298" spans="4:6" x14ac:dyDescent="0.25">
      <c r="D2298" s="1"/>
      <c r="F2298" s="1"/>
    </row>
    <row r="2299" spans="4:6" x14ac:dyDescent="0.25">
      <c r="D2299" s="1"/>
      <c r="F2299" s="1"/>
    </row>
    <row r="2300" spans="4:6" x14ac:dyDescent="0.25">
      <c r="D2300" s="1"/>
      <c r="F2300" s="1"/>
    </row>
    <row r="2301" spans="4:6" x14ac:dyDescent="0.25">
      <c r="D2301" s="1"/>
      <c r="F2301" s="1"/>
    </row>
    <row r="2302" spans="4:6" x14ac:dyDescent="0.25">
      <c r="D2302" s="1"/>
      <c r="F2302" s="1"/>
    </row>
    <row r="2303" spans="4:6" x14ac:dyDescent="0.25">
      <c r="D2303" s="1"/>
      <c r="F2303" s="1"/>
    </row>
    <row r="2304" spans="4:6" x14ac:dyDescent="0.25">
      <c r="D2304" s="1"/>
      <c r="F2304" s="1"/>
    </row>
    <row r="2305" spans="4:6" x14ac:dyDescent="0.25">
      <c r="D2305" s="1"/>
      <c r="F2305" s="1"/>
    </row>
    <row r="2306" spans="4:6" x14ac:dyDescent="0.25">
      <c r="D2306" s="1"/>
      <c r="F2306" s="1"/>
    </row>
    <row r="2307" spans="4:6" x14ac:dyDescent="0.25">
      <c r="D2307" s="1"/>
      <c r="F2307" s="1"/>
    </row>
    <row r="2308" spans="4:6" x14ac:dyDescent="0.25">
      <c r="D2308" s="1"/>
      <c r="F2308" s="1"/>
    </row>
    <row r="2309" spans="4:6" x14ac:dyDescent="0.25">
      <c r="D2309" s="1"/>
      <c r="F2309" s="1"/>
    </row>
    <row r="2310" spans="4:6" x14ac:dyDescent="0.25">
      <c r="D2310" s="1"/>
      <c r="F2310" s="1"/>
    </row>
    <row r="2311" spans="4:6" x14ac:dyDescent="0.25">
      <c r="D2311" s="1"/>
      <c r="F2311" s="1"/>
    </row>
    <row r="2312" spans="4:6" x14ac:dyDescent="0.25">
      <c r="D2312" s="1"/>
      <c r="F2312" s="1"/>
    </row>
    <row r="2313" spans="4:6" x14ac:dyDescent="0.25">
      <c r="D2313" s="1"/>
      <c r="F2313" s="1"/>
    </row>
    <row r="2314" spans="4:6" x14ac:dyDescent="0.25">
      <c r="D2314" s="1"/>
      <c r="F2314" s="1"/>
    </row>
    <row r="2315" spans="4:6" x14ac:dyDescent="0.25">
      <c r="D2315" s="1"/>
      <c r="F2315" s="1"/>
    </row>
    <row r="2316" spans="4:6" x14ac:dyDescent="0.25">
      <c r="D2316" s="1"/>
      <c r="F2316" s="1"/>
    </row>
    <row r="2317" spans="4:6" x14ac:dyDescent="0.25">
      <c r="D2317" s="1"/>
      <c r="F2317" s="1"/>
    </row>
    <row r="2318" spans="4:6" x14ac:dyDescent="0.25">
      <c r="D2318" s="1"/>
      <c r="F2318" s="1"/>
    </row>
    <row r="2319" spans="4:6" x14ac:dyDescent="0.25">
      <c r="D2319" s="1"/>
      <c r="F2319" s="1"/>
    </row>
    <row r="2320" spans="4:6" x14ac:dyDescent="0.25">
      <c r="D2320" s="1"/>
      <c r="F2320" s="1"/>
    </row>
    <row r="2321" spans="4:6" x14ac:dyDescent="0.25">
      <c r="D2321" s="1"/>
      <c r="F2321" s="1"/>
    </row>
    <row r="2322" spans="4:6" x14ac:dyDescent="0.25">
      <c r="D2322" s="1"/>
      <c r="F2322" s="1"/>
    </row>
    <row r="2323" spans="4:6" x14ac:dyDescent="0.25">
      <c r="D2323" s="1"/>
      <c r="F2323" s="1"/>
    </row>
    <row r="2324" spans="4:6" x14ac:dyDescent="0.25">
      <c r="D2324" s="1"/>
      <c r="F2324" s="1"/>
    </row>
    <row r="2325" spans="4:6" x14ac:dyDescent="0.25">
      <c r="D2325" s="1"/>
      <c r="F2325" s="1"/>
    </row>
    <row r="2326" spans="4:6" x14ac:dyDescent="0.25">
      <c r="D2326" s="1"/>
      <c r="F2326" s="1"/>
    </row>
    <row r="2327" spans="4:6" x14ac:dyDescent="0.25">
      <c r="D2327" s="1"/>
      <c r="F2327" s="1"/>
    </row>
    <row r="2328" spans="4:6" x14ac:dyDescent="0.25">
      <c r="D2328" s="1"/>
      <c r="F2328" s="1"/>
    </row>
    <row r="2329" spans="4:6" x14ac:dyDescent="0.25">
      <c r="D2329" s="1"/>
      <c r="F2329" s="1"/>
    </row>
    <row r="2330" spans="4:6" x14ac:dyDescent="0.25">
      <c r="D2330" s="1"/>
      <c r="F2330" s="1"/>
    </row>
    <row r="2331" spans="4:6" x14ac:dyDescent="0.25">
      <c r="D2331" s="1"/>
      <c r="F2331" s="1"/>
    </row>
    <row r="2332" spans="4:6" x14ac:dyDescent="0.25">
      <c r="D2332" s="1"/>
      <c r="F2332" s="1"/>
    </row>
    <row r="2333" spans="4:6" x14ac:dyDescent="0.25">
      <c r="D2333" s="1"/>
      <c r="F2333" s="1"/>
    </row>
    <row r="2334" spans="4:6" x14ac:dyDescent="0.25">
      <c r="D2334" s="1"/>
      <c r="F2334" s="1"/>
    </row>
    <row r="2335" spans="4:6" x14ac:dyDescent="0.25">
      <c r="D2335" s="1"/>
      <c r="F2335" s="1"/>
    </row>
    <row r="2336" spans="4:6" x14ac:dyDescent="0.25">
      <c r="D2336" s="1"/>
      <c r="F2336" s="1"/>
    </row>
    <row r="2337" spans="4:6" x14ac:dyDescent="0.25">
      <c r="D2337" s="1"/>
      <c r="F2337" s="1"/>
    </row>
    <row r="2338" spans="4:6" x14ac:dyDescent="0.25">
      <c r="D2338" s="1"/>
      <c r="F2338" s="1"/>
    </row>
    <row r="2339" spans="4:6" x14ac:dyDescent="0.25">
      <c r="D2339" s="1"/>
      <c r="F2339" s="1"/>
    </row>
    <row r="2340" spans="4:6" x14ac:dyDescent="0.25">
      <c r="D2340" s="1"/>
      <c r="F2340" s="1"/>
    </row>
    <row r="2341" spans="4:6" x14ac:dyDescent="0.25">
      <c r="D2341" s="1"/>
      <c r="F2341" s="1"/>
    </row>
    <row r="2342" spans="4:6" x14ac:dyDescent="0.25">
      <c r="D2342" s="1"/>
      <c r="F2342" s="1"/>
    </row>
    <row r="2343" spans="4:6" x14ac:dyDescent="0.25">
      <c r="D2343" s="1"/>
      <c r="F2343" s="1"/>
    </row>
    <row r="2344" spans="4:6" x14ac:dyDescent="0.25">
      <c r="D2344" s="1"/>
      <c r="F2344" s="1"/>
    </row>
    <row r="2345" spans="4:6" x14ac:dyDescent="0.25">
      <c r="D2345" s="1"/>
      <c r="F2345" s="1"/>
    </row>
    <row r="2346" spans="4:6" x14ac:dyDescent="0.25">
      <c r="D2346" s="1"/>
      <c r="F2346" s="1"/>
    </row>
    <row r="2347" spans="4:6" x14ac:dyDescent="0.25">
      <c r="D2347" s="1"/>
      <c r="F2347" s="1"/>
    </row>
    <row r="2348" spans="4:6" x14ac:dyDescent="0.25">
      <c r="D2348" s="1"/>
      <c r="F2348" s="1"/>
    </row>
    <row r="2349" spans="4:6" x14ac:dyDescent="0.25">
      <c r="D2349" s="1"/>
      <c r="F2349" s="1"/>
    </row>
    <row r="2350" spans="4:6" x14ac:dyDescent="0.25">
      <c r="D2350" s="1"/>
      <c r="F2350" s="1"/>
    </row>
    <row r="2351" spans="4:6" x14ac:dyDescent="0.25">
      <c r="D2351" s="1"/>
      <c r="F2351" s="1"/>
    </row>
    <row r="2352" spans="4:6" x14ac:dyDescent="0.25">
      <c r="D2352" s="1"/>
      <c r="F2352" s="1"/>
    </row>
    <row r="2353" spans="4:6" x14ac:dyDescent="0.25">
      <c r="D2353" s="1"/>
      <c r="F2353" s="1"/>
    </row>
    <row r="2354" spans="4:6" x14ac:dyDescent="0.25">
      <c r="D2354" s="1"/>
      <c r="F2354" s="1"/>
    </row>
    <row r="2355" spans="4:6" x14ac:dyDescent="0.25">
      <c r="D2355" s="1"/>
      <c r="F2355" s="1"/>
    </row>
    <row r="2356" spans="4:6" x14ac:dyDescent="0.25">
      <c r="D2356" s="1"/>
      <c r="F2356" s="1"/>
    </row>
    <row r="2357" spans="4:6" x14ac:dyDescent="0.25">
      <c r="D2357" s="1"/>
      <c r="F2357" s="1"/>
    </row>
    <row r="2358" spans="4:6" x14ac:dyDescent="0.25">
      <c r="D2358" s="1"/>
      <c r="F2358" s="1"/>
    </row>
    <row r="2359" spans="4:6" x14ac:dyDescent="0.25">
      <c r="D2359" s="1"/>
      <c r="F2359" s="1"/>
    </row>
    <row r="2360" spans="4:6" x14ac:dyDescent="0.25">
      <c r="D2360" s="1"/>
      <c r="F2360" s="1"/>
    </row>
    <row r="2361" spans="4:6" x14ac:dyDescent="0.25">
      <c r="D2361" s="1"/>
      <c r="F2361" s="1"/>
    </row>
    <row r="2362" spans="4:6" x14ac:dyDescent="0.25">
      <c r="D2362" s="1"/>
      <c r="F2362" s="1"/>
    </row>
    <row r="2363" spans="4:6" x14ac:dyDescent="0.25">
      <c r="D2363" s="1"/>
      <c r="F2363" s="1"/>
    </row>
    <row r="2364" spans="4:6" x14ac:dyDescent="0.25">
      <c r="D2364" s="1"/>
      <c r="F2364" s="1"/>
    </row>
    <row r="2365" spans="4:6" x14ac:dyDescent="0.25">
      <c r="D2365" s="1"/>
      <c r="F2365" s="1"/>
    </row>
    <row r="2366" spans="4:6" x14ac:dyDescent="0.25">
      <c r="D2366" s="1"/>
      <c r="F2366" s="1"/>
    </row>
    <row r="2367" spans="4:6" x14ac:dyDescent="0.25">
      <c r="D2367" s="1"/>
      <c r="F2367" s="1"/>
    </row>
    <row r="2368" spans="4:6" x14ac:dyDescent="0.25">
      <c r="D2368" s="1"/>
      <c r="F2368" s="1"/>
    </row>
    <row r="2369" spans="4:6" x14ac:dyDescent="0.25">
      <c r="D2369" s="1"/>
      <c r="F2369" s="1"/>
    </row>
    <row r="2370" spans="4:6" x14ac:dyDescent="0.25">
      <c r="D2370" s="1"/>
      <c r="F2370" s="1"/>
    </row>
    <row r="2371" spans="4:6" x14ac:dyDescent="0.25">
      <c r="D2371" s="1"/>
      <c r="F2371" s="1"/>
    </row>
    <row r="2372" spans="4:6" x14ac:dyDescent="0.25">
      <c r="D2372" s="1"/>
      <c r="F2372" s="1"/>
    </row>
    <row r="2373" spans="4:6" x14ac:dyDescent="0.25">
      <c r="D2373" s="1"/>
      <c r="F2373" s="1"/>
    </row>
    <row r="2374" spans="4:6" x14ac:dyDescent="0.25">
      <c r="D2374" s="1"/>
      <c r="F2374" s="1"/>
    </row>
    <row r="2375" spans="4:6" x14ac:dyDescent="0.25">
      <c r="D2375" s="1"/>
      <c r="F2375" s="1"/>
    </row>
    <row r="2376" spans="4:6" x14ac:dyDescent="0.25">
      <c r="D2376" s="1"/>
      <c r="F2376" s="1"/>
    </row>
    <row r="2377" spans="4:6" x14ac:dyDescent="0.25">
      <c r="D2377" s="1"/>
      <c r="F2377" s="1"/>
    </row>
    <row r="2378" spans="4:6" x14ac:dyDescent="0.25">
      <c r="D2378" s="1"/>
      <c r="F2378" s="1"/>
    </row>
    <row r="2379" spans="4:6" x14ac:dyDescent="0.25">
      <c r="D2379" s="1"/>
      <c r="F2379" s="1"/>
    </row>
    <row r="2380" spans="4:6" x14ac:dyDescent="0.25">
      <c r="D2380" s="1"/>
      <c r="F2380" s="1"/>
    </row>
    <row r="2381" spans="4:6" x14ac:dyDescent="0.25">
      <c r="D2381" s="1"/>
      <c r="F2381" s="1"/>
    </row>
    <row r="2382" spans="4:6" x14ac:dyDescent="0.25">
      <c r="D2382" s="1"/>
      <c r="F2382" s="1"/>
    </row>
    <row r="2383" spans="4:6" x14ac:dyDescent="0.25">
      <c r="D2383" s="1"/>
      <c r="F2383" s="1"/>
    </row>
    <row r="2384" spans="4:6" x14ac:dyDescent="0.25">
      <c r="D2384" s="1"/>
      <c r="F2384" s="1"/>
    </row>
    <row r="2385" spans="4:6" x14ac:dyDescent="0.25">
      <c r="D2385" s="1"/>
      <c r="F2385" s="1"/>
    </row>
    <row r="2386" spans="4:6" x14ac:dyDescent="0.25">
      <c r="D2386" s="1"/>
      <c r="F2386" s="1"/>
    </row>
    <row r="2387" spans="4:6" x14ac:dyDescent="0.25">
      <c r="D2387" s="1"/>
      <c r="F2387" s="1"/>
    </row>
    <row r="2388" spans="4:6" x14ac:dyDescent="0.25">
      <c r="D2388" s="1"/>
      <c r="F2388" s="1"/>
    </row>
    <row r="2389" spans="4:6" x14ac:dyDescent="0.25">
      <c r="D2389" s="1"/>
      <c r="F2389" s="1"/>
    </row>
    <row r="2390" spans="4:6" x14ac:dyDescent="0.25">
      <c r="D2390" s="1"/>
      <c r="F2390" s="1"/>
    </row>
    <row r="2391" spans="4:6" x14ac:dyDescent="0.25">
      <c r="D2391" s="1"/>
      <c r="F2391" s="1"/>
    </row>
    <row r="2392" spans="4:6" x14ac:dyDescent="0.25">
      <c r="D2392" s="1"/>
      <c r="F2392" s="1"/>
    </row>
    <row r="2393" spans="4:6" x14ac:dyDescent="0.25">
      <c r="D2393" s="1"/>
      <c r="F2393" s="1"/>
    </row>
    <row r="2394" spans="4:6" x14ac:dyDescent="0.25">
      <c r="D2394" s="1"/>
      <c r="F2394" s="1"/>
    </row>
    <row r="2395" spans="4:6" x14ac:dyDescent="0.25">
      <c r="D2395" s="1"/>
      <c r="F2395" s="1"/>
    </row>
    <row r="2396" spans="4:6" x14ac:dyDescent="0.25">
      <c r="D2396" s="1"/>
      <c r="F2396" s="1"/>
    </row>
    <row r="2397" spans="4:6" x14ac:dyDescent="0.25">
      <c r="D2397" s="1"/>
      <c r="F2397" s="1"/>
    </row>
    <row r="2398" spans="4:6" x14ac:dyDescent="0.25">
      <c r="D2398" s="1"/>
      <c r="F2398" s="1"/>
    </row>
    <row r="2399" spans="4:6" x14ac:dyDescent="0.25">
      <c r="D2399" s="1"/>
      <c r="F2399" s="1"/>
    </row>
    <row r="2400" spans="4:6" x14ac:dyDescent="0.25">
      <c r="D2400" s="1"/>
      <c r="F2400" s="1"/>
    </row>
    <row r="2401" spans="4:6" x14ac:dyDescent="0.25">
      <c r="D2401" s="1"/>
      <c r="F2401" s="1"/>
    </row>
    <row r="2402" spans="4:6" x14ac:dyDescent="0.25">
      <c r="D2402" s="1"/>
      <c r="F2402" s="1"/>
    </row>
    <row r="2403" spans="4:6" x14ac:dyDescent="0.25">
      <c r="D2403" s="1"/>
      <c r="F2403" s="1"/>
    </row>
    <row r="2404" spans="4:6" x14ac:dyDescent="0.25">
      <c r="D2404" s="1"/>
      <c r="F2404" s="1"/>
    </row>
    <row r="2405" spans="4:6" x14ac:dyDescent="0.25">
      <c r="D2405" s="1"/>
      <c r="F2405" s="1"/>
    </row>
    <row r="2406" spans="4:6" x14ac:dyDescent="0.25">
      <c r="D2406" s="1"/>
      <c r="F2406" s="1"/>
    </row>
    <row r="2407" spans="4:6" x14ac:dyDescent="0.25">
      <c r="D2407" s="1"/>
      <c r="F2407" s="1"/>
    </row>
    <row r="2408" spans="4:6" x14ac:dyDescent="0.25">
      <c r="D2408" s="1"/>
      <c r="F2408" s="1"/>
    </row>
    <row r="2409" spans="4:6" x14ac:dyDescent="0.25">
      <c r="D2409" s="1"/>
      <c r="F2409" s="1"/>
    </row>
    <row r="2410" spans="4:6" x14ac:dyDescent="0.25">
      <c r="D2410" s="1"/>
      <c r="F2410" s="1"/>
    </row>
    <row r="2411" spans="4:6" x14ac:dyDescent="0.25">
      <c r="D2411" s="1"/>
      <c r="F2411" s="1"/>
    </row>
    <row r="2412" spans="4:6" x14ac:dyDescent="0.25">
      <c r="D2412" s="1"/>
      <c r="F2412" s="1"/>
    </row>
    <row r="2413" spans="4:6" x14ac:dyDescent="0.25">
      <c r="D2413" s="1"/>
      <c r="F2413" s="1"/>
    </row>
    <row r="2414" spans="4:6" x14ac:dyDescent="0.25">
      <c r="D2414" s="1"/>
      <c r="F2414" s="1"/>
    </row>
    <row r="2415" spans="4:6" x14ac:dyDescent="0.25">
      <c r="D2415" s="1"/>
      <c r="F2415" s="1"/>
    </row>
    <row r="2416" spans="4:6" x14ac:dyDescent="0.25">
      <c r="D2416" s="1"/>
      <c r="F2416" s="1"/>
    </row>
    <row r="2417" spans="4:6" x14ac:dyDescent="0.25">
      <c r="D2417" s="1"/>
      <c r="F2417" s="1"/>
    </row>
    <row r="2418" spans="4:6" x14ac:dyDescent="0.25">
      <c r="D2418" s="1"/>
      <c r="F2418" s="1"/>
    </row>
    <row r="2419" spans="4:6" x14ac:dyDescent="0.25">
      <c r="D2419" s="1"/>
      <c r="F2419" s="1"/>
    </row>
    <row r="2420" spans="4:6" x14ac:dyDescent="0.25">
      <c r="D2420" s="1"/>
      <c r="F2420" s="1"/>
    </row>
    <row r="2421" spans="4:6" x14ac:dyDescent="0.25">
      <c r="D2421" s="1"/>
      <c r="F2421" s="1"/>
    </row>
    <row r="2422" spans="4:6" x14ac:dyDescent="0.25">
      <c r="D2422" s="1"/>
      <c r="F2422" s="1"/>
    </row>
    <row r="2423" spans="4:6" x14ac:dyDescent="0.25">
      <c r="D2423" s="1"/>
      <c r="F2423" s="1"/>
    </row>
    <row r="2424" spans="4:6" x14ac:dyDescent="0.25">
      <c r="D2424" s="1"/>
      <c r="F2424" s="1"/>
    </row>
    <row r="2425" spans="4:6" x14ac:dyDescent="0.25">
      <c r="D2425" s="1"/>
      <c r="F2425" s="1"/>
    </row>
    <row r="2426" spans="4:6" x14ac:dyDescent="0.25">
      <c r="D2426" s="1"/>
      <c r="F2426" s="1"/>
    </row>
    <row r="2427" spans="4:6" x14ac:dyDescent="0.25">
      <c r="D2427" s="1"/>
      <c r="F2427" s="1"/>
    </row>
    <row r="2428" spans="4:6" x14ac:dyDescent="0.25">
      <c r="D2428" s="1"/>
      <c r="F2428" s="1"/>
    </row>
    <row r="2429" spans="4:6" x14ac:dyDescent="0.25">
      <c r="D2429" s="1"/>
      <c r="F2429" s="1"/>
    </row>
    <row r="2430" spans="4:6" x14ac:dyDescent="0.25">
      <c r="D2430" s="1"/>
      <c r="F2430" s="1"/>
    </row>
    <row r="2431" spans="4:6" x14ac:dyDescent="0.25">
      <c r="D2431" s="1"/>
      <c r="F2431" s="1"/>
    </row>
    <row r="2432" spans="4:6" x14ac:dyDescent="0.25">
      <c r="D2432" s="1"/>
      <c r="F2432" s="1"/>
    </row>
    <row r="2433" spans="4:6" x14ac:dyDescent="0.25">
      <c r="D2433" s="1"/>
      <c r="F2433" s="1"/>
    </row>
    <row r="2434" spans="4:6" x14ac:dyDescent="0.25">
      <c r="D2434" s="1"/>
      <c r="F2434" s="1"/>
    </row>
    <row r="2435" spans="4:6" x14ac:dyDescent="0.25">
      <c r="D2435" s="1"/>
      <c r="F2435" s="1"/>
    </row>
    <row r="2436" spans="4:6" x14ac:dyDescent="0.25">
      <c r="D2436" s="1"/>
      <c r="F2436" s="1"/>
    </row>
    <row r="2437" spans="4:6" x14ac:dyDescent="0.25">
      <c r="D2437" s="1"/>
      <c r="F2437" s="1"/>
    </row>
    <row r="2438" spans="4:6" x14ac:dyDescent="0.25">
      <c r="D2438" s="1"/>
      <c r="F2438" s="1"/>
    </row>
    <row r="2439" spans="4:6" x14ac:dyDescent="0.25">
      <c r="D2439" s="1"/>
      <c r="F2439" s="1"/>
    </row>
    <row r="2440" spans="4:6" x14ac:dyDescent="0.25">
      <c r="D2440" s="1"/>
      <c r="F2440" s="1"/>
    </row>
    <row r="2441" spans="4:6" x14ac:dyDescent="0.25">
      <c r="D2441" s="1"/>
      <c r="F2441" s="1"/>
    </row>
    <row r="2442" spans="4:6" x14ac:dyDescent="0.25">
      <c r="D2442" s="1"/>
      <c r="F2442" s="1"/>
    </row>
    <row r="2443" spans="4:6" x14ac:dyDescent="0.25">
      <c r="D2443" s="1"/>
      <c r="F2443" s="1"/>
    </row>
    <row r="2444" spans="4:6" x14ac:dyDescent="0.25">
      <c r="D2444" s="1"/>
      <c r="F2444" s="1"/>
    </row>
    <row r="2445" spans="4:6" x14ac:dyDescent="0.25">
      <c r="D2445" s="1"/>
      <c r="F2445" s="1"/>
    </row>
    <row r="2446" spans="4:6" x14ac:dyDescent="0.25">
      <c r="D2446" s="1"/>
      <c r="F2446" s="1"/>
    </row>
    <row r="2447" spans="4:6" x14ac:dyDescent="0.25">
      <c r="D2447" s="1"/>
      <c r="F2447" s="1"/>
    </row>
    <row r="2448" spans="4:6" x14ac:dyDescent="0.25">
      <c r="D2448" s="1"/>
      <c r="F2448" s="1"/>
    </row>
    <row r="2449" spans="4:6" x14ac:dyDescent="0.25">
      <c r="D2449" s="1"/>
      <c r="F2449" s="1"/>
    </row>
    <row r="2450" spans="4:6" x14ac:dyDescent="0.25">
      <c r="D2450" s="1"/>
      <c r="F2450" s="1"/>
    </row>
    <row r="2451" spans="4:6" x14ac:dyDescent="0.25">
      <c r="D2451" s="1"/>
      <c r="F2451" s="1"/>
    </row>
    <row r="2452" spans="4:6" x14ac:dyDescent="0.25">
      <c r="D2452" s="1"/>
      <c r="F2452" s="1"/>
    </row>
    <row r="2453" spans="4:6" x14ac:dyDescent="0.25">
      <c r="D2453" s="1"/>
      <c r="F2453" s="1"/>
    </row>
    <row r="2454" spans="4:6" x14ac:dyDescent="0.25">
      <c r="D2454" s="1"/>
      <c r="F2454" s="1"/>
    </row>
    <row r="2455" spans="4:6" x14ac:dyDescent="0.25">
      <c r="D2455" s="1"/>
      <c r="F2455" s="1"/>
    </row>
    <row r="2456" spans="4:6" x14ac:dyDescent="0.25">
      <c r="D2456" s="1"/>
      <c r="F2456" s="1"/>
    </row>
    <row r="2457" spans="4:6" x14ac:dyDescent="0.25">
      <c r="D2457" s="1"/>
      <c r="F2457" s="1"/>
    </row>
    <row r="2458" spans="4:6" x14ac:dyDescent="0.25">
      <c r="D2458" s="1"/>
      <c r="F2458" s="1"/>
    </row>
    <row r="2459" spans="4:6" x14ac:dyDescent="0.25">
      <c r="D2459" s="1"/>
      <c r="F2459" s="1"/>
    </row>
    <row r="2460" spans="4:6" x14ac:dyDescent="0.25">
      <c r="D2460" s="1"/>
      <c r="F2460" s="1"/>
    </row>
    <row r="2461" spans="4:6" x14ac:dyDescent="0.25">
      <c r="D2461" s="1"/>
      <c r="F2461" s="1"/>
    </row>
    <row r="2462" spans="4:6" x14ac:dyDescent="0.25">
      <c r="D2462" s="1"/>
      <c r="F2462" s="1"/>
    </row>
    <row r="2463" spans="4:6" x14ac:dyDescent="0.25">
      <c r="D2463" s="1"/>
      <c r="F2463" s="1"/>
    </row>
    <row r="2464" spans="4:6" x14ac:dyDescent="0.25">
      <c r="D2464" s="1"/>
      <c r="F2464" s="1"/>
    </row>
    <row r="2465" spans="4:6" x14ac:dyDescent="0.25">
      <c r="D2465" s="1"/>
      <c r="F2465" s="1"/>
    </row>
    <row r="2466" spans="4:6" x14ac:dyDescent="0.25">
      <c r="D2466" s="1"/>
      <c r="F2466" s="1"/>
    </row>
    <row r="2467" spans="4:6" x14ac:dyDescent="0.25">
      <c r="D2467" s="1"/>
      <c r="F2467" s="1"/>
    </row>
    <row r="2468" spans="4:6" x14ac:dyDescent="0.25">
      <c r="D2468" s="1"/>
      <c r="F2468" s="1"/>
    </row>
    <row r="2469" spans="4:6" x14ac:dyDescent="0.25">
      <c r="D2469" s="1"/>
      <c r="F2469" s="1"/>
    </row>
    <row r="2470" spans="4:6" x14ac:dyDescent="0.25">
      <c r="D2470" s="1"/>
      <c r="F2470" s="1"/>
    </row>
    <row r="2471" spans="4:6" x14ac:dyDescent="0.25">
      <c r="D2471" s="1"/>
      <c r="F2471" s="1"/>
    </row>
    <row r="2472" spans="4:6" x14ac:dyDescent="0.25">
      <c r="D2472" s="1"/>
      <c r="F2472" s="1"/>
    </row>
    <row r="2473" spans="4:6" x14ac:dyDescent="0.25">
      <c r="D2473" s="1"/>
      <c r="F2473" s="1"/>
    </row>
    <row r="2474" spans="4:6" x14ac:dyDescent="0.25">
      <c r="D2474" s="1"/>
      <c r="F2474" s="1"/>
    </row>
    <row r="2475" spans="4:6" x14ac:dyDescent="0.25">
      <c r="D2475" s="1"/>
      <c r="F2475" s="1"/>
    </row>
    <row r="2476" spans="4:6" x14ac:dyDescent="0.25">
      <c r="D2476" s="1"/>
      <c r="F2476" s="1"/>
    </row>
    <row r="2477" spans="4:6" x14ac:dyDescent="0.25">
      <c r="D2477" s="1"/>
      <c r="F2477" s="1"/>
    </row>
    <row r="2478" spans="4:6" x14ac:dyDescent="0.25">
      <c r="D2478" s="1"/>
      <c r="F2478" s="1"/>
    </row>
    <row r="2479" spans="4:6" x14ac:dyDescent="0.25">
      <c r="D2479" s="1"/>
      <c r="F2479" s="1"/>
    </row>
    <row r="2480" spans="4:6" x14ac:dyDescent="0.25">
      <c r="D2480" s="1"/>
      <c r="F2480" s="1"/>
    </row>
    <row r="2481" spans="4:6" x14ac:dyDescent="0.25">
      <c r="D2481" s="1"/>
      <c r="F2481" s="1"/>
    </row>
    <row r="2482" spans="4:6" x14ac:dyDescent="0.25">
      <c r="D2482" s="1"/>
      <c r="F2482" s="1"/>
    </row>
    <row r="2483" spans="4:6" x14ac:dyDescent="0.25">
      <c r="D2483" s="1"/>
      <c r="F2483" s="1"/>
    </row>
    <row r="2484" spans="4:6" x14ac:dyDescent="0.25">
      <c r="D2484" s="1"/>
      <c r="F2484" s="1"/>
    </row>
    <row r="2485" spans="4:6" x14ac:dyDescent="0.25">
      <c r="D2485" s="1"/>
      <c r="F2485" s="1"/>
    </row>
    <row r="2486" spans="4:6" x14ac:dyDescent="0.25">
      <c r="D2486" s="1"/>
      <c r="F2486" s="1"/>
    </row>
    <row r="2487" spans="4:6" x14ac:dyDescent="0.25">
      <c r="D2487" s="1"/>
      <c r="F2487" s="1"/>
    </row>
    <row r="2488" spans="4:6" x14ac:dyDescent="0.25">
      <c r="D2488" s="1"/>
      <c r="F2488" s="1"/>
    </row>
    <row r="2489" spans="4:6" x14ac:dyDescent="0.25">
      <c r="D2489" s="1"/>
      <c r="F2489" s="1"/>
    </row>
    <row r="2490" spans="4:6" x14ac:dyDescent="0.25">
      <c r="D2490" s="1"/>
      <c r="F2490" s="1"/>
    </row>
    <row r="2491" spans="4:6" x14ac:dyDescent="0.25">
      <c r="D2491" s="1"/>
      <c r="F2491" s="1"/>
    </row>
    <row r="2492" spans="4:6" x14ac:dyDescent="0.25">
      <c r="D2492" s="1"/>
      <c r="F2492" s="1"/>
    </row>
    <row r="2493" spans="4:6" x14ac:dyDescent="0.25">
      <c r="D2493" s="1"/>
      <c r="F2493" s="1"/>
    </row>
    <row r="2494" spans="4:6" x14ac:dyDescent="0.25">
      <c r="D2494" s="1"/>
      <c r="F2494" s="1"/>
    </row>
    <row r="2495" spans="4:6" x14ac:dyDescent="0.25">
      <c r="D2495" s="1"/>
      <c r="F2495" s="1"/>
    </row>
    <row r="2496" spans="4:6" x14ac:dyDescent="0.25">
      <c r="D2496" s="1"/>
      <c r="F2496" s="1"/>
    </row>
    <row r="2497" spans="4:6" x14ac:dyDescent="0.25">
      <c r="D2497" s="1"/>
      <c r="F2497" s="1"/>
    </row>
    <row r="2498" spans="4:6" x14ac:dyDescent="0.25">
      <c r="D2498" s="1"/>
      <c r="F2498" s="1"/>
    </row>
    <row r="2499" spans="4:6" x14ac:dyDescent="0.25">
      <c r="D2499" s="1"/>
      <c r="F2499" s="1"/>
    </row>
    <row r="2500" spans="4:6" x14ac:dyDescent="0.25">
      <c r="D2500" s="1"/>
      <c r="F2500" s="1"/>
    </row>
    <row r="2501" spans="4:6" x14ac:dyDescent="0.25">
      <c r="D2501" s="1"/>
      <c r="F2501" s="1"/>
    </row>
    <row r="2502" spans="4:6" x14ac:dyDescent="0.25">
      <c r="D2502" s="1"/>
      <c r="F2502" s="1"/>
    </row>
    <row r="2503" spans="4:6" x14ac:dyDescent="0.25">
      <c r="D2503" s="1"/>
      <c r="F2503" s="1"/>
    </row>
    <row r="2504" spans="4:6" x14ac:dyDescent="0.25">
      <c r="D2504" s="1"/>
      <c r="F2504" s="1"/>
    </row>
    <row r="2505" spans="4:6" x14ac:dyDescent="0.25">
      <c r="D2505" s="1"/>
      <c r="F2505" s="1"/>
    </row>
    <row r="2506" spans="4:6" x14ac:dyDescent="0.25">
      <c r="D2506" s="1"/>
      <c r="F2506" s="1"/>
    </row>
    <row r="2507" spans="4:6" x14ac:dyDescent="0.25">
      <c r="D2507" s="1"/>
      <c r="F2507" s="1"/>
    </row>
    <row r="2508" spans="4:6" x14ac:dyDescent="0.25">
      <c r="D2508" s="1"/>
      <c r="F2508" s="1"/>
    </row>
    <row r="2509" spans="4:6" x14ac:dyDescent="0.25">
      <c r="D2509" s="1"/>
      <c r="F2509" s="1"/>
    </row>
    <row r="2510" spans="4:6" x14ac:dyDescent="0.25">
      <c r="D2510" s="1"/>
      <c r="F2510" s="1"/>
    </row>
    <row r="2511" spans="4:6" x14ac:dyDescent="0.25">
      <c r="D2511" s="1"/>
      <c r="F2511" s="1"/>
    </row>
    <row r="2512" spans="4:6" x14ac:dyDescent="0.25">
      <c r="D2512" s="1"/>
      <c r="F2512" s="1"/>
    </row>
    <row r="2513" spans="4:6" x14ac:dyDescent="0.25">
      <c r="D2513" s="1"/>
      <c r="F2513" s="1"/>
    </row>
    <row r="2514" spans="4:6" x14ac:dyDescent="0.25">
      <c r="D2514" s="1"/>
      <c r="F2514" s="1"/>
    </row>
    <row r="2515" spans="4:6" x14ac:dyDescent="0.25">
      <c r="D2515" s="1"/>
      <c r="F2515" s="1"/>
    </row>
    <row r="2516" spans="4:6" x14ac:dyDescent="0.25">
      <c r="D2516" s="1"/>
      <c r="F2516" s="1"/>
    </row>
    <row r="2517" spans="4:6" x14ac:dyDescent="0.25">
      <c r="D2517" s="1"/>
      <c r="F2517" s="1"/>
    </row>
    <row r="2518" spans="4:6" x14ac:dyDescent="0.25">
      <c r="D2518" s="1"/>
      <c r="F2518" s="1"/>
    </row>
    <row r="2519" spans="4:6" x14ac:dyDescent="0.25">
      <c r="D2519" s="1"/>
      <c r="F2519" s="1"/>
    </row>
    <row r="2520" spans="4:6" x14ac:dyDescent="0.25">
      <c r="D2520" s="1"/>
      <c r="F2520" s="1"/>
    </row>
    <row r="2521" spans="4:6" x14ac:dyDescent="0.25">
      <c r="D2521" s="1"/>
      <c r="F2521" s="1"/>
    </row>
    <row r="2522" spans="4:6" x14ac:dyDescent="0.25">
      <c r="D2522" s="1"/>
      <c r="F2522" s="1"/>
    </row>
    <row r="2523" spans="4:6" x14ac:dyDescent="0.25">
      <c r="D2523" s="1"/>
      <c r="F2523" s="1"/>
    </row>
    <row r="2524" spans="4:6" x14ac:dyDescent="0.25">
      <c r="D2524" s="1"/>
      <c r="F2524" s="1"/>
    </row>
    <row r="2525" spans="4:6" x14ac:dyDescent="0.25">
      <c r="D2525" s="1"/>
      <c r="F2525" s="1"/>
    </row>
    <row r="2526" spans="4:6" x14ac:dyDescent="0.25">
      <c r="D2526" s="1"/>
      <c r="F2526" s="1"/>
    </row>
    <row r="2527" spans="4:6" x14ac:dyDescent="0.25">
      <c r="D2527" s="1"/>
      <c r="F2527" s="1"/>
    </row>
    <row r="2528" spans="4:6" x14ac:dyDescent="0.25">
      <c r="D2528" s="1"/>
      <c r="F2528" s="1"/>
    </row>
    <row r="2529" spans="4:6" x14ac:dyDescent="0.25">
      <c r="D2529" s="1"/>
      <c r="F2529" s="1"/>
    </row>
    <row r="2530" spans="4:6" x14ac:dyDescent="0.25">
      <c r="D2530" s="1"/>
      <c r="F2530" s="1"/>
    </row>
    <row r="2531" spans="4:6" x14ac:dyDescent="0.25">
      <c r="D2531" s="1"/>
      <c r="F2531" s="1"/>
    </row>
    <row r="2532" spans="4:6" x14ac:dyDescent="0.25">
      <c r="D2532" s="1"/>
      <c r="F2532" s="1"/>
    </row>
    <row r="2533" spans="4:6" x14ac:dyDescent="0.25">
      <c r="D2533" s="1"/>
      <c r="F2533" s="1"/>
    </row>
    <row r="2534" spans="4:6" x14ac:dyDescent="0.25">
      <c r="D2534" s="1"/>
      <c r="F2534" s="1"/>
    </row>
    <row r="2535" spans="4:6" x14ac:dyDescent="0.25">
      <c r="D2535" s="1"/>
      <c r="F2535" s="1"/>
    </row>
    <row r="2536" spans="4:6" x14ac:dyDescent="0.25">
      <c r="D2536" s="1"/>
      <c r="F2536" s="1"/>
    </row>
    <row r="2537" spans="4:6" x14ac:dyDescent="0.25">
      <c r="D2537" s="1"/>
      <c r="F2537" s="1"/>
    </row>
    <row r="2538" spans="4:6" x14ac:dyDescent="0.25">
      <c r="D2538" s="1"/>
      <c r="F2538" s="1"/>
    </row>
    <row r="2539" spans="4:6" x14ac:dyDescent="0.25">
      <c r="D2539" s="1"/>
      <c r="F2539" s="1"/>
    </row>
    <row r="2540" spans="4:6" x14ac:dyDescent="0.25">
      <c r="D2540" s="1"/>
      <c r="F2540" s="1"/>
    </row>
    <row r="2541" spans="4:6" x14ac:dyDescent="0.25">
      <c r="D2541" s="1"/>
      <c r="F2541" s="1"/>
    </row>
    <row r="2542" spans="4:6" x14ac:dyDescent="0.25">
      <c r="D2542" s="1"/>
      <c r="F2542" s="1"/>
    </row>
    <row r="2543" spans="4:6" x14ac:dyDescent="0.25">
      <c r="D2543" s="1"/>
      <c r="F2543" s="1"/>
    </row>
    <row r="2544" spans="4:6" x14ac:dyDescent="0.25">
      <c r="D2544" s="1"/>
      <c r="F2544" s="1"/>
    </row>
    <row r="2545" spans="4:6" x14ac:dyDescent="0.25">
      <c r="D2545" s="1"/>
      <c r="F2545" s="1"/>
    </row>
    <row r="2546" spans="4:6" x14ac:dyDescent="0.25">
      <c r="D2546" s="1"/>
      <c r="F2546" s="1"/>
    </row>
    <row r="2547" spans="4:6" x14ac:dyDescent="0.25">
      <c r="D2547" s="1"/>
      <c r="F2547" s="1"/>
    </row>
    <row r="2548" spans="4:6" x14ac:dyDescent="0.25">
      <c r="D2548" s="1"/>
      <c r="F2548" s="1"/>
    </row>
    <row r="2549" spans="4:6" x14ac:dyDescent="0.25">
      <c r="D2549" s="1"/>
      <c r="F2549" s="1"/>
    </row>
    <row r="2550" spans="4:6" x14ac:dyDescent="0.25">
      <c r="D2550" s="1"/>
      <c r="F2550" s="1"/>
    </row>
    <row r="2551" spans="4:6" x14ac:dyDescent="0.25">
      <c r="D2551" s="1"/>
      <c r="F2551" s="1"/>
    </row>
    <row r="2552" spans="4:6" x14ac:dyDescent="0.25">
      <c r="D2552" s="1"/>
      <c r="F2552" s="1"/>
    </row>
    <row r="2553" spans="4:6" x14ac:dyDescent="0.25">
      <c r="D2553" s="1"/>
      <c r="F2553" s="1"/>
    </row>
    <row r="2554" spans="4:6" x14ac:dyDescent="0.25">
      <c r="D2554" s="1"/>
      <c r="F2554" s="1"/>
    </row>
    <row r="2555" spans="4:6" x14ac:dyDescent="0.25">
      <c r="D2555" s="1"/>
      <c r="F2555" s="1"/>
    </row>
    <row r="2556" spans="4:6" x14ac:dyDescent="0.25">
      <c r="D2556" s="1"/>
      <c r="F2556" s="1"/>
    </row>
    <row r="2557" spans="4:6" x14ac:dyDescent="0.25">
      <c r="D2557" s="1"/>
      <c r="F2557" s="1"/>
    </row>
    <row r="2558" spans="4:6" x14ac:dyDescent="0.25">
      <c r="D2558" s="1"/>
      <c r="F2558" s="1"/>
    </row>
    <row r="2559" spans="4:6" x14ac:dyDescent="0.25">
      <c r="D2559" s="1"/>
      <c r="F2559" s="1"/>
    </row>
    <row r="2560" spans="4:6" x14ac:dyDescent="0.25">
      <c r="D2560" s="1"/>
      <c r="F2560" s="1"/>
    </row>
    <row r="2561" spans="4:6" x14ac:dyDescent="0.25">
      <c r="D2561" s="1"/>
      <c r="F2561" s="1"/>
    </row>
    <row r="2562" spans="4:6" x14ac:dyDescent="0.25">
      <c r="D2562" s="1"/>
      <c r="F2562" s="1"/>
    </row>
    <row r="2563" spans="4:6" x14ac:dyDescent="0.25">
      <c r="D2563" s="1"/>
      <c r="F2563" s="1"/>
    </row>
    <row r="2564" spans="4:6" x14ac:dyDescent="0.25">
      <c r="D2564" s="1"/>
      <c r="F2564" s="1"/>
    </row>
    <row r="2565" spans="4:6" x14ac:dyDescent="0.25">
      <c r="D2565" s="1"/>
      <c r="F2565" s="1"/>
    </row>
    <row r="2566" spans="4:6" x14ac:dyDescent="0.25">
      <c r="D2566" s="1"/>
      <c r="F2566" s="1"/>
    </row>
    <row r="2567" spans="4:6" x14ac:dyDescent="0.25">
      <c r="D2567" s="1"/>
      <c r="F2567" s="1"/>
    </row>
    <row r="2568" spans="4:6" x14ac:dyDescent="0.25">
      <c r="D2568" s="1"/>
      <c r="F2568" s="1"/>
    </row>
    <row r="2569" spans="4:6" x14ac:dyDescent="0.25">
      <c r="D2569" s="1"/>
      <c r="F2569" s="1"/>
    </row>
    <row r="2570" spans="4:6" x14ac:dyDescent="0.25">
      <c r="D2570" s="1"/>
      <c r="F2570" s="1"/>
    </row>
    <row r="2571" spans="4:6" x14ac:dyDescent="0.25">
      <c r="D2571" s="1"/>
      <c r="F2571" s="1"/>
    </row>
    <row r="2572" spans="4:6" x14ac:dyDescent="0.25">
      <c r="D2572" s="1"/>
      <c r="F2572" s="1"/>
    </row>
    <row r="2573" spans="4:6" x14ac:dyDescent="0.25">
      <c r="D2573" s="1"/>
      <c r="F2573" s="1"/>
    </row>
    <row r="2574" spans="4:6" x14ac:dyDescent="0.25">
      <c r="D2574" s="1"/>
      <c r="F2574" s="1"/>
    </row>
    <row r="2575" spans="4:6" x14ac:dyDescent="0.25">
      <c r="D2575" s="1"/>
      <c r="F2575" s="1"/>
    </row>
    <row r="2576" spans="4:6" x14ac:dyDescent="0.25">
      <c r="D2576" s="1"/>
      <c r="F2576" s="1"/>
    </row>
    <row r="2577" spans="4:6" x14ac:dyDescent="0.25">
      <c r="D2577" s="1"/>
      <c r="F2577" s="1"/>
    </row>
    <row r="2578" spans="4:6" x14ac:dyDescent="0.25">
      <c r="D2578" s="1"/>
      <c r="F2578" s="1"/>
    </row>
    <row r="2579" spans="4:6" x14ac:dyDescent="0.25">
      <c r="D2579" s="1"/>
      <c r="F2579" s="1"/>
    </row>
    <row r="2580" spans="4:6" x14ac:dyDescent="0.25">
      <c r="D2580" s="1"/>
      <c r="F2580" s="1"/>
    </row>
    <row r="2581" spans="4:6" x14ac:dyDescent="0.25">
      <c r="D2581" s="1"/>
      <c r="F2581" s="1"/>
    </row>
    <row r="2582" spans="4:6" x14ac:dyDescent="0.25">
      <c r="D2582" s="1"/>
      <c r="F2582" s="1"/>
    </row>
    <row r="2583" spans="4:6" x14ac:dyDescent="0.25">
      <c r="D2583" s="1"/>
      <c r="F2583" s="1"/>
    </row>
    <row r="2584" spans="4:6" x14ac:dyDescent="0.25">
      <c r="D2584" s="1"/>
      <c r="F2584" s="1"/>
    </row>
    <row r="2585" spans="4:6" x14ac:dyDescent="0.25">
      <c r="D2585" s="1"/>
      <c r="F2585" s="1"/>
    </row>
    <row r="2586" spans="4:6" x14ac:dyDescent="0.25">
      <c r="D2586" s="1"/>
      <c r="F2586" s="1"/>
    </row>
    <row r="2587" spans="4:6" x14ac:dyDescent="0.25">
      <c r="D2587" s="1"/>
      <c r="F2587" s="1"/>
    </row>
    <row r="2588" spans="4:6" x14ac:dyDescent="0.25">
      <c r="D2588" s="1"/>
      <c r="F2588" s="1"/>
    </row>
    <row r="2589" spans="4:6" x14ac:dyDescent="0.25">
      <c r="D2589" s="1"/>
      <c r="F2589" s="1"/>
    </row>
    <row r="2590" spans="4:6" x14ac:dyDescent="0.25">
      <c r="D2590" s="1"/>
      <c r="F2590" s="1"/>
    </row>
    <row r="2591" spans="4:6" x14ac:dyDescent="0.25">
      <c r="D2591" s="1"/>
      <c r="F2591" s="1"/>
    </row>
    <row r="2592" spans="4:6" x14ac:dyDescent="0.25">
      <c r="D2592" s="1"/>
      <c r="F2592" s="1"/>
    </row>
    <row r="2593" spans="4:6" x14ac:dyDescent="0.25">
      <c r="D2593" s="1"/>
      <c r="F2593" s="1"/>
    </row>
    <row r="2594" spans="4:6" x14ac:dyDescent="0.25">
      <c r="D2594" s="1"/>
      <c r="F2594" s="1"/>
    </row>
    <row r="2595" spans="4:6" x14ac:dyDescent="0.25">
      <c r="D2595" s="1"/>
      <c r="F2595" s="1"/>
    </row>
    <row r="2596" spans="4:6" x14ac:dyDescent="0.25">
      <c r="D2596" s="1"/>
      <c r="F2596" s="1"/>
    </row>
    <row r="2597" spans="4:6" x14ac:dyDescent="0.25">
      <c r="D2597" s="1"/>
      <c r="F2597" s="1"/>
    </row>
    <row r="2598" spans="4:6" x14ac:dyDescent="0.25">
      <c r="D2598" s="1"/>
      <c r="F2598" s="1"/>
    </row>
    <row r="2599" spans="4:6" x14ac:dyDescent="0.25">
      <c r="D2599" s="1"/>
      <c r="F2599" s="1"/>
    </row>
    <row r="2600" spans="4:6" x14ac:dyDescent="0.25">
      <c r="D2600" s="1"/>
      <c r="F2600" s="1"/>
    </row>
    <row r="2601" spans="4:6" x14ac:dyDescent="0.25">
      <c r="D2601" s="1"/>
      <c r="F2601" s="1"/>
    </row>
    <row r="2602" spans="4:6" x14ac:dyDescent="0.25">
      <c r="D2602" s="1"/>
      <c r="F2602" s="1"/>
    </row>
    <row r="2603" spans="4:6" x14ac:dyDescent="0.25">
      <c r="D2603" s="1"/>
      <c r="F2603" s="1"/>
    </row>
    <row r="2604" spans="4:6" x14ac:dyDescent="0.25">
      <c r="D2604" s="1"/>
      <c r="F2604" s="1"/>
    </row>
    <row r="2605" spans="4:6" x14ac:dyDescent="0.25">
      <c r="D2605" s="1"/>
      <c r="F2605" s="1"/>
    </row>
    <row r="2606" spans="4:6" x14ac:dyDescent="0.25">
      <c r="D2606" s="1"/>
      <c r="F2606" s="1"/>
    </row>
    <row r="2607" spans="4:6" x14ac:dyDescent="0.25">
      <c r="D2607" s="1"/>
      <c r="F2607" s="1"/>
    </row>
    <row r="2608" spans="4:6" x14ac:dyDescent="0.25">
      <c r="D2608" s="1"/>
      <c r="F2608" s="1"/>
    </row>
    <row r="2609" spans="4:6" x14ac:dyDescent="0.25">
      <c r="D2609" s="1"/>
      <c r="F2609" s="1"/>
    </row>
    <row r="2610" spans="4:6" x14ac:dyDescent="0.25">
      <c r="D2610" s="1"/>
      <c r="F2610" s="1"/>
    </row>
    <row r="2611" spans="4:6" x14ac:dyDescent="0.25">
      <c r="D2611" s="1"/>
      <c r="F2611" s="1"/>
    </row>
    <row r="2612" spans="4:6" x14ac:dyDescent="0.25">
      <c r="D2612" s="1"/>
      <c r="F2612" s="1"/>
    </row>
    <row r="2613" spans="4:6" x14ac:dyDescent="0.25">
      <c r="D2613" s="1"/>
      <c r="F2613" s="1"/>
    </row>
    <row r="2614" spans="4:6" x14ac:dyDescent="0.25">
      <c r="D2614" s="1"/>
      <c r="F2614" s="1"/>
    </row>
    <row r="2615" spans="4:6" x14ac:dyDescent="0.25">
      <c r="D2615" s="1"/>
      <c r="F2615" s="1"/>
    </row>
    <row r="2616" spans="4:6" x14ac:dyDescent="0.25">
      <c r="D2616" s="1"/>
      <c r="F2616" s="1"/>
    </row>
    <row r="2617" spans="4:6" x14ac:dyDescent="0.25">
      <c r="D2617" s="1"/>
      <c r="F2617" s="1"/>
    </row>
    <row r="2618" spans="4:6" x14ac:dyDescent="0.25">
      <c r="D2618" s="1"/>
      <c r="F2618" s="1"/>
    </row>
    <row r="2619" spans="4:6" x14ac:dyDescent="0.25">
      <c r="D2619" s="1"/>
      <c r="F2619" s="1"/>
    </row>
    <row r="2620" spans="4:6" x14ac:dyDescent="0.25">
      <c r="D2620" s="1"/>
      <c r="F2620" s="1"/>
    </row>
    <row r="2621" spans="4:6" x14ac:dyDescent="0.25">
      <c r="D2621" s="1"/>
      <c r="F2621" s="1"/>
    </row>
    <row r="2622" spans="4:6" x14ac:dyDescent="0.25">
      <c r="D2622" s="1"/>
      <c r="F2622" s="1"/>
    </row>
    <row r="2623" spans="4:6" x14ac:dyDescent="0.25">
      <c r="D2623" s="1"/>
      <c r="F2623" s="1"/>
    </row>
    <row r="2624" spans="4:6" x14ac:dyDescent="0.25">
      <c r="D2624" s="1"/>
      <c r="F2624" s="1"/>
    </row>
    <row r="2625" spans="4:6" x14ac:dyDescent="0.25">
      <c r="D2625" s="1"/>
      <c r="F2625" s="1"/>
    </row>
    <row r="2626" spans="4:6" x14ac:dyDescent="0.25">
      <c r="D2626" s="1"/>
      <c r="F2626" s="1"/>
    </row>
    <row r="2627" spans="4:6" x14ac:dyDescent="0.25">
      <c r="D2627" s="1"/>
      <c r="F2627" s="1"/>
    </row>
    <row r="2628" spans="4:6" x14ac:dyDescent="0.25">
      <c r="D2628" s="1"/>
      <c r="F2628" s="1"/>
    </row>
    <row r="2629" spans="4:6" x14ac:dyDescent="0.25">
      <c r="D2629" s="1"/>
      <c r="F2629" s="1"/>
    </row>
    <row r="2630" spans="4:6" x14ac:dyDescent="0.25">
      <c r="D2630" s="1"/>
      <c r="F2630" s="1"/>
    </row>
    <row r="2631" spans="4:6" x14ac:dyDescent="0.25">
      <c r="D2631" s="1"/>
      <c r="F2631" s="1"/>
    </row>
    <row r="2632" spans="4:6" x14ac:dyDescent="0.25">
      <c r="D2632" s="1"/>
      <c r="F2632" s="1"/>
    </row>
    <row r="2633" spans="4:6" x14ac:dyDescent="0.25">
      <c r="D2633" s="1"/>
      <c r="F2633" s="1"/>
    </row>
    <row r="2634" spans="4:6" x14ac:dyDescent="0.25">
      <c r="D2634" s="1"/>
      <c r="F2634" s="1"/>
    </row>
    <row r="2635" spans="4:6" x14ac:dyDescent="0.25">
      <c r="D2635" s="1"/>
      <c r="F2635" s="1"/>
    </row>
    <row r="2636" spans="4:6" x14ac:dyDescent="0.25">
      <c r="D2636" s="1"/>
      <c r="F2636" s="1"/>
    </row>
    <row r="2637" spans="4:6" x14ac:dyDescent="0.25">
      <c r="D2637" s="1"/>
      <c r="F2637" s="1"/>
    </row>
    <row r="2638" spans="4:6" x14ac:dyDescent="0.25">
      <c r="D2638" s="1"/>
      <c r="F2638" s="1"/>
    </row>
    <row r="2639" spans="4:6" x14ac:dyDescent="0.25">
      <c r="D2639" s="1"/>
      <c r="F2639" s="1"/>
    </row>
    <row r="2640" spans="4:6" x14ac:dyDescent="0.25">
      <c r="D2640" s="1"/>
      <c r="F2640" s="1"/>
    </row>
    <row r="2641" spans="4:6" x14ac:dyDescent="0.25">
      <c r="D2641" s="1"/>
      <c r="F2641" s="1"/>
    </row>
    <row r="2642" spans="4:6" x14ac:dyDescent="0.25">
      <c r="D2642" s="1"/>
      <c r="F2642" s="1"/>
    </row>
    <row r="2643" spans="4:6" x14ac:dyDescent="0.25">
      <c r="D2643" s="1"/>
      <c r="F2643" s="1"/>
    </row>
    <row r="2644" spans="4:6" x14ac:dyDescent="0.25">
      <c r="D2644" s="1"/>
      <c r="F2644" s="1"/>
    </row>
    <row r="2645" spans="4:6" x14ac:dyDescent="0.25">
      <c r="D2645" s="1"/>
      <c r="F2645" s="1"/>
    </row>
    <row r="2646" spans="4:6" x14ac:dyDescent="0.25">
      <c r="D2646" s="1"/>
      <c r="F2646" s="1"/>
    </row>
    <row r="2647" spans="4:6" x14ac:dyDescent="0.25">
      <c r="D2647" s="1"/>
      <c r="F2647" s="1"/>
    </row>
    <row r="2648" spans="4:6" x14ac:dyDescent="0.25">
      <c r="D2648" s="1"/>
      <c r="F2648" s="1"/>
    </row>
    <row r="2649" spans="4:6" x14ac:dyDescent="0.25">
      <c r="D2649" s="1"/>
      <c r="F2649" s="1"/>
    </row>
    <row r="2650" spans="4:6" x14ac:dyDescent="0.25">
      <c r="D2650" s="1"/>
      <c r="F2650" s="1"/>
    </row>
    <row r="2651" spans="4:6" x14ac:dyDescent="0.25">
      <c r="D2651" s="1"/>
      <c r="F2651" s="1"/>
    </row>
    <row r="2652" spans="4:6" x14ac:dyDescent="0.25">
      <c r="D2652" s="1"/>
      <c r="F2652" s="1"/>
    </row>
    <row r="2653" spans="4:6" x14ac:dyDescent="0.25">
      <c r="D2653" s="1"/>
      <c r="F2653" s="1"/>
    </row>
    <row r="2654" spans="4:6" x14ac:dyDescent="0.25">
      <c r="D2654" s="1"/>
      <c r="F2654" s="1"/>
    </row>
    <row r="2655" spans="4:6" x14ac:dyDescent="0.25">
      <c r="D2655" s="1"/>
      <c r="F2655" s="1"/>
    </row>
    <row r="2656" spans="4:6" x14ac:dyDescent="0.25">
      <c r="D2656" s="1"/>
      <c r="F2656" s="1"/>
    </row>
    <row r="2657" spans="4:6" x14ac:dyDescent="0.25">
      <c r="D2657" s="1"/>
      <c r="F2657" s="1"/>
    </row>
    <row r="2658" spans="4:6" x14ac:dyDescent="0.25">
      <c r="D2658" s="1"/>
      <c r="F2658" s="1"/>
    </row>
    <row r="2659" spans="4:6" x14ac:dyDescent="0.25">
      <c r="D2659" s="1"/>
      <c r="F2659" s="1"/>
    </row>
    <row r="2660" spans="4:6" x14ac:dyDescent="0.25">
      <c r="D2660" s="1"/>
      <c r="F2660" s="1"/>
    </row>
    <row r="2661" spans="4:6" x14ac:dyDescent="0.25">
      <c r="D2661" s="1"/>
      <c r="F2661" s="1"/>
    </row>
    <row r="2662" spans="4:6" x14ac:dyDescent="0.25">
      <c r="D2662" s="1"/>
      <c r="F2662" s="1"/>
    </row>
    <row r="2663" spans="4:6" x14ac:dyDescent="0.25">
      <c r="D2663" s="1"/>
      <c r="F2663" s="1"/>
    </row>
    <row r="2664" spans="4:6" x14ac:dyDescent="0.25">
      <c r="D2664" s="1"/>
      <c r="F2664" s="1"/>
    </row>
    <row r="2665" spans="4:6" x14ac:dyDescent="0.25">
      <c r="D2665" s="1"/>
      <c r="F2665" s="1"/>
    </row>
    <row r="2666" spans="4:6" x14ac:dyDescent="0.25">
      <c r="D2666" s="1"/>
      <c r="F2666" s="1"/>
    </row>
    <row r="2667" spans="4:6" x14ac:dyDescent="0.25">
      <c r="D2667" s="1"/>
      <c r="F2667" s="1"/>
    </row>
    <row r="2668" spans="4:6" x14ac:dyDescent="0.25">
      <c r="D2668" s="1"/>
      <c r="F2668" s="1"/>
    </row>
    <row r="2669" spans="4:6" x14ac:dyDescent="0.25">
      <c r="D2669" s="1"/>
      <c r="F2669" s="1"/>
    </row>
    <row r="2670" spans="4:6" x14ac:dyDescent="0.25">
      <c r="D2670" s="1"/>
      <c r="F2670" s="1"/>
    </row>
    <row r="2671" spans="4:6" x14ac:dyDescent="0.25">
      <c r="D2671" s="1"/>
      <c r="F2671" s="1"/>
    </row>
    <row r="2672" spans="4:6" x14ac:dyDescent="0.25">
      <c r="D2672" s="1"/>
      <c r="F2672" s="1"/>
    </row>
    <row r="2673" spans="4:6" x14ac:dyDescent="0.25">
      <c r="D2673" s="1"/>
      <c r="F2673" s="1"/>
    </row>
    <row r="2674" spans="4:6" x14ac:dyDescent="0.25">
      <c r="D2674" s="1"/>
      <c r="F2674" s="1"/>
    </row>
    <row r="2675" spans="4:6" x14ac:dyDescent="0.25">
      <c r="D2675" s="1"/>
      <c r="F2675" s="1"/>
    </row>
    <row r="2676" spans="4:6" x14ac:dyDescent="0.25">
      <c r="D2676" s="1"/>
      <c r="F2676" s="1"/>
    </row>
    <row r="2677" spans="4:6" x14ac:dyDescent="0.25">
      <c r="D2677" s="1"/>
      <c r="F2677" s="1"/>
    </row>
    <row r="2678" spans="4:6" x14ac:dyDescent="0.25">
      <c r="D2678" s="1"/>
      <c r="F2678" s="1"/>
    </row>
    <row r="2679" spans="4:6" x14ac:dyDescent="0.25">
      <c r="D2679" s="1"/>
      <c r="F2679" s="1"/>
    </row>
    <row r="2680" spans="4:6" x14ac:dyDescent="0.25">
      <c r="D2680" s="1"/>
      <c r="F2680" s="1"/>
    </row>
    <row r="2681" spans="4:6" x14ac:dyDescent="0.25">
      <c r="D2681" s="1"/>
      <c r="F2681" s="1"/>
    </row>
    <row r="2682" spans="4:6" x14ac:dyDescent="0.25">
      <c r="D2682" s="1"/>
      <c r="F2682" s="1"/>
    </row>
    <row r="2683" spans="4:6" x14ac:dyDescent="0.25">
      <c r="D2683" s="1"/>
      <c r="F2683" s="1"/>
    </row>
    <row r="2684" spans="4:6" x14ac:dyDescent="0.25">
      <c r="D2684" s="1"/>
      <c r="F2684" s="1"/>
    </row>
    <row r="2685" spans="4:6" x14ac:dyDescent="0.25">
      <c r="D2685" s="1"/>
      <c r="F2685" s="1"/>
    </row>
    <row r="2686" spans="4:6" x14ac:dyDescent="0.25">
      <c r="D2686" s="1"/>
      <c r="F2686" s="1"/>
    </row>
    <row r="2687" spans="4:6" x14ac:dyDescent="0.25">
      <c r="D2687" s="1"/>
      <c r="F2687" s="1"/>
    </row>
    <row r="2688" spans="4:6" x14ac:dyDescent="0.25">
      <c r="D2688" s="1"/>
      <c r="F2688" s="1"/>
    </row>
    <row r="2689" spans="4:6" x14ac:dyDescent="0.25">
      <c r="D2689" s="1"/>
      <c r="F2689" s="1"/>
    </row>
    <row r="2690" spans="4:6" x14ac:dyDescent="0.25">
      <c r="D2690" s="1"/>
      <c r="F2690" s="1"/>
    </row>
    <row r="2691" spans="4:6" x14ac:dyDescent="0.25">
      <c r="D2691" s="1"/>
      <c r="F2691" s="1"/>
    </row>
    <row r="2692" spans="4:6" x14ac:dyDescent="0.25">
      <c r="D2692" s="1"/>
      <c r="F2692" s="1"/>
    </row>
    <row r="2693" spans="4:6" x14ac:dyDescent="0.25">
      <c r="D2693" s="1"/>
      <c r="F2693" s="1"/>
    </row>
    <row r="2694" spans="4:6" x14ac:dyDescent="0.25">
      <c r="D2694" s="1"/>
      <c r="F2694" s="1"/>
    </row>
    <row r="2695" spans="4:6" x14ac:dyDescent="0.25">
      <c r="D2695" s="1"/>
      <c r="F2695" s="1"/>
    </row>
    <row r="2696" spans="4:6" x14ac:dyDescent="0.25">
      <c r="D2696" s="1"/>
      <c r="F2696" s="1"/>
    </row>
    <row r="2697" spans="4:6" x14ac:dyDescent="0.25">
      <c r="D2697" s="1"/>
      <c r="F2697" s="1"/>
    </row>
    <row r="2698" spans="4:6" x14ac:dyDescent="0.25">
      <c r="D2698" s="1"/>
      <c r="F2698" s="1"/>
    </row>
    <row r="2699" spans="4:6" x14ac:dyDescent="0.25">
      <c r="D2699" s="1"/>
      <c r="F2699" s="1"/>
    </row>
    <row r="2700" spans="4:6" x14ac:dyDescent="0.25">
      <c r="D2700" s="1"/>
      <c r="F2700" s="1"/>
    </row>
    <row r="2701" spans="4:6" x14ac:dyDescent="0.25">
      <c r="D2701" s="1"/>
      <c r="F2701" s="1"/>
    </row>
    <row r="2702" spans="4:6" x14ac:dyDescent="0.25">
      <c r="D2702" s="1"/>
      <c r="F2702" s="1"/>
    </row>
    <row r="2703" spans="4:6" x14ac:dyDescent="0.25">
      <c r="D2703" s="1"/>
      <c r="F2703" s="1"/>
    </row>
    <row r="2704" spans="4:6" x14ac:dyDescent="0.25">
      <c r="D2704" s="1"/>
      <c r="F2704" s="1"/>
    </row>
    <row r="2705" spans="4:6" x14ac:dyDescent="0.25">
      <c r="D2705" s="1"/>
      <c r="F2705" s="1"/>
    </row>
    <row r="2706" spans="4:6" x14ac:dyDescent="0.25">
      <c r="D2706" s="1"/>
      <c r="F2706" s="1"/>
    </row>
    <row r="2707" spans="4:6" x14ac:dyDescent="0.25">
      <c r="D2707" s="1"/>
      <c r="F2707" s="1"/>
    </row>
    <row r="2708" spans="4:6" x14ac:dyDescent="0.25">
      <c r="D2708" s="1"/>
      <c r="F2708" s="1"/>
    </row>
    <row r="2709" spans="4:6" x14ac:dyDescent="0.25">
      <c r="D2709" s="1"/>
      <c r="F2709" s="1"/>
    </row>
    <row r="2710" spans="4:6" x14ac:dyDescent="0.25">
      <c r="D2710" s="1"/>
      <c r="F2710" s="1"/>
    </row>
    <row r="2711" spans="4:6" x14ac:dyDescent="0.25">
      <c r="D2711" s="1"/>
      <c r="F2711" s="1"/>
    </row>
    <row r="2712" spans="4:6" x14ac:dyDescent="0.25">
      <c r="D2712" s="1"/>
      <c r="F2712" s="1"/>
    </row>
    <row r="2713" spans="4:6" x14ac:dyDescent="0.25">
      <c r="D2713" s="1"/>
      <c r="F2713" s="1"/>
    </row>
    <row r="2714" spans="4:6" x14ac:dyDescent="0.25">
      <c r="D2714" s="1"/>
      <c r="F2714" s="1"/>
    </row>
    <row r="2715" spans="4:6" x14ac:dyDescent="0.25">
      <c r="D2715" s="1"/>
      <c r="F2715" s="1"/>
    </row>
    <row r="2716" spans="4:6" x14ac:dyDescent="0.25">
      <c r="D2716" s="1"/>
      <c r="F2716" s="1"/>
    </row>
    <row r="2717" spans="4:6" x14ac:dyDescent="0.25">
      <c r="D2717" s="1"/>
      <c r="F2717" s="1"/>
    </row>
    <row r="2718" spans="4:6" x14ac:dyDescent="0.25">
      <c r="D2718" s="1"/>
      <c r="F2718" s="1"/>
    </row>
    <row r="2719" spans="4:6" x14ac:dyDescent="0.25">
      <c r="D2719" s="1"/>
      <c r="F2719" s="1"/>
    </row>
    <row r="2720" spans="4:6" x14ac:dyDescent="0.25">
      <c r="D2720" s="1"/>
      <c r="F2720" s="1"/>
    </row>
    <row r="2721" spans="4:6" x14ac:dyDescent="0.25">
      <c r="D2721" s="1"/>
      <c r="F2721" s="1"/>
    </row>
    <row r="2722" spans="4:6" x14ac:dyDescent="0.25">
      <c r="D2722" s="1"/>
      <c r="F2722" s="1"/>
    </row>
    <row r="2723" spans="4:6" x14ac:dyDescent="0.25">
      <c r="D2723" s="1"/>
      <c r="F2723" s="1"/>
    </row>
    <row r="2724" spans="4:6" x14ac:dyDescent="0.25">
      <c r="D2724" s="1"/>
      <c r="F2724" s="1"/>
    </row>
    <row r="2725" spans="4:6" x14ac:dyDescent="0.25">
      <c r="D2725" s="1"/>
      <c r="F2725" s="1"/>
    </row>
    <row r="2726" spans="4:6" x14ac:dyDescent="0.25">
      <c r="D2726" s="1"/>
      <c r="F2726" s="1"/>
    </row>
    <row r="2727" spans="4:6" x14ac:dyDescent="0.25">
      <c r="D2727" s="1"/>
      <c r="F2727" s="1"/>
    </row>
    <row r="2728" spans="4:6" x14ac:dyDescent="0.25">
      <c r="D2728" s="1"/>
      <c r="F2728" s="1"/>
    </row>
    <row r="2729" spans="4:6" x14ac:dyDescent="0.25">
      <c r="D2729" s="1"/>
      <c r="F2729" s="1"/>
    </row>
    <row r="2730" spans="4:6" x14ac:dyDescent="0.25">
      <c r="D2730" s="1"/>
      <c r="F2730" s="1"/>
    </row>
    <row r="2731" spans="4:6" x14ac:dyDescent="0.25">
      <c r="D2731" s="1"/>
      <c r="F2731" s="1"/>
    </row>
    <row r="2732" spans="4:6" x14ac:dyDescent="0.25">
      <c r="D2732" s="1"/>
      <c r="F2732" s="1"/>
    </row>
    <row r="2733" spans="4:6" x14ac:dyDescent="0.25">
      <c r="D2733" s="1"/>
      <c r="F2733" s="1"/>
    </row>
    <row r="2734" spans="4:6" x14ac:dyDescent="0.25">
      <c r="D2734" s="1"/>
      <c r="F2734" s="1"/>
    </row>
    <row r="2735" spans="4:6" x14ac:dyDescent="0.25">
      <c r="D2735" s="1"/>
      <c r="F2735" s="1"/>
    </row>
    <row r="2736" spans="4:6" x14ac:dyDescent="0.25">
      <c r="D2736" s="1"/>
      <c r="F2736" s="1"/>
    </row>
    <row r="2737" spans="4:6" x14ac:dyDescent="0.25">
      <c r="D2737" s="1"/>
      <c r="F2737" s="1"/>
    </row>
    <row r="2738" spans="4:6" x14ac:dyDescent="0.25">
      <c r="D2738" s="1"/>
      <c r="F2738" s="1"/>
    </row>
    <row r="2739" spans="4:6" x14ac:dyDescent="0.25">
      <c r="D2739" s="1"/>
      <c r="F2739" s="1"/>
    </row>
    <row r="2740" spans="4:6" x14ac:dyDescent="0.25">
      <c r="D2740" s="1"/>
      <c r="F2740" s="1"/>
    </row>
    <row r="2741" spans="4:6" x14ac:dyDescent="0.25">
      <c r="D2741" s="1"/>
      <c r="F2741" s="1"/>
    </row>
    <row r="2742" spans="4:6" x14ac:dyDescent="0.25">
      <c r="D2742" s="1"/>
      <c r="F2742" s="1"/>
    </row>
    <row r="2743" spans="4:6" x14ac:dyDescent="0.25">
      <c r="D2743" s="1"/>
      <c r="F2743" s="1"/>
    </row>
    <row r="2744" spans="4:6" x14ac:dyDescent="0.25">
      <c r="D2744" s="1"/>
      <c r="F2744" s="1"/>
    </row>
    <row r="2745" spans="4:6" x14ac:dyDescent="0.25">
      <c r="D2745" s="1"/>
      <c r="F2745" s="1"/>
    </row>
    <row r="2746" spans="4:6" x14ac:dyDescent="0.25">
      <c r="D2746" s="1"/>
      <c r="F2746" s="1"/>
    </row>
    <row r="2747" spans="4:6" x14ac:dyDescent="0.25">
      <c r="D2747" s="1"/>
      <c r="F2747" s="1"/>
    </row>
    <row r="2748" spans="4:6" x14ac:dyDescent="0.25">
      <c r="D2748" s="1"/>
      <c r="F2748" s="1"/>
    </row>
    <row r="2749" spans="4:6" x14ac:dyDescent="0.25">
      <c r="D2749" s="1"/>
      <c r="F2749" s="1"/>
    </row>
    <row r="2750" spans="4:6" x14ac:dyDescent="0.25">
      <c r="D2750" s="1"/>
      <c r="F2750" s="1"/>
    </row>
    <row r="2751" spans="4:6" x14ac:dyDescent="0.25">
      <c r="D2751" s="1"/>
      <c r="F2751" s="1"/>
    </row>
    <row r="2752" spans="4:6" x14ac:dyDescent="0.25">
      <c r="D2752" s="1"/>
      <c r="F2752" s="1"/>
    </row>
    <row r="2753" spans="4:6" x14ac:dyDescent="0.25">
      <c r="D2753" s="1"/>
      <c r="F2753" s="1"/>
    </row>
    <row r="2754" spans="4:6" x14ac:dyDescent="0.25">
      <c r="D2754" s="1"/>
      <c r="F2754" s="1"/>
    </row>
    <row r="2755" spans="4:6" x14ac:dyDescent="0.25">
      <c r="D2755" s="1"/>
      <c r="F2755" s="1"/>
    </row>
    <row r="2756" spans="4:6" x14ac:dyDescent="0.25">
      <c r="D2756" s="1"/>
      <c r="F2756" s="1"/>
    </row>
    <row r="2757" spans="4:6" x14ac:dyDescent="0.25">
      <c r="D2757" s="1"/>
      <c r="F2757" s="1"/>
    </row>
    <row r="2758" spans="4:6" x14ac:dyDescent="0.25">
      <c r="D2758" s="1"/>
      <c r="F2758" s="1"/>
    </row>
    <row r="2759" spans="4:6" x14ac:dyDescent="0.25">
      <c r="D2759" s="1"/>
      <c r="F2759" s="1"/>
    </row>
    <row r="2760" spans="4:6" x14ac:dyDescent="0.25">
      <c r="D2760" s="1"/>
      <c r="F2760" s="1"/>
    </row>
    <row r="2761" spans="4:6" x14ac:dyDescent="0.25">
      <c r="D2761" s="1"/>
      <c r="F2761" s="1"/>
    </row>
    <row r="2762" spans="4:6" x14ac:dyDescent="0.25">
      <c r="D2762" s="1"/>
      <c r="F2762" s="1"/>
    </row>
    <row r="2763" spans="4:6" x14ac:dyDescent="0.25">
      <c r="D2763" s="1"/>
      <c r="F2763" s="1"/>
    </row>
    <row r="2764" spans="4:6" x14ac:dyDescent="0.25">
      <c r="D2764" s="1"/>
      <c r="F2764" s="1"/>
    </row>
    <row r="2765" spans="4:6" x14ac:dyDescent="0.25">
      <c r="D2765" s="1"/>
      <c r="F2765" s="1"/>
    </row>
    <row r="2766" spans="4:6" x14ac:dyDescent="0.25">
      <c r="D2766" s="1"/>
      <c r="F2766" s="1"/>
    </row>
    <row r="2767" spans="4:6" x14ac:dyDescent="0.25">
      <c r="D2767" s="1"/>
      <c r="F2767" s="1"/>
    </row>
    <row r="2768" spans="4:6" x14ac:dyDescent="0.25">
      <c r="D2768" s="1"/>
      <c r="F2768" s="1"/>
    </row>
    <row r="2769" spans="4:6" x14ac:dyDescent="0.25">
      <c r="D2769" s="1"/>
      <c r="F2769" s="1"/>
    </row>
    <row r="2770" spans="4:6" x14ac:dyDescent="0.25">
      <c r="D2770" s="1"/>
      <c r="F2770" s="1"/>
    </row>
    <row r="2771" spans="4:6" x14ac:dyDescent="0.25">
      <c r="D2771" s="1"/>
      <c r="F2771" s="1"/>
    </row>
    <row r="2772" spans="4:6" x14ac:dyDescent="0.25">
      <c r="D2772" s="1"/>
      <c r="F2772" s="1"/>
    </row>
    <row r="2773" spans="4:6" x14ac:dyDescent="0.25">
      <c r="D2773" s="1"/>
      <c r="F2773" s="1"/>
    </row>
    <row r="2774" spans="4:6" x14ac:dyDescent="0.25">
      <c r="D2774" s="1"/>
      <c r="F2774" s="1"/>
    </row>
    <row r="2775" spans="4:6" x14ac:dyDescent="0.25">
      <c r="D2775" s="1"/>
      <c r="F2775" s="1"/>
    </row>
    <row r="2776" spans="4:6" x14ac:dyDescent="0.25">
      <c r="D2776" s="1"/>
      <c r="F2776" s="1"/>
    </row>
    <row r="2777" spans="4:6" x14ac:dyDescent="0.25">
      <c r="D2777" s="1"/>
      <c r="F2777" s="1"/>
    </row>
    <row r="2778" spans="4:6" x14ac:dyDescent="0.25">
      <c r="D2778" s="1"/>
      <c r="F2778" s="1"/>
    </row>
    <row r="2779" spans="4:6" x14ac:dyDescent="0.25">
      <c r="D2779" s="1"/>
      <c r="F2779" s="1"/>
    </row>
    <row r="2780" spans="4:6" x14ac:dyDescent="0.25">
      <c r="D2780" s="1"/>
      <c r="F2780" s="1"/>
    </row>
    <row r="2781" spans="4:6" x14ac:dyDescent="0.25">
      <c r="D2781" s="1"/>
      <c r="F2781" s="1"/>
    </row>
    <row r="2782" spans="4:6" x14ac:dyDescent="0.25">
      <c r="D2782" s="1"/>
      <c r="F2782" s="1"/>
    </row>
    <row r="2783" spans="4:6" x14ac:dyDescent="0.25">
      <c r="D2783" s="1"/>
      <c r="F2783" s="1"/>
    </row>
    <row r="2784" spans="4:6" x14ac:dyDescent="0.25">
      <c r="D2784" s="1"/>
      <c r="F2784" s="1"/>
    </row>
    <row r="2785" spans="4:6" x14ac:dyDescent="0.25">
      <c r="D2785" s="1"/>
      <c r="F2785" s="1"/>
    </row>
    <row r="2786" spans="4:6" x14ac:dyDescent="0.25">
      <c r="D2786" s="1"/>
      <c r="F2786" s="1"/>
    </row>
    <row r="2787" spans="4:6" x14ac:dyDescent="0.25">
      <c r="D2787" s="1"/>
      <c r="F2787" s="1"/>
    </row>
    <row r="2788" spans="4:6" x14ac:dyDescent="0.25">
      <c r="D2788" s="1"/>
      <c r="F2788" s="1"/>
    </row>
    <row r="2789" spans="4:6" x14ac:dyDescent="0.25">
      <c r="D2789" s="1"/>
      <c r="F2789" s="1"/>
    </row>
    <row r="2790" spans="4:6" x14ac:dyDescent="0.25">
      <c r="D2790" s="1"/>
      <c r="F2790" s="1"/>
    </row>
    <row r="2791" spans="4:6" x14ac:dyDescent="0.25">
      <c r="D2791" s="1"/>
      <c r="F2791" s="1"/>
    </row>
    <row r="2792" spans="4:6" x14ac:dyDescent="0.25">
      <c r="D2792" s="1"/>
      <c r="F2792" s="1"/>
    </row>
    <row r="2793" spans="4:6" x14ac:dyDescent="0.25">
      <c r="D2793" s="1"/>
      <c r="F2793" s="1"/>
    </row>
    <row r="2794" spans="4:6" x14ac:dyDescent="0.25">
      <c r="D2794" s="1"/>
      <c r="F2794" s="1"/>
    </row>
    <row r="2795" spans="4:6" x14ac:dyDescent="0.25">
      <c r="D2795" s="1"/>
      <c r="F2795" s="1"/>
    </row>
    <row r="2796" spans="4:6" x14ac:dyDescent="0.25">
      <c r="D2796" s="1"/>
      <c r="F2796" s="1"/>
    </row>
    <row r="2797" spans="4:6" x14ac:dyDescent="0.25">
      <c r="D2797" s="1"/>
      <c r="F2797" s="1"/>
    </row>
    <row r="2798" spans="4:6" x14ac:dyDescent="0.25">
      <c r="D2798" s="1"/>
      <c r="F2798" s="1"/>
    </row>
    <row r="2799" spans="4:6" x14ac:dyDescent="0.25">
      <c r="D2799" s="1"/>
      <c r="F2799" s="1"/>
    </row>
    <row r="2800" spans="4:6" x14ac:dyDescent="0.25">
      <c r="D2800" s="1"/>
      <c r="F2800" s="1"/>
    </row>
    <row r="2801" spans="4:6" x14ac:dyDescent="0.25">
      <c r="D2801" s="1"/>
      <c r="F2801" s="1"/>
    </row>
    <row r="2802" spans="4:6" x14ac:dyDescent="0.25">
      <c r="D2802" s="1"/>
      <c r="F2802" s="1"/>
    </row>
    <row r="2803" spans="4:6" x14ac:dyDescent="0.25">
      <c r="D2803" s="1"/>
      <c r="F2803" s="1"/>
    </row>
    <row r="2804" spans="4:6" x14ac:dyDescent="0.25">
      <c r="D2804" s="1"/>
      <c r="F2804" s="1"/>
    </row>
    <row r="2805" spans="4:6" x14ac:dyDescent="0.25">
      <c r="D2805" s="1"/>
      <c r="F2805" s="1"/>
    </row>
    <row r="2806" spans="4:6" x14ac:dyDescent="0.25">
      <c r="D2806" s="1"/>
      <c r="F2806" s="1"/>
    </row>
    <row r="2807" spans="4:6" x14ac:dyDescent="0.25">
      <c r="D2807" s="1"/>
      <c r="F2807" s="1"/>
    </row>
    <row r="2808" spans="4:6" x14ac:dyDescent="0.25">
      <c r="D2808" s="1"/>
      <c r="F2808" s="1"/>
    </row>
    <row r="2809" spans="4:6" x14ac:dyDescent="0.25">
      <c r="D2809" s="1"/>
      <c r="F2809" s="1"/>
    </row>
    <row r="2810" spans="4:6" x14ac:dyDescent="0.25">
      <c r="D2810" s="1"/>
      <c r="F2810" s="1"/>
    </row>
    <row r="2811" spans="4:6" x14ac:dyDescent="0.25">
      <c r="D2811" s="1"/>
      <c r="F2811" s="1"/>
    </row>
    <row r="2812" spans="4:6" x14ac:dyDescent="0.25">
      <c r="D2812" s="1"/>
      <c r="F2812" s="1"/>
    </row>
    <row r="2813" spans="4:6" x14ac:dyDescent="0.25">
      <c r="D2813" s="1"/>
      <c r="F2813" s="1"/>
    </row>
    <row r="2814" spans="4:6" x14ac:dyDescent="0.25">
      <c r="D2814" s="1"/>
      <c r="F2814" s="1"/>
    </row>
    <row r="2815" spans="4:6" x14ac:dyDescent="0.25">
      <c r="D2815" s="1"/>
      <c r="F2815" s="1"/>
    </row>
    <row r="2816" spans="4:6" x14ac:dyDescent="0.25">
      <c r="D2816" s="1"/>
      <c r="F2816" s="1"/>
    </row>
    <row r="2817" spans="4:6" x14ac:dyDescent="0.25">
      <c r="D2817" s="1"/>
      <c r="F2817" s="1"/>
    </row>
    <row r="2818" spans="4:6" x14ac:dyDescent="0.25">
      <c r="D2818" s="1"/>
      <c r="F2818" s="1"/>
    </row>
    <row r="2819" spans="4:6" x14ac:dyDescent="0.25">
      <c r="D2819" s="1"/>
      <c r="F2819" s="1"/>
    </row>
    <row r="2820" spans="4:6" x14ac:dyDescent="0.25">
      <c r="D2820" s="1"/>
      <c r="F2820" s="1"/>
    </row>
    <row r="2821" spans="4:6" x14ac:dyDescent="0.25">
      <c r="D2821" s="1"/>
      <c r="F2821" s="1"/>
    </row>
    <row r="2822" spans="4:6" x14ac:dyDescent="0.25">
      <c r="D2822" s="1"/>
      <c r="F2822" s="1"/>
    </row>
    <row r="2823" spans="4:6" x14ac:dyDescent="0.25">
      <c r="D2823" s="1"/>
      <c r="F2823" s="1"/>
    </row>
    <row r="2824" spans="4:6" x14ac:dyDescent="0.25">
      <c r="D2824" s="1"/>
      <c r="F2824" s="1"/>
    </row>
    <row r="2825" spans="4:6" x14ac:dyDescent="0.25">
      <c r="D2825" s="1"/>
      <c r="F2825" s="1"/>
    </row>
    <row r="2826" spans="4:6" x14ac:dyDescent="0.25">
      <c r="D2826" s="1"/>
      <c r="F2826" s="1"/>
    </row>
    <row r="2827" spans="4:6" x14ac:dyDescent="0.25">
      <c r="D2827" s="1"/>
      <c r="F2827" s="1"/>
    </row>
    <row r="2828" spans="4:6" x14ac:dyDescent="0.25">
      <c r="D2828" s="1"/>
      <c r="F2828" s="1"/>
    </row>
    <row r="2829" spans="4:6" x14ac:dyDescent="0.25">
      <c r="D2829" s="1"/>
      <c r="F2829" s="1"/>
    </row>
    <row r="2830" spans="4:6" x14ac:dyDescent="0.25">
      <c r="D2830" s="1"/>
      <c r="F2830" s="1"/>
    </row>
    <row r="2831" spans="4:6" x14ac:dyDescent="0.25">
      <c r="D2831" s="1"/>
      <c r="F2831" s="1"/>
    </row>
    <row r="2832" spans="4:6" x14ac:dyDescent="0.25">
      <c r="D2832" s="1"/>
      <c r="F2832" s="1"/>
    </row>
    <row r="2833" spans="4:6" x14ac:dyDescent="0.25">
      <c r="D2833" s="1"/>
      <c r="F2833" s="1"/>
    </row>
    <row r="2834" spans="4:6" x14ac:dyDescent="0.25">
      <c r="D2834" s="1"/>
      <c r="F2834" s="1"/>
    </row>
    <row r="2835" spans="4:6" x14ac:dyDescent="0.25">
      <c r="D2835" s="1"/>
      <c r="F2835" s="1"/>
    </row>
    <row r="2836" spans="4:6" x14ac:dyDescent="0.25">
      <c r="D2836" s="1"/>
      <c r="F2836" s="1"/>
    </row>
    <row r="2837" spans="4:6" x14ac:dyDescent="0.25">
      <c r="D2837" s="1"/>
      <c r="F2837" s="1"/>
    </row>
    <row r="2838" spans="4:6" x14ac:dyDescent="0.25">
      <c r="D2838" s="1"/>
      <c r="F2838" s="1"/>
    </row>
    <row r="2839" spans="4:6" x14ac:dyDescent="0.25">
      <c r="D2839" s="1"/>
      <c r="F2839" s="1"/>
    </row>
    <row r="2840" spans="4:6" x14ac:dyDescent="0.25">
      <c r="D2840" s="1"/>
      <c r="F2840" s="1"/>
    </row>
    <row r="2841" spans="4:6" x14ac:dyDescent="0.25">
      <c r="D2841" s="1"/>
      <c r="F2841" s="1"/>
    </row>
    <row r="2842" spans="4:6" x14ac:dyDescent="0.25">
      <c r="D2842" s="1"/>
      <c r="F2842" s="1"/>
    </row>
    <row r="2843" spans="4:6" x14ac:dyDescent="0.25">
      <c r="D2843" s="1"/>
      <c r="F2843" s="1"/>
    </row>
    <row r="2844" spans="4:6" x14ac:dyDescent="0.25">
      <c r="D2844" s="1"/>
      <c r="F2844" s="1"/>
    </row>
    <row r="2845" spans="4:6" x14ac:dyDescent="0.25">
      <c r="D2845" s="1"/>
      <c r="F2845" s="1"/>
    </row>
    <row r="2846" spans="4:6" x14ac:dyDescent="0.25">
      <c r="D2846" s="1"/>
      <c r="F2846" s="1"/>
    </row>
    <row r="2847" spans="4:6" x14ac:dyDescent="0.25">
      <c r="D2847" s="1"/>
      <c r="F2847" s="1"/>
    </row>
    <row r="2848" spans="4:6" x14ac:dyDescent="0.25">
      <c r="D2848" s="1"/>
      <c r="F2848" s="1"/>
    </row>
    <row r="2849" spans="4:6" x14ac:dyDescent="0.25">
      <c r="D2849" s="1"/>
      <c r="F2849" s="1"/>
    </row>
    <row r="2850" spans="4:6" x14ac:dyDescent="0.25">
      <c r="D2850" s="1"/>
      <c r="F2850" s="1"/>
    </row>
    <row r="2851" spans="4:6" x14ac:dyDescent="0.25">
      <c r="D2851" s="1"/>
      <c r="F2851" s="1"/>
    </row>
    <row r="2852" spans="4:6" x14ac:dyDescent="0.25">
      <c r="D2852" s="1"/>
      <c r="F2852" s="1"/>
    </row>
    <row r="2853" spans="4:6" x14ac:dyDescent="0.25">
      <c r="D2853" s="1"/>
      <c r="F2853" s="1"/>
    </row>
    <row r="2854" spans="4:6" x14ac:dyDescent="0.25">
      <c r="D2854" s="1"/>
      <c r="F2854" s="1"/>
    </row>
    <row r="2855" spans="4:6" x14ac:dyDescent="0.25">
      <c r="D2855" s="1"/>
      <c r="F2855" s="1"/>
    </row>
    <row r="2856" spans="4:6" x14ac:dyDescent="0.25">
      <c r="D2856" s="1"/>
      <c r="F2856" s="1"/>
    </row>
    <row r="2857" spans="4:6" x14ac:dyDescent="0.25">
      <c r="D2857" s="1"/>
      <c r="F2857" s="1"/>
    </row>
    <row r="2858" spans="4:6" x14ac:dyDescent="0.25">
      <c r="D2858" s="1"/>
      <c r="F2858" s="1"/>
    </row>
    <row r="2859" spans="4:6" x14ac:dyDescent="0.25">
      <c r="D2859" s="1"/>
      <c r="F2859" s="1"/>
    </row>
    <row r="2860" spans="4:6" x14ac:dyDescent="0.25">
      <c r="D2860" s="1"/>
      <c r="F2860" s="1"/>
    </row>
    <row r="2861" spans="4:6" x14ac:dyDescent="0.25">
      <c r="D2861" s="1"/>
      <c r="F2861" s="1"/>
    </row>
    <row r="2862" spans="4:6" x14ac:dyDescent="0.25">
      <c r="D2862" s="1"/>
      <c r="F2862" s="1"/>
    </row>
    <row r="2863" spans="4:6" x14ac:dyDescent="0.25">
      <c r="D2863" s="1"/>
      <c r="F2863" s="1"/>
    </row>
    <row r="2864" spans="4:6" x14ac:dyDescent="0.25">
      <c r="D2864" s="1"/>
      <c r="F2864" s="1"/>
    </row>
    <row r="2865" spans="4:6" x14ac:dyDescent="0.25">
      <c r="D2865" s="1"/>
      <c r="F2865" s="1"/>
    </row>
    <row r="2866" spans="4:6" x14ac:dyDescent="0.25">
      <c r="D2866" s="1"/>
      <c r="F2866" s="1"/>
    </row>
    <row r="2867" spans="4:6" x14ac:dyDescent="0.25">
      <c r="D2867" s="1"/>
      <c r="F2867" s="1"/>
    </row>
    <row r="2868" spans="4:6" x14ac:dyDescent="0.25">
      <c r="D2868" s="1"/>
      <c r="F2868" s="1"/>
    </row>
    <row r="2869" spans="4:6" x14ac:dyDescent="0.25">
      <c r="D2869" s="1"/>
      <c r="F2869" s="1"/>
    </row>
    <row r="2870" spans="4:6" x14ac:dyDescent="0.25">
      <c r="D2870" s="1"/>
      <c r="F2870" s="1"/>
    </row>
    <row r="2871" spans="4:6" x14ac:dyDescent="0.25">
      <c r="D2871" s="1"/>
      <c r="F2871" s="1"/>
    </row>
    <row r="2872" spans="4:6" x14ac:dyDescent="0.25">
      <c r="D2872" s="1"/>
      <c r="F2872" s="1"/>
    </row>
    <row r="2873" spans="4:6" x14ac:dyDescent="0.25">
      <c r="D2873" s="1"/>
      <c r="F2873" s="1"/>
    </row>
    <row r="2874" spans="4:6" x14ac:dyDescent="0.25">
      <c r="D2874" s="1"/>
      <c r="F2874" s="1"/>
    </row>
    <row r="2875" spans="4:6" x14ac:dyDescent="0.25">
      <c r="D2875" s="1"/>
      <c r="F2875" s="1"/>
    </row>
    <row r="2876" spans="4:6" x14ac:dyDescent="0.25">
      <c r="D2876" s="1"/>
      <c r="F2876" s="1"/>
    </row>
    <row r="2877" spans="4:6" x14ac:dyDescent="0.25">
      <c r="D2877" s="1"/>
      <c r="F2877" s="1"/>
    </row>
    <row r="2878" spans="4:6" x14ac:dyDescent="0.25">
      <c r="D2878" s="1"/>
      <c r="F2878" s="1"/>
    </row>
    <row r="2879" spans="4:6" x14ac:dyDescent="0.25">
      <c r="D2879" s="1"/>
      <c r="F2879" s="1"/>
    </row>
    <row r="2880" spans="4:6" x14ac:dyDescent="0.25">
      <c r="D2880" s="1"/>
      <c r="F2880" s="1"/>
    </row>
    <row r="2881" spans="4:6" x14ac:dyDescent="0.25">
      <c r="D2881" s="1"/>
      <c r="F2881" s="1"/>
    </row>
    <row r="2882" spans="4:6" x14ac:dyDescent="0.25">
      <c r="D2882" s="1"/>
      <c r="F2882" s="1"/>
    </row>
    <row r="2883" spans="4:6" x14ac:dyDescent="0.25">
      <c r="D2883" s="1"/>
      <c r="F2883" s="1"/>
    </row>
    <row r="2884" spans="4:6" x14ac:dyDescent="0.25">
      <c r="D2884" s="1"/>
      <c r="F2884" s="1"/>
    </row>
    <row r="2885" spans="4:6" x14ac:dyDescent="0.25">
      <c r="D2885" s="1"/>
      <c r="F2885" s="1"/>
    </row>
    <row r="2886" spans="4:6" x14ac:dyDescent="0.25">
      <c r="D2886" s="1"/>
      <c r="F2886" s="1"/>
    </row>
    <row r="2887" spans="4:6" x14ac:dyDescent="0.25">
      <c r="D2887" s="1"/>
      <c r="F2887" s="1"/>
    </row>
    <row r="2888" spans="4:6" x14ac:dyDescent="0.25">
      <c r="D2888" s="1"/>
      <c r="F2888" s="1"/>
    </row>
    <row r="2889" spans="4:6" x14ac:dyDescent="0.25">
      <c r="D2889" s="1"/>
      <c r="F2889" s="1"/>
    </row>
    <row r="2890" spans="4:6" x14ac:dyDescent="0.25">
      <c r="D2890" s="1"/>
      <c r="F2890" s="1"/>
    </row>
    <row r="2891" spans="4:6" x14ac:dyDescent="0.25">
      <c r="D2891" s="1"/>
      <c r="F2891" s="1"/>
    </row>
    <row r="2892" spans="4:6" x14ac:dyDescent="0.25">
      <c r="D2892" s="1"/>
      <c r="F2892" s="1"/>
    </row>
    <row r="2893" spans="4:6" x14ac:dyDescent="0.25">
      <c r="D2893" s="1"/>
      <c r="F2893" s="1"/>
    </row>
    <row r="2894" spans="4:6" x14ac:dyDescent="0.25">
      <c r="D2894" s="1"/>
      <c r="F2894" s="1"/>
    </row>
    <row r="2895" spans="4:6" x14ac:dyDescent="0.25">
      <c r="D2895" s="1"/>
      <c r="F2895" s="1"/>
    </row>
    <row r="2896" spans="4:6" x14ac:dyDescent="0.25">
      <c r="D2896" s="1"/>
      <c r="F2896" s="1"/>
    </row>
    <row r="2897" spans="4:6" x14ac:dyDescent="0.25">
      <c r="D2897" s="1"/>
      <c r="F2897" s="1"/>
    </row>
    <row r="2898" spans="4:6" x14ac:dyDescent="0.25">
      <c r="D2898" s="1"/>
      <c r="F2898" s="1"/>
    </row>
    <row r="2899" spans="4:6" x14ac:dyDescent="0.25">
      <c r="D2899" s="1"/>
      <c r="F2899" s="1"/>
    </row>
    <row r="2900" spans="4:6" x14ac:dyDescent="0.25">
      <c r="D2900" s="1"/>
      <c r="F2900" s="1"/>
    </row>
    <row r="2901" spans="4:6" x14ac:dyDescent="0.25">
      <c r="D2901" s="1"/>
      <c r="F2901" s="1"/>
    </row>
    <row r="2902" spans="4:6" x14ac:dyDescent="0.25">
      <c r="D2902" s="1"/>
      <c r="F2902" s="1"/>
    </row>
    <row r="2903" spans="4:6" x14ac:dyDescent="0.25">
      <c r="D2903" s="1"/>
      <c r="F2903" s="1"/>
    </row>
    <row r="2904" spans="4:6" x14ac:dyDescent="0.25">
      <c r="D2904" s="1"/>
      <c r="F2904" s="1"/>
    </row>
    <row r="2905" spans="4:6" x14ac:dyDescent="0.25">
      <c r="D2905" s="1"/>
      <c r="F2905" s="1"/>
    </row>
    <row r="2906" spans="4:6" x14ac:dyDescent="0.25">
      <c r="D2906" s="1"/>
      <c r="F2906" s="1"/>
    </row>
    <row r="2907" spans="4:6" x14ac:dyDescent="0.25">
      <c r="D2907" s="1"/>
      <c r="F2907" s="1"/>
    </row>
    <row r="2908" spans="4:6" x14ac:dyDescent="0.25">
      <c r="D2908" s="1"/>
      <c r="F2908" s="1"/>
    </row>
    <row r="2909" spans="4:6" x14ac:dyDescent="0.25">
      <c r="D2909" s="1"/>
      <c r="F2909" s="1"/>
    </row>
    <row r="2910" spans="4:6" x14ac:dyDescent="0.25">
      <c r="D2910" s="1"/>
      <c r="F2910" s="1"/>
    </row>
    <row r="2911" spans="4:6" x14ac:dyDescent="0.25">
      <c r="D2911" s="1"/>
      <c r="F2911" s="1"/>
    </row>
    <row r="2912" spans="4:6" x14ac:dyDescent="0.25">
      <c r="D2912" s="1"/>
      <c r="F2912" s="1"/>
    </row>
    <row r="2913" spans="4:6" x14ac:dyDescent="0.25">
      <c r="D2913" s="1"/>
      <c r="F2913" s="1"/>
    </row>
    <row r="2914" spans="4:6" x14ac:dyDescent="0.25">
      <c r="D2914" s="1"/>
      <c r="F2914" s="1"/>
    </row>
    <row r="2915" spans="4:6" x14ac:dyDescent="0.25">
      <c r="D2915" s="1"/>
      <c r="F2915" s="1"/>
    </row>
    <row r="2916" spans="4:6" x14ac:dyDescent="0.25">
      <c r="D2916" s="1"/>
      <c r="F2916" s="1"/>
    </row>
    <row r="2917" spans="4:6" x14ac:dyDescent="0.25">
      <c r="D2917" s="1"/>
      <c r="F2917" s="1"/>
    </row>
    <row r="2918" spans="4:6" x14ac:dyDescent="0.25">
      <c r="D2918" s="1"/>
      <c r="F2918" s="1"/>
    </row>
    <row r="2919" spans="4:6" x14ac:dyDescent="0.25">
      <c r="D2919" s="1"/>
      <c r="F2919" s="1"/>
    </row>
    <row r="2920" spans="4:6" x14ac:dyDescent="0.25">
      <c r="D2920" s="1"/>
      <c r="F2920" s="1"/>
    </row>
    <row r="2921" spans="4:6" x14ac:dyDescent="0.25">
      <c r="D2921" s="1"/>
      <c r="F2921" s="1"/>
    </row>
    <row r="2922" spans="4:6" x14ac:dyDescent="0.25">
      <c r="D2922" s="1"/>
      <c r="F2922" s="1"/>
    </row>
    <row r="2923" spans="4:6" x14ac:dyDescent="0.25">
      <c r="D2923" s="1"/>
      <c r="F2923" s="1"/>
    </row>
    <row r="2924" spans="4:6" x14ac:dyDescent="0.25">
      <c r="D2924" s="1"/>
      <c r="F2924" s="1"/>
    </row>
    <row r="2925" spans="4:6" x14ac:dyDescent="0.25">
      <c r="D2925" s="1"/>
      <c r="F2925" s="1"/>
    </row>
    <row r="2926" spans="4:6" x14ac:dyDescent="0.25">
      <c r="D2926" s="1"/>
      <c r="F2926" s="1"/>
    </row>
    <row r="2927" spans="4:6" x14ac:dyDescent="0.25">
      <c r="D2927" s="1"/>
      <c r="F2927" s="1"/>
    </row>
    <row r="2928" spans="4:6" x14ac:dyDescent="0.25">
      <c r="D2928" s="1"/>
      <c r="F2928" s="1"/>
    </row>
    <row r="2929" spans="4:6" x14ac:dyDescent="0.25">
      <c r="D2929" s="1"/>
      <c r="F2929" s="1"/>
    </row>
    <row r="2930" spans="4:6" x14ac:dyDescent="0.25">
      <c r="D2930" s="1"/>
      <c r="F2930" s="1"/>
    </row>
    <row r="2931" spans="4:6" x14ac:dyDescent="0.25">
      <c r="D2931" s="1"/>
      <c r="F2931" s="1"/>
    </row>
    <row r="2932" spans="4:6" x14ac:dyDescent="0.25">
      <c r="D2932" s="1"/>
      <c r="F2932" s="1"/>
    </row>
    <row r="2933" spans="4:6" x14ac:dyDescent="0.25">
      <c r="D2933" s="1"/>
      <c r="F2933" s="1"/>
    </row>
    <row r="2934" spans="4:6" x14ac:dyDescent="0.25">
      <c r="D2934" s="1"/>
      <c r="F2934" s="1"/>
    </row>
    <row r="2935" spans="4:6" x14ac:dyDescent="0.25">
      <c r="D2935" s="1"/>
      <c r="F2935" s="1"/>
    </row>
    <row r="2936" spans="4:6" x14ac:dyDescent="0.25">
      <c r="D2936" s="1"/>
      <c r="F2936" s="1"/>
    </row>
    <row r="2937" spans="4:6" x14ac:dyDescent="0.25">
      <c r="D2937" s="1"/>
      <c r="F2937" s="1"/>
    </row>
    <row r="2938" spans="4:6" x14ac:dyDescent="0.25">
      <c r="D2938" s="1"/>
      <c r="F2938" s="1"/>
    </row>
    <row r="2939" spans="4:6" x14ac:dyDescent="0.25">
      <c r="D2939" s="1"/>
      <c r="F2939" s="1"/>
    </row>
    <row r="2940" spans="4:6" x14ac:dyDescent="0.25">
      <c r="D2940" s="1"/>
      <c r="F2940" s="1"/>
    </row>
    <row r="2941" spans="4:6" x14ac:dyDescent="0.25">
      <c r="D2941" s="1"/>
      <c r="F2941" s="1"/>
    </row>
    <row r="2942" spans="4:6" x14ac:dyDescent="0.25">
      <c r="D2942" s="1"/>
      <c r="F2942" s="1"/>
    </row>
    <row r="2943" spans="4:6" x14ac:dyDescent="0.25">
      <c r="D2943" s="1"/>
      <c r="F2943" s="1"/>
    </row>
    <row r="2944" spans="4:6" x14ac:dyDescent="0.25">
      <c r="D2944" s="1"/>
      <c r="F2944" s="1"/>
    </row>
    <row r="2945" spans="4:6" x14ac:dyDescent="0.25">
      <c r="D2945" s="1"/>
      <c r="F2945" s="1"/>
    </row>
    <row r="2946" spans="4:6" x14ac:dyDescent="0.25">
      <c r="D2946" s="1"/>
      <c r="F2946" s="1"/>
    </row>
    <row r="2947" spans="4:6" x14ac:dyDescent="0.25">
      <c r="D2947" s="1"/>
      <c r="F2947" s="1"/>
    </row>
    <row r="2948" spans="4:6" x14ac:dyDescent="0.25">
      <c r="D2948" s="1"/>
      <c r="F2948" s="1"/>
    </row>
    <row r="2949" spans="4:6" x14ac:dyDescent="0.25">
      <c r="D2949" s="1"/>
      <c r="F2949" s="1"/>
    </row>
    <row r="2950" spans="4:6" x14ac:dyDescent="0.25">
      <c r="D2950" s="1"/>
      <c r="F2950" s="1"/>
    </row>
    <row r="2951" spans="4:6" x14ac:dyDescent="0.25">
      <c r="D2951" s="1"/>
      <c r="F2951" s="1"/>
    </row>
    <row r="2952" spans="4:6" x14ac:dyDescent="0.25">
      <c r="D2952" s="1"/>
      <c r="F2952" s="1"/>
    </row>
    <row r="2953" spans="4:6" x14ac:dyDescent="0.25">
      <c r="D2953" s="1"/>
      <c r="F2953" s="1"/>
    </row>
    <row r="2954" spans="4:6" x14ac:dyDescent="0.25">
      <c r="D2954" s="1"/>
      <c r="F2954" s="1"/>
    </row>
    <row r="2955" spans="4:6" x14ac:dyDescent="0.25">
      <c r="D2955" s="1"/>
      <c r="F2955" s="1"/>
    </row>
    <row r="2956" spans="4:6" x14ac:dyDescent="0.25">
      <c r="D2956" s="1"/>
      <c r="F2956" s="1"/>
    </row>
    <row r="2957" spans="4:6" x14ac:dyDescent="0.25">
      <c r="D2957" s="1"/>
      <c r="F2957" s="1"/>
    </row>
    <row r="2958" spans="4:6" x14ac:dyDescent="0.25">
      <c r="D2958" s="1"/>
      <c r="F2958" s="1"/>
    </row>
    <row r="2959" spans="4:6" x14ac:dyDescent="0.25">
      <c r="D2959" s="1"/>
      <c r="F2959" s="1"/>
    </row>
    <row r="2960" spans="4:6" x14ac:dyDescent="0.25">
      <c r="D2960" s="1"/>
      <c r="F2960" s="1"/>
    </row>
    <row r="2961" spans="4:6" x14ac:dyDescent="0.25">
      <c r="D2961" s="1"/>
      <c r="F2961" s="1"/>
    </row>
    <row r="2962" spans="4:6" x14ac:dyDescent="0.25">
      <c r="D2962" s="1"/>
      <c r="F2962" s="1"/>
    </row>
    <row r="2963" spans="4:6" x14ac:dyDescent="0.25">
      <c r="D2963" s="1"/>
      <c r="F2963" s="1"/>
    </row>
    <row r="2964" spans="4:6" x14ac:dyDescent="0.25">
      <c r="D2964" s="1"/>
      <c r="F2964" s="1"/>
    </row>
    <row r="2965" spans="4:6" x14ac:dyDescent="0.25">
      <c r="D2965" s="1"/>
      <c r="F2965" s="1"/>
    </row>
    <row r="2966" spans="4:6" x14ac:dyDescent="0.25">
      <c r="D2966" s="1"/>
      <c r="F2966" s="1"/>
    </row>
    <row r="2967" spans="4:6" x14ac:dyDescent="0.25">
      <c r="D2967" s="1"/>
      <c r="F2967" s="1"/>
    </row>
    <row r="2968" spans="4:6" x14ac:dyDescent="0.25">
      <c r="D2968" s="1"/>
      <c r="F2968" s="1"/>
    </row>
    <row r="2969" spans="4:6" x14ac:dyDescent="0.25">
      <c r="D2969" s="1"/>
      <c r="F2969" s="1"/>
    </row>
    <row r="2970" spans="4:6" x14ac:dyDescent="0.25">
      <c r="D2970" s="1"/>
      <c r="F2970" s="1"/>
    </row>
    <row r="2971" spans="4:6" x14ac:dyDescent="0.25">
      <c r="D2971" s="1"/>
      <c r="F2971" s="1"/>
    </row>
    <row r="2972" spans="4:6" x14ac:dyDescent="0.25">
      <c r="D2972" s="1"/>
      <c r="F2972" s="1"/>
    </row>
    <row r="2973" spans="4:6" x14ac:dyDescent="0.25">
      <c r="D2973" s="1"/>
      <c r="F2973" s="1"/>
    </row>
    <row r="2974" spans="4:6" x14ac:dyDescent="0.25">
      <c r="D2974" s="1"/>
      <c r="F2974" s="1"/>
    </row>
    <row r="2975" spans="4:6" x14ac:dyDescent="0.25">
      <c r="D2975" s="1"/>
      <c r="F2975" s="1"/>
    </row>
    <row r="2976" spans="4:6" x14ac:dyDescent="0.25">
      <c r="D2976" s="1"/>
      <c r="F2976" s="1"/>
    </row>
    <row r="2977" spans="4:6" x14ac:dyDescent="0.25">
      <c r="D2977" s="1"/>
      <c r="F2977" s="1"/>
    </row>
    <row r="2978" spans="4:6" x14ac:dyDescent="0.25">
      <c r="D2978" s="1"/>
      <c r="F2978" s="1"/>
    </row>
    <row r="2979" spans="4:6" x14ac:dyDescent="0.25">
      <c r="D2979" s="1"/>
      <c r="F2979" s="1"/>
    </row>
    <row r="2980" spans="4:6" x14ac:dyDescent="0.25">
      <c r="D2980" s="1"/>
      <c r="F2980" s="1"/>
    </row>
    <row r="2981" spans="4:6" x14ac:dyDescent="0.25">
      <c r="D2981" s="1"/>
      <c r="F2981" s="1"/>
    </row>
    <row r="2982" spans="4:6" x14ac:dyDescent="0.25">
      <c r="D2982" s="1"/>
      <c r="F2982" s="1"/>
    </row>
    <row r="2983" spans="4:6" x14ac:dyDescent="0.25">
      <c r="D2983" s="1"/>
      <c r="F2983" s="1"/>
    </row>
    <row r="2984" spans="4:6" x14ac:dyDescent="0.25">
      <c r="D2984" s="1"/>
      <c r="F2984" s="1"/>
    </row>
    <row r="2985" spans="4:6" x14ac:dyDescent="0.25">
      <c r="D2985" s="1"/>
      <c r="F2985" s="1"/>
    </row>
    <row r="2986" spans="4:6" x14ac:dyDescent="0.25">
      <c r="D2986" s="1"/>
      <c r="F2986" s="1"/>
    </row>
    <row r="2987" spans="4:6" x14ac:dyDescent="0.25">
      <c r="D2987" s="1"/>
      <c r="F2987" s="1"/>
    </row>
    <row r="2988" spans="4:6" x14ac:dyDescent="0.25">
      <c r="D2988" s="1"/>
      <c r="F2988" s="1"/>
    </row>
    <row r="2989" spans="4:6" x14ac:dyDescent="0.25">
      <c r="D2989" s="1"/>
      <c r="F2989" s="1"/>
    </row>
    <row r="2990" spans="4:6" x14ac:dyDescent="0.25">
      <c r="D2990" s="1"/>
      <c r="F2990" s="1"/>
    </row>
    <row r="2991" spans="4:6" x14ac:dyDescent="0.25">
      <c r="D2991" s="1"/>
      <c r="F2991" s="1"/>
    </row>
    <row r="2992" spans="4:6" x14ac:dyDescent="0.25">
      <c r="D2992" s="1"/>
      <c r="F2992" s="1"/>
    </row>
    <row r="2993" spans="4:6" x14ac:dyDescent="0.25">
      <c r="D2993" s="1"/>
      <c r="F2993" s="1"/>
    </row>
    <row r="2994" spans="4:6" x14ac:dyDescent="0.25">
      <c r="D2994" s="1"/>
      <c r="F2994" s="1"/>
    </row>
    <row r="2995" spans="4:6" x14ac:dyDescent="0.25">
      <c r="D2995" s="1"/>
      <c r="F2995" s="1"/>
    </row>
    <row r="2996" spans="4:6" x14ac:dyDescent="0.25">
      <c r="D2996" s="1"/>
      <c r="F2996" s="1"/>
    </row>
    <row r="2997" spans="4:6" x14ac:dyDescent="0.25">
      <c r="D2997" s="1"/>
      <c r="F2997" s="1"/>
    </row>
    <row r="2998" spans="4:6" x14ac:dyDescent="0.25">
      <c r="D2998" s="1"/>
      <c r="F2998" s="1"/>
    </row>
    <row r="2999" spans="4:6" x14ac:dyDescent="0.25">
      <c r="D2999" s="1"/>
      <c r="F2999" s="1"/>
    </row>
    <row r="3000" spans="4:6" x14ac:dyDescent="0.25">
      <c r="D3000" s="1"/>
      <c r="F3000" s="1"/>
    </row>
    <row r="3001" spans="4:6" x14ac:dyDescent="0.25">
      <c r="D3001" s="1"/>
      <c r="F3001" s="1"/>
    </row>
    <row r="3002" spans="4:6" x14ac:dyDescent="0.25">
      <c r="D3002" s="1"/>
      <c r="F3002" s="1"/>
    </row>
    <row r="3003" spans="4:6" x14ac:dyDescent="0.25">
      <c r="D3003" s="1"/>
      <c r="F3003" s="1"/>
    </row>
    <row r="3004" spans="4:6" x14ac:dyDescent="0.25">
      <c r="D3004" s="1"/>
      <c r="F3004" s="1"/>
    </row>
    <row r="3005" spans="4:6" x14ac:dyDescent="0.25">
      <c r="D3005" s="1"/>
      <c r="F3005" s="1"/>
    </row>
    <row r="3006" spans="4:6" x14ac:dyDescent="0.25">
      <c r="D3006" s="1"/>
      <c r="F3006" s="1"/>
    </row>
    <row r="3007" spans="4:6" x14ac:dyDescent="0.25">
      <c r="D3007" s="1"/>
      <c r="F3007" s="1"/>
    </row>
    <row r="3008" spans="4:6" x14ac:dyDescent="0.25">
      <c r="D3008" s="1"/>
      <c r="F3008" s="1"/>
    </row>
    <row r="3009" spans="4:6" x14ac:dyDescent="0.25">
      <c r="D3009" s="1"/>
      <c r="F3009" s="1"/>
    </row>
    <row r="3010" spans="4:6" x14ac:dyDescent="0.25">
      <c r="D3010" s="1"/>
      <c r="F3010" s="1"/>
    </row>
    <row r="3011" spans="4:6" x14ac:dyDescent="0.25">
      <c r="D3011" s="1"/>
      <c r="F3011" s="1"/>
    </row>
    <row r="3012" spans="4:6" x14ac:dyDescent="0.25">
      <c r="D3012" s="1"/>
      <c r="F3012" s="1"/>
    </row>
    <row r="3013" spans="4:6" x14ac:dyDescent="0.25">
      <c r="D3013" s="1"/>
      <c r="F3013" s="1"/>
    </row>
    <row r="3014" spans="4:6" x14ac:dyDescent="0.25">
      <c r="D3014" s="1"/>
      <c r="F3014" s="1"/>
    </row>
    <row r="3015" spans="4:6" x14ac:dyDescent="0.25">
      <c r="D3015" s="1"/>
      <c r="F3015" s="1"/>
    </row>
    <row r="3016" spans="4:6" x14ac:dyDescent="0.25">
      <c r="D3016" s="1"/>
      <c r="F3016" s="1"/>
    </row>
    <row r="3017" spans="4:6" x14ac:dyDescent="0.25">
      <c r="D3017" s="1"/>
      <c r="F3017" s="1"/>
    </row>
    <row r="3018" spans="4:6" x14ac:dyDescent="0.25">
      <c r="D3018" s="1"/>
      <c r="F3018" s="1"/>
    </row>
    <row r="3019" spans="4:6" x14ac:dyDescent="0.25">
      <c r="D3019" s="1"/>
      <c r="F3019" s="1"/>
    </row>
    <row r="3020" spans="4:6" x14ac:dyDescent="0.25">
      <c r="D3020" s="1"/>
      <c r="F3020" s="1"/>
    </row>
    <row r="3021" spans="4:6" x14ac:dyDescent="0.25">
      <c r="D3021" s="1"/>
      <c r="F3021" s="1"/>
    </row>
    <row r="3022" spans="4:6" x14ac:dyDescent="0.25">
      <c r="D3022" s="1"/>
      <c r="F3022" s="1"/>
    </row>
    <row r="3023" spans="4:6" x14ac:dyDescent="0.25">
      <c r="D3023" s="1"/>
      <c r="F3023" s="1"/>
    </row>
    <row r="3024" spans="4:6" x14ac:dyDescent="0.25">
      <c r="D3024" s="1"/>
      <c r="F3024" s="1"/>
    </row>
    <row r="3025" spans="4:6" x14ac:dyDescent="0.25">
      <c r="D3025" s="1"/>
      <c r="F3025" s="1"/>
    </row>
    <row r="3026" spans="4:6" x14ac:dyDescent="0.25">
      <c r="D3026" s="1"/>
      <c r="F3026" s="1"/>
    </row>
    <row r="3027" spans="4:6" x14ac:dyDescent="0.25">
      <c r="D3027" s="1"/>
      <c r="F3027" s="1"/>
    </row>
    <row r="3028" spans="4:6" x14ac:dyDescent="0.25">
      <c r="D3028" s="1"/>
      <c r="F3028" s="1"/>
    </row>
    <row r="3029" spans="4:6" x14ac:dyDescent="0.25">
      <c r="D3029" s="1"/>
      <c r="F3029" s="1"/>
    </row>
    <row r="3030" spans="4:6" x14ac:dyDescent="0.25">
      <c r="D3030" s="1"/>
      <c r="F3030" s="1"/>
    </row>
    <row r="3031" spans="4:6" x14ac:dyDescent="0.25">
      <c r="D3031" s="1"/>
      <c r="F3031" s="1"/>
    </row>
    <row r="3032" spans="4:6" x14ac:dyDescent="0.25">
      <c r="D3032" s="1"/>
      <c r="F3032" s="1"/>
    </row>
    <row r="3033" spans="4:6" x14ac:dyDescent="0.25">
      <c r="D3033" s="1"/>
      <c r="F3033" s="1"/>
    </row>
    <row r="3034" spans="4:6" x14ac:dyDescent="0.25">
      <c r="D3034" s="1"/>
      <c r="F3034" s="1"/>
    </row>
    <row r="3035" spans="4:6" x14ac:dyDescent="0.25">
      <c r="D3035" s="1"/>
      <c r="F3035" s="1"/>
    </row>
    <row r="3036" spans="4:6" x14ac:dyDescent="0.25">
      <c r="D3036" s="1"/>
      <c r="F3036" s="1"/>
    </row>
    <row r="3037" spans="4:6" x14ac:dyDescent="0.25">
      <c r="D3037" s="1"/>
      <c r="F3037" s="1"/>
    </row>
    <row r="3038" spans="4:6" x14ac:dyDescent="0.25">
      <c r="D3038" s="1"/>
      <c r="F3038" s="1"/>
    </row>
    <row r="3039" spans="4:6" x14ac:dyDescent="0.25">
      <c r="D3039" s="1"/>
      <c r="F3039" s="1"/>
    </row>
    <row r="3040" spans="4:6" x14ac:dyDescent="0.25">
      <c r="D3040" s="1"/>
      <c r="F3040" s="1"/>
    </row>
    <row r="3041" spans="4:6" x14ac:dyDescent="0.25">
      <c r="D3041" s="1"/>
      <c r="F3041" s="1"/>
    </row>
    <row r="3042" spans="4:6" x14ac:dyDescent="0.25">
      <c r="D3042" s="1"/>
      <c r="F3042" s="1"/>
    </row>
    <row r="3043" spans="4:6" x14ac:dyDescent="0.25">
      <c r="D3043" s="1"/>
      <c r="F3043" s="1"/>
    </row>
    <row r="3044" spans="4:6" x14ac:dyDescent="0.25">
      <c r="D3044" s="1"/>
      <c r="F3044" s="1"/>
    </row>
    <row r="3045" spans="4:6" x14ac:dyDescent="0.25">
      <c r="D3045" s="1"/>
      <c r="F3045" s="1"/>
    </row>
    <row r="3046" spans="4:6" x14ac:dyDescent="0.25">
      <c r="D3046" s="1"/>
      <c r="F3046" s="1"/>
    </row>
    <row r="3047" spans="4:6" x14ac:dyDescent="0.25">
      <c r="D3047" s="1"/>
      <c r="F3047" s="1"/>
    </row>
    <row r="3048" spans="4:6" x14ac:dyDescent="0.25">
      <c r="D3048" s="1"/>
      <c r="F3048" s="1"/>
    </row>
    <row r="3049" spans="4:6" x14ac:dyDescent="0.25">
      <c r="D3049" s="1"/>
      <c r="F3049" s="1"/>
    </row>
    <row r="3050" spans="4:6" x14ac:dyDescent="0.25">
      <c r="D3050" s="1"/>
      <c r="F3050" s="1"/>
    </row>
    <row r="3051" spans="4:6" x14ac:dyDescent="0.25">
      <c r="D3051" s="1"/>
      <c r="F3051" s="1"/>
    </row>
    <row r="3052" spans="4:6" x14ac:dyDescent="0.25">
      <c r="D3052" s="1"/>
      <c r="F3052" s="1"/>
    </row>
    <row r="3053" spans="4:6" x14ac:dyDescent="0.25">
      <c r="D3053" s="1"/>
      <c r="F3053" s="1"/>
    </row>
    <row r="3054" spans="4:6" x14ac:dyDescent="0.25">
      <c r="D3054" s="1"/>
      <c r="F3054" s="1"/>
    </row>
    <row r="3055" spans="4:6" x14ac:dyDescent="0.25">
      <c r="D3055" s="1"/>
      <c r="F3055" s="1"/>
    </row>
    <row r="3056" spans="4:6" x14ac:dyDescent="0.25">
      <c r="D3056" s="1"/>
      <c r="F3056" s="1"/>
    </row>
    <row r="3057" spans="4:6" x14ac:dyDescent="0.25">
      <c r="D3057" s="1"/>
      <c r="F3057" s="1"/>
    </row>
    <row r="3058" spans="4:6" x14ac:dyDescent="0.25">
      <c r="D3058" s="1"/>
      <c r="F3058" s="1"/>
    </row>
    <row r="3059" spans="4:6" x14ac:dyDescent="0.25">
      <c r="D3059" s="1"/>
      <c r="F3059" s="1"/>
    </row>
    <row r="3060" spans="4:6" x14ac:dyDescent="0.25">
      <c r="D3060" s="1"/>
      <c r="F3060" s="1"/>
    </row>
    <row r="3061" spans="4:6" x14ac:dyDescent="0.25">
      <c r="D3061" s="1"/>
      <c r="F3061" s="1"/>
    </row>
    <row r="3062" spans="4:6" x14ac:dyDescent="0.25">
      <c r="D3062" s="1"/>
      <c r="F3062" s="1"/>
    </row>
    <row r="3063" spans="4:6" x14ac:dyDescent="0.25">
      <c r="D3063" s="1"/>
      <c r="F3063" s="1"/>
    </row>
    <row r="3064" spans="4:6" x14ac:dyDescent="0.25">
      <c r="D3064" s="1"/>
      <c r="F3064" s="1"/>
    </row>
    <row r="3065" spans="4:6" x14ac:dyDescent="0.25">
      <c r="D3065" s="1"/>
      <c r="F3065" s="1"/>
    </row>
    <row r="3066" spans="4:6" x14ac:dyDescent="0.25">
      <c r="D3066" s="1"/>
      <c r="F3066" s="1"/>
    </row>
    <row r="3067" spans="4:6" x14ac:dyDescent="0.25">
      <c r="D3067" s="1"/>
      <c r="F3067" s="1"/>
    </row>
    <row r="3068" spans="4:6" x14ac:dyDescent="0.25">
      <c r="D3068" s="1"/>
      <c r="F3068" s="1"/>
    </row>
    <row r="3069" spans="4:6" x14ac:dyDescent="0.25">
      <c r="D3069" s="1"/>
      <c r="F3069" s="1"/>
    </row>
    <row r="3070" spans="4:6" x14ac:dyDescent="0.25">
      <c r="D3070" s="1"/>
      <c r="F3070" s="1"/>
    </row>
    <row r="3071" spans="4:6" x14ac:dyDescent="0.25">
      <c r="D3071" s="1"/>
      <c r="F3071" s="1"/>
    </row>
    <row r="3072" spans="4:6" x14ac:dyDescent="0.25">
      <c r="D3072" s="1"/>
      <c r="F3072" s="1"/>
    </row>
    <row r="3073" spans="4:6" x14ac:dyDescent="0.25">
      <c r="D3073" s="1"/>
      <c r="F3073" s="1"/>
    </row>
    <row r="3074" spans="4:6" x14ac:dyDescent="0.25">
      <c r="D3074" s="1"/>
      <c r="F3074" s="1"/>
    </row>
    <row r="3075" spans="4:6" x14ac:dyDescent="0.25">
      <c r="D3075" s="1"/>
      <c r="F3075" s="1"/>
    </row>
    <row r="3076" spans="4:6" x14ac:dyDescent="0.25">
      <c r="D3076" s="1"/>
      <c r="F3076" s="1"/>
    </row>
    <row r="3077" spans="4:6" x14ac:dyDescent="0.25">
      <c r="D3077" s="1"/>
      <c r="F3077" s="1"/>
    </row>
    <row r="3078" spans="4:6" x14ac:dyDescent="0.25">
      <c r="D3078" s="1"/>
      <c r="F3078" s="1"/>
    </row>
    <row r="3079" spans="4:6" x14ac:dyDescent="0.25">
      <c r="D3079" s="1"/>
      <c r="F3079" s="1"/>
    </row>
    <row r="3080" spans="4:6" x14ac:dyDescent="0.25">
      <c r="D3080" s="1"/>
      <c r="F3080" s="1"/>
    </row>
    <row r="3081" spans="4:6" x14ac:dyDescent="0.25">
      <c r="D3081" s="1"/>
      <c r="F3081" s="1"/>
    </row>
    <row r="3082" spans="4:6" x14ac:dyDescent="0.25">
      <c r="D3082" s="1"/>
      <c r="F3082" s="1"/>
    </row>
    <row r="3083" spans="4:6" x14ac:dyDescent="0.25">
      <c r="D3083" s="1"/>
      <c r="F3083" s="1"/>
    </row>
    <row r="3084" spans="4:6" x14ac:dyDescent="0.25">
      <c r="D3084" s="1"/>
      <c r="F3084" s="1"/>
    </row>
    <row r="3085" spans="4:6" x14ac:dyDescent="0.25">
      <c r="D3085" s="1"/>
      <c r="F3085" s="1"/>
    </row>
    <row r="3086" spans="4:6" x14ac:dyDescent="0.25">
      <c r="D3086" s="1"/>
      <c r="F3086" s="1"/>
    </row>
    <row r="3087" spans="4:6" x14ac:dyDescent="0.25">
      <c r="D3087" s="1"/>
      <c r="F3087" s="1"/>
    </row>
    <row r="3088" spans="4:6" x14ac:dyDescent="0.25">
      <c r="D3088" s="1"/>
      <c r="F3088" s="1"/>
    </row>
    <row r="3089" spans="4:6" x14ac:dyDescent="0.25">
      <c r="D3089" s="1"/>
      <c r="F3089" s="1"/>
    </row>
    <row r="3090" spans="4:6" x14ac:dyDescent="0.25">
      <c r="D3090" s="1"/>
      <c r="F3090" s="1"/>
    </row>
    <row r="3091" spans="4:6" x14ac:dyDescent="0.25">
      <c r="D3091" s="1"/>
      <c r="F3091" s="1"/>
    </row>
    <row r="3092" spans="4:6" x14ac:dyDescent="0.25">
      <c r="D3092" s="1"/>
      <c r="F3092" s="1"/>
    </row>
    <row r="3093" spans="4:6" x14ac:dyDescent="0.25">
      <c r="D3093" s="1"/>
      <c r="F3093" s="1"/>
    </row>
    <row r="3094" spans="4:6" x14ac:dyDescent="0.25">
      <c r="D3094" s="1"/>
      <c r="F3094" s="1"/>
    </row>
    <row r="3095" spans="4:6" x14ac:dyDescent="0.25">
      <c r="D3095" s="1"/>
      <c r="F3095" s="1"/>
    </row>
    <row r="3096" spans="4:6" x14ac:dyDescent="0.25">
      <c r="D3096" s="1"/>
      <c r="F3096" s="1"/>
    </row>
    <row r="3097" spans="4:6" x14ac:dyDescent="0.25">
      <c r="D3097" s="1"/>
      <c r="F3097" s="1"/>
    </row>
    <row r="3098" spans="4:6" x14ac:dyDescent="0.25">
      <c r="D3098" s="1"/>
      <c r="F3098" s="1"/>
    </row>
    <row r="3099" spans="4:6" x14ac:dyDescent="0.25">
      <c r="D3099" s="1"/>
      <c r="F3099" s="1"/>
    </row>
    <row r="3100" spans="4:6" x14ac:dyDescent="0.25">
      <c r="D3100" s="1"/>
      <c r="F3100" s="1"/>
    </row>
    <row r="3101" spans="4:6" x14ac:dyDescent="0.25">
      <c r="D3101" s="1"/>
      <c r="F3101" s="1"/>
    </row>
    <row r="3102" spans="4:6" x14ac:dyDescent="0.25">
      <c r="D3102" s="1"/>
      <c r="F3102" s="1"/>
    </row>
    <row r="3103" spans="4:6" x14ac:dyDescent="0.25">
      <c r="D3103" s="1"/>
      <c r="F3103" s="1"/>
    </row>
    <row r="3104" spans="4:6" x14ac:dyDescent="0.25">
      <c r="D3104" s="1"/>
      <c r="F3104" s="1"/>
    </row>
    <row r="3105" spans="4:6" x14ac:dyDescent="0.25">
      <c r="D3105" s="1"/>
      <c r="F3105" s="1"/>
    </row>
    <row r="3106" spans="4:6" x14ac:dyDescent="0.25">
      <c r="D3106" s="1"/>
      <c r="F3106" s="1"/>
    </row>
    <row r="3107" spans="4:6" x14ac:dyDescent="0.25">
      <c r="D3107" s="1"/>
      <c r="F3107" s="1"/>
    </row>
    <row r="3108" spans="4:6" x14ac:dyDescent="0.25">
      <c r="D3108" s="1"/>
      <c r="F3108" s="1"/>
    </row>
    <row r="3109" spans="4:6" x14ac:dyDescent="0.25">
      <c r="D3109" s="1"/>
      <c r="F3109" s="1"/>
    </row>
    <row r="3110" spans="4:6" x14ac:dyDescent="0.25">
      <c r="D3110" s="1"/>
      <c r="F3110" s="1"/>
    </row>
    <row r="3111" spans="4:6" x14ac:dyDescent="0.25">
      <c r="D3111" s="1"/>
      <c r="F3111" s="1"/>
    </row>
    <row r="3112" spans="4:6" x14ac:dyDescent="0.25">
      <c r="D3112" s="1"/>
      <c r="F3112" s="1"/>
    </row>
    <row r="3113" spans="4:6" x14ac:dyDescent="0.25">
      <c r="D3113" s="1"/>
      <c r="F3113" s="1"/>
    </row>
    <row r="3114" spans="4:6" x14ac:dyDescent="0.25">
      <c r="D3114" s="1"/>
      <c r="F3114" s="1"/>
    </row>
    <row r="3115" spans="4:6" x14ac:dyDescent="0.25">
      <c r="D3115" s="1"/>
      <c r="F3115" s="1"/>
    </row>
    <row r="3116" spans="4:6" x14ac:dyDescent="0.25">
      <c r="D3116" s="1"/>
      <c r="F3116" s="1"/>
    </row>
    <row r="3117" spans="4:6" x14ac:dyDescent="0.25">
      <c r="D3117" s="1"/>
      <c r="F3117" s="1"/>
    </row>
    <row r="3118" spans="4:6" x14ac:dyDescent="0.25">
      <c r="D3118" s="1"/>
      <c r="F3118" s="1"/>
    </row>
    <row r="3119" spans="4:6" x14ac:dyDescent="0.25">
      <c r="D3119" s="1"/>
      <c r="F3119" s="1"/>
    </row>
    <row r="3120" spans="4:6" x14ac:dyDescent="0.25">
      <c r="D3120" s="1"/>
      <c r="F3120" s="1"/>
    </row>
    <row r="3121" spans="4:6" x14ac:dyDescent="0.25">
      <c r="D3121" s="1"/>
      <c r="F3121" s="1"/>
    </row>
    <row r="3122" spans="4:6" x14ac:dyDescent="0.25">
      <c r="D3122" s="1"/>
      <c r="F3122" s="1"/>
    </row>
    <row r="3123" spans="4:6" x14ac:dyDescent="0.25">
      <c r="D3123" s="1"/>
      <c r="F3123" s="1"/>
    </row>
    <row r="3124" spans="4:6" x14ac:dyDescent="0.25">
      <c r="D3124" s="1"/>
      <c r="F3124" s="1"/>
    </row>
    <row r="3125" spans="4:6" x14ac:dyDescent="0.25">
      <c r="D3125" s="1"/>
      <c r="F3125" s="1"/>
    </row>
    <row r="3126" spans="4:6" x14ac:dyDescent="0.25">
      <c r="D3126" s="1"/>
      <c r="F3126" s="1"/>
    </row>
    <row r="3127" spans="4:6" x14ac:dyDescent="0.25">
      <c r="D3127" s="1"/>
      <c r="F3127" s="1"/>
    </row>
    <row r="3128" spans="4:6" x14ac:dyDescent="0.25">
      <c r="D3128" s="1"/>
      <c r="F3128" s="1"/>
    </row>
    <row r="3129" spans="4:6" x14ac:dyDescent="0.25">
      <c r="D3129" s="1"/>
      <c r="F3129" s="1"/>
    </row>
    <row r="3130" spans="4:6" x14ac:dyDescent="0.25">
      <c r="D3130" s="1"/>
      <c r="F3130" s="1"/>
    </row>
    <row r="3131" spans="4:6" x14ac:dyDescent="0.25">
      <c r="D3131" s="1"/>
      <c r="F3131" s="1"/>
    </row>
    <row r="3132" spans="4:6" x14ac:dyDescent="0.25">
      <c r="D3132" s="1"/>
      <c r="F3132" s="1"/>
    </row>
    <row r="3133" spans="4:6" x14ac:dyDescent="0.25">
      <c r="D3133" s="1"/>
      <c r="F3133" s="1"/>
    </row>
    <row r="3134" spans="4:6" x14ac:dyDescent="0.25">
      <c r="D3134" s="1"/>
      <c r="F3134" s="1"/>
    </row>
    <row r="3135" spans="4:6" x14ac:dyDescent="0.25">
      <c r="D3135" s="1"/>
      <c r="F3135" s="1"/>
    </row>
    <row r="3136" spans="4:6" x14ac:dyDescent="0.25">
      <c r="D3136" s="1"/>
      <c r="F3136" s="1"/>
    </row>
    <row r="3137" spans="4:6" x14ac:dyDescent="0.25">
      <c r="D3137" s="1"/>
      <c r="F3137" s="1"/>
    </row>
    <row r="3138" spans="4:6" x14ac:dyDescent="0.25">
      <c r="D3138" s="1"/>
      <c r="F3138" s="1"/>
    </row>
    <row r="3139" spans="4:6" x14ac:dyDescent="0.25">
      <c r="D3139" s="1"/>
      <c r="F3139" s="1"/>
    </row>
    <row r="3140" spans="4:6" x14ac:dyDescent="0.25">
      <c r="D3140" s="1"/>
      <c r="F3140" s="1"/>
    </row>
    <row r="3141" spans="4:6" x14ac:dyDescent="0.25">
      <c r="D3141" s="1"/>
      <c r="F3141" s="1"/>
    </row>
    <row r="3142" spans="4:6" x14ac:dyDescent="0.25">
      <c r="D3142" s="1"/>
      <c r="F3142" s="1"/>
    </row>
    <row r="3143" spans="4:6" x14ac:dyDescent="0.25">
      <c r="D3143" s="1"/>
      <c r="F3143" s="1"/>
    </row>
    <row r="3144" spans="4:6" x14ac:dyDescent="0.25">
      <c r="D3144" s="1"/>
      <c r="F3144" s="1"/>
    </row>
    <row r="3145" spans="4:6" x14ac:dyDescent="0.25">
      <c r="D3145" s="1"/>
      <c r="F3145" s="1"/>
    </row>
    <row r="3146" spans="4:6" x14ac:dyDescent="0.25">
      <c r="D3146" s="1"/>
      <c r="F3146" s="1"/>
    </row>
    <row r="3147" spans="4:6" x14ac:dyDescent="0.25">
      <c r="D3147" s="1"/>
      <c r="F3147" s="1"/>
    </row>
    <row r="3148" spans="4:6" x14ac:dyDescent="0.25">
      <c r="D3148" s="1"/>
      <c r="F3148" s="1"/>
    </row>
    <row r="3149" spans="4:6" x14ac:dyDescent="0.25">
      <c r="D3149" s="1"/>
      <c r="F3149" s="1"/>
    </row>
    <row r="3150" spans="4:6" x14ac:dyDescent="0.25">
      <c r="D3150" s="1"/>
      <c r="F3150" s="1"/>
    </row>
    <row r="3151" spans="4:6" x14ac:dyDescent="0.25">
      <c r="D3151" s="1"/>
      <c r="F3151" s="1"/>
    </row>
    <row r="3152" spans="4:6" x14ac:dyDescent="0.25">
      <c r="D3152" s="1"/>
      <c r="F3152" s="1"/>
    </row>
    <row r="3153" spans="4:6" x14ac:dyDescent="0.25">
      <c r="D3153" s="1"/>
      <c r="F3153" s="1"/>
    </row>
    <row r="3154" spans="4:6" x14ac:dyDescent="0.25">
      <c r="D3154" s="1"/>
      <c r="F3154" s="1"/>
    </row>
    <row r="3155" spans="4:6" x14ac:dyDescent="0.25">
      <c r="D3155" s="1"/>
      <c r="F3155" s="1"/>
    </row>
    <row r="3156" spans="4:6" x14ac:dyDescent="0.25">
      <c r="D3156" s="1"/>
      <c r="F3156" s="1"/>
    </row>
    <row r="3157" spans="4:6" x14ac:dyDescent="0.25">
      <c r="D3157" s="1"/>
      <c r="F3157" s="1"/>
    </row>
    <row r="3158" spans="4:6" x14ac:dyDescent="0.25">
      <c r="D3158" s="1"/>
      <c r="F3158" s="1"/>
    </row>
    <row r="3159" spans="4:6" x14ac:dyDescent="0.25">
      <c r="D3159" s="1"/>
      <c r="F3159" s="1"/>
    </row>
    <row r="3160" spans="4:6" x14ac:dyDescent="0.25">
      <c r="D3160" s="1"/>
      <c r="F3160" s="1"/>
    </row>
    <row r="3161" spans="4:6" x14ac:dyDescent="0.25">
      <c r="D3161" s="1"/>
      <c r="F3161" s="1"/>
    </row>
    <row r="3162" spans="4:6" x14ac:dyDescent="0.25">
      <c r="D3162" s="1"/>
      <c r="F3162" s="1"/>
    </row>
    <row r="3163" spans="4:6" x14ac:dyDescent="0.25">
      <c r="D3163" s="1"/>
      <c r="F3163" s="1"/>
    </row>
    <row r="3164" spans="4:6" x14ac:dyDescent="0.25">
      <c r="D3164" s="1"/>
      <c r="F3164" s="1"/>
    </row>
    <row r="3165" spans="4:6" x14ac:dyDescent="0.25">
      <c r="D3165" s="1"/>
      <c r="F3165" s="1"/>
    </row>
    <row r="3166" spans="4:6" x14ac:dyDescent="0.25">
      <c r="D3166" s="1"/>
      <c r="F3166" s="1"/>
    </row>
    <row r="3167" spans="4:6" x14ac:dyDescent="0.25">
      <c r="D3167" s="1"/>
      <c r="F3167" s="1"/>
    </row>
    <row r="3168" spans="4:6" x14ac:dyDescent="0.25">
      <c r="D3168" s="1"/>
      <c r="F3168" s="1"/>
    </row>
    <row r="3169" spans="4:6" x14ac:dyDescent="0.25">
      <c r="D3169" s="1"/>
      <c r="F3169" s="1"/>
    </row>
    <row r="3170" spans="4:6" x14ac:dyDescent="0.25">
      <c r="D3170" s="1"/>
      <c r="F3170" s="1"/>
    </row>
    <row r="3171" spans="4:6" x14ac:dyDescent="0.25">
      <c r="D3171" s="1"/>
      <c r="F3171" s="1"/>
    </row>
    <row r="3172" spans="4:6" x14ac:dyDescent="0.25">
      <c r="D3172" s="1"/>
      <c r="F3172" s="1"/>
    </row>
    <row r="3173" spans="4:6" x14ac:dyDescent="0.25">
      <c r="D3173" s="1"/>
      <c r="F3173" s="1"/>
    </row>
    <row r="3174" spans="4:6" x14ac:dyDescent="0.25">
      <c r="D3174" s="1"/>
      <c r="F3174" s="1"/>
    </row>
    <row r="3175" spans="4:6" x14ac:dyDescent="0.25">
      <c r="D3175" s="1"/>
      <c r="F3175" s="1"/>
    </row>
    <row r="3176" spans="4:6" x14ac:dyDescent="0.25">
      <c r="D3176" s="1"/>
      <c r="F3176" s="1"/>
    </row>
    <row r="3177" spans="4:6" x14ac:dyDescent="0.25">
      <c r="D3177" s="1"/>
      <c r="F3177" s="1"/>
    </row>
    <row r="3178" spans="4:6" x14ac:dyDescent="0.25">
      <c r="D3178" s="1"/>
      <c r="F3178" s="1"/>
    </row>
    <row r="3179" spans="4:6" x14ac:dyDescent="0.25">
      <c r="D3179" s="1"/>
      <c r="F3179" s="1"/>
    </row>
    <row r="3180" spans="4:6" x14ac:dyDescent="0.25">
      <c r="D3180" s="1"/>
      <c r="F3180" s="1"/>
    </row>
    <row r="3181" spans="4:6" x14ac:dyDescent="0.25">
      <c r="D3181" s="1"/>
      <c r="F3181" s="1"/>
    </row>
    <row r="3182" spans="4:6" x14ac:dyDescent="0.25">
      <c r="D3182" s="1"/>
      <c r="F3182" s="1"/>
    </row>
    <row r="3183" spans="4:6" x14ac:dyDescent="0.25">
      <c r="D3183" s="1"/>
      <c r="F3183" s="1"/>
    </row>
    <row r="3184" spans="4:6" x14ac:dyDescent="0.25">
      <c r="D3184" s="1"/>
      <c r="F3184" s="1"/>
    </row>
    <row r="3185" spans="4:6" x14ac:dyDescent="0.25">
      <c r="D3185" s="1"/>
      <c r="F3185" s="1"/>
    </row>
    <row r="3186" spans="4:6" x14ac:dyDescent="0.25">
      <c r="D3186" s="1"/>
      <c r="F3186" s="1"/>
    </row>
    <row r="3187" spans="4:6" x14ac:dyDescent="0.25">
      <c r="D3187" s="1"/>
      <c r="F3187" s="1"/>
    </row>
    <row r="3188" spans="4:6" x14ac:dyDescent="0.25">
      <c r="D3188" s="1"/>
      <c r="F3188" s="1"/>
    </row>
    <row r="3189" spans="4:6" x14ac:dyDescent="0.25">
      <c r="D3189" s="1"/>
      <c r="F3189" s="1"/>
    </row>
    <row r="3190" spans="4:6" x14ac:dyDescent="0.25">
      <c r="D3190" s="1"/>
      <c r="F3190" s="1"/>
    </row>
    <row r="3191" spans="4:6" x14ac:dyDescent="0.25">
      <c r="D3191" s="1"/>
      <c r="F3191" s="1"/>
    </row>
    <row r="3192" spans="4:6" x14ac:dyDescent="0.25">
      <c r="D3192" s="1"/>
      <c r="F3192" s="1"/>
    </row>
    <row r="3193" spans="4:6" x14ac:dyDescent="0.25">
      <c r="D3193" s="1"/>
      <c r="F3193" s="1"/>
    </row>
    <row r="3194" spans="4:6" x14ac:dyDescent="0.25">
      <c r="D3194" s="1"/>
      <c r="F3194" s="1"/>
    </row>
    <row r="3195" spans="4:6" x14ac:dyDescent="0.25">
      <c r="D3195" s="1"/>
      <c r="F3195" s="1"/>
    </row>
    <row r="3196" spans="4:6" x14ac:dyDescent="0.25">
      <c r="D3196" s="1"/>
      <c r="F3196" s="1"/>
    </row>
    <row r="3197" spans="4:6" x14ac:dyDescent="0.25">
      <c r="D3197" s="1"/>
      <c r="F3197" s="1"/>
    </row>
    <row r="3198" spans="4:6" x14ac:dyDescent="0.25">
      <c r="D3198" s="1"/>
      <c r="F3198" s="1"/>
    </row>
    <row r="3199" spans="4:6" x14ac:dyDescent="0.25">
      <c r="D3199" s="1"/>
      <c r="F3199" s="1"/>
    </row>
    <row r="3200" spans="4:6" x14ac:dyDescent="0.25">
      <c r="D3200" s="1"/>
      <c r="F3200" s="1"/>
    </row>
    <row r="3201" spans="4:6" x14ac:dyDescent="0.25">
      <c r="D3201" s="1"/>
      <c r="F3201" s="1"/>
    </row>
    <row r="3202" spans="4:6" x14ac:dyDescent="0.25">
      <c r="D3202" s="1"/>
      <c r="F3202" s="1"/>
    </row>
    <row r="3203" spans="4:6" x14ac:dyDescent="0.25">
      <c r="D3203" s="1"/>
      <c r="F3203" s="1"/>
    </row>
    <row r="3204" spans="4:6" x14ac:dyDescent="0.25">
      <c r="D3204" s="1"/>
      <c r="F3204" s="1"/>
    </row>
    <row r="3205" spans="4:6" x14ac:dyDescent="0.25">
      <c r="D3205" s="1"/>
      <c r="F3205" s="1"/>
    </row>
    <row r="3206" spans="4:6" x14ac:dyDescent="0.25">
      <c r="D3206" s="1"/>
      <c r="F3206" s="1"/>
    </row>
    <row r="3207" spans="4:6" x14ac:dyDescent="0.25">
      <c r="D3207" s="1"/>
      <c r="F3207" s="1"/>
    </row>
    <row r="3208" spans="4:6" x14ac:dyDescent="0.25">
      <c r="D3208" s="1"/>
      <c r="F3208" s="1"/>
    </row>
    <row r="3209" spans="4:6" x14ac:dyDescent="0.25">
      <c r="D3209" s="1"/>
      <c r="F3209" s="1"/>
    </row>
    <row r="3210" spans="4:6" x14ac:dyDescent="0.25">
      <c r="D3210" s="1"/>
      <c r="F3210" s="1"/>
    </row>
    <row r="3211" spans="4:6" x14ac:dyDescent="0.25">
      <c r="D3211" s="1"/>
      <c r="F3211" s="1"/>
    </row>
    <row r="3212" spans="4:6" x14ac:dyDescent="0.25">
      <c r="D3212" s="1"/>
      <c r="F3212" s="1"/>
    </row>
    <row r="3213" spans="4:6" x14ac:dyDescent="0.25">
      <c r="D3213" s="1"/>
      <c r="F3213" s="1"/>
    </row>
    <row r="3214" spans="4:6" x14ac:dyDescent="0.25">
      <c r="D3214" s="1"/>
      <c r="F3214" s="1"/>
    </row>
    <row r="3215" spans="4:6" x14ac:dyDescent="0.25">
      <c r="D3215" s="1"/>
      <c r="F3215" s="1"/>
    </row>
    <row r="3216" spans="4:6" x14ac:dyDescent="0.25">
      <c r="D3216" s="1"/>
      <c r="F3216" s="1"/>
    </row>
    <row r="3217" spans="4:6" x14ac:dyDescent="0.25">
      <c r="D3217" s="1"/>
      <c r="F3217" s="1"/>
    </row>
    <row r="3218" spans="4:6" x14ac:dyDescent="0.25">
      <c r="D3218" s="1"/>
      <c r="F3218" s="1"/>
    </row>
    <row r="3219" spans="4:6" x14ac:dyDescent="0.25">
      <c r="D3219" s="1"/>
      <c r="F3219" s="1"/>
    </row>
    <row r="3220" spans="4:6" x14ac:dyDescent="0.25">
      <c r="D3220" s="1"/>
      <c r="F3220" s="1"/>
    </row>
    <row r="3221" spans="4:6" x14ac:dyDescent="0.25">
      <c r="D3221" s="1"/>
      <c r="F3221" s="1"/>
    </row>
    <row r="3222" spans="4:6" x14ac:dyDescent="0.25">
      <c r="D3222" s="1"/>
      <c r="F3222" s="1"/>
    </row>
    <row r="3223" spans="4:6" x14ac:dyDescent="0.25">
      <c r="D3223" s="1"/>
      <c r="F3223" s="1"/>
    </row>
    <row r="3224" spans="4:6" x14ac:dyDescent="0.25">
      <c r="D3224" s="1"/>
      <c r="F3224" s="1"/>
    </row>
    <row r="3225" spans="4:6" x14ac:dyDescent="0.25">
      <c r="D3225" s="1"/>
      <c r="F3225" s="1"/>
    </row>
    <row r="3226" spans="4:6" x14ac:dyDescent="0.25">
      <c r="D3226" s="1"/>
      <c r="F3226" s="1"/>
    </row>
    <row r="3227" spans="4:6" x14ac:dyDescent="0.25">
      <c r="D3227" s="1"/>
      <c r="F3227" s="1"/>
    </row>
    <row r="3228" spans="4:6" x14ac:dyDescent="0.25">
      <c r="D3228" s="1"/>
      <c r="F3228" s="1"/>
    </row>
    <row r="3229" spans="4:6" x14ac:dyDescent="0.25">
      <c r="D3229" s="1"/>
      <c r="F3229" s="1"/>
    </row>
    <row r="3230" spans="4:6" x14ac:dyDescent="0.25">
      <c r="D3230" s="1"/>
      <c r="F3230" s="1"/>
    </row>
    <row r="3231" spans="4:6" x14ac:dyDescent="0.25">
      <c r="D3231" s="1"/>
      <c r="F3231" s="1"/>
    </row>
    <row r="3232" spans="4:6" x14ac:dyDescent="0.25">
      <c r="D3232" s="1"/>
      <c r="F3232" s="1"/>
    </row>
    <row r="3233" spans="4:6" x14ac:dyDescent="0.25">
      <c r="D3233" s="1"/>
      <c r="F3233" s="1"/>
    </row>
    <row r="3234" spans="4:6" x14ac:dyDescent="0.25">
      <c r="D3234" s="1"/>
      <c r="F3234" s="1"/>
    </row>
    <row r="3235" spans="4:6" x14ac:dyDescent="0.25">
      <c r="D3235" s="1"/>
      <c r="F3235" s="1"/>
    </row>
    <row r="3236" spans="4:6" x14ac:dyDescent="0.25">
      <c r="D3236" s="1"/>
      <c r="F3236" s="1"/>
    </row>
    <row r="3237" spans="4:6" x14ac:dyDescent="0.25">
      <c r="D3237" s="1"/>
      <c r="F3237" s="1"/>
    </row>
    <row r="3238" spans="4:6" x14ac:dyDescent="0.25">
      <c r="D3238" s="1"/>
      <c r="F3238" s="1"/>
    </row>
    <row r="3239" spans="4:6" x14ac:dyDescent="0.25">
      <c r="D3239" s="1"/>
      <c r="F3239" s="1"/>
    </row>
    <row r="3240" spans="4:6" x14ac:dyDescent="0.25">
      <c r="D3240" s="1"/>
      <c r="F3240" s="1"/>
    </row>
    <row r="3241" spans="4:6" x14ac:dyDescent="0.25">
      <c r="D3241" s="1"/>
      <c r="F3241" s="1"/>
    </row>
    <row r="3242" spans="4:6" x14ac:dyDescent="0.25">
      <c r="D3242" s="1"/>
      <c r="F3242" s="1"/>
    </row>
    <row r="3243" spans="4:6" x14ac:dyDescent="0.25">
      <c r="D3243" s="1"/>
      <c r="F3243" s="1"/>
    </row>
    <row r="3244" spans="4:6" x14ac:dyDescent="0.25">
      <c r="D3244" s="1"/>
      <c r="F3244" s="1"/>
    </row>
    <row r="3245" spans="4:6" x14ac:dyDescent="0.25">
      <c r="D3245" s="1"/>
      <c r="F3245" s="1"/>
    </row>
    <row r="3246" spans="4:6" x14ac:dyDescent="0.25">
      <c r="D3246" s="1"/>
      <c r="F3246" s="1"/>
    </row>
    <row r="3247" spans="4:6" x14ac:dyDescent="0.25">
      <c r="D3247" s="1"/>
      <c r="F3247" s="1"/>
    </row>
    <row r="3248" spans="4:6" x14ac:dyDescent="0.25">
      <c r="D3248" s="1"/>
      <c r="F3248" s="1"/>
    </row>
    <row r="3249" spans="4:6" x14ac:dyDescent="0.25">
      <c r="D3249" s="1"/>
      <c r="F3249" s="1"/>
    </row>
    <row r="3250" spans="4:6" x14ac:dyDescent="0.25">
      <c r="D3250" s="1"/>
      <c r="F3250" s="1"/>
    </row>
    <row r="3251" spans="4:6" x14ac:dyDescent="0.25">
      <c r="D3251" s="1"/>
      <c r="F3251" s="1"/>
    </row>
    <row r="3252" spans="4:6" x14ac:dyDescent="0.25">
      <c r="D3252" s="1"/>
      <c r="F3252" s="1"/>
    </row>
    <row r="3253" spans="4:6" x14ac:dyDescent="0.25">
      <c r="D3253" s="1"/>
      <c r="F3253" s="1"/>
    </row>
    <row r="3254" spans="4:6" x14ac:dyDescent="0.25">
      <c r="D3254" s="1"/>
      <c r="F3254" s="1"/>
    </row>
    <row r="3255" spans="4:6" x14ac:dyDescent="0.25">
      <c r="D3255" s="1"/>
      <c r="F3255" s="1"/>
    </row>
    <row r="3256" spans="4:6" x14ac:dyDescent="0.25">
      <c r="D3256" s="1"/>
      <c r="F3256" s="1"/>
    </row>
    <row r="3257" spans="4:6" x14ac:dyDescent="0.25">
      <c r="D3257" s="1"/>
      <c r="F3257" s="1"/>
    </row>
    <row r="3258" spans="4:6" x14ac:dyDescent="0.25">
      <c r="D3258" s="1"/>
      <c r="F3258" s="1"/>
    </row>
    <row r="3259" spans="4:6" x14ac:dyDescent="0.25">
      <c r="D3259" s="1"/>
      <c r="F3259" s="1"/>
    </row>
    <row r="3260" spans="4:6" x14ac:dyDescent="0.25">
      <c r="D3260" s="1"/>
      <c r="F3260" s="1"/>
    </row>
    <row r="3261" spans="4:6" x14ac:dyDescent="0.25">
      <c r="D3261" s="1"/>
      <c r="F3261" s="1"/>
    </row>
    <row r="3262" spans="4:6" x14ac:dyDescent="0.25">
      <c r="D3262" s="1"/>
      <c r="F3262" s="1"/>
    </row>
    <row r="3263" spans="4:6" x14ac:dyDescent="0.25">
      <c r="D3263" s="1"/>
      <c r="F3263" s="1"/>
    </row>
    <row r="3264" spans="4:6" x14ac:dyDescent="0.25">
      <c r="D3264" s="1"/>
      <c r="F3264" s="1"/>
    </row>
    <row r="3265" spans="4:6" x14ac:dyDescent="0.25">
      <c r="D3265" s="1"/>
      <c r="F3265" s="1"/>
    </row>
    <row r="3266" spans="4:6" x14ac:dyDescent="0.25">
      <c r="D3266" s="1"/>
      <c r="F3266" s="1"/>
    </row>
    <row r="3267" spans="4:6" x14ac:dyDescent="0.25">
      <c r="D3267" s="1"/>
      <c r="F3267" s="1"/>
    </row>
    <row r="3268" spans="4:6" x14ac:dyDescent="0.25">
      <c r="D3268" s="1"/>
      <c r="F3268" s="1"/>
    </row>
    <row r="3269" spans="4:6" x14ac:dyDescent="0.25">
      <c r="D3269" s="1"/>
      <c r="F3269" s="1"/>
    </row>
    <row r="3270" spans="4:6" x14ac:dyDescent="0.25">
      <c r="D3270" s="1"/>
      <c r="F3270" s="1"/>
    </row>
    <row r="3271" spans="4:6" x14ac:dyDescent="0.25">
      <c r="D3271" s="1"/>
      <c r="F3271" s="1"/>
    </row>
    <row r="3272" spans="4:6" x14ac:dyDescent="0.25">
      <c r="D3272" s="1"/>
      <c r="F3272" s="1"/>
    </row>
    <row r="3273" spans="4:6" x14ac:dyDescent="0.25">
      <c r="D3273" s="1"/>
      <c r="F3273" s="1"/>
    </row>
    <row r="3274" spans="4:6" x14ac:dyDescent="0.25">
      <c r="D3274" s="1"/>
      <c r="F3274" s="1"/>
    </row>
    <row r="3275" spans="4:6" x14ac:dyDescent="0.25">
      <c r="D3275" s="1"/>
      <c r="F3275" s="1"/>
    </row>
    <row r="3276" spans="4:6" x14ac:dyDescent="0.25">
      <c r="D3276" s="1"/>
      <c r="F3276" s="1"/>
    </row>
    <row r="3277" spans="4:6" x14ac:dyDescent="0.25">
      <c r="D3277" s="1"/>
      <c r="F3277" s="1"/>
    </row>
    <row r="3278" spans="4:6" x14ac:dyDescent="0.25">
      <c r="D3278" s="1"/>
      <c r="F3278" s="1"/>
    </row>
    <row r="3279" spans="4:6" x14ac:dyDescent="0.25">
      <c r="D3279" s="1"/>
      <c r="F3279" s="1"/>
    </row>
    <row r="3280" spans="4:6" x14ac:dyDescent="0.25">
      <c r="D3280" s="1"/>
      <c r="F3280" s="1"/>
    </row>
    <row r="3281" spans="4:6" x14ac:dyDescent="0.25">
      <c r="D3281" s="1"/>
      <c r="F3281" s="1"/>
    </row>
    <row r="3282" spans="4:6" x14ac:dyDescent="0.25">
      <c r="D3282" s="1"/>
      <c r="F3282" s="1"/>
    </row>
    <row r="3283" spans="4:6" x14ac:dyDescent="0.25">
      <c r="D3283" s="1"/>
      <c r="F3283" s="1"/>
    </row>
    <row r="3284" spans="4:6" x14ac:dyDescent="0.25">
      <c r="D3284" s="1"/>
      <c r="F3284" s="1"/>
    </row>
    <row r="3285" spans="4:6" x14ac:dyDescent="0.25">
      <c r="D3285" s="1"/>
      <c r="F3285" s="1"/>
    </row>
    <row r="3286" spans="4:6" x14ac:dyDescent="0.25">
      <c r="D3286" s="1"/>
      <c r="F3286" s="1"/>
    </row>
    <row r="3287" spans="4:6" x14ac:dyDescent="0.25">
      <c r="D3287" s="1"/>
      <c r="F3287" s="1"/>
    </row>
    <row r="3288" spans="4:6" x14ac:dyDescent="0.25">
      <c r="D3288" s="1"/>
      <c r="F3288" s="1"/>
    </row>
    <row r="3289" spans="4:6" x14ac:dyDescent="0.25">
      <c r="D3289" s="1"/>
      <c r="F3289" s="1"/>
    </row>
    <row r="3290" spans="4:6" x14ac:dyDescent="0.25">
      <c r="D3290" s="1"/>
      <c r="F3290" s="1"/>
    </row>
    <row r="3291" spans="4:6" x14ac:dyDescent="0.25">
      <c r="D3291" s="1"/>
      <c r="F3291" s="1"/>
    </row>
    <row r="3292" spans="4:6" x14ac:dyDescent="0.25">
      <c r="D3292" s="1"/>
      <c r="F3292" s="1"/>
    </row>
    <row r="3293" spans="4:6" x14ac:dyDescent="0.25">
      <c r="D3293" s="1"/>
      <c r="F3293" s="1"/>
    </row>
    <row r="3294" spans="4:6" x14ac:dyDescent="0.25">
      <c r="D3294" s="1"/>
      <c r="F3294" s="1"/>
    </row>
    <row r="3295" spans="4:6" x14ac:dyDescent="0.25">
      <c r="D3295" s="1"/>
      <c r="F3295" s="1"/>
    </row>
    <row r="3296" spans="4:6" x14ac:dyDescent="0.25">
      <c r="D3296" s="1"/>
      <c r="F3296" s="1"/>
    </row>
    <row r="3297" spans="4:6" x14ac:dyDescent="0.25">
      <c r="D3297" s="1"/>
      <c r="F3297" s="1"/>
    </row>
    <row r="3298" spans="4:6" x14ac:dyDescent="0.25">
      <c r="D3298" s="1"/>
      <c r="F3298" s="1"/>
    </row>
    <row r="3299" spans="4:6" x14ac:dyDescent="0.25">
      <c r="D3299" s="1"/>
      <c r="F3299" s="1"/>
    </row>
    <row r="3300" spans="4:6" x14ac:dyDescent="0.25">
      <c r="D3300" s="1"/>
      <c r="F3300" s="1"/>
    </row>
    <row r="3301" spans="4:6" x14ac:dyDescent="0.25">
      <c r="D3301" s="1"/>
      <c r="F3301" s="1"/>
    </row>
    <row r="3302" spans="4:6" x14ac:dyDescent="0.25">
      <c r="D3302" s="1"/>
      <c r="F3302" s="1"/>
    </row>
    <row r="3303" spans="4:6" x14ac:dyDescent="0.25">
      <c r="D3303" s="1"/>
      <c r="F3303" s="1"/>
    </row>
    <row r="3304" spans="4:6" x14ac:dyDescent="0.25">
      <c r="D3304" s="1"/>
      <c r="F3304" s="1"/>
    </row>
    <row r="3305" spans="4:6" x14ac:dyDescent="0.25">
      <c r="D3305" s="1"/>
      <c r="F3305" s="1"/>
    </row>
    <row r="3306" spans="4:6" x14ac:dyDescent="0.25">
      <c r="D3306" s="1"/>
      <c r="F3306" s="1"/>
    </row>
    <row r="3307" spans="4:6" x14ac:dyDescent="0.25">
      <c r="D3307" s="1"/>
      <c r="F3307" s="1"/>
    </row>
    <row r="3308" spans="4:6" x14ac:dyDescent="0.25">
      <c r="D3308" s="1"/>
      <c r="F3308" s="1"/>
    </row>
    <row r="3309" spans="4:6" x14ac:dyDescent="0.25">
      <c r="D3309" s="1"/>
      <c r="F3309" s="1"/>
    </row>
    <row r="3310" spans="4:6" x14ac:dyDescent="0.25">
      <c r="D3310" s="1"/>
      <c r="F3310" s="1"/>
    </row>
    <row r="3311" spans="4:6" x14ac:dyDescent="0.25">
      <c r="D3311" s="1"/>
      <c r="F3311" s="1"/>
    </row>
    <row r="3312" spans="4:6" x14ac:dyDescent="0.25">
      <c r="D3312" s="1"/>
      <c r="F3312" s="1"/>
    </row>
    <row r="3313" spans="4:6" x14ac:dyDescent="0.25">
      <c r="D3313" s="1"/>
      <c r="F3313" s="1"/>
    </row>
    <row r="3314" spans="4:6" x14ac:dyDescent="0.25">
      <c r="D3314" s="1"/>
      <c r="F3314" s="1"/>
    </row>
    <row r="3315" spans="4:6" x14ac:dyDescent="0.25">
      <c r="D3315" s="1"/>
      <c r="F3315" s="1"/>
    </row>
    <row r="3316" spans="4:6" x14ac:dyDescent="0.25">
      <c r="D3316" s="1"/>
      <c r="F3316" s="1"/>
    </row>
    <row r="3317" spans="4:6" x14ac:dyDescent="0.25">
      <c r="D3317" s="1"/>
      <c r="F3317" s="1"/>
    </row>
    <row r="3318" spans="4:6" x14ac:dyDescent="0.25">
      <c r="D3318" s="1"/>
      <c r="F3318" s="1"/>
    </row>
    <row r="3319" spans="4:6" x14ac:dyDescent="0.25">
      <c r="D3319" s="1"/>
      <c r="F3319" s="1"/>
    </row>
    <row r="3320" spans="4:6" x14ac:dyDescent="0.25">
      <c r="D3320" s="1"/>
      <c r="F3320" s="1"/>
    </row>
    <row r="3321" spans="4:6" x14ac:dyDescent="0.25">
      <c r="D3321" s="1"/>
      <c r="F3321" s="1"/>
    </row>
    <row r="3322" spans="4:6" x14ac:dyDescent="0.25">
      <c r="D3322" s="1"/>
      <c r="F3322" s="1"/>
    </row>
    <row r="3323" spans="4:6" x14ac:dyDescent="0.25">
      <c r="D3323" s="1"/>
      <c r="F3323" s="1"/>
    </row>
    <row r="3324" spans="4:6" x14ac:dyDescent="0.25">
      <c r="D3324" s="1"/>
      <c r="F3324" s="1"/>
    </row>
    <row r="3325" spans="4:6" x14ac:dyDescent="0.25">
      <c r="D3325" s="1"/>
      <c r="F3325" s="1"/>
    </row>
    <row r="3326" spans="4:6" x14ac:dyDescent="0.25">
      <c r="D3326" s="1"/>
      <c r="F3326" s="1"/>
    </row>
    <row r="3327" spans="4:6" x14ac:dyDescent="0.25">
      <c r="D3327" s="1"/>
      <c r="F3327" s="1"/>
    </row>
    <row r="3328" spans="4:6" x14ac:dyDescent="0.25">
      <c r="D3328" s="1"/>
      <c r="F3328" s="1"/>
    </row>
    <row r="3329" spans="4:6" x14ac:dyDescent="0.25">
      <c r="D3329" s="1"/>
      <c r="F3329" s="1"/>
    </row>
    <row r="3330" spans="4:6" x14ac:dyDescent="0.25">
      <c r="D3330" s="1"/>
      <c r="F3330" s="1"/>
    </row>
    <row r="3331" spans="4:6" x14ac:dyDescent="0.25">
      <c r="D3331" s="1"/>
      <c r="F3331" s="1"/>
    </row>
    <row r="3332" spans="4:6" x14ac:dyDescent="0.25">
      <c r="D3332" s="1"/>
      <c r="F3332" s="1"/>
    </row>
    <row r="3333" spans="4:6" x14ac:dyDescent="0.25">
      <c r="D3333" s="1"/>
      <c r="F3333" s="1"/>
    </row>
    <row r="3334" spans="4:6" x14ac:dyDescent="0.25">
      <c r="D3334" s="1"/>
      <c r="F3334" s="1"/>
    </row>
    <row r="3335" spans="4:6" x14ac:dyDescent="0.25">
      <c r="D3335" s="1"/>
      <c r="F3335" s="1"/>
    </row>
    <row r="3336" spans="4:6" x14ac:dyDescent="0.25">
      <c r="D3336" s="1"/>
      <c r="F3336" s="1"/>
    </row>
    <row r="3337" spans="4:6" x14ac:dyDescent="0.25">
      <c r="D3337" s="1"/>
      <c r="F3337" s="1"/>
    </row>
    <row r="3338" spans="4:6" x14ac:dyDescent="0.25">
      <c r="D3338" s="1"/>
      <c r="F3338" s="1"/>
    </row>
    <row r="3339" spans="4:6" x14ac:dyDescent="0.25">
      <c r="D3339" s="1"/>
      <c r="F3339" s="1"/>
    </row>
    <row r="3340" spans="4:6" x14ac:dyDescent="0.25">
      <c r="D3340" s="1"/>
      <c r="F3340" s="1"/>
    </row>
    <row r="3341" spans="4:6" x14ac:dyDescent="0.25">
      <c r="D3341" s="1"/>
      <c r="F3341" s="1"/>
    </row>
    <row r="3342" spans="4:6" x14ac:dyDescent="0.25">
      <c r="D3342" s="1"/>
      <c r="F3342" s="1"/>
    </row>
    <row r="3343" spans="4:6" x14ac:dyDescent="0.25">
      <c r="D3343" s="1"/>
      <c r="F3343" s="1"/>
    </row>
    <row r="3344" spans="4:6" x14ac:dyDescent="0.25">
      <c r="D3344" s="1"/>
      <c r="F3344" s="1"/>
    </row>
    <row r="3345" spans="4:6" x14ac:dyDescent="0.25">
      <c r="D3345" s="1"/>
      <c r="F3345" s="1"/>
    </row>
    <row r="3346" spans="4:6" x14ac:dyDescent="0.25">
      <c r="D3346" s="1"/>
      <c r="F3346" s="1"/>
    </row>
    <row r="3347" spans="4:6" x14ac:dyDescent="0.25">
      <c r="D3347" s="1"/>
      <c r="F3347" s="1"/>
    </row>
    <row r="3348" spans="4:6" x14ac:dyDescent="0.25">
      <c r="D3348" s="1"/>
      <c r="F3348" s="1"/>
    </row>
    <row r="3349" spans="4:6" x14ac:dyDescent="0.25">
      <c r="D3349" s="1"/>
      <c r="F3349" s="1"/>
    </row>
    <row r="3350" spans="4:6" x14ac:dyDescent="0.25">
      <c r="D3350" s="1"/>
      <c r="F3350" s="1"/>
    </row>
    <row r="3351" spans="4:6" x14ac:dyDescent="0.25">
      <c r="D3351" s="1"/>
      <c r="F3351" s="1"/>
    </row>
    <row r="3352" spans="4:6" x14ac:dyDescent="0.25">
      <c r="D3352" s="1"/>
      <c r="F3352" s="1"/>
    </row>
    <row r="3353" spans="4:6" x14ac:dyDescent="0.25">
      <c r="D3353" s="1"/>
      <c r="F3353" s="1"/>
    </row>
    <row r="3354" spans="4:6" x14ac:dyDescent="0.25">
      <c r="D3354" s="1"/>
      <c r="F3354" s="1"/>
    </row>
    <row r="3355" spans="4:6" x14ac:dyDescent="0.25">
      <c r="D3355" s="1"/>
      <c r="F3355" s="1"/>
    </row>
    <row r="3356" spans="4:6" x14ac:dyDescent="0.25">
      <c r="D3356" s="1"/>
      <c r="F3356" s="1"/>
    </row>
    <row r="3357" spans="4:6" x14ac:dyDescent="0.25">
      <c r="D3357" s="1"/>
      <c r="F3357" s="1"/>
    </row>
    <row r="3358" spans="4:6" x14ac:dyDescent="0.25">
      <c r="D3358" s="1"/>
      <c r="F3358" s="1"/>
    </row>
    <row r="3359" spans="4:6" x14ac:dyDescent="0.25">
      <c r="D3359" s="1"/>
      <c r="F3359" s="1"/>
    </row>
    <row r="3360" spans="4:6" x14ac:dyDescent="0.25">
      <c r="D3360" s="1"/>
      <c r="F3360" s="1"/>
    </row>
    <row r="3361" spans="4:6" x14ac:dyDescent="0.25">
      <c r="D3361" s="1"/>
      <c r="F3361" s="1"/>
    </row>
    <row r="3362" spans="4:6" x14ac:dyDescent="0.25">
      <c r="D3362" s="1"/>
      <c r="F3362" s="1"/>
    </row>
    <row r="3363" spans="4:6" x14ac:dyDescent="0.25">
      <c r="D3363" s="1"/>
      <c r="F3363" s="1"/>
    </row>
    <row r="3364" spans="4:6" x14ac:dyDescent="0.25">
      <c r="D3364" s="1"/>
      <c r="F3364" s="1"/>
    </row>
    <row r="3365" spans="4:6" x14ac:dyDescent="0.25">
      <c r="D3365" s="1"/>
      <c r="F3365" s="1"/>
    </row>
    <row r="3366" spans="4:6" x14ac:dyDescent="0.25">
      <c r="D3366" s="1"/>
      <c r="F3366" s="1"/>
    </row>
    <row r="3367" spans="4:6" x14ac:dyDescent="0.25">
      <c r="D3367" s="1"/>
      <c r="F3367" s="1"/>
    </row>
    <row r="3368" spans="4:6" x14ac:dyDescent="0.25">
      <c r="D3368" s="1"/>
      <c r="F3368" s="1"/>
    </row>
    <row r="3369" spans="4:6" x14ac:dyDescent="0.25">
      <c r="D3369" s="1"/>
      <c r="F3369" s="1"/>
    </row>
    <row r="3370" spans="4:6" x14ac:dyDescent="0.25">
      <c r="D3370" s="1"/>
      <c r="F3370" s="1"/>
    </row>
    <row r="3371" spans="4:6" x14ac:dyDescent="0.25">
      <c r="D3371" s="1"/>
      <c r="F3371" s="1"/>
    </row>
    <row r="3372" spans="4:6" x14ac:dyDescent="0.25">
      <c r="D3372" s="1"/>
      <c r="F3372" s="1"/>
    </row>
    <row r="3373" spans="4:6" x14ac:dyDescent="0.25">
      <c r="D3373" s="1"/>
      <c r="F3373" s="1"/>
    </row>
    <row r="3374" spans="4:6" x14ac:dyDescent="0.25">
      <c r="D3374" s="1"/>
      <c r="F3374" s="1"/>
    </row>
    <row r="3375" spans="4:6" x14ac:dyDescent="0.25">
      <c r="D3375" s="1"/>
      <c r="F3375" s="1"/>
    </row>
    <row r="3376" spans="4:6" x14ac:dyDescent="0.25">
      <c r="D3376" s="1"/>
      <c r="F3376" s="1"/>
    </row>
    <row r="3377" spans="4:6" x14ac:dyDescent="0.25">
      <c r="D3377" s="1"/>
      <c r="F3377" s="1"/>
    </row>
    <row r="3378" spans="4:6" x14ac:dyDescent="0.25">
      <c r="D3378" s="1"/>
      <c r="F3378" s="1"/>
    </row>
    <row r="3379" spans="4:6" x14ac:dyDescent="0.25">
      <c r="D3379" s="1"/>
      <c r="F3379" s="1"/>
    </row>
    <row r="3380" spans="4:6" x14ac:dyDescent="0.25">
      <c r="D3380" s="1"/>
      <c r="F3380" s="1"/>
    </row>
    <row r="3381" spans="4:6" x14ac:dyDescent="0.25">
      <c r="D3381" s="1"/>
      <c r="F3381" s="1"/>
    </row>
    <row r="3382" spans="4:6" x14ac:dyDescent="0.25">
      <c r="D3382" s="1"/>
      <c r="F3382" s="1"/>
    </row>
    <row r="3383" spans="4:6" x14ac:dyDescent="0.25">
      <c r="D3383" s="1"/>
      <c r="F3383" s="1"/>
    </row>
    <row r="3384" spans="4:6" x14ac:dyDescent="0.25">
      <c r="D3384" s="1"/>
      <c r="F3384" s="1"/>
    </row>
    <row r="3385" spans="4:6" x14ac:dyDescent="0.25">
      <c r="D3385" s="1"/>
      <c r="F3385" s="1"/>
    </row>
    <row r="3386" spans="4:6" x14ac:dyDescent="0.25">
      <c r="D3386" s="1"/>
      <c r="F3386" s="1"/>
    </row>
    <row r="3387" spans="4:6" x14ac:dyDescent="0.25">
      <c r="D3387" s="1"/>
      <c r="F3387" s="1"/>
    </row>
    <row r="3388" spans="4:6" x14ac:dyDescent="0.25">
      <c r="D3388" s="1"/>
      <c r="F3388" s="1"/>
    </row>
    <row r="3389" spans="4:6" x14ac:dyDescent="0.25">
      <c r="D3389" s="1"/>
      <c r="F3389" s="1"/>
    </row>
    <row r="3390" spans="4:6" x14ac:dyDescent="0.25">
      <c r="D3390" s="1"/>
      <c r="F3390" s="1"/>
    </row>
    <row r="3391" spans="4:6" x14ac:dyDescent="0.25">
      <c r="D3391" s="1"/>
      <c r="F3391" s="1"/>
    </row>
    <row r="3392" spans="4:6" x14ac:dyDescent="0.25">
      <c r="D3392" s="1"/>
      <c r="F3392" s="1"/>
    </row>
    <row r="3393" spans="4:6" x14ac:dyDescent="0.25">
      <c r="D3393" s="1"/>
      <c r="F3393" s="1"/>
    </row>
    <row r="3394" spans="4:6" x14ac:dyDescent="0.25">
      <c r="D3394" s="1"/>
      <c r="F3394" s="1"/>
    </row>
    <row r="3395" spans="4:6" x14ac:dyDescent="0.25">
      <c r="D3395" s="1"/>
      <c r="F3395" s="1"/>
    </row>
    <row r="3396" spans="4:6" x14ac:dyDescent="0.25">
      <c r="D3396" s="1"/>
      <c r="F3396" s="1"/>
    </row>
    <row r="3397" spans="4:6" x14ac:dyDescent="0.25">
      <c r="D3397" s="1"/>
      <c r="F3397" s="1"/>
    </row>
    <row r="3398" spans="4:6" x14ac:dyDescent="0.25">
      <c r="D3398" s="1"/>
      <c r="F3398" s="1"/>
    </row>
    <row r="3399" spans="4:6" x14ac:dyDescent="0.25">
      <c r="D3399" s="1"/>
      <c r="F3399" s="1"/>
    </row>
    <row r="3400" spans="4:6" x14ac:dyDescent="0.25">
      <c r="D3400" s="1"/>
      <c r="F3400" s="1"/>
    </row>
    <row r="3401" spans="4:6" x14ac:dyDescent="0.25">
      <c r="D3401" s="1"/>
      <c r="F3401" s="1"/>
    </row>
    <row r="3402" spans="4:6" x14ac:dyDescent="0.25">
      <c r="D3402" s="1"/>
      <c r="F3402" s="1"/>
    </row>
    <row r="3403" spans="4:6" x14ac:dyDescent="0.25">
      <c r="D3403" s="1"/>
      <c r="F3403" s="1"/>
    </row>
    <row r="3404" spans="4:6" x14ac:dyDescent="0.25">
      <c r="D3404" s="1"/>
      <c r="F3404" s="1"/>
    </row>
    <row r="3405" spans="4:6" x14ac:dyDescent="0.25">
      <c r="D3405" s="1"/>
      <c r="F3405" s="1"/>
    </row>
    <row r="3406" spans="4:6" x14ac:dyDescent="0.25">
      <c r="D3406" s="1"/>
      <c r="F3406" s="1"/>
    </row>
    <row r="3407" spans="4:6" x14ac:dyDescent="0.25">
      <c r="D3407" s="1"/>
      <c r="F3407" s="1"/>
    </row>
    <row r="3408" spans="4:6" x14ac:dyDescent="0.25">
      <c r="D3408" s="1"/>
      <c r="F3408" s="1"/>
    </row>
    <row r="3409" spans="4:6" x14ac:dyDescent="0.25">
      <c r="D3409" s="1"/>
      <c r="F3409" s="1"/>
    </row>
    <row r="3410" spans="4:6" x14ac:dyDescent="0.25">
      <c r="D3410" s="1"/>
      <c r="F3410" s="1"/>
    </row>
    <row r="3411" spans="4:6" x14ac:dyDescent="0.25">
      <c r="D3411" s="1"/>
      <c r="F3411" s="1"/>
    </row>
    <row r="3412" spans="4:6" x14ac:dyDescent="0.25">
      <c r="D3412" s="1"/>
      <c r="F3412" s="1"/>
    </row>
    <row r="3413" spans="4:6" x14ac:dyDescent="0.25">
      <c r="D3413" s="1"/>
      <c r="F3413" s="1"/>
    </row>
    <row r="3414" spans="4:6" x14ac:dyDescent="0.25">
      <c r="D3414" s="1"/>
      <c r="F3414" s="1"/>
    </row>
    <row r="3415" spans="4:6" x14ac:dyDescent="0.25">
      <c r="D3415" s="1"/>
      <c r="F3415" s="1"/>
    </row>
    <row r="3416" spans="4:6" x14ac:dyDescent="0.25">
      <c r="D3416" s="1"/>
      <c r="F3416" s="1"/>
    </row>
    <row r="3417" spans="4:6" x14ac:dyDescent="0.25">
      <c r="D3417" s="1"/>
      <c r="F3417" s="1"/>
    </row>
    <row r="3418" spans="4:6" x14ac:dyDescent="0.25">
      <c r="D3418" s="1"/>
      <c r="F3418" s="1"/>
    </row>
    <row r="3419" spans="4:6" x14ac:dyDescent="0.25">
      <c r="D3419" s="1"/>
      <c r="F3419" s="1"/>
    </row>
    <row r="3420" spans="4:6" x14ac:dyDescent="0.25">
      <c r="D3420" s="1"/>
      <c r="F3420" s="1"/>
    </row>
    <row r="3421" spans="4:6" x14ac:dyDescent="0.25">
      <c r="D3421" s="1"/>
      <c r="F3421" s="1"/>
    </row>
    <row r="3422" spans="4:6" x14ac:dyDescent="0.25">
      <c r="D3422" s="1"/>
      <c r="F3422" s="1"/>
    </row>
    <row r="3423" spans="4:6" x14ac:dyDescent="0.25">
      <c r="D3423" s="1"/>
      <c r="F3423" s="1"/>
    </row>
    <row r="3424" spans="4:6" x14ac:dyDescent="0.25">
      <c r="D3424" s="1"/>
      <c r="F3424" s="1"/>
    </row>
    <row r="3425" spans="4:6" x14ac:dyDescent="0.25">
      <c r="D3425" s="1"/>
      <c r="F3425" s="1"/>
    </row>
    <row r="3426" spans="4:6" x14ac:dyDescent="0.25">
      <c r="D3426" s="1"/>
      <c r="F3426" s="1"/>
    </row>
    <row r="3427" spans="4:6" x14ac:dyDescent="0.25">
      <c r="D3427" s="1"/>
      <c r="F3427" s="1"/>
    </row>
    <row r="3428" spans="4:6" x14ac:dyDescent="0.25">
      <c r="D3428" s="1"/>
      <c r="F3428" s="1"/>
    </row>
    <row r="3429" spans="4:6" x14ac:dyDescent="0.25">
      <c r="D3429" s="1"/>
      <c r="F3429" s="1"/>
    </row>
    <row r="3430" spans="4:6" x14ac:dyDescent="0.25">
      <c r="D3430" s="1"/>
      <c r="F3430" s="1"/>
    </row>
    <row r="3431" spans="4:6" x14ac:dyDescent="0.25">
      <c r="D3431" s="1"/>
      <c r="F3431" s="1"/>
    </row>
    <row r="3432" spans="4:6" x14ac:dyDescent="0.25">
      <c r="D3432" s="1"/>
      <c r="F3432" s="1"/>
    </row>
    <row r="3433" spans="4:6" x14ac:dyDescent="0.25">
      <c r="D3433" s="1"/>
      <c r="F3433" s="1"/>
    </row>
    <row r="3434" spans="4:6" x14ac:dyDescent="0.25">
      <c r="D3434" s="1"/>
      <c r="F3434" s="1"/>
    </row>
    <row r="3435" spans="4:6" x14ac:dyDescent="0.25">
      <c r="D3435" s="1"/>
      <c r="F3435" s="1"/>
    </row>
    <row r="3436" spans="4:6" x14ac:dyDescent="0.25">
      <c r="D3436" s="1"/>
      <c r="F3436" s="1"/>
    </row>
    <row r="3437" spans="4:6" x14ac:dyDescent="0.25">
      <c r="D3437" s="1"/>
      <c r="F3437" s="1"/>
    </row>
    <row r="3438" spans="4:6" x14ac:dyDescent="0.25">
      <c r="D3438" s="1"/>
      <c r="F3438" s="1"/>
    </row>
    <row r="3439" spans="4:6" x14ac:dyDescent="0.25">
      <c r="D3439" s="1"/>
      <c r="F3439" s="1"/>
    </row>
    <row r="3440" spans="4:6" x14ac:dyDescent="0.25">
      <c r="D3440" s="1"/>
      <c r="F3440" s="1"/>
    </row>
    <row r="3441" spans="4:6" x14ac:dyDescent="0.25">
      <c r="D3441" s="1"/>
      <c r="F3441" s="1"/>
    </row>
    <row r="3442" spans="4:6" x14ac:dyDescent="0.25">
      <c r="D3442" s="1"/>
      <c r="F3442" s="1"/>
    </row>
    <row r="3443" spans="4:6" x14ac:dyDescent="0.25">
      <c r="D3443" s="1"/>
      <c r="F3443" s="1"/>
    </row>
    <row r="3444" spans="4:6" x14ac:dyDescent="0.25">
      <c r="D3444" s="1"/>
      <c r="F3444" s="1"/>
    </row>
    <row r="3445" spans="4:6" x14ac:dyDescent="0.25">
      <c r="D3445" s="1"/>
      <c r="F3445" s="1"/>
    </row>
    <row r="3446" spans="4:6" x14ac:dyDescent="0.25">
      <c r="D3446" s="1"/>
      <c r="F3446" s="1"/>
    </row>
    <row r="3447" spans="4:6" x14ac:dyDescent="0.25">
      <c r="D3447" s="1"/>
      <c r="F3447" s="1"/>
    </row>
    <row r="3448" spans="4:6" x14ac:dyDescent="0.25">
      <c r="D3448" s="1"/>
      <c r="F3448" s="1"/>
    </row>
    <row r="3449" spans="4:6" x14ac:dyDescent="0.25">
      <c r="D3449" s="1"/>
      <c r="F3449" s="1"/>
    </row>
    <row r="3450" spans="4:6" x14ac:dyDescent="0.25">
      <c r="D3450" s="1"/>
      <c r="F3450" s="1"/>
    </row>
    <row r="3451" spans="4:6" x14ac:dyDescent="0.25">
      <c r="D3451" s="1"/>
      <c r="F3451" s="1"/>
    </row>
    <row r="3452" spans="4:6" x14ac:dyDescent="0.25">
      <c r="D3452" s="1"/>
      <c r="F3452" s="1"/>
    </row>
    <row r="3453" spans="4:6" x14ac:dyDescent="0.25">
      <c r="D3453" s="1"/>
      <c r="F3453" s="1"/>
    </row>
    <row r="3454" spans="4:6" x14ac:dyDescent="0.25">
      <c r="D3454" s="1"/>
      <c r="F3454" s="1"/>
    </row>
    <row r="3455" spans="4:6" x14ac:dyDescent="0.25">
      <c r="D3455" s="1"/>
      <c r="F3455" s="1"/>
    </row>
    <row r="3456" spans="4:6" x14ac:dyDescent="0.25">
      <c r="D3456" s="1"/>
      <c r="F3456" s="1"/>
    </row>
    <row r="3457" spans="4:6" x14ac:dyDescent="0.25">
      <c r="D3457" s="1"/>
      <c r="F3457" s="1"/>
    </row>
    <row r="3458" spans="4:6" x14ac:dyDescent="0.25">
      <c r="D3458" s="1"/>
      <c r="F3458" s="1"/>
    </row>
    <row r="3459" spans="4:6" x14ac:dyDescent="0.25">
      <c r="D3459" s="1"/>
      <c r="F3459" s="1"/>
    </row>
    <row r="3460" spans="4:6" x14ac:dyDescent="0.25">
      <c r="D3460" s="1"/>
      <c r="F3460" s="1"/>
    </row>
    <row r="3461" spans="4:6" x14ac:dyDescent="0.25">
      <c r="D3461" s="1"/>
      <c r="F3461" s="1"/>
    </row>
    <row r="3462" spans="4:6" x14ac:dyDescent="0.25">
      <c r="D3462" s="1"/>
      <c r="F3462" s="1"/>
    </row>
    <row r="3463" spans="4:6" x14ac:dyDescent="0.25">
      <c r="D3463" s="1"/>
      <c r="F3463" s="1"/>
    </row>
    <row r="3464" spans="4:6" x14ac:dyDescent="0.25">
      <c r="D3464" s="1"/>
      <c r="F3464" s="1"/>
    </row>
    <row r="3465" spans="4:6" x14ac:dyDescent="0.25">
      <c r="D3465" s="1"/>
      <c r="F3465" s="1"/>
    </row>
    <row r="3466" spans="4:6" x14ac:dyDescent="0.25">
      <c r="D3466" s="1"/>
      <c r="F3466" s="1"/>
    </row>
    <row r="3467" spans="4:6" x14ac:dyDescent="0.25">
      <c r="D3467" s="1"/>
      <c r="F3467" s="1"/>
    </row>
    <row r="3468" spans="4:6" x14ac:dyDescent="0.25">
      <c r="D3468" s="1"/>
      <c r="F3468" s="1"/>
    </row>
    <row r="3469" spans="4:6" x14ac:dyDescent="0.25">
      <c r="D3469" s="1"/>
      <c r="F3469" s="1"/>
    </row>
    <row r="3470" spans="4:6" x14ac:dyDescent="0.25">
      <c r="D3470" s="1"/>
      <c r="F3470" s="1"/>
    </row>
    <row r="3471" spans="4:6" x14ac:dyDescent="0.25">
      <c r="D3471" s="1"/>
      <c r="F3471" s="1"/>
    </row>
    <row r="3472" spans="4:6" x14ac:dyDescent="0.25">
      <c r="D3472" s="1"/>
      <c r="F3472" s="1"/>
    </row>
    <row r="3473" spans="4:6" x14ac:dyDescent="0.25">
      <c r="D3473" s="1"/>
      <c r="F3473" s="1"/>
    </row>
    <row r="3474" spans="4:6" x14ac:dyDescent="0.25">
      <c r="D3474" s="1"/>
      <c r="F3474" s="1"/>
    </row>
    <row r="3475" spans="4:6" x14ac:dyDescent="0.25">
      <c r="D3475" s="1"/>
      <c r="F3475" s="1"/>
    </row>
    <row r="3476" spans="4:6" x14ac:dyDescent="0.25">
      <c r="D3476" s="1"/>
      <c r="F3476" s="1"/>
    </row>
    <row r="3477" spans="4:6" x14ac:dyDescent="0.25">
      <c r="D3477" s="1"/>
      <c r="F3477" s="1"/>
    </row>
    <row r="3478" spans="4:6" x14ac:dyDescent="0.25">
      <c r="D3478" s="1"/>
      <c r="F3478" s="1"/>
    </row>
    <row r="3479" spans="4:6" x14ac:dyDescent="0.25">
      <c r="D3479" s="1"/>
      <c r="F3479" s="1"/>
    </row>
    <row r="3480" spans="4:6" x14ac:dyDescent="0.25">
      <c r="D3480" s="1"/>
      <c r="F3480" s="1"/>
    </row>
    <row r="3481" spans="4:6" x14ac:dyDescent="0.25">
      <c r="D3481" s="1"/>
      <c r="F3481" s="1"/>
    </row>
    <row r="3482" spans="4:6" x14ac:dyDescent="0.25">
      <c r="D3482" s="1"/>
      <c r="F3482" s="1"/>
    </row>
    <row r="3483" spans="4:6" x14ac:dyDescent="0.25">
      <c r="D3483" s="1"/>
      <c r="F3483" s="1"/>
    </row>
    <row r="3484" spans="4:6" x14ac:dyDescent="0.25">
      <c r="D3484" s="1"/>
      <c r="F3484" s="1"/>
    </row>
    <row r="3485" spans="4:6" x14ac:dyDescent="0.25">
      <c r="D3485" s="1"/>
      <c r="F3485" s="1"/>
    </row>
    <row r="3486" spans="4:6" x14ac:dyDescent="0.25">
      <c r="D3486" s="1"/>
      <c r="F3486" s="1"/>
    </row>
    <row r="3487" spans="4:6" x14ac:dyDescent="0.25">
      <c r="D3487" s="1"/>
      <c r="F3487" s="1"/>
    </row>
    <row r="3488" spans="4:6" x14ac:dyDescent="0.25">
      <c r="D3488" s="1"/>
      <c r="F3488" s="1"/>
    </row>
    <row r="3489" spans="4:6" x14ac:dyDescent="0.25">
      <c r="D3489" s="1"/>
      <c r="F3489" s="1"/>
    </row>
    <row r="3490" spans="4:6" x14ac:dyDescent="0.25">
      <c r="D3490" s="1"/>
      <c r="F3490" s="1"/>
    </row>
    <row r="3491" spans="4:6" x14ac:dyDescent="0.25">
      <c r="D3491" s="1"/>
      <c r="F3491" s="1"/>
    </row>
    <row r="3492" spans="4:6" x14ac:dyDescent="0.25">
      <c r="D3492" s="1"/>
      <c r="F3492" s="1"/>
    </row>
    <row r="3493" spans="4:6" x14ac:dyDescent="0.25">
      <c r="D3493" s="1"/>
      <c r="F3493" s="1"/>
    </row>
    <row r="3494" spans="4:6" x14ac:dyDescent="0.25">
      <c r="D3494" s="1"/>
      <c r="F3494" s="1"/>
    </row>
    <row r="3495" spans="4:6" x14ac:dyDescent="0.25">
      <c r="D3495" s="1"/>
      <c r="F3495" s="1"/>
    </row>
    <row r="3496" spans="4:6" x14ac:dyDescent="0.25">
      <c r="D3496" s="1"/>
      <c r="F3496" s="1"/>
    </row>
    <row r="3497" spans="4:6" x14ac:dyDescent="0.25">
      <c r="D3497" s="1"/>
      <c r="F3497" s="1"/>
    </row>
    <row r="3498" spans="4:6" x14ac:dyDescent="0.25">
      <c r="D3498" s="1"/>
      <c r="F3498" s="1"/>
    </row>
    <row r="3499" spans="4:6" x14ac:dyDescent="0.25">
      <c r="D3499" s="1"/>
      <c r="F3499" s="1"/>
    </row>
    <row r="3500" spans="4:6" x14ac:dyDescent="0.25">
      <c r="D3500" s="1"/>
      <c r="F3500" s="1"/>
    </row>
    <row r="3501" spans="4:6" x14ac:dyDescent="0.25">
      <c r="D3501" s="1"/>
      <c r="F3501" s="1"/>
    </row>
    <row r="3502" spans="4:6" x14ac:dyDescent="0.25">
      <c r="D3502" s="1"/>
      <c r="F3502" s="1"/>
    </row>
    <row r="3503" spans="4:6" x14ac:dyDescent="0.25">
      <c r="D3503" s="1"/>
      <c r="F3503" s="1"/>
    </row>
    <row r="3504" spans="4:6" x14ac:dyDescent="0.25">
      <c r="D3504" s="1"/>
      <c r="F3504" s="1"/>
    </row>
    <row r="3505" spans="4:6" x14ac:dyDescent="0.25">
      <c r="D3505" s="1"/>
      <c r="F3505" s="1"/>
    </row>
    <row r="3506" spans="4:6" x14ac:dyDescent="0.25">
      <c r="D3506" s="1"/>
      <c r="F3506" s="1"/>
    </row>
    <row r="3507" spans="4:6" x14ac:dyDescent="0.25">
      <c r="D3507" s="1"/>
      <c r="F3507" s="1"/>
    </row>
    <row r="3508" spans="4:6" x14ac:dyDescent="0.25">
      <c r="D3508" s="1"/>
      <c r="F3508" s="1"/>
    </row>
    <row r="3509" spans="4:6" x14ac:dyDescent="0.25">
      <c r="D3509" s="1"/>
      <c r="F3509" s="1"/>
    </row>
    <row r="3510" spans="4:6" x14ac:dyDescent="0.25">
      <c r="D3510" s="1"/>
      <c r="F3510" s="1"/>
    </row>
    <row r="3511" spans="4:6" x14ac:dyDescent="0.25">
      <c r="D3511" s="1"/>
      <c r="F3511" s="1"/>
    </row>
    <row r="3512" spans="4:6" x14ac:dyDescent="0.25">
      <c r="D3512" s="1"/>
      <c r="F3512" s="1"/>
    </row>
    <row r="3513" spans="4:6" x14ac:dyDescent="0.25">
      <c r="D3513" s="1"/>
      <c r="F3513" s="1"/>
    </row>
    <row r="3514" spans="4:6" x14ac:dyDescent="0.25">
      <c r="D3514" s="1"/>
      <c r="F3514" s="1"/>
    </row>
    <row r="3515" spans="4:6" x14ac:dyDescent="0.25">
      <c r="D3515" s="1"/>
      <c r="F3515" s="1"/>
    </row>
    <row r="3516" spans="4:6" x14ac:dyDescent="0.25">
      <c r="D3516" s="1"/>
      <c r="F3516" s="1"/>
    </row>
    <row r="3517" spans="4:6" x14ac:dyDescent="0.25">
      <c r="D3517" s="1"/>
      <c r="F3517" s="1"/>
    </row>
    <row r="3518" spans="4:6" x14ac:dyDescent="0.25">
      <c r="D3518" s="1"/>
      <c r="F3518" s="1"/>
    </row>
    <row r="3519" spans="4:6" x14ac:dyDescent="0.25">
      <c r="D3519" s="1"/>
      <c r="F3519" s="1"/>
    </row>
    <row r="3520" spans="4:6" x14ac:dyDescent="0.25">
      <c r="D3520" s="1"/>
      <c r="F3520" s="1"/>
    </row>
    <row r="3521" spans="4:6" x14ac:dyDescent="0.25">
      <c r="D3521" s="1"/>
      <c r="F3521" s="1"/>
    </row>
    <row r="3522" spans="4:6" x14ac:dyDescent="0.25">
      <c r="D3522" s="1"/>
      <c r="F3522" s="1"/>
    </row>
    <row r="3523" spans="4:6" x14ac:dyDescent="0.25">
      <c r="D3523" s="1"/>
      <c r="F3523" s="1"/>
    </row>
    <row r="3524" spans="4:6" x14ac:dyDescent="0.25">
      <c r="D3524" s="1"/>
      <c r="F3524" s="1"/>
    </row>
    <row r="3525" spans="4:6" x14ac:dyDescent="0.25">
      <c r="D3525" s="1"/>
      <c r="F3525" s="1"/>
    </row>
    <row r="3526" spans="4:6" x14ac:dyDescent="0.25">
      <c r="D3526" s="1"/>
      <c r="F3526" s="1"/>
    </row>
    <row r="3527" spans="4:6" x14ac:dyDescent="0.25">
      <c r="D3527" s="1"/>
      <c r="F3527" s="1"/>
    </row>
    <row r="3528" spans="4:6" x14ac:dyDescent="0.25">
      <c r="D3528" s="1"/>
      <c r="F3528" s="1"/>
    </row>
    <row r="3529" spans="4:6" x14ac:dyDescent="0.25">
      <c r="D3529" s="1"/>
      <c r="F3529" s="1"/>
    </row>
    <row r="3530" spans="4:6" x14ac:dyDescent="0.25">
      <c r="D3530" s="1"/>
      <c r="F3530" s="1"/>
    </row>
    <row r="3531" spans="4:6" x14ac:dyDescent="0.25">
      <c r="D3531" s="1"/>
      <c r="F3531" s="1"/>
    </row>
    <row r="3532" spans="4:6" x14ac:dyDescent="0.25">
      <c r="D3532" s="1"/>
      <c r="F3532" s="1"/>
    </row>
    <row r="3533" spans="4:6" x14ac:dyDescent="0.25">
      <c r="D3533" s="1"/>
      <c r="F3533" s="1"/>
    </row>
    <row r="3534" spans="4:6" x14ac:dyDescent="0.25">
      <c r="D3534" s="1"/>
      <c r="F3534" s="1"/>
    </row>
    <row r="3535" spans="4:6" x14ac:dyDescent="0.25">
      <c r="D3535" s="1"/>
      <c r="F3535" s="1"/>
    </row>
    <row r="3536" spans="4:6" x14ac:dyDescent="0.25">
      <c r="D3536" s="1"/>
      <c r="F3536" s="1"/>
    </row>
    <row r="3537" spans="4:6" x14ac:dyDescent="0.25">
      <c r="D3537" s="1"/>
      <c r="F3537" s="1"/>
    </row>
    <row r="3538" spans="4:6" x14ac:dyDescent="0.25">
      <c r="D3538" s="1"/>
      <c r="F3538" s="1"/>
    </row>
    <row r="3539" spans="4:6" x14ac:dyDescent="0.25">
      <c r="D3539" s="1"/>
      <c r="F3539" s="1"/>
    </row>
    <row r="3540" spans="4:6" x14ac:dyDescent="0.25">
      <c r="D3540" s="1"/>
      <c r="F3540" s="1"/>
    </row>
    <row r="3541" spans="4:6" x14ac:dyDescent="0.25">
      <c r="D3541" s="1"/>
      <c r="F3541" s="1"/>
    </row>
    <row r="3542" spans="4:6" x14ac:dyDescent="0.25">
      <c r="D3542" s="1"/>
      <c r="F3542" s="1"/>
    </row>
    <row r="3543" spans="4:6" x14ac:dyDescent="0.25">
      <c r="D3543" s="1"/>
      <c r="F3543" s="1"/>
    </row>
    <row r="3544" spans="4:6" x14ac:dyDescent="0.25">
      <c r="D3544" s="1"/>
      <c r="F3544" s="1"/>
    </row>
    <row r="3545" spans="4:6" x14ac:dyDescent="0.25">
      <c r="D3545" s="1"/>
      <c r="F3545" s="1"/>
    </row>
    <row r="3546" spans="4:6" x14ac:dyDescent="0.25">
      <c r="D3546" s="1"/>
      <c r="F3546" s="1"/>
    </row>
    <row r="3547" spans="4:6" x14ac:dyDescent="0.25">
      <c r="D3547" s="1"/>
      <c r="F3547" s="1"/>
    </row>
    <row r="3548" spans="4:6" x14ac:dyDescent="0.25">
      <c r="D3548" s="1"/>
      <c r="F3548" s="1"/>
    </row>
    <row r="3549" spans="4:6" x14ac:dyDescent="0.25">
      <c r="D3549" s="1"/>
      <c r="F3549" s="1"/>
    </row>
    <row r="3550" spans="4:6" x14ac:dyDescent="0.25">
      <c r="D3550" s="1"/>
      <c r="F3550" s="1"/>
    </row>
    <row r="3551" spans="4:6" x14ac:dyDescent="0.25">
      <c r="D3551" s="1"/>
      <c r="F3551" s="1"/>
    </row>
    <row r="3552" spans="4:6" x14ac:dyDescent="0.25">
      <c r="D3552" s="1"/>
      <c r="F3552" s="1"/>
    </row>
    <row r="3553" spans="4:6" x14ac:dyDescent="0.25">
      <c r="D3553" s="1"/>
      <c r="F3553" s="1"/>
    </row>
    <row r="3554" spans="4:6" x14ac:dyDescent="0.25">
      <c r="D3554" s="1"/>
      <c r="F3554" s="1"/>
    </row>
    <row r="3555" spans="4:6" x14ac:dyDescent="0.25">
      <c r="D3555" s="1"/>
      <c r="F3555" s="1"/>
    </row>
    <row r="3556" spans="4:6" x14ac:dyDescent="0.25">
      <c r="D3556" s="1"/>
      <c r="F3556" s="1"/>
    </row>
    <row r="3557" spans="4:6" x14ac:dyDescent="0.25">
      <c r="D3557" s="1"/>
      <c r="F3557" s="1"/>
    </row>
    <row r="3558" spans="4:6" x14ac:dyDescent="0.25">
      <c r="D3558" s="1"/>
      <c r="F3558" s="1"/>
    </row>
    <row r="3559" spans="4:6" x14ac:dyDescent="0.25">
      <c r="D3559" s="1"/>
      <c r="F3559" s="1"/>
    </row>
    <row r="3560" spans="4:6" x14ac:dyDescent="0.25">
      <c r="D3560" s="1"/>
      <c r="F3560" s="1"/>
    </row>
    <row r="3561" spans="4:6" x14ac:dyDescent="0.25">
      <c r="D3561" s="1"/>
      <c r="F3561" s="1"/>
    </row>
    <row r="3562" spans="4:6" x14ac:dyDescent="0.25">
      <c r="D3562" s="1"/>
      <c r="F3562" s="1"/>
    </row>
    <row r="3563" spans="4:6" x14ac:dyDescent="0.25">
      <c r="D3563" s="1"/>
      <c r="F3563" s="1"/>
    </row>
    <row r="3564" spans="4:6" x14ac:dyDescent="0.25">
      <c r="D3564" s="1"/>
      <c r="F3564" s="1"/>
    </row>
    <row r="3565" spans="4:6" x14ac:dyDescent="0.25">
      <c r="D3565" s="1"/>
      <c r="F3565" s="1"/>
    </row>
    <row r="3566" spans="4:6" x14ac:dyDescent="0.25">
      <c r="D3566" s="1"/>
      <c r="F3566" s="1"/>
    </row>
    <row r="3567" spans="4:6" x14ac:dyDescent="0.25">
      <c r="D3567" s="1"/>
      <c r="F3567" s="1"/>
    </row>
    <row r="3568" spans="4:6" x14ac:dyDescent="0.25">
      <c r="D3568" s="1"/>
      <c r="F3568" s="1"/>
    </row>
    <row r="3569" spans="4:6" x14ac:dyDescent="0.25">
      <c r="D3569" s="1"/>
      <c r="F3569" s="1"/>
    </row>
    <row r="3570" spans="4:6" x14ac:dyDescent="0.25">
      <c r="D3570" s="1"/>
      <c r="F3570" s="1"/>
    </row>
    <row r="3571" spans="4:6" x14ac:dyDescent="0.25">
      <c r="D3571" s="1"/>
      <c r="F3571" s="1"/>
    </row>
    <row r="3572" spans="4:6" x14ac:dyDescent="0.25">
      <c r="D3572" s="1"/>
      <c r="F3572" s="1"/>
    </row>
    <row r="3573" spans="4:6" x14ac:dyDescent="0.25">
      <c r="D3573" s="1"/>
      <c r="F3573" s="1"/>
    </row>
    <row r="3574" spans="4:6" x14ac:dyDescent="0.25">
      <c r="D3574" s="1"/>
      <c r="F3574" s="1"/>
    </row>
    <row r="3575" spans="4:6" x14ac:dyDescent="0.25">
      <c r="D3575" s="1"/>
      <c r="F3575" s="1"/>
    </row>
    <row r="3576" spans="4:6" x14ac:dyDescent="0.25">
      <c r="D3576" s="1"/>
      <c r="F3576" s="1"/>
    </row>
    <row r="3577" spans="4:6" x14ac:dyDescent="0.25">
      <c r="D3577" s="1"/>
      <c r="F3577" s="1"/>
    </row>
    <row r="3578" spans="4:6" x14ac:dyDescent="0.25">
      <c r="D3578" s="1"/>
      <c r="F3578" s="1"/>
    </row>
    <row r="3579" spans="4:6" x14ac:dyDescent="0.25">
      <c r="D3579" s="1"/>
      <c r="F3579" s="1"/>
    </row>
    <row r="3580" spans="4:6" x14ac:dyDescent="0.25">
      <c r="D3580" s="1"/>
      <c r="F3580" s="1"/>
    </row>
    <row r="3581" spans="4:6" x14ac:dyDescent="0.25">
      <c r="D3581" s="1"/>
      <c r="F3581" s="1"/>
    </row>
    <row r="3582" spans="4:6" x14ac:dyDescent="0.25">
      <c r="D3582" s="1"/>
      <c r="F3582" s="1"/>
    </row>
    <row r="3583" spans="4:6" x14ac:dyDescent="0.25">
      <c r="D3583" s="1"/>
      <c r="F3583" s="1"/>
    </row>
    <row r="3584" spans="4:6" x14ac:dyDescent="0.25">
      <c r="D3584" s="1"/>
      <c r="F3584" s="1"/>
    </row>
    <row r="3585" spans="4:6" x14ac:dyDescent="0.25">
      <c r="D3585" s="1"/>
      <c r="F3585" s="1"/>
    </row>
    <row r="3586" spans="4:6" x14ac:dyDescent="0.25">
      <c r="D3586" s="1"/>
      <c r="F3586" s="1"/>
    </row>
    <row r="3587" spans="4:6" x14ac:dyDescent="0.25">
      <c r="D3587" s="1"/>
      <c r="F3587" s="1"/>
    </row>
    <row r="3588" spans="4:6" x14ac:dyDescent="0.25">
      <c r="D3588" s="1"/>
      <c r="F3588" s="1"/>
    </row>
    <row r="3589" spans="4:6" x14ac:dyDescent="0.25">
      <c r="D3589" s="1"/>
      <c r="F3589" s="1"/>
    </row>
    <row r="3590" spans="4:6" x14ac:dyDescent="0.25">
      <c r="D3590" s="1"/>
      <c r="F3590" s="1"/>
    </row>
    <row r="3591" spans="4:6" x14ac:dyDescent="0.25">
      <c r="D3591" s="1"/>
      <c r="F3591" s="1"/>
    </row>
    <row r="3592" spans="4:6" x14ac:dyDescent="0.25">
      <c r="D3592" s="1"/>
      <c r="F3592" s="1"/>
    </row>
    <row r="3593" spans="4:6" x14ac:dyDescent="0.25">
      <c r="D3593" s="1"/>
      <c r="F3593" s="1"/>
    </row>
    <row r="3594" spans="4:6" x14ac:dyDescent="0.25">
      <c r="D3594" s="1"/>
      <c r="F3594" s="1"/>
    </row>
    <row r="3595" spans="4:6" x14ac:dyDescent="0.25">
      <c r="D3595" s="1"/>
      <c r="F3595" s="1"/>
    </row>
    <row r="3596" spans="4:6" x14ac:dyDescent="0.25">
      <c r="D3596" s="1"/>
      <c r="F3596" s="1"/>
    </row>
    <row r="3597" spans="4:6" x14ac:dyDescent="0.25">
      <c r="D3597" s="1"/>
      <c r="F3597" s="1"/>
    </row>
    <row r="3598" spans="4:6" x14ac:dyDescent="0.25">
      <c r="D3598" s="1"/>
      <c r="F3598" s="1"/>
    </row>
    <row r="3599" spans="4:6" x14ac:dyDescent="0.25">
      <c r="D3599" s="1"/>
      <c r="F3599" s="1"/>
    </row>
    <row r="3600" spans="4:6" x14ac:dyDescent="0.25">
      <c r="D3600" s="1"/>
      <c r="F3600" s="1"/>
    </row>
    <row r="3601" spans="4:6" x14ac:dyDescent="0.25">
      <c r="D3601" s="1"/>
      <c r="F3601" s="1"/>
    </row>
    <row r="3602" spans="4:6" x14ac:dyDescent="0.25">
      <c r="D3602" s="1"/>
      <c r="F3602" s="1"/>
    </row>
    <row r="3603" spans="4:6" x14ac:dyDescent="0.25">
      <c r="D3603" s="1"/>
      <c r="F3603" s="1"/>
    </row>
    <row r="3604" spans="4:6" x14ac:dyDescent="0.25">
      <c r="D3604" s="1"/>
      <c r="F3604" s="1"/>
    </row>
    <row r="3605" spans="4:6" x14ac:dyDescent="0.25">
      <c r="D3605" s="1"/>
      <c r="F3605" s="1"/>
    </row>
    <row r="3606" spans="4:6" x14ac:dyDescent="0.25">
      <c r="D3606" s="1"/>
      <c r="F3606" s="1"/>
    </row>
    <row r="3607" spans="4:6" x14ac:dyDescent="0.25">
      <c r="D3607" s="1"/>
      <c r="F3607" s="1"/>
    </row>
    <row r="3608" spans="4:6" x14ac:dyDescent="0.25">
      <c r="D3608" s="1"/>
      <c r="F3608" s="1"/>
    </row>
    <row r="3609" spans="4:6" x14ac:dyDescent="0.25">
      <c r="D3609" s="1"/>
      <c r="F3609" s="1"/>
    </row>
    <row r="3610" spans="4:6" x14ac:dyDescent="0.25">
      <c r="D3610" s="1"/>
      <c r="F3610" s="1"/>
    </row>
    <row r="3611" spans="4:6" x14ac:dyDescent="0.25">
      <c r="D3611" s="1"/>
      <c r="F3611" s="1"/>
    </row>
    <row r="3612" spans="4:6" x14ac:dyDescent="0.25">
      <c r="D3612" s="1"/>
      <c r="F3612" s="1"/>
    </row>
    <row r="3613" spans="4:6" x14ac:dyDescent="0.25">
      <c r="D3613" s="1"/>
      <c r="F3613" s="1"/>
    </row>
    <row r="3614" spans="4:6" x14ac:dyDescent="0.25">
      <c r="D3614" s="1"/>
      <c r="F3614" s="1"/>
    </row>
    <row r="3615" spans="4:6" x14ac:dyDescent="0.25">
      <c r="D3615" s="1"/>
      <c r="F3615" s="1"/>
    </row>
    <row r="3616" spans="4:6" x14ac:dyDescent="0.25">
      <c r="D3616" s="1"/>
      <c r="F3616" s="1"/>
    </row>
    <row r="3617" spans="4:6" x14ac:dyDescent="0.25">
      <c r="D3617" s="1"/>
      <c r="F3617" s="1"/>
    </row>
    <row r="3618" spans="4:6" x14ac:dyDescent="0.25">
      <c r="D3618" s="1"/>
      <c r="F3618" s="1"/>
    </row>
    <row r="3619" spans="4:6" x14ac:dyDescent="0.25">
      <c r="D3619" s="1"/>
      <c r="F3619" s="1"/>
    </row>
    <row r="3620" spans="4:6" x14ac:dyDescent="0.25">
      <c r="D3620" s="1"/>
      <c r="F3620" s="1"/>
    </row>
    <row r="3621" spans="4:6" x14ac:dyDescent="0.25">
      <c r="D3621" s="1"/>
      <c r="F3621" s="1"/>
    </row>
    <row r="3622" spans="4:6" x14ac:dyDescent="0.25">
      <c r="D3622" s="1"/>
      <c r="F3622" s="1"/>
    </row>
    <row r="3623" spans="4:6" x14ac:dyDescent="0.25">
      <c r="D3623" s="1"/>
      <c r="F3623" s="1"/>
    </row>
    <row r="3624" spans="4:6" x14ac:dyDescent="0.25">
      <c r="D3624" s="1"/>
      <c r="F3624" s="1"/>
    </row>
    <row r="3625" spans="4:6" x14ac:dyDescent="0.25">
      <c r="D3625" s="1"/>
      <c r="F3625" s="1"/>
    </row>
    <row r="3626" spans="4:6" x14ac:dyDescent="0.25">
      <c r="D3626" s="1"/>
      <c r="F3626" s="1"/>
    </row>
    <row r="3627" spans="4:6" x14ac:dyDescent="0.25">
      <c r="D3627" s="1"/>
      <c r="F3627" s="1"/>
    </row>
    <row r="3628" spans="4:6" x14ac:dyDescent="0.25">
      <c r="D3628" s="1"/>
      <c r="F3628" s="1"/>
    </row>
    <row r="3629" spans="4:6" x14ac:dyDescent="0.25">
      <c r="D3629" s="1"/>
      <c r="F3629" s="1"/>
    </row>
    <row r="3630" spans="4:6" x14ac:dyDescent="0.25">
      <c r="D3630" s="1"/>
      <c r="F3630" s="1"/>
    </row>
    <row r="3631" spans="4:6" x14ac:dyDescent="0.25">
      <c r="D3631" s="1"/>
      <c r="F3631" s="1"/>
    </row>
    <row r="3632" spans="4:6" x14ac:dyDescent="0.25">
      <c r="D3632" s="1"/>
      <c r="F3632" s="1"/>
    </row>
    <row r="3633" spans="4:6" x14ac:dyDescent="0.25">
      <c r="D3633" s="1"/>
      <c r="F3633" s="1"/>
    </row>
    <row r="3634" spans="4:6" x14ac:dyDescent="0.25">
      <c r="D3634" s="1"/>
      <c r="F3634" s="1"/>
    </row>
    <row r="3635" spans="4:6" x14ac:dyDescent="0.25">
      <c r="D3635" s="1"/>
      <c r="F3635" s="1"/>
    </row>
    <row r="3636" spans="4:6" x14ac:dyDescent="0.25">
      <c r="D3636" s="1"/>
      <c r="F3636" s="1"/>
    </row>
    <row r="3637" spans="4:6" x14ac:dyDescent="0.25">
      <c r="D3637" s="1"/>
      <c r="F3637" s="1"/>
    </row>
    <row r="3638" spans="4:6" x14ac:dyDescent="0.25">
      <c r="D3638" s="1"/>
      <c r="F3638" s="1"/>
    </row>
    <row r="3639" spans="4:6" x14ac:dyDescent="0.25">
      <c r="D3639" s="1"/>
      <c r="F3639" s="1"/>
    </row>
    <row r="3640" spans="4:6" x14ac:dyDescent="0.25">
      <c r="D3640" s="1"/>
      <c r="F3640" s="1"/>
    </row>
    <row r="3641" spans="4:6" x14ac:dyDescent="0.25">
      <c r="D3641" s="1"/>
      <c r="F3641" s="1"/>
    </row>
    <row r="3642" spans="4:6" x14ac:dyDescent="0.25">
      <c r="D3642" s="1"/>
      <c r="F3642" s="1"/>
    </row>
    <row r="3643" spans="4:6" x14ac:dyDescent="0.25">
      <c r="D3643" s="1"/>
      <c r="F3643" s="1"/>
    </row>
    <row r="3644" spans="4:6" x14ac:dyDescent="0.25">
      <c r="D3644" s="1"/>
      <c r="F3644" s="1"/>
    </row>
    <row r="3645" spans="4:6" x14ac:dyDescent="0.25">
      <c r="D3645" s="1"/>
      <c r="F3645" s="1"/>
    </row>
    <row r="3646" spans="4:6" x14ac:dyDescent="0.25">
      <c r="D3646" s="1"/>
      <c r="F3646" s="1"/>
    </row>
    <row r="3647" spans="4:6" x14ac:dyDescent="0.25">
      <c r="D3647" s="1"/>
      <c r="F3647" s="1"/>
    </row>
    <row r="3648" spans="4:6" x14ac:dyDescent="0.25">
      <c r="D3648" s="1"/>
      <c r="F3648" s="1"/>
    </row>
    <row r="3649" spans="4:6" x14ac:dyDescent="0.25">
      <c r="D3649" s="1"/>
      <c r="F3649" s="1"/>
    </row>
    <row r="3650" spans="4:6" x14ac:dyDescent="0.25">
      <c r="D3650" s="1"/>
      <c r="F3650" s="1"/>
    </row>
    <row r="3651" spans="4:6" x14ac:dyDescent="0.25">
      <c r="D3651" s="1"/>
      <c r="F3651" s="1"/>
    </row>
    <row r="3652" spans="4:6" x14ac:dyDescent="0.25">
      <c r="D3652" s="1"/>
      <c r="F3652" s="1"/>
    </row>
    <row r="3653" spans="4:6" x14ac:dyDescent="0.25">
      <c r="D3653" s="1"/>
      <c r="F3653" s="1"/>
    </row>
    <row r="3654" spans="4:6" x14ac:dyDescent="0.25">
      <c r="D3654" s="1"/>
      <c r="F3654" s="1"/>
    </row>
    <row r="3655" spans="4:6" x14ac:dyDescent="0.25">
      <c r="D3655" s="1"/>
      <c r="F3655" s="1"/>
    </row>
    <row r="3656" spans="4:6" x14ac:dyDescent="0.25">
      <c r="D3656" s="1"/>
      <c r="F3656" s="1"/>
    </row>
    <row r="3657" spans="4:6" x14ac:dyDescent="0.25">
      <c r="D3657" s="1"/>
      <c r="F3657" s="1"/>
    </row>
    <row r="3658" spans="4:6" x14ac:dyDescent="0.25">
      <c r="D3658" s="1"/>
      <c r="F3658" s="1"/>
    </row>
    <row r="3659" spans="4:6" x14ac:dyDescent="0.25">
      <c r="D3659" s="1"/>
      <c r="F3659" s="1"/>
    </row>
    <row r="3660" spans="4:6" x14ac:dyDescent="0.25">
      <c r="D3660" s="1"/>
      <c r="F3660" s="1"/>
    </row>
    <row r="3661" spans="4:6" x14ac:dyDescent="0.25">
      <c r="D3661" s="1"/>
      <c r="F3661" s="1"/>
    </row>
    <row r="3662" spans="4:6" x14ac:dyDescent="0.25">
      <c r="D3662" s="1"/>
      <c r="F3662" s="1"/>
    </row>
    <row r="3663" spans="4:6" x14ac:dyDescent="0.25">
      <c r="D3663" s="1"/>
      <c r="F3663" s="1"/>
    </row>
    <row r="3664" spans="4:6" x14ac:dyDescent="0.25">
      <c r="D3664" s="1"/>
      <c r="F3664" s="1"/>
    </row>
    <row r="3665" spans="4:6" x14ac:dyDescent="0.25">
      <c r="D3665" s="1"/>
      <c r="F3665" s="1"/>
    </row>
    <row r="3666" spans="4:6" x14ac:dyDescent="0.25">
      <c r="D3666" s="1"/>
      <c r="F3666" s="1"/>
    </row>
    <row r="3667" spans="4:6" x14ac:dyDescent="0.25">
      <c r="D3667" s="1"/>
      <c r="F3667" s="1"/>
    </row>
    <row r="3668" spans="4:6" x14ac:dyDescent="0.25">
      <c r="D3668" s="1"/>
      <c r="F3668" s="1"/>
    </row>
    <row r="3669" spans="4:6" x14ac:dyDescent="0.25">
      <c r="D3669" s="1"/>
      <c r="F3669" s="1"/>
    </row>
    <row r="3670" spans="4:6" x14ac:dyDescent="0.25">
      <c r="D3670" s="1"/>
      <c r="F3670" s="1"/>
    </row>
    <row r="3671" spans="4:6" x14ac:dyDescent="0.25">
      <c r="D3671" s="1"/>
      <c r="F3671" s="1"/>
    </row>
    <row r="3672" spans="4:6" x14ac:dyDescent="0.25">
      <c r="D3672" s="1"/>
      <c r="F3672" s="1"/>
    </row>
    <row r="3673" spans="4:6" x14ac:dyDescent="0.25">
      <c r="D3673" s="1"/>
      <c r="F3673" s="1"/>
    </row>
    <row r="3674" spans="4:6" x14ac:dyDescent="0.25">
      <c r="D3674" s="1"/>
      <c r="F3674" s="1"/>
    </row>
    <row r="3675" spans="4:6" x14ac:dyDescent="0.25">
      <c r="D3675" s="1"/>
      <c r="F3675" s="1"/>
    </row>
    <row r="3676" spans="4:6" x14ac:dyDescent="0.25">
      <c r="D3676" s="1"/>
      <c r="F3676" s="1"/>
    </row>
    <row r="3677" spans="4:6" x14ac:dyDescent="0.25">
      <c r="D3677" s="1"/>
      <c r="F3677" s="1"/>
    </row>
    <row r="3678" spans="4:6" x14ac:dyDescent="0.25">
      <c r="D3678" s="1"/>
      <c r="F3678" s="1"/>
    </row>
    <row r="3679" spans="4:6" x14ac:dyDescent="0.25">
      <c r="D3679" s="1"/>
      <c r="F3679" s="1"/>
    </row>
    <row r="3680" spans="4:6" x14ac:dyDescent="0.25">
      <c r="D3680" s="1"/>
      <c r="F3680" s="1"/>
    </row>
    <row r="3681" spans="4:6" x14ac:dyDescent="0.25">
      <c r="D3681" s="1"/>
      <c r="F3681" s="1"/>
    </row>
    <row r="3682" spans="4:6" x14ac:dyDescent="0.25">
      <c r="D3682" s="1"/>
      <c r="F3682" s="1"/>
    </row>
    <row r="3683" spans="4:6" x14ac:dyDescent="0.25">
      <c r="D3683" s="1"/>
      <c r="F3683" s="1"/>
    </row>
    <row r="3684" spans="4:6" x14ac:dyDescent="0.25">
      <c r="D3684" s="1"/>
      <c r="F3684" s="1"/>
    </row>
    <row r="3685" spans="4:6" x14ac:dyDescent="0.25">
      <c r="D3685" s="1"/>
      <c r="F3685" s="1"/>
    </row>
    <row r="3686" spans="4:6" x14ac:dyDescent="0.25">
      <c r="D3686" s="1"/>
      <c r="F3686" s="1"/>
    </row>
    <row r="3687" spans="4:6" x14ac:dyDescent="0.25">
      <c r="D3687" s="1"/>
      <c r="F3687" s="1"/>
    </row>
    <row r="3688" spans="4:6" x14ac:dyDescent="0.25">
      <c r="D3688" s="1"/>
      <c r="F3688" s="1"/>
    </row>
    <row r="3689" spans="4:6" x14ac:dyDescent="0.25">
      <c r="D3689" s="1"/>
      <c r="F3689" s="1"/>
    </row>
    <row r="3690" spans="4:6" x14ac:dyDescent="0.25">
      <c r="D3690" s="1"/>
      <c r="F3690" s="1"/>
    </row>
    <row r="3691" spans="4:6" x14ac:dyDescent="0.25">
      <c r="D3691" s="1"/>
      <c r="F3691" s="1"/>
    </row>
    <row r="3692" spans="4:6" x14ac:dyDescent="0.25">
      <c r="D3692" s="1"/>
      <c r="F3692" s="1"/>
    </row>
    <row r="3693" spans="4:6" x14ac:dyDescent="0.25">
      <c r="D3693" s="1"/>
      <c r="F3693" s="1"/>
    </row>
    <row r="3694" spans="4:6" x14ac:dyDescent="0.25">
      <c r="D3694" s="1"/>
      <c r="F3694" s="1"/>
    </row>
    <row r="3695" spans="4:6" x14ac:dyDescent="0.25">
      <c r="D3695" s="1"/>
      <c r="F3695" s="1"/>
    </row>
    <row r="3696" spans="4:6" x14ac:dyDescent="0.25">
      <c r="D3696" s="1"/>
      <c r="F3696" s="1"/>
    </row>
    <row r="3697" spans="4:6" x14ac:dyDescent="0.25">
      <c r="D3697" s="1"/>
      <c r="F3697" s="1"/>
    </row>
    <row r="3698" spans="4:6" x14ac:dyDescent="0.25">
      <c r="D3698" s="1"/>
      <c r="F3698" s="1"/>
    </row>
    <row r="3699" spans="4:6" x14ac:dyDescent="0.25">
      <c r="D3699" s="1"/>
      <c r="F3699" s="1"/>
    </row>
    <row r="3700" spans="4:6" x14ac:dyDescent="0.25">
      <c r="D3700" s="1"/>
      <c r="F3700" s="1"/>
    </row>
    <row r="3701" spans="4:6" x14ac:dyDescent="0.25">
      <c r="D3701" s="1"/>
      <c r="F3701" s="1"/>
    </row>
    <row r="3702" spans="4:6" x14ac:dyDescent="0.25">
      <c r="D3702" s="1"/>
      <c r="F3702" s="1"/>
    </row>
    <row r="3703" spans="4:6" x14ac:dyDescent="0.25">
      <c r="D3703" s="1"/>
      <c r="F3703" s="1"/>
    </row>
    <row r="3704" spans="4:6" x14ac:dyDescent="0.25">
      <c r="D3704" s="1"/>
      <c r="F3704" s="1"/>
    </row>
    <row r="3705" spans="4:6" x14ac:dyDescent="0.25">
      <c r="D3705" s="1"/>
      <c r="F3705" s="1"/>
    </row>
    <row r="3706" spans="4:6" x14ac:dyDescent="0.25">
      <c r="D3706" s="1"/>
      <c r="F3706" s="1"/>
    </row>
    <row r="3707" spans="4:6" x14ac:dyDescent="0.25">
      <c r="D3707" s="1"/>
      <c r="F3707" s="1"/>
    </row>
    <row r="3708" spans="4:6" x14ac:dyDescent="0.25">
      <c r="D3708" s="1"/>
      <c r="F3708" s="1"/>
    </row>
    <row r="3709" spans="4:6" x14ac:dyDescent="0.25">
      <c r="D3709" s="1"/>
      <c r="F3709" s="1"/>
    </row>
    <row r="3710" spans="4:6" x14ac:dyDescent="0.25">
      <c r="D3710" s="1"/>
      <c r="F3710" s="1"/>
    </row>
    <row r="3711" spans="4:6" x14ac:dyDescent="0.25">
      <c r="D3711" s="1"/>
      <c r="F3711" s="1"/>
    </row>
    <row r="3712" spans="4:6" x14ac:dyDescent="0.25">
      <c r="D3712" s="1"/>
      <c r="F3712" s="1"/>
    </row>
    <row r="3713" spans="4:6" x14ac:dyDescent="0.25">
      <c r="D3713" s="1"/>
      <c r="F3713" s="1"/>
    </row>
    <row r="3714" spans="4:6" x14ac:dyDescent="0.25">
      <c r="D3714" s="1"/>
      <c r="F3714" s="1"/>
    </row>
    <row r="3715" spans="4:6" x14ac:dyDescent="0.25">
      <c r="D3715" s="1"/>
      <c r="F3715" s="1"/>
    </row>
    <row r="3716" spans="4:6" x14ac:dyDescent="0.25">
      <c r="D3716" s="1"/>
      <c r="F3716" s="1"/>
    </row>
    <row r="3717" spans="4:6" x14ac:dyDescent="0.25">
      <c r="D3717" s="1"/>
      <c r="F3717" s="1"/>
    </row>
    <row r="3718" spans="4:6" x14ac:dyDescent="0.25">
      <c r="D3718" s="1"/>
      <c r="F3718" s="1"/>
    </row>
    <row r="3719" spans="4:6" x14ac:dyDescent="0.25">
      <c r="D3719" s="1"/>
      <c r="F3719" s="1"/>
    </row>
    <row r="3720" spans="4:6" x14ac:dyDescent="0.25">
      <c r="D3720" s="1"/>
      <c r="F3720" s="1"/>
    </row>
    <row r="3721" spans="4:6" x14ac:dyDescent="0.25">
      <c r="D3721" s="1"/>
      <c r="F3721" s="1"/>
    </row>
    <row r="3722" spans="4:6" x14ac:dyDescent="0.25">
      <c r="D3722" s="1"/>
      <c r="F3722" s="1"/>
    </row>
    <row r="3723" spans="4:6" x14ac:dyDescent="0.25">
      <c r="D3723" s="1"/>
      <c r="F3723" s="1"/>
    </row>
    <row r="3724" spans="4:6" x14ac:dyDescent="0.25">
      <c r="D3724" s="1"/>
      <c r="F3724" s="1"/>
    </row>
    <row r="3725" spans="4:6" x14ac:dyDescent="0.25">
      <c r="D3725" s="1"/>
      <c r="F3725" s="1"/>
    </row>
    <row r="3726" spans="4:6" x14ac:dyDescent="0.25">
      <c r="D3726" s="1"/>
      <c r="F3726" s="1"/>
    </row>
    <row r="3727" spans="4:6" x14ac:dyDescent="0.25">
      <c r="D3727" s="1"/>
      <c r="F3727" s="1"/>
    </row>
    <row r="3728" spans="4:6" x14ac:dyDescent="0.25">
      <c r="D3728" s="1"/>
      <c r="F3728" s="1"/>
    </row>
    <row r="3729" spans="4:6" x14ac:dyDescent="0.25">
      <c r="D3729" s="1"/>
      <c r="F3729" s="1"/>
    </row>
    <row r="3730" spans="4:6" x14ac:dyDescent="0.25">
      <c r="D3730" s="1"/>
      <c r="F3730" s="1"/>
    </row>
    <row r="3731" spans="4:6" x14ac:dyDescent="0.25">
      <c r="D3731" s="1"/>
      <c r="F3731" s="1"/>
    </row>
    <row r="3732" spans="4:6" x14ac:dyDescent="0.25">
      <c r="D3732" s="1"/>
      <c r="F3732" s="1"/>
    </row>
    <row r="3733" spans="4:6" x14ac:dyDescent="0.25">
      <c r="D3733" s="1"/>
      <c r="F3733" s="1"/>
    </row>
    <row r="3734" spans="4:6" x14ac:dyDescent="0.25">
      <c r="D3734" s="1"/>
      <c r="F3734" s="1"/>
    </row>
    <row r="3735" spans="4:6" x14ac:dyDescent="0.25">
      <c r="D3735" s="1"/>
      <c r="F3735" s="1"/>
    </row>
    <row r="3736" spans="4:6" x14ac:dyDescent="0.25">
      <c r="D3736" s="1"/>
      <c r="F3736" s="1"/>
    </row>
    <row r="3737" spans="4:6" x14ac:dyDescent="0.25">
      <c r="D3737" s="1"/>
      <c r="F3737" s="1"/>
    </row>
    <row r="3738" spans="4:6" x14ac:dyDescent="0.25">
      <c r="D3738" s="1"/>
      <c r="F3738" s="1"/>
    </row>
    <row r="3739" spans="4:6" x14ac:dyDescent="0.25">
      <c r="D3739" s="1"/>
      <c r="F3739" s="1"/>
    </row>
    <row r="3740" spans="4:6" x14ac:dyDescent="0.25">
      <c r="D3740" s="1"/>
      <c r="F3740" s="1"/>
    </row>
    <row r="3741" spans="4:6" x14ac:dyDescent="0.25">
      <c r="D3741" s="1"/>
      <c r="F3741" s="1"/>
    </row>
    <row r="3742" spans="4:6" x14ac:dyDescent="0.25">
      <c r="D3742" s="1"/>
      <c r="F3742" s="1"/>
    </row>
    <row r="3743" spans="4:6" x14ac:dyDescent="0.25">
      <c r="D3743" s="1"/>
      <c r="F3743" s="1"/>
    </row>
    <row r="3744" spans="4:6" x14ac:dyDescent="0.25">
      <c r="D3744" s="1"/>
      <c r="F3744" s="1"/>
    </row>
    <row r="3745" spans="4:6" x14ac:dyDescent="0.25">
      <c r="D3745" s="1"/>
      <c r="F3745" s="1"/>
    </row>
    <row r="3746" spans="4:6" x14ac:dyDescent="0.25">
      <c r="D3746" s="1"/>
      <c r="F3746" s="1"/>
    </row>
    <row r="3747" spans="4:6" x14ac:dyDescent="0.25">
      <c r="D3747" s="1"/>
      <c r="F3747" s="1"/>
    </row>
    <row r="3748" spans="4:6" x14ac:dyDescent="0.25">
      <c r="D3748" s="1"/>
      <c r="F3748" s="1"/>
    </row>
    <row r="3749" spans="4:6" x14ac:dyDescent="0.25">
      <c r="D3749" s="1"/>
      <c r="F3749" s="1"/>
    </row>
    <row r="3750" spans="4:6" x14ac:dyDescent="0.25">
      <c r="D3750" s="1"/>
      <c r="F3750" s="1"/>
    </row>
    <row r="3751" spans="4:6" x14ac:dyDescent="0.25">
      <c r="D3751" s="1"/>
      <c r="F3751" s="1"/>
    </row>
    <row r="3752" spans="4:6" x14ac:dyDescent="0.25">
      <c r="D3752" s="1"/>
      <c r="F3752" s="1"/>
    </row>
    <row r="3753" spans="4:6" x14ac:dyDescent="0.25">
      <c r="D3753" s="1"/>
      <c r="F3753" s="1"/>
    </row>
    <row r="3754" spans="4:6" x14ac:dyDescent="0.25">
      <c r="D3754" s="1"/>
      <c r="F3754" s="1"/>
    </row>
    <row r="3755" spans="4:6" x14ac:dyDescent="0.25">
      <c r="D3755" s="1"/>
      <c r="F3755" s="1"/>
    </row>
    <row r="3756" spans="4:6" x14ac:dyDescent="0.25">
      <c r="D3756" s="1"/>
      <c r="F3756" s="1"/>
    </row>
    <row r="3757" spans="4:6" x14ac:dyDescent="0.25">
      <c r="D3757" s="1"/>
      <c r="F3757" s="1"/>
    </row>
    <row r="3758" spans="4:6" x14ac:dyDescent="0.25">
      <c r="D3758" s="1"/>
      <c r="F3758" s="1"/>
    </row>
    <row r="3759" spans="4:6" x14ac:dyDescent="0.25">
      <c r="D3759" s="1"/>
      <c r="F3759" s="1"/>
    </row>
    <row r="3760" spans="4:6" x14ac:dyDescent="0.25">
      <c r="D3760" s="1"/>
      <c r="F3760" s="1"/>
    </row>
    <row r="3761" spans="4:6" x14ac:dyDescent="0.25">
      <c r="D3761" s="1"/>
      <c r="F3761" s="1"/>
    </row>
    <row r="3762" spans="4:6" x14ac:dyDescent="0.25">
      <c r="D3762" s="1"/>
      <c r="F3762" s="1"/>
    </row>
    <row r="3763" spans="4:6" x14ac:dyDescent="0.25">
      <c r="D3763" s="1"/>
      <c r="F3763" s="1"/>
    </row>
    <row r="3764" spans="4:6" x14ac:dyDescent="0.25">
      <c r="D3764" s="1"/>
      <c r="F3764" s="1"/>
    </row>
    <row r="3765" spans="4:6" x14ac:dyDescent="0.25">
      <c r="D3765" s="1"/>
      <c r="F3765" s="1"/>
    </row>
    <row r="3766" spans="4:6" x14ac:dyDescent="0.25">
      <c r="D3766" s="1"/>
      <c r="F3766" s="1"/>
    </row>
    <row r="3767" spans="4:6" x14ac:dyDescent="0.25">
      <c r="D3767" s="1"/>
      <c r="F3767" s="1"/>
    </row>
    <row r="3768" spans="4:6" x14ac:dyDescent="0.25">
      <c r="D3768" s="1"/>
      <c r="F3768" s="1"/>
    </row>
    <row r="3769" spans="4:6" x14ac:dyDescent="0.25">
      <c r="D3769" s="1"/>
      <c r="F3769" s="1"/>
    </row>
    <row r="3770" spans="4:6" x14ac:dyDescent="0.25">
      <c r="D3770" s="1"/>
      <c r="F3770" s="1"/>
    </row>
    <row r="3771" spans="4:6" x14ac:dyDescent="0.25">
      <c r="D3771" s="1"/>
      <c r="F3771" s="1"/>
    </row>
    <row r="3772" spans="4:6" x14ac:dyDescent="0.25">
      <c r="D3772" s="1"/>
      <c r="F3772" s="1"/>
    </row>
    <row r="3773" spans="4:6" x14ac:dyDescent="0.25">
      <c r="D3773" s="1"/>
      <c r="F3773" s="1"/>
    </row>
    <row r="3774" spans="4:6" x14ac:dyDescent="0.25">
      <c r="D3774" s="1"/>
      <c r="F3774" s="1"/>
    </row>
    <row r="3775" spans="4:6" x14ac:dyDescent="0.25">
      <c r="D3775" s="1"/>
      <c r="F3775" s="1"/>
    </row>
    <row r="3776" spans="4:6" x14ac:dyDescent="0.25">
      <c r="D3776" s="1"/>
      <c r="F3776" s="1"/>
    </row>
    <row r="3777" spans="4:6" x14ac:dyDescent="0.25">
      <c r="D3777" s="1"/>
      <c r="F3777" s="1"/>
    </row>
    <row r="3778" spans="4:6" x14ac:dyDescent="0.25">
      <c r="D3778" s="1"/>
      <c r="F3778" s="1"/>
    </row>
    <row r="3779" spans="4:6" x14ac:dyDescent="0.25">
      <c r="D3779" s="1"/>
      <c r="F3779" s="1"/>
    </row>
    <row r="3780" spans="4:6" x14ac:dyDescent="0.25">
      <c r="D3780" s="1"/>
      <c r="F3780" s="1"/>
    </row>
    <row r="3781" spans="4:6" x14ac:dyDescent="0.25">
      <c r="D3781" s="1"/>
      <c r="F3781" s="1"/>
    </row>
    <row r="3782" spans="4:6" x14ac:dyDescent="0.25">
      <c r="D3782" s="1"/>
      <c r="F3782" s="1"/>
    </row>
    <row r="3783" spans="4:6" x14ac:dyDescent="0.25">
      <c r="D3783" s="1"/>
      <c r="F3783" s="1"/>
    </row>
    <row r="3784" spans="4:6" x14ac:dyDescent="0.25">
      <c r="D3784" s="1"/>
      <c r="F3784" s="1"/>
    </row>
    <row r="3785" spans="4:6" x14ac:dyDescent="0.25">
      <c r="D3785" s="1"/>
      <c r="F3785" s="1"/>
    </row>
    <row r="3786" spans="4:6" x14ac:dyDescent="0.25">
      <c r="D3786" s="1"/>
      <c r="F3786" s="1"/>
    </row>
    <row r="3787" spans="4:6" x14ac:dyDescent="0.25">
      <c r="D3787" s="1"/>
      <c r="F3787" s="1"/>
    </row>
    <row r="3788" spans="4:6" x14ac:dyDescent="0.25">
      <c r="D3788" s="1"/>
      <c r="F3788" s="1"/>
    </row>
    <row r="3789" spans="4:6" x14ac:dyDescent="0.25">
      <c r="D3789" s="1"/>
      <c r="F3789" s="1"/>
    </row>
    <row r="3790" spans="4:6" x14ac:dyDescent="0.25">
      <c r="D3790" s="1"/>
      <c r="F3790" s="1"/>
    </row>
    <row r="3791" spans="4:6" x14ac:dyDescent="0.25">
      <c r="D3791" s="1"/>
      <c r="F3791" s="1"/>
    </row>
    <row r="3792" spans="4:6" x14ac:dyDescent="0.25">
      <c r="D3792" s="1"/>
      <c r="F3792" s="1"/>
    </row>
    <row r="3793" spans="4:6" x14ac:dyDescent="0.25">
      <c r="D3793" s="1"/>
      <c r="F3793" s="1"/>
    </row>
    <row r="3794" spans="4:6" x14ac:dyDescent="0.25">
      <c r="D3794" s="1"/>
      <c r="F3794" s="1"/>
    </row>
    <row r="3795" spans="4:6" x14ac:dyDescent="0.25">
      <c r="D3795" s="1"/>
      <c r="F3795" s="1"/>
    </row>
    <row r="3796" spans="4:6" x14ac:dyDescent="0.25">
      <c r="D3796" s="1"/>
      <c r="F3796" s="1"/>
    </row>
    <row r="3797" spans="4:6" x14ac:dyDescent="0.25">
      <c r="D3797" s="1"/>
      <c r="F3797" s="1"/>
    </row>
    <row r="3798" spans="4:6" x14ac:dyDescent="0.25">
      <c r="D3798" s="1"/>
      <c r="F3798" s="1"/>
    </row>
    <row r="3799" spans="4:6" x14ac:dyDescent="0.25">
      <c r="D3799" s="1"/>
      <c r="F3799" s="1"/>
    </row>
    <row r="3800" spans="4:6" x14ac:dyDescent="0.25">
      <c r="D3800" s="1"/>
      <c r="F3800" s="1"/>
    </row>
    <row r="3801" spans="4:6" x14ac:dyDescent="0.25">
      <c r="D3801" s="1"/>
      <c r="F3801" s="1"/>
    </row>
    <row r="3802" spans="4:6" x14ac:dyDescent="0.25">
      <c r="D3802" s="1"/>
      <c r="F3802" s="1"/>
    </row>
    <row r="3803" spans="4:6" x14ac:dyDescent="0.25">
      <c r="D3803" s="1"/>
      <c r="F3803" s="1"/>
    </row>
    <row r="3804" spans="4:6" x14ac:dyDescent="0.25">
      <c r="D3804" s="1"/>
      <c r="F3804" s="1"/>
    </row>
    <row r="3805" spans="4:6" x14ac:dyDescent="0.25">
      <c r="D3805" s="1"/>
      <c r="F3805" s="1"/>
    </row>
    <row r="3806" spans="4:6" x14ac:dyDescent="0.25">
      <c r="D3806" s="1"/>
      <c r="F3806" s="1"/>
    </row>
    <row r="3807" spans="4:6" x14ac:dyDescent="0.25">
      <c r="D3807" s="1"/>
      <c r="F3807" s="1"/>
    </row>
    <row r="3808" spans="4:6" x14ac:dyDescent="0.25">
      <c r="D3808" s="1"/>
      <c r="F3808" s="1"/>
    </row>
    <row r="3809" spans="4:6" x14ac:dyDescent="0.25">
      <c r="D3809" s="1"/>
      <c r="F3809" s="1"/>
    </row>
    <row r="3810" spans="4:6" x14ac:dyDescent="0.25">
      <c r="D3810" s="1"/>
      <c r="F3810" s="1"/>
    </row>
    <row r="3811" spans="4:6" x14ac:dyDescent="0.25">
      <c r="D3811" s="1"/>
      <c r="F3811" s="1"/>
    </row>
    <row r="3812" spans="4:6" x14ac:dyDescent="0.25">
      <c r="D3812" s="1"/>
      <c r="F3812" s="1"/>
    </row>
    <row r="3813" spans="4:6" x14ac:dyDescent="0.25">
      <c r="D3813" s="1"/>
      <c r="F3813" s="1"/>
    </row>
    <row r="3814" spans="4:6" x14ac:dyDescent="0.25">
      <c r="D3814" s="1"/>
      <c r="F3814" s="1"/>
    </row>
    <row r="3815" spans="4:6" x14ac:dyDescent="0.25">
      <c r="D3815" s="1"/>
      <c r="F3815" s="1"/>
    </row>
    <row r="3816" spans="4:6" x14ac:dyDescent="0.25">
      <c r="D3816" s="1"/>
      <c r="F3816" s="1"/>
    </row>
    <row r="3817" spans="4:6" x14ac:dyDescent="0.25">
      <c r="D3817" s="1"/>
      <c r="F3817" s="1"/>
    </row>
    <row r="3818" spans="4:6" x14ac:dyDescent="0.25">
      <c r="D3818" s="1"/>
      <c r="F3818" s="1"/>
    </row>
    <row r="3819" spans="4:6" x14ac:dyDescent="0.25">
      <c r="D3819" s="1"/>
      <c r="F3819" s="1"/>
    </row>
    <row r="3820" spans="4:6" x14ac:dyDescent="0.25">
      <c r="D3820" s="1"/>
      <c r="F3820" s="1"/>
    </row>
    <row r="3821" spans="4:6" x14ac:dyDescent="0.25">
      <c r="D3821" s="1"/>
      <c r="F3821" s="1"/>
    </row>
    <row r="3822" spans="4:6" x14ac:dyDescent="0.25">
      <c r="D3822" s="1"/>
      <c r="F3822" s="1"/>
    </row>
    <row r="3823" spans="4:6" x14ac:dyDescent="0.25">
      <c r="D3823" s="1"/>
      <c r="F3823" s="1"/>
    </row>
    <row r="3824" spans="4:6" x14ac:dyDescent="0.25">
      <c r="D3824" s="1"/>
      <c r="F3824" s="1"/>
    </row>
    <row r="3825" spans="4:6" x14ac:dyDescent="0.25">
      <c r="D3825" s="1"/>
      <c r="F3825" s="1"/>
    </row>
    <row r="3826" spans="4:6" x14ac:dyDescent="0.25">
      <c r="D3826" s="1"/>
      <c r="F3826" s="1"/>
    </row>
    <row r="3827" spans="4:6" x14ac:dyDescent="0.25">
      <c r="D3827" s="1"/>
      <c r="F3827" s="1"/>
    </row>
    <row r="3828" spans="4:6" x14ac:dyDescent="0.25">
      <c r="D3828" s="1"/>
      <c r="F3828" s="1"/>
    </row>
    <row r="3829" spans="4:6" x14ac:dyDescent="0.25">
      <c r="D3829" s="1"/>
      <c r="F3829" s="1"/>
    </row>
    <row r="3830" spans="4:6" x14ac:dyDescent="0.25">
      <c r="D3830" s="1"/>
      <c r="F3830" s="1"/>
    </row>
    <row r="3831" spans="4:6" x14ac:dyDescent="0.25">
      <c r="D3831" s="1"/>
      <c r="F3831" s="1"/>
    </row>
    <row r="3832" spans="4:6" x14ac:dyDescent="0.25">
      <c r="D3832" s="1"/>
      <c r="F3832" s="1"/>
    </row>
    <row r="3833" spans="4:6" x14ac:dyDescent="0.25">
      <c r="D3833" s="1"/>
      <c r="F3833" s="1"/>
    </row>
    <row r="3834" spans="4:6" x14ac:dyDescent="0.25">
      <c r="D3834" s="1"/>
      <c r="F3834" s="1"/>
    </row>
    <row r="3835" spans="4:6" x14ac:dyDescent="0.25">
      <c r="D3835" s="1"/>
      <c r="F3835" s="1"/>
    </row>
    <row r="3836" spans="4:6" x14ac:dyDescent="0.25">
      <c r="D3836" s="1"/>
      <c r="F3836" s="1"/>
    </row>
    <row r="3837" spans="4:6" x14ac:dyDescent="0.25">
      <c r="D3837" s="1"/>
      <c r="F3837" s="1"/>
    </row>
    <row r="3838" spans="4:6" x14ac:dyDescent="0.25">
      <c r="D3838" s="1"/>
      <c r="F3838" s="1"/>
    </row>
    <row r="3839" spans="4:6" x14ac:dyDescent="0.25">
      <c r="D3839" s="1"/>
      <c r="F3839" s="1"/>
    </row>
    <row r="3840" spans="4:6" x14ac:dyDescent="0.25">
      <c r="D3840" s="1"/>
      <c r="F3840" s="1"/>
    </row>
    <row r="3841" spans="4:6" x14ac:dyDescent="0.25">
      <c r="D3841" s="1"/>
      <c r="F3841" s="1"/>
    </row>
    <row r="3842" spans="4:6" x14ac:dyDescent="0.25">
      <c r="D3842" s="1"/>
      <c r="F3842" s="1"/>
    </row>
    <row r="3843" spans="4:6" x14ac:dyDescent="0.25">
      <c r="D3843" s="1"/>
      <c r="F3843" s="1"/>
    </row>
    <row r="3844" spans="4:6" x14ac:dyDescent="0.25">
      <c r="D3844" s="1"/>
      <c r="F3844" s="1"/>
    </row>
    <row r="3845" spans="4:6" x14ac:dyDescent="0.25">
      <c r="D3845" s="1"/>
      <c r="F3845" s="1"/>
    </row>
    <row r="3846" spans="4:6" x14ac:dyDescent="0.25">
      <c r="D3846" s="1"/>
      <c r="F3846" s="1"/>
    </row>
    <row r="3847" spans="4:6" x14ac:dyDescent="0.25">
      <c r="D3847" s="1"/>
      <c r="F3847" s="1"/>
    </row>
    <row r="3848" spans="4:6" x14ac:dyDescent="0.25">
      <c r="D3848" s="1"/>
      <c r="F3848" s="1"/>
    </row>
    <row r="3849" spans="4:6" x14ac:dyDescent="0.25">
      <c r="D3849" s="1"/>
      <c r="F3849" s="1"/>
    </row>
    <row r="3850" spans="4:6" x14ac:dyDescent="0.25">
      <c r="D3850" s="1"/>
      <c r="F3850" s="1"/>
    </row>
    <row r="3851" spans="4:6" x14ac:dyDescent="0.25">
      <c r="D3851" s="1"/>
      <c r="F3851" s="1"/>
    </row>
    <row r="3852" spans="4:6" x14ac:dyDescent="0.25">
      <c r="D3852" s="1"/>
      <c r="F3852" s="1"/>
    </row>
    <row r="3853" spans="4:6" x14ac:dyDescent="0.25">
      <c r="D3853" s="1"/>
      <c r="F3853" s="1"/>
    </row>
    <row r="3854" spans="4:6" x14ac:dyDescent="0.25">
      <c r="D3854" s="1"/>
      <c r="F3854" s="1"/>
    </row>
    <row r="3855" spans="4:6" x14ac:dyDescent="0.25">
      <c r="D3855" s="1"/>
      <c r="F3855" s="1"/>
    </row>
    <row r="3856" spans="4:6" x14ac:dyDescent="0.25">
      <c r="D3856" s="1"/>
      <c r="F3856" s="1"/>
    </row>
    <row r="3857" spans="4:6" x14ac:dyDescent="0.25">
      <c r="D3857" s="1"/>
      <c r="F3857" s="1"/>
    </row>
    <row r="3858" spans="4:6" x14ac:dyDescent="0.25">
      <c r="D3858" s="1"/>
      <c r="F3858" s="1"/>
    </row>
    <row r="3859" spans="4:6" x14ac:dyDescent="0.25">
      <c r="D3859" s="1"/>
      <c r="F3859" s="1"/>
    </row>
    <row r="3860" spans="4:6" x14ac:dyDescent="0.25">
      <c r="D3860" s="1"/>
      <c r="F3860" s="1"/>
    </row>
    <row r="3861" spans="4:6" x14ac:dyDescent="0.25">
      <c r="D3861" s="1"/>
      <c r="F3861" s="1"/>
    </row>
    <row r="3862" spans="4:6" x14ac:dyDescent="0.25">
      <c r="D3862" s="1"/>
      <c r="F3862" s="1"/>
    </row>
    <row r="3863" spans="4:6" x14ac:dyDescent="0.25">
      <c r="D3863" s="1"/>
      <c r="F3863" s="1"/>
    </row>
    <row r="3864" spans="4:6" x14ac:dyDescent="0.25">
      <c r="D3864" s="1"/>
      <c r="F3864" s="1"/>
    </row>
    <row r="3865" spans="4:6" x14ac:dyDescent="0.25">
      <c r="D3865" s="1"/>
      <c r="F3865" s="1"/>
    </row>
    <row r="3866" spans="4:6" x14ac:dyDescent="0.25">
      <c r="D3866" s="1"/>
      <c r="F3866" s="1"/>
    </row>
    <row r="3867" spans="4:6" x14ac:dyDescent="0.25">
      <c r="D3867" s="1"/>
      <c r="F3867" s="1"/>
    </row>
    <row r="3868" spans="4:6" x14ac:dyDescent="0.25">
      <c r="D3868" s="1"/>
      <c r="F3868" s="1"/>
    </row>
    <row r="3869" spans="4:6" x14ac:dyDescent="0.25">
      <c r="D3869" s="1"/>
      <c r="F3869" s="1"/>
    </row>
    <row r="3870" spans="4:6" x14ac:dyDescent="0.25">
      <c r="D3870" s="1"/>
      <c r="F3870" s="1"/>
    </row>
    <row r="3871" spans="4:6" x14ac:dyDescent="0.25">
      <c r="D3871" s="1"/>
      <c r="F3871" s="1"/>
    </row>
    <row r="3872" spans="4:6" x14ac:dyDescent="0.25">
      <c r="D3872" s="1"/>
      <c r="F3872" s="1"/>
    </row>
    <row r="3873" spans="4:6" x14ac:dyDescent="0.25">
      <c r="D3873" s="1"/>
      <c r="F3873" s="1"/>
    </row>
    <row r="3874" spans="4:6" x14ac:dyDescent="0.25">
      <c r="D3874" s="1"/>
      <c r="F3874" s="1"/>
    </row>
    <row r="3875" spans="4:6" x14ac:dyDescent="0.25">
      <c r="D3875" s="1"/>
      <c r="F3875" s="1"/>
    </row>
    <row r="3876" spans="4:6" x14ac:dyDescent="0.25">
      <c r="D3876" s="1"/>
      <c r="F3876" s="1"/>
    </row>
    <row r="3877" spans="4:6" x14ac:dyDescent="0.25">
      <c r="D3877" s="1"/>
      <c r="F3877" s="1"/>
    </row>
    <row r="3878" spans="4:6" x14ac:dyDescent="0.25">
      <c r="D3878" s="1"/>
      <c r="F3878" s="1"/>
    </row>
    <row r="3879" spans="4:6" x14ac:dyDescent="0.25">
      <c r="D3879" s="1"/>
      <c r="F3879" s="1"/>
    </row>
    <row r="3880" spans="4:6" x14ac:dyDescent="0.25">
      <c r="D3880" s="1"/>
      <c r="F3880" s="1"/>
    </row>
    <row r="3881" spans="4:6" x14ac:dyDescent="0.25">
      <c r="D3881" s="1"/>
      <c r="F3881" s="1"/>
    </row>
    <row r="3882" spans="4:6" x14ac:dyDescent="0.25">
      <c r="D3882" s="1"/>
      <c r="F3882" s="1"/>
    </row>
    <row r="3883" spans="4:6" x14ac:dyDescent="0.25">
      <c r="D3883" s="1"/>
      <c r="F3883" s="1"/>
    </row>
    <row r="3884" spans="4:6" x14ac:dyDescent="0.25">
      <c r="D3884" s="1"/>
      <c r="F3884" s="1"/>
    </row>
    <row r="3885" spans="4:6" x14ac:dyDescent="0.25">
      <c r="D3885" s="1"/>
      <c r="F3885" s="1"/>
    </row>
    <row r="3886" spans="4:6" x14ac:dyDescent="0.25">
      <c r="D3886" s="1"/>
      <c r="F3886" s="1"/>
    </row>
    <row r="3887" spans="4:6" x14ac:dyDescent="0.25">
      <c r="D3887" s="1"/>
      <c r="F3887" s="1"/>
    </row>
    <row r="3888" spans="4:6" x14ac:dyDescent="0.25">
      <c r="D3888" s="1"/>
      <c r="F3888" s="1"/>
    </row>
    <row r="3889" spans="4:6" x14ac:dyDescent="0.25">
      <c r="D3889" s="1"/>
      <c r="F3889" s="1"/>
    </row>
    <row r="3890" spans="4:6" x14ac:dyDescent="0.25">
      <c r="D3890" s="1"/>
      <c r="F3890" s="1"/>
    </row>
    <row r="3891" spans="4:6" x14ac:dyDescent="0.25">
      <c r="D3891" s="1"/>
      <c r="F3891" s="1"/>
    </row>
    <row r="3892" spans="4:6" x14ac:dyDescent="0.25">
      <c r="D3892" s="1"/>
      <c r="F3892" s="1"/>
    </row>
    <row r="3893" spans="4:6" x14ac:dyDescent="0.25">
      <c r="D3893" s="1"/>
      <c r="F3893" s="1"/>
    </row>
    <row r="3894" spans="4:6" x14ac:dyDescent="0.25">
      <c r="D3894" s="1"/>
      <c r="F3894" s="1"/>
    </row>
    <row r="3895" spans="4:6" x14ac:dyDescent="0.25">
      <c r="D3895" s="1"/>
      <c r="F3895" s="1"/>
    </row>
    <row r="3896" spans="4:6" x14ac:dyDescent="0.25">
      <c r="D3896" s="1"/>
      <c r="F3896" s="1"/>
    </row>
    <row r="3897" spans="4:6" x14ac:dyDescent="0.25">
      <c r="D3897" s="1"/>
      <c r="F3897" s="1"/>
    </row>
    <row r="3898" spans="4:6" x14ac:dyDescent="0.25">
      <c r="D3898" s="1"/>
      <c r="F3898" s="1"/>
    </row>
    <row r="3899" spans="4:6" x14ac:dyDescent="0.25">
      <c r="D3899" s="1"/>
      <c r="F3899" s="1"/>
    </row>
    <row r="3900" spans="4:6" x14ac:dyDescent="0.25">
      <c r="D3900" s="1"/>
      <c r="F3900" s="1"/>
    </row>
    <row r="3901" spans="4:6" x14ac:dyDescent="0.25">
      <c r="D3901" s="1"/>
      <c r="F3901" s="1"/>
    </row>
    <row r="3902" spans="4:6" x14ac:dyDescent="0.25">
      <c r="D3902" s="1"/>
      <c r="F3902" s="1"/>
    </row>
    <row r="3903" spans="4:6" x14ac:dyDescent="0.25">
      <c r="D3903" s="1"/>
      <c r="F3903" s="1"/>
    </row>
    <row r="3904" spans="4:6" x14ac:dyDescent="0.25">
      <c r="D3904" s="1"/>
      <c r="F3904" s="1"/>
    </row>
    <row r="3905" spans="4:6" x14ac:dyDescent="0.25">
      <c r="D3905" s="1"/>
      <c r="F3905" s="1"/>
    </row>
    <row r="3906" spans="4:6" x14ac:dyDescent="0.25">
      <c r="D3906" s="1"/>
      <c r="F3906" s="1"/>
    </row>
    <row r="3907" spans="4:6" x14ac:dyDescent="0.25">
      <c r="D3907" s="1"/>
      <c r="F3907" s="1"/>
    </row>
    <row r="3908" spans="4:6" x14ac:dyDescent="0.25">
      <c r="D3908" s="1"/>
      <c r="F3908" s="1"/>
    </row>
    <row r="3909" spans="4:6" x14ac:dyDescent="0.25">
      <c r="D3909" s="1"/>
      <c r="F3909" s="1"/>
    </row>
    <row r="3910" spans="4:6" x14ac:dyDescent="0.25">
      <c r="D3910" s="1"/>
      <c r="F3910" s="1"/>
    </row>
    <row r="3911" spans="4:6" x14ac:dyDescent="0.25">
      <c r="D3911" s="1"/>
      <c r="F3911" s="1"/>
    </row>
    <row r="3912" spans="4:6" x14ac:dyDescent="0.25">
      <c r="D3912" s="1"/>
      <c r="F3912" s="1"/>
    </row>
    <row r="3913" spans="4:6" x14ac:dyDescent="0.25">
      <c r="D3913" s="1"/>
      <c r="F3913" s="1"/>
    </row>
    <row r="3914" spans="4:6" x14ac:dyDescent="0.25">
      <c r="D3914" s="1"/>
      <c r="F3914" s="1"/>
    </row>
    <row r="3915" spans="4:6" x14ac:dyDescent="0.25">
      <c r="D3915" s="1"/>
      <c r="F3915" s="1"/>
    </row>
    <row r="3916" spans="4:6" x14ac:dyDescent="0.25">
      <c r="D3916" s="1"/>
      <c r="F3916" s="1"/>
    </row>
    <row r="3917" spans="4:6" x14ac:dyDescent="0.25">
      <c r="D3917" s="1"/>
      <c r="F3917" s="1"/>
    </row>
    <row r="3918" spans="4:6" x14ac:dyDescent="0.25">
      <c r="D3918" s="1"/>
      <c r="F3918" s="1"/>
    </row>
    <row r="3919" spans="4:6" x14ac:dyDescent="0.25">
      <c r="D3919" s="1"/>
      <c r="F3919" s="1"/>
    </row>
    <row r="3920" spans="4:6" x14ac:dyDescent="0.25">
      <c r="D3920" s="1"/>
      <c r="F3920" s="1"/>
    </row>
    <row r="3921" spans="4:6" x14ac:dyDescent="0.25">
      <c r="D3921" s="1"/>
      <c r="F3921" s="1"/>
    </row>
    <row r="3922" spans="4:6" x14ac:dyDescent="0.25">
      <c r="D3922" s="1"/>
      <c r="F3922" s="1"/>
    </row>
    <row r="3923" spans="4:6" x14ac:dyDescent="0.25">
      <c r="D3923" s="1"/>
      <c r="F3923" s="1"/>
    </row>
    <row r="3924" spans="4:6" x14ac:dyDescent="0.25">
      <c r="D3924" s="1"/>
      <c r="F3924" s="1"/>
    </row>
    <row r="3925" spans="4:6" x14ac:dyDescent="0.25">
      <c r="D3925" s="1"/>
      <c r="F3925" s="1"/>
    </row>
    <row r="3926" spans="4:6" x14ac:dyDescent="0.25">
      <c r="D3926" s="1"/>
      <c r="F3926" s="1"/>
    </row>
    <row r="3927" spans="4:6" x14ac:dyDescent="0.25">
      <c r="D3927" s="1"/>
      <c r="F3927" s="1"/>
    </row>
    <row r="3928" spans="4:6" x14ac:dyDescent="0.25">
      <c r="D3928" s="1"/>
      <c r="F3928" s="1"/>
    </row>
    <row r="3929" spans="4:6" x14ac:dyDescent="0.25">
      <c r="D3929" s="1"/>
      <c r="F3929" s="1"/>
    </row>
    <row r="3930" spans="4:6" x14ac:dyDescent="0.25">
      <c r="D3930" s="1"/>
      <c r="F3930" s="1"/>
    </row>
    <row r="3931" spans="4:6" x14ac:dyDescent="0.25">
      <c r="D3931" s="1"/>
      <c r="F3931" s="1"/>
    </row>
    <row r="3932" spans="4:6" x14ac:dyDescent="0.25">
      <c r="D3932" s="1"/>
      <c r="F3932" s="1"/>
    </row>
    <row r="3933" spans="4:6" x14ac:dyDescent="0.25">
      <c r="D3933" s="1"/>
      <c r="F3933" s="1"/>
    </row>
    <row r="3934" spans="4:6" x14ac:dyDescent="0.25">
      <c r="D3934" s="1"/>
      <c r="F3934" s="1"/>
    </row>
    <row r="3935" spans="4:6" x14ac:dyDescent="0.25">
      <c r="D3935" s="1"/>
      <c r="F3935" s="1"/>
    </row>
    <row r="3936" spans="4:6" x14ac:dyDescent="0.25">
      <c r="D3936" s="1"/>
      <c r="F3936" s="1"/>
    </row>
    <row r="3937" spans="4:6" x14ac:dyDescent="0.25">
      <c r="D3937" s="1"/>
      <c r="F3937" s="1"/>
    </row>
    <row r="3938" spans="4:6" x14ac:dyDescent="0.25">
      <c r="D3938" s="1"/>
      <c r="F3938" s="1"/>
    </row>
    <row r="3939" spans="4:6" x14ac:dyDescent="0.25">
      <c r="D3939" s="1"/>
      <c r="F3939" s="1"/>
    </row>
    <row r="3940" spans="4:6" x14ac:dyDescent="0.25">
      <c r="D3940" s="1"/>
      <c r="F3940" s="1"/>
    </row>
    <row r="3941" spans="4:6" x14ac:dyDescent="0.25">
      <c r="D3941" s="1"/>
      <c r="F3941" s="1"/>
    </row>
    <row r="3942" spans="4:6" x14ac:dyDescent="0.25">
      <c r="D3942" s="1"/>
      <c r="F3942" s="1"/>
    </row>
    <row r="3943" spans="4:6" x14ac:dyDescent="0.25">
      <c r="D3943" s="1"/>
      <c r="F3943" s="1"/>
    </row>
    <row r="3944" spans="4:6" x14ac:dyDescent="0.25">
      <c r="D3944" s="1"/>
      <c r="F3944" s="1"/>
    </row>
    <row r="3945" spans="4:6" x14ac:dyDescent="0.25">
      <c r="D3945" s="1"/>
      <c r="F3945" s="1"/>
    </row>
    <row r="3946" spans="4:6" x14ac:dyDescent="0.25">
      <c r="D3946" s="1"/>
      <c r="F3946" s="1"/>
    </row>
    <row r="3947" spans="4:6" x14ac:dyDescent="0.25">
      <c r="D3947" s="1"/>
      <c r="F3947" s="1"/>
    </row>
    <row r="3948" spans="4:6" x14ac:dyDescent="0.25">
      <c r="D3948" s="1"/>
      <c r="F3948" s="1"/>
    </row>
    <row r="3949" spans="4:6" x14ac:dyDescent="0.25">
      <c r="D3949" s="1"/>
      <c r="F3949" s="1"/>
    </row>
    <row r="3950" spans="4:6" x14ac:dyDescent="0.25">
      <c r="D3950" s="1"/>
      <c r="F3950" s="1"/>
    </row>
    <row r="3951" spans="4:6" x14ac:dyDescent="0.25">
      <c r="D3951" s="1"/>
      <c r="F3951" s="1"/>
    </row>
    <row r="3952" spans="4:6" x14ac:dyDescent="0.25">
      <c r="D3952" s="1"/>
      <c r="F3952" s="1"/>
    </row>
    <row r="3953" spans="4:6" x14ac:dyDescent="0.25">
      <c r="D3953" s="1"/>
      <c r="F3953" s="1"/>
    </row>
    <row r="3954" spans="4:6" x14ac:dyDescent="0.25">
      <c r="D3954" s="1"/>
      <c r="F3954" s="1"/>
    </row>
    <row r="3955" spans="4:6" x14ac:dyDescent="0.25">
      <c r="D3955" s="1"/>
      <c r="F3955" s="1"/>
    </row>
    <row r="3956" spans="4:6" x14ac:dyDescent="0.25">
      <c r="D3956" s="1"/>
      <c r="F3956" s="1"/>
    </row>
    <row r="3957" spans="4:6" x14ac:dyDescent="0.25">
      <c r="D3957" s="1"/>
      <c r="F3957" s="1"/>
    </row>
    <row r="3958" spans="4:6" x14ac:dyDescent="0.25">
      <c r="D3958" s="1"/>
      <c r="F3958" s="1"/>
    </row>
    <row r="3959" spans="4:6" x14ac:dyDescent="0.25">
      <c r="D3959" s="1"/>
      <c r="F3959" s="1"/>
    </row>
    <row r="3960" spans="4:6" x14ac:dyDescent="0.25">
      <c r="D3960" s="1"/>
      <c r="F3960" s="1"/>
    </row>
    <row r="3961" spans="4:6" x14ac:dyDescent="0.25">
      <c r="D3961" s="1"/>
      <c r="F3961" s="1"/>
    </row>
    <row r="3962" spans="4:6" x14ac:dyDescent="0.25">
      <c r="D3962" s="1"/>
      <c r="F3962" s="1"/>
    </row>
    <row r="3963" spans="4:6" x14ac:dyDescent="0.25">
      <c r="D3963" s="1"/>
      <c r="F3963" s="1"/>
    </row>
    <row r="3964" spans="4:6" x14ac:dyDescent="0.25">
      <c r="D3964" s="1"/>
      <c r="F3964" s="1"/>
    </row>
    <row r="3965" spans="4:6" x14ac:dyDescent="0.25">
      <c r="D3965" s="1"/>
      <c r="F3965" s="1"/>
    </row>
    <row r="3966" spans="4:6" x14ac:dyDescent="0.25">
      <c r="D3966" s="1"/>
      <c r="F3966" s="1"/>
    </row>
    <row r="3967" spans="4:6" x14ac:dyDescent="0.25">
      <c r="D3967" s="1"/>
      <c r="F3967" s="1"/>
    </row>
    <row r="3968" spans="4:6" x14ac:dyDescent="0.25">
      <c r="D3968" s="1"/>
      <c r="F3968" s="1"/>
    </row>
    <row r="3969" spans="4:6" x14ac:dyDescent="0.25">
      <c r="D3969" s="1"/>
      <c r="F3969" s="1"/>
    </row>
    <row r="3970" spans="4:6" x14ac:dyDescent="0.25">
      <c r="D3970" s="1"/>
      <c r="F3970" s="1"/>
    </row>
    <row r="3971" spans="4:6" x14ac:dyDescent="0.25">
      <c r="D3971" s="1"/>
      <c r="F3971" s="1"/>
    </row>
    <row r="3972" spans="4:6" x14ac:dyDescent="0.25">
      <c r="D3972" s="1"/>
      <c r="F3972" s="1"/>
    </row>
    <row r="3973" spans="4:6" x14ac:dyDescent="0.25">
      <c r="D3973" s="1"/>
      <c r="F3973" s="1"/>
    </row>
    <row r="3974" spans="4:6" x14ac:dyDescent="0.25">
      <c r="D3974" s="1"/>
      <c r="F3974" s="1"/>
    </row>
    <row r="3975" spans="4:6" x14ac:dyDescent="0.25">
      <c r="D3975" s="1"/>
      <c r="F3975" s="1"/>
    </row>
    <row r="3976" spans="4:6" x14ac:dyDescent="0.25">
      <c r="D3976" s="1"/>
      <c r="F3976" s="1"/>
    </row>
    <row r="3977" spans="4:6" x14ac:dyDescent="0.25">
      <c r="D3977" s="1"/>
      <c r="F3977" s="1"/>
    </row>
    <row r="3978" spans="4:6" x14ac:dyDescent="0.25">
      <c r="D3978" s="1"/>
      <c r="F3978" s="1"/>
    </row>
    <row r="3979" spans="4:6" x14ac:dyDescent="0.25">
      <c r="D3979" s="1"/>
      <c r="F3979" s="1"/>
    </row>
    <row r="3980" spans="4:6" x14ac:dyDescent="0.25">
      <c r="D3980" s="1"/>
      <c r="F3980" s="1"/>
    </row>
    <row r="3981" spans="4:6" x14ac:dyDescent="0.25">
      <c r="D3981" s="1"/>
      <c r="F3981" s="1"/>
    </row>
    <row r="3982" spans="4:6" x14ac:dyDescent="0.25">
      <c r="D3982" s="1"/>
      <c r="F3982" s="1"/>
    </row>
    <row r="3983" spans="4:6" x14ac:dyDescent="0.25">
      <c r="D3983" s="1"/>
      <c r="F3983" s="1"/>
    </row>
    <row r="3984" spans="4:6" x14ac:dyDescent="0.25">
      <c r="D3984" s="1"/>
      <c r="F3984" s="1"/>
    </row>
    <row r="3985" spans="4:6" x14ac:dyDescent="0.25">
      <c r="D3985" s="1"/>
      <c r="F3985" s="1"/>
    </row>
    <row r="3986" spans="4:6" x14ac:dyDescent="0.25">
      <c r="D3986" s="1"/>
      <c r="F3986" s="1"/>
    </row>
    <row r="3987" spans="4:6" x14ac:dyDescent="0.25">
      <c r="D3987" s="1"/>
      <c r="F3987" s="1"/>
    </row>
    <row r="3988" spans="4:6" x14ac:dyDescent="0.25">
      <c r="D3988" s="1"/>
      <c r="F3988" s="1"/>
    </row>
    <row r="3989" spans="4:6" x14ac:dyDescent="0.25">
      <c r="D3989" s="1"/>
      <c r="F3989" s="1"/>
    </row>
    <row r="3990" spans="4:6" x14ac:dyDescent="0.25">
      <c r="D3990" s="1"/>
      <c r="F3990" s="1"/>
    </row>
    <row r="3991" spans="4:6" x14ac:dyDescent="0.25">
      <c r="D3991" s="1"/>
      <c r="F3991" s="1"/>
    </row>
    <row r="3992" spans="4:6" x14ac:dyDescent="0.25">
      <c r="D3992" s="1"/>
      <c r="F3992" s="1"/>
    </row>
    <row r="3993" spans="4:6" x14ac:dyDescent="0.25">
      <c r="D3993" s="1"/>
      <c r="F3993" s="1"/>
    </row>
    <row r="3994" spans="4:6" x14ac:dyDescent="0.25">
      <c r="D3994" s="1"/>
      <c r="F3994" s="1"/>
    </row>
    <row r="3995" spans="4:6" x14ac:dyDescent="0.25">
      <c r="D3995" s="1"/>
      <c r="F3995" s="1"/>
    </row>
    <row r="3996" spans="4:6" x14ac:dyDescent="0.25">
      <c r="D3996" s="1"/>
      <c r="F3996" s="1"/>
    </row>
    <row r="3997" spans="4:6" x14ac:dyDescent="0.25">
      <c r="D3997" s="1"/>
      <c r="F3997" s="1"/>
    </row>
    <row r="3998" spans="4:6" x14ac:dyDescent="0.25">
      <c r="D3998" s="1"/>
      <c r="F3998" s="1"/>
    </row>
    <row r="3999" spans="4:6" x14ac:dyDescent="0.25">
      <c r="D3999" s="1"/>
      <c r="F3999" s="1"/>
    </row>
    <row r="4000" spans="4:6" x14ac:dyDescent="0.25">
      <c r="D4000" s="1"/>
      <c r="F4000" s="1"/>
    </row>
    <row r="4001" spans="4:6" x14ac:dyDescent="0.25">
      <c r="D4001" s="1"/>
      <c r="F4001" s="1"/>
    </row>
    <row r="4002" spans="4:6" x14ac:dyDescent="0.25">
      <c r="D4002" s="1"/>
      <c r="F4002" s="1"/>
    </row>
    <row r="4003" spans="4:6" x14ac:dyDescent="0.25">
      <c r="D4003" s="1"/>
      <c r="F4003" s="1"/>
    </row>
    <row r="4004" spans="4:6" x14ac:dyDescent="0.25">
      <c r="D4004" s="1"/>
      <c r="F4004" s="1"/>
    </row>
    <row r="4005" spans="4:6" x14ac:dyDescent="0.25">
      <c r="D4005" s="1"/>
      <c r="F4005" s="1"/>
    </row>
    <row r="4006" spans="4:6" x14ac:dyDescent="0.25">
      <c r="D4006" s="1"/>
      <c r="F4006" s="1"/>
    </row>
    <row r="4007" spans="4:6" x14ac:dyDescent="0.25">
      <c r="D4007" s="1"/>
      <c r="F4007" s="1"/>
    </row>
    <row r="4008" spans="4:6" x14ac:dyDescent="0.25">
      <c r="D4008" s="1"/>
      <c r="F4008" s="1"/>
    </row>
    <row r="4009" spans="4:6" x14ac:dyDescent="0.25">
      <c r="D4009" s="1"/>
      <c r="F4009" s="1"/>
    </row>
    <row r="4010" spans="4:6" x14ac:dyDescent="0.25">
      <c r="D4010" s="1"/>
      <c r="F4010" s="1"/>
    </row>
    <row r="4011" spans="4:6" x14ac:dyDescent="0.25">
      <c r="D4011" s="1"/>
      <c r="F4011" s="1"/>
    </row>
    <row r="4012" spans="4:6" x14ac:dyDescent="0.25">
      <c r="D4012" s="1"/>
      <c r="F4012" s="1"/>
    </row>
    <row r="4013" spans="4:6" x14ac:dyDescent="0.25">
      <c r="D4013" s="1"/>
      <c r="F4013" s="1"/>
    </row>
    <row r="4014" spans="4:6" x14ac:dyDescent="0.25">
      <c r="D4014" s="1"/>
      <c r="F4014" s="1"/>
    </row>
    <row r="4015" spans="4:6" x14ac:dyDescent="0.25">
      <c r="D4015" s="1"/>
      <c r="F4015" s="1"/>
    </row>
    <row r="4016" spans="4:6" x14ac:dyDescent="0.25">
      <c r="D4016" s="1"/>
      <c r="F4016" s="1"/>
    </row>
    <row r="4017" spans="4:6" x14ac:dyDescent="0.25">
      <c r="D4017" s="1"/>
      <c r="F4017" s="1"/>
    </row>
    <row r="4018" spans="4:6" x14ac:dyDescent="0.25">
      <c r="D4018" s="1"/>
      <c r="F4018" s="1"/>
    </row>
    <row r="4019" spans="4:6" x14ac:dyDescent="0.25">
      <c r="D4019" s="1"/>
      <c r="F4019" s="1"/>
    </row>
    <row r="4020" spans="4:6" x14ac:dyDescent="0.25">
      <c r="D4020" s="1"/>
      <c r="F4020" s="1"/>
    </row>
    <row r="4021" spans="4:6" x14ac:dyDescent="0.25">
      <c r="D4021" s="1"/>
      <c r="F4021" s="1"/>
    </row>
    <row r="4022" spans="4:6" x14ac:dyDescent="0.25">
      <c r="D4022" s="1"/>
      <c r="F4022" s="1"/>
    </row>
    <row r="4023" spans="4:6" x14ac:dyDescent="0.25">
      <c r="D4023" s="1"/>
      <c r="F4023" s="1"/>
    </row>
    <row r="4024" spans="4:6" x14ac:dyDescent="0.25">
      <c r="D4024" s="1"/>
      <c r="F4024" s="1"/>
    </row>
    <row r="4025" spans="4:6" x14ac:dyDescent="0.25">
      <c r="D4025" s="1"/>
      <c r="F4025" s="1"/>
    </row>
    <row r="4026" spans="4:6" x14ac:dyDescent="0.25">
      <c r="D4026" s="1"/>
      <c r="F4026" s="1"/>
    </row>
    <row r="4027" spans="4:6" x14ac:dyDescent="0.25">
      <c r="D4027" s="1"/>
      <c r="F4027" s="1"/>
    </row>
    <row r="4028" spans="4:6" x14ac:dyDescent="0.25">
      <c r="D4028" s="1"/>
      <c r="F4028" s="1"/>
    </row>
    <row r="4029" spans="4:6" x14ac:dyDescent="0.25">
      <c r="D4029" s="1"/>
      <c r="F4029" s="1"/>
    </row>
    <row r="4030" spans="4:6" x14ac:dyDescent="0.25">
      <c r="D4030" s="1"/>
      <c r="F4030" s="1"/>
    </row>
    <row r="4031" spans="4:6" x14ac:dyDescent="0.25">
      <c r="D4031" s="1"/>
      <c r="F4031" s="1"/>
    </row>
    <row r="4032" spans="4:6" x14ac:dyDescent="0.25">
      <c r="D4032" s="1"/>
      <c r="F4032" s="1"/>
    </row>
    <row r="4033" spans="4:6" x14ac:dyDescent="0.25">
      <c r="D4033" s="1"/>
      <c r="F4033" s="1"/>
    </row>
    <row r="4034" spans="4:6" x14ac:dyDescent="0.25">
      <c r="D4034" s="1"/>
      <c r="F4034" s="1"/>
    </row>
    <row r="4035" spans="4:6" x14ac:dyDescent="0.25">
      <c r="D4035" s="1"/>
      <c r="F4035" s="1"/>
    </row>
    <row r="4036" spans="4:6" x14ac:dyDescent="0.25">
      <c r="D4036" s="1"/>
      <c r="F4036" s="1"/>
    </row>
    <row r="4037" spans="4:6" x14ac:dyDescent="0.25">
      <c r="D4037" s="1"/>
      <c r="F4037" s="1"/>
    </row>
    <row r="4038" spans="4:6" x14ac:dyDescent="0.25">
      <c r="D4038" s="1"/>
      <c r="F4038" s="1"/>
    </row>
    <row r="4039" spans="4:6" x14ac:dyDescent="0.25">
      <c r="D4039" s="1"/>
      <c r="F4039" s="1"/>
    </row>
    <row r="4040" spans="4:6" x14ac:dyDescent="0.25">
      <c r="D4040" s="1"/>
      <c r="F4040" s="1"/>
    </row>
    <row r="4041" spans="4:6" x14ac:dyDescent="0.25">
      <c r="D4041" s="1"/>
      <c r="F4041" s="1"/>
    </row>
    <row r="4042" spans="4:6" x14ac:dyDescent="0.25">
      <c r="D4042" s="1"/>
      <c r="F4042" s="1"/>
    </row>
    <row r="4043" spans="4:6" x14ac:dyDescent="0.25">
      <c r="D4043" s="1"/>
      <c r="F4043" s="1"/>
    </row>
    <row r="4044" spans="4:6" x14ac:dyDescent="0.25">
      <c r="D4044" s="1"/>
      <c r="F4044" s="1"/>
    </row>
    <row r="4045" spans="4:6" x14ac:dyDescent="0.25">
      <c r="D4045" s="1"/>
      <c r="F4045" s="1"/>
    </row>
    <row r="4046" spans="4:6" x14ac:dyDescent="0.25">
      <c r="D4046" s="1"/>
      <c r="F4046" s="1"/>
    </row>
    <row r="4047" spans="4:6" x14ac:dyDescent="0.25">
      <c r="D4047" s="1"/>
      <c r="F4047" s="1"/>
    </row>
    <row r="4048" spans="4:6" x14ac:dyDescent="0.25">
      <c r="D4048" s="1"/>
      <c r="F4048" s="1"/>
    </row>
    <row r="4049" spans="4:6" x14ac:dyDescent="0.25">
      <c r="D4049" s="1"/>
      <c r="F4049" s="1"/>
    </row>
    <row r="4050" spans="4:6" x14ac:dyDescent="0.25">
      <c r="D4050" s="1"/>
      <c r="F4050" s="1"/>
    </row>
    <row r="4051" spans="4:6" x14ac:dyDescent="0.25">
      <c r="D4051" s="1"/>
      <c r="F4051" s="1"/>
    </row>
    <row r="4052" spans="4:6" x14ac:dyDescent="0.25">
      <c r="D4052" s="1"/>
      <c r="F4052" s="1"/>
    </row>
    <row r="4053" spans="4:6" x14ac:dyDescent="0.25">
      <c r="D4053" s="1"/>
      <c r="F4053" s="1"/>
    </row>
    <row r="4054" spans="4:6" x14ac:dyDescent="0.25">
      <c r="D4054" s="1"/>
      <c r="F4054" s="1"/>
    </row>
    <row r="4055" spans="4:6" x14ac:dyDescent="0.25">
      <c r="D4055" s="1"/>
      <c r="F4055" s="1"/>
    </row>
    <row r="4056" spans="4:6" x14ac:dyDescent="0.25">
      <c r="D4056" s="1"/>
      <c r="F4056" s="1"/>
    </row>
    <row r="4057" spans="4:6" x14ac:dyDescent="0.25">
      <c r="D4057" s="1"/>
      <c r="F4057" s="1"/>
    </row>
    <row r="4058" spans="4:6" x14ac:dyDescent="0.25">
      <c r="D4058" s="1"/>
      <c r="F4058" s="1"/>
    </row>
    <row r="4059" spans="4:6" x14ac:dyDescent="0.25">
      <c r="D4059" s="1"/>
      <c r="F4059" s="1"/>
    </row>
    <row r="4060" spans="4:6" x14ac:dyDescent="0.25">
      <c r="D4060" s="1"/>
      <c r="F4060" s="1"/>
    </row>
    <row r="4061" spans="4:6" x14ac:dyDescent="0.25">
      <c r="D4061" s="1"/>
      <c r="F4061" s="1"/>
    </row>
    <row r="4062" spans="4:6" x14ac:dyDescent="0.25">
      <c r="D4062" s="1"/>
      <c r="F4062" s="1"/>
    </row>
    <row r="4063" spans="4:6" x14ac:dyDescent="0.25">
      <c r="D4063" s="1"/>
      <c r="F4063" s="1"/>
    </row>
    <row r="4064" spans="4:6" x14ac:dyDescent="0.25">
      <c r="D4064" s="1"/>
      <c r="F4064" s="1"/>
    </row>
    <row r="4065" spans="4:6" x14ac:dyDescent="0.25">
      <c r="D4065" s="1"/>
      <c r="F4065" s="1"/>
    </row>
    <row r="4066" spans="4:6" x14ac:dyDescent="0.25">
      <c r="D4066" s="1"/>
      <c r="F4066" s="1"/>
    </row>
    <row r="4067" spans="4:6" x14ac:dyDescent="0.25">
      <c r="D4067" s="1"/>
      <c r="F4067" s="1"/>
    </row>
    <row r="4068" spans="4:6" x14ac:dyDescent="0.25">
      <c r="D4068" s="1"/>
      <c r="F4068" s="1"/>
    </row>
    <row r="4069" spans="4:6" x14ac:dyDescent="0.25">
      <c r="D4069" s="1"/>
      <c r="F4069" s="1"/>
    </row>
    <row r="4070" spans="4:6" x14ac:dyDescent="0.25">
      <c r="D4070" s="1"/>
      <c r="F4070" s="1"/>
    </row>
    <row r="4071" spans="4:6" x14ac:dyDescent="0.25">
      <c r="D4071" s="1"/>
      <c r="F4071" s="1"/>
    </row>
    <row r="4072" spans="4:6" x14ac:dyDescent="0.25">
      <c r="D4072" s="1"/>
      <c r="F4072" s="1"/>
    </row>
    <row r="4073" spans="4:6" x14ac:dyDescent="0.25">
      <c r="D4073" s="1"/>
      <c r="F4073" s="1"/>
    </row>
    <row r="4074" spans="4:6" x14ac:dyDescent="0.25">
      <c r="D4074" s="1"/>
      <c r="F4074" s="1"/>
    </row>
    <row r="4075" spans="4:6" x14ac:dyDescent="0.25">
      <c r="D4075" s="1"/>
      <c r="F4075" s="1"/>
    </row>
    <row r="4076" spans="4:6" x14ac:dyDescent="0.25">
      <c r="D4076" s="1"/>
      <c r="F4076" s="1"/>
    </row>
    <row r="4077" spans="4:6" x14ac:dyDescent="0.25">
      <c r="D4077" s="1"/>
      <c r="F4077" s="1"/>
    </row>
    <row r="4078" spans="4:6" x14ac:dyDescent="0.25">
      <c r="D4078" s="1"/>
      <c r="F4078" s="1"/>
    </row>
    <row r="4079" spans="4:6" x14ac:dyDescent="0.25">
      <c r="D4079" s="1"/>
      <c r="F4079" s="1"/>
    </row>
    <row r="4080" spans="4:6" x14ac:dyDescent="0.25">
      <c r="D4080" s="1"/>
      <c r="F4080" s="1"/>
    </row>
    <row r="4081" spans="4:6" x14ac:dyDescent="0.25">
      <c r="D4081" s="1"/>
      <c r="F4081" s="1"/>
    </row>
    <row r="4082" spans="4:6" x14ac:dyDescent="0.25">
      <c r="D4082" s="1"/>
      <c r="F4082" s="1"/>
    </row>
    <row r="4083" spans="4:6" x14ac:dyDescent="0.25">
      <c r="D4083" s="1"/>
      <c r="F4083" s="1"/>
    </row>
    <row r="4084" spans="4:6" x14ac:dyDescent="0.25">
      <c r="D4084" s="1"/>
      <c r="F4084" s="1"/>
    </row>
    <row r="4085" spans="4:6" x14ac:dyDescent="0.25">
      <c r="D4085" s="1"/>
      <c r="F4085" s="1"/>
    </row>
    <row r="4086" spans="4:6" x14ac:dyDescent="0.25">
      <c r="D4086" s="1"/>
      <c r="F4086" s="1"/>
    </row>
    <row r="4087" spans="4:6" x14ac:dyDescent="0.25">
      <c r="D4087" s="1"/>
      <c r="F4087" s="1"/>
    </row>
    <row r="4088" spans="4:6" x14ac:dyDescent="0.25">
      <c r="D4088" s="1"/>
      <c r="F4088" s="1"/>
    </row>
    <row r="4089" spans="4:6" x14ac:dyDescent="0.25">
      <c r="D4089" s="1"/>
      <c r="F4089" s="1"/>
    </row>
    <row r="4090" spans="4:6" x14ac:dyDescent="0.25">
      <c r="D4090" s="1"/>
      <c r="F4090" s="1"/>
    </row>
    <row r="4091" spans="4:6" x14ac:dyDescent="0.25">
      <c r="D4091" s="1"/>
      <c r="F4091" s="1"/>
    </row>
    <row r="4092" spans="4:6" x14ac:dyDescent="0.25">
      <c r="D4092" s="1"/>
      <c r="F4092" s="1"/>
    </row>
    <row r="4093" spans="4:6" x14ac:dyDescent="0.25">
      <c r="D4093" s="1"/>
      <c r="F4093" s="1"/>
    </row>
    <row r="4094" spans="4:6" x14ac:dyDescent="0.25">
      <c r="D4094" s="1"/>
      <c r="F4094" s="1"/>
    </row>
    <row r="4095" spans="4:6" x14ac:dyDescent="0.25">
      <c r="D4095" s="1"/>
      <c r="F4095" s="1"/>
    </row>
    <row r="4096" spans="4:6" x14ac:dyDescent="0.25">
      <c r="D4096" s="1"/>
      <c r="F4096" s="1"/>
    </row>
    <row r="4097" spans="4:6" x14ac:dyDescent="0.25">
      <c r="D4097" s="1"/>
      <c r="F4097" s="1"/>
    </row>
    <row r="4098" spans="4:6" x14ac:dyDescent="0.25">
      <c r="D4098" s="1"/>
      <c r="F4098" s="1"/>
    </row>
    <row r="4099" spans="4:6" x14ac:dyDescent="0.25">
      <c r="D4099" s="1"/>
      <c r="F4099" s="1"/>
    </row>
    <row r="4100" spans="4:6" x14ac:dyDescent="0.25">
      <c r="D4100" s="1"/>
      <c r="F4100" s="1"/>
    </row>
    <row r="4101" spans="4:6" x14ac:dyDescent="0.25">
      <c r="D4101" s="1"/>
      <c r="F4101" s="1"/>
    </row>
    <row r="4102" spans="4:6" x14ac:dyDescent="0.25">
      <c r="D4102" s="1"/>
      <c r="F4102" s="1"/>
    </row>
    <row r="4103" spans="4:6" x14ac:dyDescent="0.25">
      <c r="D4103" s="1"/>
      <c r="F4103" s="1"/>
    </row>
    <row r="4104" spans="4:6" x14ac:dyDescent="0.25">
      <c r="D4104" s="1"/>
      <c r="F4104" s="1"/>
    </row>
    <row r="4105" spans="4:6" x14ac:dyDescent="0.25">
      <c r="D4105" s="1"/>
      <c r="F4105" s="1"/>
    </row>
    <row r="4106" spans="4:6" x14ac:dyDescent="0.25">
      <c r="D4106" s="1"/>
      <c r="F4106" s="1"/>
    </row>
    <row r="4107" spans="4:6" x14ac:dyDescent="0.25">
      <c r="D4107" s="1"/>
      <c r="F4107" s="1"/>
    </row>
    <row r="4108" spans="4:6" x14ac:dyDescent="0.25">
      <c r="D4108" s="1"/>
      <c r="F4108" s="1"/>
    </row>
    <row r="4109" spans="4:6" x14ac:dyDescent="0.25">
      <c r="D4109" s="1"/>
      <c r="F4109" s="1"/>
    </row>
    <row r="4110" spans="4:6" x14ac:dyDescent="0.25">
      <c r="D4110" s="1"/>
      <c r="F4110" s="1"/>
    </row>
    <row r="4111" spans="4:6" x14ac:dyDescent="0.25">
      <c r="D4111" s="1"/>
      <c r="F4111" s="1"/>
    </row>
    <row r="4112" spans="4:6" x14ac:dyDescent="0.25">
      <c r="D4112" s="1"/>
      <c r="F4112" s="1"/>
    </row>
    <row r="4113" spans="4:6" x14ac:dyDescent="0.25">
      <c r="D4113" s="1"/>
      <c r="F4113" s="1"/>
    </row>
    <row r="4114" spans="4:6" x14ac:dyDescent="0.25">
      <c r="D4114" s="1"/>
      <c r="F4114" s="1"/>
    </row>
    <row r="4115" spans="4:6" x14ac:dyDescent="0.25">
      <c r="D4115" s="1"/>
      <c r="F4115" s="1"/>
    </row>
    <row r="4116" spans="4:6" x14ac:dyDescent="0.25">
      <c r="D4116" s="1"/>
      <c r="F4116" s="1"/>
    </row>
    <row r="4117" spans="4:6" x14ac:dyDescent="0.25">
      <c r="D4117" s="1"/>
      <c r="F4117" s="1"/>
    </row>
    <row r="4118" spans="4:6" x14ac:dyDescent="0.25">
      <c r="D4118" s="1"/>
      <c r="F4118" s="1"/>
    </row>
    <row r="4119" spans="4:6" x14ac:dyDescent="0.25">
      <c r="D4119" s="1"/>
      <c r="F4119" s="1"/>
    </row>
    <row r="4120" spans="4:6" x14ac:dyDescent="0.25">
      <c r="D4120" s="1"/>
      <c r="F4120" s="1"/>
    </row>
    <row r="4121" spans="4:6" x14ac:dyDescent="0.25">
      <c r="D4121" s="1"/>
      <c r="F4121" s="1"/>
    </row>
    <row r="4122" spans="4:6" x14ac:dyDescent="0.25">
      <c r="D4122" s="1"/>
      <c r="F4122" s="1"/>
    </row>
    <row r="4123" spans="4:6" x14ac:dyDescent="0.25">
      <c r="D4123" s="1"/>
      <c r="F4123" s="1"/>
    </row>
    <row r="4124" spans="4:6" x14ac:dyDescent="0.25">
      <c r="D4124" s="1"/>
      <c r="F4124" s="1"/>
    </row>
    <row r="4125" spans="4:6" x14ac:dyDescent="0.25">
      <c r="D4125" s="1"/>
      <c r="F4125" s="1"/>
    </row>
    <row r="4126" spans="4:6" x14ac:dyDescent="0.25">
      <c r="D4126" s="1"/>
      <c r="F4126" s="1"/>
    </row>
    <row r="4127" spans="4:6" x14ac:dyDescent="0.25">
      <c r="D4127" s="1"/>
      <c r="F4127" s="1"/>
    </row>
    <row r="4128" spans="4:6" x14ac:dyDescent="0.25">
      <c r="D4128" s="1"/>
      <c r="F4128" s="1"/>
    </row>
    <row r="4129" spans="4:6" x14ac:dyDescent="0.25">
      <c r="D4129" s="1"/>
      <c r="F4129" s="1"/>
    </row>
    <row r="4130" spans="4:6" x14ac:dyDescent="0.25">
      <c r="D4130" s="1"/>
      <c r="F4130" s="1"/>
    </row>
    <row r="4131" spans="4:6" x14ac:dyDescent="0.25">
      <c r="D4131" s="1"/>
      <c r="F4131" s="1"/>
    </row>
    <row r="4132" spans="4:6" x14ac:dyDescent="0.25">
      <c r="D4132" s="1"/>
      <c r="F4132" s="1"/>
    </row>
    <row r="4133" spans="4:6" x14ac:dyDescent="0.25">
      <c r="D4133" s="1"/>
      <c r="F4133" s="1"/>
    </row>
    <row r="4134" spans="4:6" x14ac:dyDescent="0.25">
      <c r="D4134" s="1"/>
      <c r="F4134" s="1"/>
    </row>
    <row r="4135" spans="4:6" x14ac:dyDescent="0.25">
      <c r="D4135" s="1"/>
      <c r="F4135" s="1"/>
    </row>
    <row r="4136" spans="4:6" x14ac:dyDescent="0.25">
      <c r="D4136" s="1"/>
      <c r="F4136" s="1"/>
    </row>
    <row r="4137" spans="4:6" x14ac:dyDescent="0.25">
      <c r="D4137" s="1"/>
      <c r="F4137" s="1"/>
    </row>
    <row r="4138" spans="4:6" x14ac:dyDescent="0.25">
      <c r="D4138" s="1"/>
      <c r="F4138" s="1"/>
    </row>
    <row r="4139" spans="4:6" x14ac:dyDescent="0.25">
      <c r="D4139" s="1"/>
      <c r="F4139" s="1"/>
    </row>
    <row r="4140" spans="4:6" x14ac:dyDescent="0.25">
      <c r="D4140" s="1"/>
      <c r="F4140" s="1"/>
    </row>
    <row r="4141" spans="4:6" x14ac:dyDescent="0.25">
      <c r="D4141" s="1"/>
      <c r="F4141" s="1"/>
    </row>
    <row r="4142" spans="4:6" x14ac:dyDescent="0.25">
      <c r="D4142" s="1"/>
      <c r="F4142" s="1"/>
    </row>
    <row r="4143" spans="4:6" x14ac:dyDescent="0.25">
      <c r="D4143" s="1"/>
      <c r="F4143" s="1"/>
    </row>
    <row r="4144" spans="4:6" x14ac:dyDescent="0.25">
      <c r="D4144" s="1"/>
      <c r="F4144" s="1"/>
    </row>
    <row r="4145" spans="4:6" x14ac:dyDescent="0.25">
      <c r="D4145" s="1"/>
      <c r="F4145" s="1"/>
    </row>
    <row r="4146" spans="4:6" x14ac:dyDescent="0.25">
      <c r="D4146" s="1"/>
      <c r="F4146" s="1"/>
    </row>
    <row r="4147" spans="4:6" x14ac:dyDescent="0.25">
      <c r="D4147" s="1"/>
      <c r="F4147" s="1"/>
    </row>
    <row r="4148" spans="4:6" x14ac:dyDescent="0.25">
      <c r="D4148" s="1"/>
      <c r="F4148" s="1"/>
    </row>
    <row r="4149" spans="4:6" x14ac:dyDescent="0.25">
      <c r="D4149" s="1"/>
      <c r="F4149" s="1"/>
    </row>
    <row r="4150" spans="4:6" x14ac:dyDescent="0.25">
      <c r="D4150" s="1"/>
      <c r="F4150" s="1"/>
    </row>
    <row r="4151" spans="4:6" x14ac:dyDescent="0.25">
      <c r="D4151" s="1"/>
      <c r="F4151" s="1"/>
    </row>
    <row r="4152" spans="4:6" x14ac:dyDescent="0.25">
      <c r="D4152" s="1"/>
      <c r="F4152" s="1"/>
    </row>
    <row r="4153" spans="4:6" x14ac:dyDescent="0.25">
      <c r="D4153" s="1"/>
      <c r="F4153" s="1"/>
    </row>
    <row r="4154" spans="4:6" x14ac:dyDescent="0.25">
      <c r="D4154" s="1"/>
      <c r="F4154" s="1"/>
    </row>
    <row r="4155" spans="4:6" x14ac:dyDescent="0.25">
      <c r="D4155" s="1"/>
      <c r="F4155" s="1"/>
    </row>
    <row r="4156" spans="4:6" x14ac:dyDescent="0.25">
      <c r="D4156" s="1"/>
      <c r="F4156" s="1"/>
    </row>
    <row r="4157" spans="4:6" x14ac:dyDescent="0.25">
      <c r="D4157" s="1"/>
      <c r="F4157" s="1"/>
    </row>
    <row r="4158" spans="4:6" x14ac:dyDescent="0.25">
      <c r="D4158" s="1"/>
      <c r="F4158" s="1"/>
    </row>
    <row r="4159" spans="4:6" x14ac:dyDescent="0.25">
      <c r="D4159" s="1"/>
      <c r="F4159" s="1"/>
    </row>
    <row r="4160" spans="4:6" x14ac:dyDescent="0.25">
      <c r="D4160" s="1"/>
      <c r="F4160" s="1"/>
    </row>
    <row r="4161" spans="4:6" x14ac:dyDescent="0.25">
      <c r="D4161" s="1"/>
      <c r="F4161" s="1"/>
    </row>
    <row r="4162" spans="4:6" x14ac:dyDescent="0.25">
      <c r="D4162" s="1"/>
      <c r="F4162" s="1"/>
    </row>
    <row r="4163" spans="4:6" x14ac:dyDescent="0.25">
      <c r="D4163" s="1"/>
      <c r="F4163" s="1"/>
    </row>
    <row r="4164" spans="4:6" x14ac:dyDescent="0.25">
      <c r="D4164" s="1"/>
      <c r="F4164" s="1"/>
    </row>
    <row r="4165" spans="4:6" x14ac:dyDescent="0.25">
      <c r="D4165" s="1"/>
      <c r="F4165" s="1"/>
    </row>
    <row r="4166" spans="4:6" x14ac:dyDescent="0.25">
      <c r="D4166" s="1"/>
      <c r="F4166" s="1"/>
    </row>
    <row r="4167" spans="4:6" x14ac:dyDescent="0.25">
      <c r="D4167" s="1"/>
      <c r="F4167" s="1"/>
    </row>
    <row r="4168" spans="4:6" x14ac:dyDescent="0.25">
      <c r="D4168" s="1"/>
      <c r="F4168" s="1"/>
    </row>
    <row r="4169" spans="4:6" x14ac:dyDescent="0.25">
      <c r="D4169" s="1"/>
      <c r="F4169" s="1"/>
    </row>
    <row r="4170" spans="4:6" x14ac:dyDescent="0.25">
      <c r="D4170" s="1"/>
      <c r="F4170" s="1"/>
    </row>
    <row r="4171" spans="4:6" x14ac:dyDescent="0.25">
      <c r="D4171" s="1"/>
      <c r="F4171" s="1"/>
    </row>
    <row r="4172" spans="4:6" x14ac:dyDescent="0.25">
      <c r="D4172" s="1"/>
      <c r="F4172" s="1"/>
    </row>
    <row r="4173" spans="4:6" x14ac:dyDescent="0.25">
      <c r="D4173" s="1"/>
      <c r="F4173" s="1"/>
    </row>
    <row r="4174" spans="4:6" x14ac:dyDescent="0.25">
      <c r="D4174" s="1"/>
      <c r="F4174" s="1"/>
    </row>
    <row r="4175" spans="4:6" x14ac:dyDescent="0.25">
      <c r="D4175" s="1"/>
      <c r="F4175" s="1"/>
    </row>
    <row r="4176" spans="4:6" x14ac:dyDescent="0.25">
      <c r="D4176" s="1"/>
      <c r="F4176" s="1"/>
    </row>
    <row r="4177" spans="4:6" x14ac:dyDescent="0.25">
      <c r="D4177" s="1"/>
      <c r="F4177" s="1"/>
    </row>
    <row r="4178" spans="4:6" x14ac:dyDescent="0.25">
      <c r="D4178" s="1"/>
      <c r="F4178" s="1"/>
    </row>
    <row r="4179" spans="4:6" x14ac:dyDescent="0.25">
      <c r="D4179" s="1"/>
      <c r="F4179" s="1"/>
    </row>
    <row r="4180" spans="4:6" x14ac:dyDescent="0.25">
      <c r="D4180" s="1"/>
      <c r="F4180" s="1"/>
    </row>
    <row r="4181" spans="4:6" x14ac:dyDescent="0.25">
      <c r="D4181" s="1"/>
      <c r="F4181" s="1"/>
    </row>
    <row r="4182" spans="4:6" x14ac:dyDescent="0.25">
      <c r="D4182" s="1"/>
      <c r="F4182" s="1"/>
    </row>
    <row r="4183" spans="4:6" x14ac:dyDescent="0.25">
      <c r="D4183" s="1"/>
      <c r="F4183" s="1"/>
    </row>
    <row r="4184" spans="4:6" x14ac:dyDescent="0.25">
      <c r="D4184" s="1"/>
      <c r="F4184" s="1"/>
    </row>
    <row r="4185" spans="4:6" x14ac:dyDescent="0.25">
      <c r="D4185" s="1"/>
      <c r="F4185" s="1"/>
    </row>
    <row r="4186" spans="4:6" x14ac:dyDescent="0.25">
      <c r="D4186" s="1"/>
      <c r="F4186" s="1"/>
    </row>
    <row r="4187" spans="4:6" x14ac:dyDescent="0.25">
      <c r="D4187" s="1"/>
      <c r="F4187" s="1"/>
    </row>
    <row r="4188" spans="4:6" x14ac:dyDescent="0.25">
      <c r="D4188" s="1"/>
      <c r="F4188" s="1"/>
    </row>
    <row r="4189" spans="4:6" x14ac:dyDescent="0.25">
      <c r="D4189" s="1"/>
      <c r="F4189" s="1"/>
    </row>
    <row r="4190" spans="4:6" x14ac:dyDescent="0.25">
      <c r="D4190" s="1"/>
      <c r="F4190" s="1"/>
    </row>
    <row r="4191" spans="4:6" x14ac:dyDescent="0.25">
      <c r="D4191" s="1"/>
      <c r="F4191" s="1"/>
    </row>
    <row r="4192" spans="4:6" x14ac:dyDescent="0.25">
      <c r="D4192" s="1"/>
      <c r="F4192" s="1"/>
    </row>
    <row r="4193" spans="4:6" x14ac:dyDescent="0.25">
      <c r="D4193" s="1"/>
      <c r="F4193" s="1"/>
    </row>
    <row r="4194" spans="4:6" x14ac:dyDescent="0.25">
      <c r="D4194" s="1"/>
      <c r="F4194" s="1"/>
    </row>
    <row r="4195" spans="4:6" x14ac:dyDescent="0.25">
      <c r="D4195" s="1"/>
      <c r="F4195" s="1"/>
    </row>
    <row r="4196" spans="4:6" x14ac:dyDescent="0.25">
      <c r="D4196" s="1"/>
      <c r="F4196" s="1"/>
    </row>
    <row r="4197" spans="4:6" x14ac:dyDescent="0.25">
      <c r="D4197" s="1"/>
      <c r="F4197" s="1"/>
    </row>
    <row r="4198" spans="4:6" x14ac:dyDescent="0.25">
      <c r="D4198" s="1"/>
      <c r="F4198" s="1"/>
    </row>
    <row r="4199" spans="4:6" x14ac:dyDescent="0.25">
      <c r="D4199" s="1"/>
      <c r="F4199" s="1"/>
    </row>
    <row r="4200" spans="4:6" x14ac:dyDescent="0.25">
      <c r="D4200" s="1"/>
      <c r="F4200" s="1"/>
    </row>
    <row r="4201" spans="4:6" x14ac:dyDescent="0.25">
      <c r="D4201" s="1"/>
      <c r="F4201" s="1"/>
    </row>
    <row r="4202" spans="4:6" x14ac:dyDescent="0.25">
      <c r="D4202" s="1"/>
      <c r="F4202" s="1"/>
    </row>
    <row r="4203" spans="4:6" x14ac:dyDescent="0.25">
      <c r="D4203" s="1"/>
      <c r="F4203" s="1"/>
    </row>
    <row r="4204" spans="4:6" x14ac:dyDescent="0.25">
      <c r="D4204" s="1"/>
      <c r="F4204" s="1"/>
    </row>
    <row r="4205" spans="4:6" x14ac:dyDescent="0.25">
      <c r="D4205" s="1"/>
      <c r="F4205" s="1"/>
    </row>
    <row r="4206" spans="4:6" x14ac:dyDescent="0.25">
      <c r="D4206" s="1"/>
      <c r="F4206" s="1"/>
    </row>
    <row r="4207" spans="4:6" x14ac:dyDescent="0.25">
      <c r="D4207" s="1"/>
      <c r="F4207" s="1"/>
    </row>
    <row r="4208" spans="4:6" x14ac:dyDescent="0.25">
      <c r="D4208" s="1"/>
      <c r="F4208" s="1"/>
    </row>
    <row r="4209" spans="4:6" x14ac:dyDescent="0.25">
      <c r="D4209" s="1"/>
      <c r="F4209" s="1"/>
    </row>
    <row r="4210" spans="4:6" x14ac:dyDescent="0.25">
      <c r="D4210" s="1"/>
      <c r="F4210" s="1"/>
    </row>
    <row r="4211" spans="4:6" x14ac:dyDescent="0.25">
      <c r="D4211" s="1"/>
      <c r="F4211" s="1"/>
    </row>
    <row r="4212" spans="4:6" x14ac:dyDescent="0.25">
      <c r="D4212" s="1"/>
      <c r="F4212" s="1"/>
    </row>
    <row r="4213" spans="4:6" x14ac:dyDescent="0.25">
      <c r="D4213" s="1"/>
      <c r="F4213" s="1"/>
    </row>
    <row r="4214" spans="4:6" x14ac:dyDescent="0.25">
      <c r="D4214" s="1"/>
      <c r="F4214" s="1"/>
    </row>
    <row r="4215" spans="4:6" x14ac:dyDescent="0.25">
      <c r="D4215" s="1"/>
      <c r="F4215" s="1"/>
    </row>
    <row r="4216" spans="4:6" x14ac:dyDescent="0.25">
      <c r="D4216" s="1"/>
      <c r="F4216" s="1"/>
    </row>
    <row r="4217" spans="4:6" x14ac:dyDescent="0.25">
      <c r="D4217" s="1"/>
      <c r="F4217" s="1"/>
    </row>
    <row r="4218" spans="4:6" x14ac:dyDescent="0.25">
      <c r="D4218" s="1"/>
      <c r="F4218" s="1"/>
    </row>
    <row r="4219" spans="4:6" x14ac:dyDescent="0.25">
      <c r="D4219" s="1"/>
      <c r="F4219" s="1"/>
    </row>
    <row r="4220" spans="4:6" x14ac:dyDescent="0.25">
      <c r="D4220" s="1"/>
      <c r="F4220" s="1"/>
    </row>
    <row r="4221" spans="4:6" x14ac:dyDescent="0.25">
      <c r="D4221" s="1"/>
      <c r="F4221" s="1"/>
    </row>
    <row r="4222" spans="4:6" x14ac:dyDescent="0.25">
      <c r="D4222" s="1"/>
      <c r="F4222" s="1"/>
    </row>
    <row r="4223" spans="4:6" x14ac:dyDescent="0.25">
      <c r="D4223" s="1"/>
      <c r="F4223" s="1"/>
    </row>
    <row r="4224" spans="4:6" x14ac:dyDescent="0.25">
      <c r="D4224" s="1"/>
      <c r="F4224" s="1"/>
    </row>
    <row r="4225" spans="4:6" x14ac:dyDescent="0.25">
      <c r="D4225" s="1"/>
      <c r="F4225" s="1"/>
    </row>
    <row r="4226" spans="4:6" x14ac:dyDescent="0.25">
      <c r="D4226" s="1"/>
      <c r="F4226" s="1"/>
    </row>
    <row r="4227" spans="4:6" x14ac:dyDescent="0.25">
      <c r="D4227" s="1"/>
      <c r="F4227" s="1"/>
    </row>
    <row r="4228" spans="4:6" x14ac:dyDescent="0.25">
      <c r="D4228" s="1"/>
      <c r="F4228" s="1"/>
    </row>
    <row r="4229" spans="4:6" x14ac:dyDescent="0.25">
      <c r="D4229" s="1"/>
      <c r="F4229" s="1"/>
    </row>
    <row r="4230" spans="4:6" x14ac:dyDescent="0.25">
      <c r="D4230" s="1"/>
      <c r="F4230" s="1"/>
    </row>
    <row r="4231" spans="4:6" x14ac:dyDescent="0.25">
      <c r="D4231" s="1"/>
      <c r="F4231" s="1"/>
    </row>
    <row r="4232" spans="4:6" x14ac:dyDescent="0.25">
      <c r="D4232" s="1"/>
      <c r="F4232" s="1"/>
    </row>
    <row r="4233" spans="4:6" x14ac:dyDescent="0.25">
      <c r="D4233" s="1"/>
      <c r="F4233" s="1"/>
    </row>
    <row r="4234" spans="4:6" x14ac:dyDescent="0.25">
      <c r="D4234" s="1"/>
      <c r="F4234" s="1"/>
    </row>
    <row r="4235" spans="4:6" x14ac:dyDescent="0.25">
      <c r="D4235" s="1"/>
      <c r="F4235" s="1"/>
    </row>
    <row r="4236" spans="4:6" x14ac:dyDescent="0.25">
      <c r="D4236" s="1"/>
      <c r="F4236" s="1"/>
    </row>
    <row r="4237" spans="4:6" x14ac:dyDescent="0.25">
      <c r="D4237" s="1"/>
      <c r="F4237" s="1"/>
    </row>
    <row r="4238" spans="4:6" x14ac:dyDescent="0.25">
      <c r="D4238" s="1"/>
      <c r="F4238" s="1"/>
    </row>
    <row r="4239" spans="4:6" x14ac:dyDescent="0.25">
      <c r="D4239" s="1"/>
      <c r="F4239" s="1"/>
    </row>
    <row r="4240" spans="4:6" x14ac:dyDescent="0.25">
      <c r="D4240" s="1"/>
      <c r="F4240" s="1"/>
    </row>
    <row r="4241" spans="4:6" x14ac:dyDescent="0.25">
      <c r="D4241" s="1"/>
      <c r="F4241" s="1"/>
    </row>
    <row r="4242" spans="4:6" x14ac:dyDescent="0.25">
      <c r="D4242" s="1"/>
      <c r="F4242" s="1"/>
    </row>
    <row r="4243" spans="4:6" x14ac:dyDescent="0.25">
      <c r="D4243" s="1"/>
      <c r="F4243" s="1"/>
    </row>
    <row r="4244" spans="4:6" x14ac:dyDescent="0.25">
      <c r="D4244" s="1"/>
      <c r="F4244" s="1"/>
    </row>
    <row r="4245" spans="4:6" x14ac:dyDescent="0.25">
      <c r="D4245" s="1"/>
      <c r="F4245" s="1"/>
    </row>
    <row r="4246" spans="4:6" x14ac:dyDescent="0.25">
      <c r="D4246" s="1"/>
      <c r="F4246" s="1"/>
    </row>
    <row r="4247" spans="4:6" x14ac:dyDescent="0.25">
      <c r="D4247" s="1"/>
      <c r="F4247" s="1"/>
    </row>
    <row r="4248" spans="4:6" x14ac:dyDescent="0.25">
      <c r="D4248" s="1"/>
      <c r="F4248" s="1"/>
    </row>
    <row r="4249" spans="4:6" x14ac:dyDescent="0.25">
      <c r="D4249" s="1"/>
      <c r="F4249" s="1"/>
    </row>
    <row r="4250" spans="4:6" x14ac:dyDescent="0.25">
      <c r="D4250" s="1"/>
      <c r="F4250" s="1"/>
    </row>
    <row r="4251" spans="4:6" x14ac:dyDescent="0.25">
      <c r="D4251" s="1"/>
      <c r="F4251" s="1"/>
    </row>
    <row r="4252" spans="4:6" x14ac:dyDescent="0.25">
      <c r="D4252" s="1"/>
      <c r="F4252" s="1"/>
    </row>
    <row r="4253" spans="4:6" x14ac:dyDescent="0.25">
      <c r="D4253" s="1"/>
      <c r="F4253" s="1"/>
    </row>
    <row r="4254" spans="4:6" x14ac:dyDescent="0.25">
      <c r="D4254" s="1"/>
      <c r="F4254" s="1"/>
    </row>
    <row r="4255" spans="4:6" x14ac:dyDescent="0.25">
      <c r="D4255" s="1"/>
      <c r="F4255" s="1"/>
    </row>
    <row r="4256" spans="4:6" x14ac:dyDescent="0.25">
      <c r="D4256" s="1"/>
      <c r="F4256" s="1"/>
    </row>
    <row r="4257" spans="4:6" x14ac:dyDescent="0.25">
      <c r="D4257" s="1"/>
      <c r="F4257" s="1"/>
    </row>
    <row r="4258" spans="4:6" x14ac:dyDescent="0.25">
      <c r="D4258" s="1"/>
      <c r="F4258" s="1"/>
    </row>
    <row r="4259" spans="4:6" x14ac:dyDescent="0.25">
      <c r="D4259" s="1"/>
      <c r="F4259" s="1"/>
    </row>
    <row r="4260" spans="4:6" x14ac:dyDescent="0.25">
      <c r="D4260" s="1"/>
      <c r="F4260" s="1"/>
    </row>
    <row r="4261" spans="4:6" x14ac:dyDescent="0.25">
      <c r="D4261" s="1"/>
      <c r="F4261" s="1"/>
    </row>
    <row r="4262" spans="4:6" x14ac:dyDescent="0.25">
      <c r="D4262" s="1"/>
      <c r="F4262" s="1"/>
    </row>
    <row r="4263" spans="4:6" x14ac:dyDescent="0.25">
      <c r="D4263" s="1"/>
      <c r="F4263" s="1"/>
    </row>
    <row r="4264" spans="4:6" x14ac:dyDescent="0.25">
      <c r="D4264" s="1"/>
      <c r="F4264" s="1"/>
    </row>
    <row r="4265" spans="4:6" x14ac:dyDescent="0.25">
      <c r="D4265" s="1"/>
      <c r="F4265" s="1"/>
    </row>
    <row r="4266" spans="4:6" x14ac:dyDescent="0.25">
      <c r="D4266" s="1"/>
      <c r="F4266" s="1"/>
    </row>
    <row r="4267" spans="4:6" x14ac:dyDescent="0.25">
      <c r="D4267" s="1"/>
      <c r="F4267" s="1"/>
    </row>
    <row r="4268" spans="4:6" x14ac:dyDescent="0.25">
      <c r="D4268" s="1"/>
      <c r="F4268" s="1"/>
    </row>
    <row r="4269" spans="4:6" x14ac:dyDescent="0.25">
      <c r="D4269" s="1"/>
      <c r="F4269" s="1"/>
    </row>
    <row r="4270" spans="4:6" x14ac:dyDescent="0.25">
      <c r="D4270" s="1"/>
      <c r="F4270" s="1"/>
    </row>
    <row r="4271" spans="4:6" x14ac:dyDescent="0.25">
      <c r="D4271" s="1"/>
      <c r="F4271" s="1"/>
    </row>
    <row r="4272" spans="4:6" x14ac:dyDescent="0.25">
      <c r="D4272" s="1"/>
      <c r="F4272" s="1"/>
    </row>
    <row r="4273" spans="4:6" x14ac:dyDescent="0.25">
      <c r="D4273" s="1"/>
      <c r="F4273" s="1"/>
    </row>
    <row r="4274" spans="4:6" x14ac:dyDescent="0.25">
      <c r="D4274" s="1"/>
      <c r="F4274" s="1"/>
    </row>
    <row r="4275" spans="4:6" x14ac:dyDescent="0.25">
      <c r="D4275" s="1"/>
      <c r="F4275" s="1"/>
    </row>
    <row r="4276" spans="4:6" x14ac:dyDescent="0.25">
      <c r="D4276" s="1"/>
      <c r="F4276" s="1"/>
    </row>
    <row r="4277" spans="4:6" x14ac:dyDescent="0.25">
      <c r="D4277" s="1"/>
      <c r="F4277" s="1"/>
    </row>
    <row r="4278" spans="4:6" x14ac:dyDescent="0.25">
      <c r="D4278" s="1"/>
      <c r="F4278" s="1"/>
    </row>
    <row r="4279" spans="4:6" x14ac:dyDescent="0.25">
      <c r="D4279" s="1"/>
      <c r="F4279" s="1"/>
    </row>
    <row r="4280" spans="4:6" x14ac:dyDescent="0.25">
      <c r="D4280" s="1"/>
      <c r="F4280" s="1"/>
    </row>
    <row r="4281" spans="4:6" x14ac:dyDescent="0.25">
      <c r="D4281" s="1"/>
      <c r="F4281" s="1"/>
    </row>
    <row r="4282" spans="4:6" x14ac:dyDescent="0.25">
      <c r="D4282" s="1"/>
      <c r="F4282" s="1"/>
    </row>
    <row r="4283" spans="4:6" x14ac:dyDescent="0.25">
      <c r="D4283" s="1"/>
      <c r="F4283" s="1"/>
    </row>
    <row r="4284" spans="4:6" x14ac:dyDescent="0.25">
      <c r="D4284" s="1"/>
      <c r="F4284" s="1"/>
    </row>
    <row r="4285" spans="4:6" x14ac:dyDescent="0.25">
      <c r="D4285" s="1"/>
      <c r="F4285" s="1"/>
    </row>
    <row r="4286" spans="4:6" x14ac:dyDescent="0.25">
      <c r="D4286" s="1"/>
      <c r="F4286" s="1"/>
    </row>
    <row r="4287" spans="4:6" x14ac:dyDescent="0.25">
      <c r="D4287" s="1"/>
      <c r="F4287" s="1"/>
    </row>
    <row r="4288" spans="4:6" x14ac:dyDescent="0.25">
      <c r="D4288" s="1"/>
      <c r="F4288" s="1"/>
    </row>
    <row r="4289" spans="4:6" x14ac:dyDescent="0.25">
      <c r="D4289" s="1"/>
      <c r="F4289" s="1"/>
    </row>
    <row r="4290" spans="4:6" x14ac:dyDescent="0.25">
      <c r="D4290" s="1"/>
      <c r="F4290" s="1"/>
    </row>
    <row r="4291" spans="4:6" x14ac:dyDescent="0.25">
      <c r="D4291" s="1"/>
      <c r="F4291" s="1"/>
    </row>
    <row r="4292" spans="4:6" x14ac:dyDescent="0.25">
      <c r="D4292" s="1"/>
      <c r="F4292" s="1"/>
    </row>
    <row r="4293" spans="4:6" x14ac:dyDescent="0.25">
      <c r="D4293" s="1"/>
      <c r="F4293" s="1"/>
    </row>
    <row r="4294" spans="4:6" x14ac:dyDescent="0.25">
      <c r="D4294" s="1"/>
      <c r="F4294" s="1"/>
    </row>
    <row r="4295" spans="4:6" x14ac:dyDescent="0.25">
      <c r="D4295" s="1"/>
      <c r="F4295" s="1"/>
    </row>
    <row r="4296" spans="4:6" x14ac:dyDescent="0.25">
      <c r="D4296" s="1"/>
      <c r="F4296" s="1"/>
    </row>
    <row r="4297" spans="4:6" x14ac:dyDescent="0.25">
      <c r="D4297" s="1"/>
      <c r="F4297" s="1"/>
    </row>
    <row r="4298" spans="4:6" x14ac:dyDescent="0.25">
      <c r="D4298" s="1"/>
      <c r="F4298" s="1"/>
    </row>
    <row r="4299" spans="4:6" x14ac:dyDescent="0.25">
      <c r="D4299" s="1"/>
      <c r="F4299" s="1"/>
    </row>
    <row r="4300" spans="4:6" x14ac:dyDescent="0.25">
      <c r="D4300" s="1"/>
      <c r="F4300" s="1"/>
    </row>
    <row r="4301" spans="4:6" x14ac:dyDescent="0.25">
      <c r="D4301" s="1"/>
      <c r="F4301" s="1"/>
    </row>
    <row r="4302" spans="4:6" x14ac:dyDescent="0.25">
      <c r="D4302" s="1"/>
      <c r="F4302" s="1"/>
    </row>
    <row r="4303" spans="4:6" x14ac:dyDescent="0.25">
      <c r="D4303" s="1"/>
      <c r="F4303" s="1"/>
    </row>
    <row r="4304" spans="4:6" x14ac:dyDescent="0.25">
      <c r="D4304" s="1"/>
      <c r="F4304" s="1"/>
    </row>
    <row r="4305" spans="4:6" x14ac:dyDescent="0.25">
      <c r="D4305" s="1"/>
      <c r="F4305" s="1"/>
    </row>
    <row r="4306" spans="4:6" x14ac:dyDescent="0.25">
      <c r="D4306" s="1"/>
      <c r="F4306" s="1"/>
    </row>
    <row r="4307" spans="4:6" x14ac:dyDescent="0.25">
      <c r="D4307" s="1"/>
      <c r="F4307" s="1"/>
    </row>
    <row r="4308" spans="4:6" x14ac:dyDescent="0.25">
      <c r="D4308" s="1"/>
      <c r="F4308" s="1"/>
    </row>
    <row r="4309" spans="4:6" x14ac:dyDescent="0.25">
      <c r="D4309" s="1"/>
      <c r="F4309" s="1"/>
    </row>
    <row r="4310" spans="4:6" x14ac:dyDescent="0.25">
      <c r="D4310" s="1"/>
      <c r="F4310" s="1"/>
    </row>
    <row r="4311" spans="4:6" x14ac:dyDescent="0.25">
      <c r="D4311" s="1"/>
      <c r="F4311" s="1"/>
    </row>
    <row r="4312" spans="4:6" x14ac:dyDescent="0.25">
      <c r="D4312" s="1"/>
      <c r="F4312" s="1"/>
    </row>
    <row r="4313" spans="4:6" x14ac:dyDescent="0.25">
      <c r="D4313" s="1"/>
      <c r="F4313" s="1"/>
    </row>
    <row r="4314" spans="4:6" x14ac:dyDescent="0.25">
      <c r="D4314" s="1"/>
      <c r="F4314" s="1"/>
    </row>
    <row r="4315" spans="4:6" x14ac:dyDescent="0.25">
      <c r="D4315" s="1"/>
      <c r="F4315" s="1"/>
    </row>
    <row r="4316" spans="4:6" x14ac:dyDescent="0.25">
      <c r="D4316" s="1"/>
      <c r="F4316" s="1"/>
    </row>
    <row r="4317" spans="4:6" x14ac:dyDescent="0.25">
      <c r="D4317" s="1"/>
      <c r="F4317" s="1"/>
    </row>
    <row r="4318" spans="4:6" x14ac:dyDescent="0.25">
      <c r="D4318" s="1"/>
      <c r="F4318" s="1"/>
    </row>
    <row r="4319" spans="4:6" x14ac:dyDescent="0.25">
      <c r="D4319" s="1"/>
      <c r="F4319" s="1"/>
    </row>
    <row r="4320" spans="4:6" x14ac:dyDescent="0.25">
      <c r="D4320" s="1"/>
      <c r="F4320" s="1"/>
    </row>
    <row r="4321" spans="4:6" x14ac:dyDescent="0.25">
      <c r="D4321" s="1"/>
      <c r="F4321" s="1"/>
    </row>
    <row r="4322" spans="4:6" x14ac:dyDescent="0.25">
      <c r="D4322" s="1"/>
      <c r="F4322" s="1"/>
    </row>
    <row r="4323" spans="4:6" x14ac:dyDescent="0.25">
      <c r="D4323" s="1"/>
      <c r="F4323" s="1"/>
    </row>
    <row r="4324" spans="4:6" x14ac:dyDescent="0.25">
      <c r="D4324" s="1"/>
      <c r="F4324" s="1"/>
    </row>
    <row r="4325" spans="4:6" x14ac:dyDescent="0.25">
      <c r="D4325" s="1"/>
      <c r="F4325" s="1"/>
    </row>
    <row r="4326" spans="4:6" x14ac:dyDescent="0.25">
      <c r="D4326" s="1"/>
      <c r="F4326" s="1"/>
    </row>
    <row r="4327" spans="4:6" x14ac:dyDescent="0.25">
      <c r="D4327" s="1"/>
      <c r="F4327" s="1"/>
    </row>
    <row r="4328" spans="4:6" x14ac:dyDescent="0.25">
      <c r="D4328" s="1"/>
      <c r="F4328" s="1"/>
    </row>
    <row r="4329" spans="4:6" x14ac:dyDescent="0.25">
      <c r="D4329" s="1"/>
      <c r="F4329" s="1"/>
    </row>
    <row r="4330" spans="4:6" x14ac:dyDescent="0.25">
      <c r="D4330" s="1"/>
      <c r="F4330" s="1"/>
    </row>
    <row r="4331" spans="4:6" x14ac:dyDescent="0.25">
      <c r="D4331" s="1"/>
      <c r="F4331" s="1"/>
    </row>
    <row r="4332" spans="4:6" x14ac:dyDescent="0.25">
      <c r="D4332" s="1"/>
      <c r="F4332" s="1"/>
    </row>
    <row r="4333" spans="4:6" x14ac:dyDescent="0.25">
      <c r="D4333" s="1"/>
      <c r="F4333" s="1"/>
    </row>
    <row r="4334" spans="4:6" x14ac:dyDescent="0.25">
      <c r="D4334" s="1"/>
      <c r="F4334" s="1"/>
    </row>
    <row r="4335" spans="4:6" x14ac:dyDescent="0.25">
      <c r="D4335" s="1"/>
      <c r="F4335" s="1"/>
    </row>
    <row r="4336" spans="4:6" x14ac:dyDescent="0.25">
      <c r="D4336" s="1"/>
      <c r="F4336" s="1"/>
    </row>
    <row r="4337" spans="4:6" x14ac:dyDescent="0.25">
      <c r="D4337" s="1"/>
      <c r="F4337" s="1"/>
    </row>
    <row r="4338" spans="4:6" x14ac:dyDescent="0.25">
      <c r="D4338" s="1"/>
      <c r="F4338" s="1"/>
    </row>
    <row r="4339" spans="4:6" x14ac:dyDescent="0.25">
      <c r="D4339" s="1"/>
      <c r="F4339" s="1"/>
    </row>
    <row r="4340" spans="4:6" x14ac:dyDescent="0.25">
      <c r="D4340" s="1"/>
      <c r="F4340" s="1"/>
    </row>
    <row r="4341" spans="4:6" x14ac:dyDescent="0.25">
      <c r="D4341" s="1"/>
      <c r="F4341" s="1"/>
    </row>
    <row r="4342" spans="4:6" x14ac:dyDescent="0.25">
      <c r="D4342" s="1"/>
      <c r="F4342" s="1"/>
    </row>
    <row r="4343" spans="4:6" x14ac:dyDescent="0.25">
      <c r="D4343" s="1"/>
      <c r="F4343" s="1"/>
    </row>
    <row r="4344" spans="4:6" x14ac:dyDescent="0.25">
      <c r="D4344" s="1"/>
      <c r="F4344" s="1"/>
    </row>
    <row r="4345" spans="4:6" x14ac:dyDescent="0.25">
      <c r="D4345" s="1"/>
      <c r="F4345" s="1"/>
    </row>
    <row r="4346" spans="4:6" x14ac:dyDescent="0.25">
      <c r="D4346" s="1"/>
      <c r="F4346" s="1"/>
    </row>
    <row r="4347" spans="4:6" x14ac:dyDescent="0.25">
      <c r="D4347" s="1"/>
      <c r="F4347" s="1"/>
    </row>
    <row r="4348" spans="4:6" x14ac:dyDescent="0.25">
      <c r="D4348" s="1"/>
      <c r="F4348" s="1"/>
    </row>
    <row r="4349" spans="4:6" x14ac:dyDescent="0.25">
      <c r="D4349" s="1"/>
      <c r="F4349" s="1"/>
    </row>
    <row r="4350" spans="4:6" x14ac:dyDescent="0.25">
      <c r="D4350" s="1"/>
      <c r="F4350" s="1"/>
    </row>
    <row r="4351" spans="4:6" x14ac:dyDescent="0.25">
      <c r="D4351" s="1"/>
      <c r="F4351" s="1"/>
    </row>
    <row r="4352" spans="4:6" x14ac:dyDescent="0.25">
      <c r="D4352" s="1"/>
      <c r="F4352" s="1"/>
    </row>
    <row r="4353" spans="4:6" x14ac:dyDescent="0.25">
      <c r="D4353" s="1"/>
      <c r="F4353" s="1"/>
    </row>
    <row r="4354" spans="4:6" x14ac:dyDescent="0.25">
      <c r="D4354" s="1"/>
      <c r="F4354" s="1"/>
    </row>
    <row r="4355" spans="4:6" x14ac:dyDescent="0.25">
      <c r="D4355" s="1"/>
      <c r="F4355" s="1"/>
    </row>
    <row r="4356" spans="4:6" x14ac:dyDescent="0.25">
      <c r="D4356" s="1"/>
      <c r="F4356" s="1"/>
    </row>
    <row r="4357" spans="4:6" x14ac:dyDescent="0.25">
      <c r="D4357" s="1"/>
      <c r="F4357" s="1"/>
    </row>
    <row r="4358" spans="4:6" x14ac:dyDescent="0.25">
      <c r="D4358" s="1"/>
      <c r="F4358" s="1"/>
    </row>
    <row r="4359" spans="4:6" x14ac:dyDescent="0.25">
      <c r="D4359" s="1"/>
      <c r="F4359" s="1"/>
    </row>
    <row r="4360" spans="4:6" x14ac:dyDescent="0.25">
      <c r="D4360" s="1"/>
      <c r="F4360" s="1"/>
    </row>
    <row r="4361" spans="4:6" x14ac:dyDescent="0.25">
      <c r="D4361" s="1"/>
      <c r="F4361" s="1"/>
    </row>
    <row r="4362" spans="4:6" x14ac:dyDescent="0.25">
      <c r="D4362" s="1"/>
      <c r="F4362" s="1"/>
    </row>
    <row r="4363" spans="4:6" x14ac:dyDescent="0.25">
      <c r="D4363" s="1"/>
      <c r="F4363" s="1"/>
    </row>
    <row r="4364" spans="4:6" x14ac:dyDescent="0.25">
      <c r="D4364" s="1"/>
      <c r="F4364" s="1"/>
    </row>
    <row r="4365" spans="4:6" x14ac:dyDescent="0.25">
      <c r="D4365" s="1"/>
      <c r="F4365" s="1"/>
    </row>
    <row r="4366" spans="4:6" x14ac:dyDescent="0.25">
      <c r="D4366" s="1"/>
      <c r="F4366" s="1"/>
    </row>
    <row r="4367" spans="4:6" x14ac:dyDescent="0.25">
      <c r="D4367" s="1"/>
      <c r="F4367" s="1"/>
    </row>
    <row r="4368" spans="4:6" x14ac:dyDescent="0.25">
      <c r="D4368" s="1"/>
      <c r="F4368" s="1"/>
    </row>
    <row r="4369" spans="4:6" x14ac:dyDescent="0.25">
      <c r="D4369" s="1"/>
      <c r="F4369" s="1"/>
    </row>
    <row r="4370" spans="4:6" x14ac:dyDescent="0.25">
      <c r="D4370" s="1"/>
      <c r="F4370" s="1"/>
    </row>
    <row r="4371" spans="4:6" x14ac:dyDescent="0.25">
      <c r="D4371" s="1"/>
      <c r="F4371" s="1"/>
    </row>
    <row r="4372" spans="4:6" x14ac:dyDescent="0.25">
      <c r="D4372" s="1"/>
      <c r="F4372" s="1"/>
    </row>
    <row r="4373" spans="4:6" x14ac:dyDescent="0.25">
      <c r="D4373" s="1"/>
      <c r="F4373" s="1"/>
    </row>
    <row r="4374" spans="4:6" x14ac:dyDescent="0.25">
      <c r="D4374" s="1"/>
      <c r="F4374" s="1"/>
    </row>
    <row r="4375" spans="4:6" x14ac:dyDescent="0.25">
      <c r="D4375" s="1"/>
      <c r="F4375" s="1"/>
    </row>
    <row r="4376" spans="4:6" x14ac:dyDescent="0.25">
      <c r="D4376" s="1"/>
      <c r="F4376" s="1"/>
    </row>
    <row r="4377" spans="4:6" x14ac:dyDescent="0.25">
      <c r="D4377" s="1"/>
      <c r="F4377" s="1"/>
    </row>
    <row r="4378" spans="4:6" x14ac:dyDescent="0.25">
      <c r="D4378" s="1"/>
      <c r="F4378" s="1"/>
    </row>
    <row r="4379" spans="4:6" x14ac:dyDescent="0.25">
      <c r="D4379" s="1"/>
      <c r="F4379" s="1"/>
    </row>
    <row r="4380" spans="4:6" x14ac:dyDescent="0.25">
      <c r="D4380" s="1"/>
      <c r="F4380" s="1"/>
    </row>
    <row r="4381" spans="4:6" x14ac:dyDescent="0.25">
      <c r="D4381" s="1"/>
      <c r="F4381" s="1"/>
    </row>
    <row r="4382" spans="4:6" x14ac:dyDescent="0.25">
      <c r="D4382" s="1"/>
      <c r="F4382" s="1"/>
    </row>
    <row r="4383" spans="4:6" x14ac:dyDescent="0.25">
      <c r="D4383" s="1"/>
      <c r="F4383" s="1"/>
    </row>
    <row r="4384" spans="4:6" x14ac:dyDescent="0.25">
      <c r="D4384" s="1"/>
      <c r="F4384" s="1"/>
    </row>
    <row r="4385" spans="4:6" x14ac:dyDescent="0.25">
      <c r="D4385" s="1"/>
      <c r="F4385" s="1"/>
    </row>
    <row r="4386" spans="4:6" x14ac:dyDescent="0.25">
      <c r="D4386" s="1"/>
      <c r="F4386" s="1"/>
    </row>
    <row r="4387" spans="4:6" x14ac:dyDescent="0.25">
      <c r="D4387" s="1"/>
      <c r="F4387" s="1"/>
    </row>
    <row r="4388" spans="4:6" x14ac:dyDescent="0.25">
      <c r="D4388" s="1"/>
      <c r="F4388" s="1"/>
    </row>
    <row r="4389" spans="4:6" x14ac:dyDescent="0.25">
      <c r="D4389" s="1"/>
      <c r="F4389" s="1"/>
    </row>
    <row r="4390" spans="4:6" x14ac:dyDescent="0.25">
      <c r="D4390" s="1"/>
      <c r="F4390" s="1"/>
    </row>
    <row r="4391" spans="4:6" x14ac:dyDescent="0.25">
      <c r="D4391" s="1"/>
      <c r="F4391" s="1"/>
    </row>
    <row r="4392" spans="4:6" x14ac:dyDescent="0.25">
      <c r="D4392" s="1"/>
      <c r="F4392" s="1"/>
    </row>
    <row r="4393" spans="4:6" x14ac:dyDescent="0.25">
      <c r="D4393" s="1"/>
      <c r="F4393" s="1"/>
    </row>
    <row r="4394" spans="4:6" x14ac:dyDescent="0.25">
      <c r="D4394" s="1"/>
      <c r="F4394" s="1"/>
    </row>
    <row r="4395" spans="4:6" x14ac:dyDescent="0.25">
      <c r="D4395" s="1"/>
      <c r="F4395" s="1"/>
    </row>
    <row r="4396" spans="4:6" x14ac:dyDescent="0.25">
      <c r="D4396" s="1"/>
      <c r="F4396" s="1"/>
    </row>
    <row r="4397" spans="4:6" x14ac:dyDescent="0.25">
      <c r="D4397" s="1"/>
      <c r="F4397" s="1"/>
    </row>
    <row r="4398" spans="4:6" x14ac:dyDescent="0.25">
      <c r="D4398" s="1"/>
      <c r="F4398" s="1"/>
    </row>
    <row r="4399" spans="4:6" x14ac:dyDescent="0.25">
      <c r="D4399" s="1"/>
      <c r="F4399" s="1"/>
    </row>
    <row r="4400" spans="4:6" x14ac:dyDescent="0.25">
      <c r="D4400" s="1"/>
      <c r="F4400" s="1"/>
    </row>
    <row r="4401" spans="4:6" x14ac:dyDescent="0.25">
      <c r="D4401" s="1"/>
      <c r="F4401" s="1"/>
    </row>
    <row r="4402" spans="4:6" x14ac:dyDescent="0.25">
      <c r="D4402" s="1"/>
      <c r="F4402" s="1"/>
    </row>
    <row r="4403" spans="4:6" x14ac:dyDescent="0.25">
      <c r="D4403" s="1"/>
      <c r="F4403" s="1"/>
    </row>
    <row r="4404" spans="4:6" x14ac:dyDescent="0.25">
      <c r="D4404" s="1"/>
      <c r="F4404" s="1"/>
    </row>
    <row r="4405" spans="4:6" x14ac:dyDescent="0.25">
      <c r="D4405" s="1"/>
      <c r="F4405" s="1"/>
    </row>
    <row r="4406" spans="4:6" x14ac:dyDescent="0.25">
      <c r="D4406" s="1"/>
      <c r="F4406" s="1"/>
    </row>
    <row r="4407" spans="4:6" x14ac:dyDescent="0.25">
      <c r="D4407" s="1"/>
      <c r="F4407" s="1"/>
    </row>
    <row r="4408" spans="4:6" x14ac:dyDescent="0.25">
      <c r="D4408" s="1"/>
      <c r="F4408" s="1"/>
    </row>
    <row r="4409" spans="4:6" x14ac:dyDescent="0.25">
      <c r="D4409" s="1"/>
      <c r="F4409" s="1"/>
    </row>
    <row r="4410" spans="4:6" x14ac:dyDescent="0.25">
      <c r="D4410" s="1"/>
      <c r="F4410" s="1"/>
    </row>
    <row r="4411" spans="4:6" x14ac:dyDescent="0.25">
      <c r="D4411" s="1"/>
      <c r="F4411" s="1"/>
    </row>
    <row r="4412" spans="4:6" x14ac:dyDescent="0.25">
      <c r="D4412" s="1"/>
      <c r="F4412" s="1"/>
    </row>
    <row r="4413" spans="4:6" x14ac:dyDescent="0.25">
      <c r="D4413" s="1"/>
      <c r="F4413" s="1"/>
    </row>
    <row r="4414" spans="4:6" x14ac:dyDescent="0.25">
      <c r="D4414" s="1"/>
      <c r="F4414" s="1"/>
    </row>
    <row r="4415" spans="4:6" x14ac:dyDescent="0.25">
      <c r="D4415" s="1"/>
      <c r="F4415" s="1"/>
    </row>
    <row r="4416" spans="4:6" x14ac:dyDescent="0.25">
      <c r="D4416" s="1"/>
      <c r="F4416" s="1"/>
    </row>
    <row r="4417" spans="4:6" x14ac:dyDescent="0.25">
      <c r="D4417" s="1"/>
      <c r="F4417" s="1"/>
    </row>
    <row r="4418" spans="4:6" x14ac:dyDescent="0.25">
      <c r="D4418" s="1"/>
      <c r="F4418" s="1"/>
    </row>
    <row r="4419" spans="4:6" x14ac:dyDescent="0.25">
      <c r="D4419" s="1"/>
      <c r="F4419" s="1"/>
    </row>
    <row r="4420" spans="4:6" x14ac:dyDescent="0.25">
      <c r="D4420" s="1"/>
      <c r="F4420" s="1"/>
    </row>
    <row r="4421" spans="4:6" x14ac:dyDescent="0.25">
      <c r="D4421" s="1"/>
      <c r="F4421" s="1"/>
    </row>
    <row r="4422" spans="4:6" x14ac:dyDescent="0.25">
      <c r="D4422" s="1"/>
      <c r="F4422" s="1"/>
    </row>
    <row r="4423" spans="4:6" x14ac:dyDescent="0.25">
      <c r="D4423" s="1"/>
      <c r="F4423" s="1"/>
    </row>
    <row r="4424" spans="4:6" x14ac:dyDescent="0.25">
      <c r="D4424" s="1"/>
      <c r="F4424" s="1"/>
    </row>
    <row r="4425" spans="4:6" x14ac:dyDescent="0.25">
      <c r="D4425" s="1"/>
      <c r="F4425" s="1"/>
    </row>
    <row r="4426" spans="4:6" x14ac:dyDescent="0.25">
      <c r="D4426" s="1"/>
      <c r="F4426" s="1"/>
    </row>
    <row r="4427" spans="4:6" x14ac:dyDescent="0.25">
      <c r="D4427" s="1"/>
      <c r="F4427" s="1"/>
    </row>
    <row r="4428" spans="4:6" x14ac:dyDescent="0.25">
      <c r="D4428" s="1"/>
      <c r="F4428" s="1"/>
    </row>
    <row r="4429" spans="4:6" x14ac:dyDescent="0.25">
      <c r="D4429" s="1"/>
      <c r="F4429" s="1"/>
    </row>
    <row r="4430" spans="4:6" x14ac:dyDescent="0.25">
      <c r="D4430" s="1"/>
      <c r="F4430" s="1"/>
    </row>
    <row r="4431" spans="4:6" x14ac:dyDescent="0.25">
      <c r="D4431" s="1"/>
      <c r="F4431" s="1"/>
    </row>
    <row r="4432" spans="4:6" x14ac:dyDescent="0.25">
      <c r="D4432" s="1"/>
      <c r="F4432" s="1"/>
    </row>
    <row r="4433" spans="4:6" x14ac:dyDescent="0.25">
      <c r="D4433" s="1"/>
      <c r="F4433" s="1"/>
    </row>
    <row r="4434" spans="4:6" x14ac:dyDescent="0.25">
      <c r="D4434" s="1"/>
      <c r="F4434" s="1"/>
    </row>
    <row r="4435" spans="4:6" x14ac:dyDescent="0.25">
      <c r="D4435" s="1"/>
      <c r="F4435" s="1"/>
    </row>
    <row r="4436" spans="4:6" x14ac:dyDescent="0.25">
      <c r="D4436" s="1"/>
      <c r="F4436" s="1"/>
    </row>
    <row r="4437" spans="4:6" x14ac:dyDescent="0.25">
      <c r="D4437" s="1"/>
      <c r="F4437" s="1"/>
    </row>
    <row r="4438" spans="4:6" x14ac:dyDescent="0.25">
      <c r="D4438" s="1"/>
      <c r="F4438" s="1"/>
    </row>
    <row r="4439" spans="4:6" x14ac:dyDescent="0.25">
      <c r="D4439" s="1"/>
      <c r="F4439" s="1"/>
    </row>
  </sheetData>
  <phoneticPr fontId="3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6"/>
  <dimension ref="A1:O3"/>
  <sheetViews>
    <sheetView workbookViewId="0">
      <selection activeCell="N3" sqref="N3"/>
    </sheetView>
  </sheetViews>
  <sheetFormatPr defaultRowHeight="15" x14ac:dyDescent="0.25"/>
  <cols>
    <col min="1" max="2" width="9.140625" style="2"/>
    <col min="3" max="3" width="9.28515625" style="2" customWidth="1"/>
    <col min="4" max="9" width="9.140625" style="2"/>
    <col min="10" max="10" width="10.28515625" style="2" customWidth="1"/>
    <col min="11" max="11" width="9.85546875" style="2" customWidth="1"/>
    <col min="12" max="13" width="9.140625" style="2"/>
    <col min="14" max="14" width="9.5703125" style="2" customWidth="1"/>
    <col min="15" max="15" width="10.85546875" style="3" customWidth="1"/>
  </cols>
  <sheetData>
    <row r="1" spans="1:15" ht="15.75" x14ac:dyDescent="0.25">
      <c r="A1" s="148" t="s">
        <v>35</v>
      </c>
      <c r="B1" s="148"/>
      <c r="C1" s="148"/>
      <c r="D1" s="148"/>
      <c r="E1" s="148"/>
      <c r="F1" s="148"/>
      <c r="G1" s="148"/>
      <c r="H1" s="148" t="s">
        <v>36</v>
      </c>
      <c r="I1" s="148"/>
      <c r="J1" s="148"/>
      <c r="K1" s="148"/>
      <c r="L1" s="148"/>
      <c r="M1" s="148"/>
      <c r="N1" s="148"/>
    </row>
    <row r="2" spans="1:15" ht="15.75" thickBot="1" x14ac:dyDescent="0.3">
      <c r="A2" s="5" t="s">
        <v>28</v>
      </c>
      <c r="B2" s="5" t="s">
        <v>29</v>
      </c>
      <c r="C2" s="5" t="s">
        <v>30</v>
      </c>
      <c r="D2" s="5" t="s">
        <v>31</v>
      </c>
      <c r="E2" s="5" t="s">
        <v>32</v>
      </c>
      <c r="F2" s="5" t="s">
        <v>33</v>
      </c>
      <c r="G2" s="5" t="s">
        <v>34</v>
      </c>
      <c r="H2" s="5" t="s">
        <v>38</v>
      </c>
      <c r="I2" s="5" t="s">
        <v>39</v>
      </c>
      <c r="J2" s="5" t="s">
        <v>40</v>
      </c>
      <c r="K2" s="5" t="s">
        <v>41</v>
      </c>
      <c r="L2" s="5" t="s">
        <v>42</v>
      </c>
      <c r="M2" s="5" t="s">
        <v>43</v>
      </c>
      <c r="N2" s="5" t="s">
        <v>44</v>
      </c>
      <c r="O2" s="4" t="s">
        <v>37</v>
      </c>
    </row>
    <row r="3" spans="1:15" x14ac:dyDescent="0.25">
      <c r="A3" s="1"/>
      <c r="H3" s="1"/>
      <c r="O3" s="3" t="str">
        <f>IF(Tabela4[[#This Row],[SEG/]]&gt;0,"SEG/",IF(Tabela4[[#This Row],[TER/]]&gt;0,"TER/",IF(Tabela4[[#This Row],[QUAR/]]&gt;0,"QUAR/",IF(Tabela4[[#This Row],[QUIN/]]&gt;0,"QUIN/",IF(Tabela4[[#This Row],[SEX/]]&gt;0,"SEX/",IF(Tabela4[[#This Row],[SAB/]]&gt;0,"SAB/",IF(Tabela4[[#This Row],[DOM/]]&gt;0,"DOM/",IF(Tabela4[[#This Row],[SEG2/]]&gt;0,"SEG/",IF(Tabela4[[#This Row],[TER2/]]&gt;0,"TER/",IF(Tabela4[[#This Row],[QUAR2/]]&gt;0,"QUAR/",IF(Tabela4[[#This Row],[QUIN2/]]&gt;0,"QUIN/",IF(Tabela4[[#This Row],[SEX2/]]&gt;0,"SEX/",IF(Tabela4[[#This Row],[SAB2/]]&gt;0,"SAB/",IF(Tabela4[[#This Row],[DOM2/]]&gt;0,"DOM/","SEM VISITA"))))))))))))))</f>
        <v>SEM VISITA</v>
      </c>
    </row>
  </sheetData>
  <mergeCells count="2">
    <mergeCell ref="A1:G1"/>
    <mergeCell ref="H1:N1"/>
  </mergeCells>
  <phoneticPr fontId="3" type="noConversion"/>
  <conditionalFormatting sqref="O1:O1048576">
    <cfRule type="cellIs" dxfId="7" priority="1" operator="equal">
      <formula>"SEM VISITA"</formula>
    </cfRule>
    <cfRule type="cellIs" dxfId="6" priority="2" operator="equal">
      <formula>"DOM/"</formula>
    </cfRule>
    <cfRule type="cellIs" dxfId="5" priority="3" operator="equal">
      <formula>"SAB/"</formula>
    </cfRule>
    <cfRule type="cellIs" dxfId="4" priority="4" operator="equal">
      <formula>"SEX/"</formula>
    </cfRule>
    <cfRule type="cellIs" dxfId="3" priority="5" operator="equal">
      <formula>"QUIN/"</formula>
    </cfRule>
    <cfRule type="cellIs" dxfId="2" priority="6" operator="equal">
      <formula>"QUAR/"</formula>
    </cfRule>
    <cfRule type="cellIs" dxfId="1" priority="7" operator="equal">
      <formula>"TER/"</formula>
    </cfRule>
    <cfRule type="cellIs" dxfId="0" priority="8" operator="equal">
      <formula>"SEG/"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G4439"/>
  <sheetViews>
    <sheetView workbookViewId="0">
      <selection activeCell="F2" sqref="F2:F4439"/>
    </sheetView>
  </sheetViews>
  <sheetFormatPr defaultRowHeight="15" x14ac:dyDescent="0.25"/>
  <cols>
    <col min="1" max="1" width="12.7109375" bestFit="1" customWidth="1"/>
    <col min="2" max="2" width="12.85546875" bestFit="1" customWidth="1"/>
    <col min="5" max="5" width="11.28515625" bestFit="1" customWidth="1"/>
    <col min="6" max="7" width="10.28515625" customWidth="1"/>
  </cols>
  <sheetData>
    <row r="1" spans="1:7" x14ac:dyDescent="0.25">
      <c r="A1" t="s">
        <v>120</v>
      </c>
      <c r="B1" t="s">
        <v>121</v>
      </c>
      <c r="C1" t="s">
        <v>122</v>
      </c>
      <c r="E1" t="s">
        <v>134</v>
      </c>
      <c r="F1" t="s">
        <v>135</v>
      </c>
      <c r="G1" t="s">
        <v>136</v>
      </c>
    </row>
    <row r="2" spans="1:7" x14ac:dyDescent="0.25">
      <c r="A2">
        <v>1</v>
      </c>
      <c r="B2">
        <v>109</v>
      </c>
      <c r="C2" t="str">
        <f>IF(Tabela8[[#This Row],[SETOR]]="","",IF(Tabela8[[#This Row],[SETOR]]&lt;200,"GV 10",IF(Tabela8[[#This Row],[SETOR]]&lt;300,"GV 20",IF(Tabela8[[#This Row],[SETOR]]&lt;400,"GV 30","S/GV"))))</f>
        <v>GV 10</v>
      </c>
      <c r="E2" t="s">
        <v>123</v>
      </c>
      <c r="G2" t="str">
        <f>_xlfn.CONCAT(Tabela9[[#This Row],[Coluna1]],Tabela9[[#This Row],[Coluna2]])</f>
        <v>20-Rota</v>
      </c>
    </row>
    <row r="3" spans="1:7" x14ac:dyDescent="0.25">
      <c r="A3">
        <v>16</v>
      </c>
      <c r="B3">
        <v>109</v>
      </c>
      <c r="C3" s="1" t="str">
        <f>IF(Tabela8[[#This Row],[SETOR]]="","",IF(Tabela8[[#This Row],[SETOR]]&lt;200,"GV 10",IF(Tabela8[[#This Row],[SETOR]]&lt;300,"GV 20",IF(Tabela8[[#This Row],[SETOR]]&lt;400,"GV 30","S/GV"))))</f>
        <v>GV 10</v>
      </c>
      <c r="E3" t="s">
        <v>124</v>
      </c>
      <c r="G3" t="str">
        <f>_xlfn.CONCAT(Tabela9[[#This Row],[Coluna1]],Tabela9[[#This Row],[Coluna2]])</f>
        <v>19-VIP</v>
      </c>
    </row>
    <row r="4" spans="1:7" x14ac:dyDescent="0.25">
      <c r="A4">
        <v>38</v>
      </c>
      <c r="B4">
        <v>101</v>
      </c>
      <c r="C4" s="1" t="str">
        <f>IF(Tabela8[[#This Row],[SETOR]]="","",IF(Tabela8[[#This Row],[SETOR]]&lt;200,"GV 10",IF(Tabela8[[#This Row],[SETOR]]&lt;300,"GV 20",IF(Tabela8[[#This Row],[SETOR]]&lt;400,"GV 30","S/GV"))))</f>
        <v>GV 10</v>
      </c>
      <c r="E4" t="s">
        <v>124</v>
      </c>
      <c r="G4" t="str">
        <f>_xlfn.CONCAT(Tabela9[[#This Row],[Coluna1]],Tabela9[[#This Row],[Coluna2]])</f>
        <v>19-VIP</v>
      </c>
    </row>
    <row r="5" spans="1:7" x14ac:dyDescent="0.25">
      <c r="A5">
        <v>40</v>
      </c>
      <c r="B5">
        <v>104</v>
      </c>
      <c r="C5" s="1" t="str">
        <f>IF(Tabela8[[#This Row],[SETOR]]="","",IF(Tabela8[[#This Row],[SETOR]]&lt;200,"GV 10",IF(Tabela8[[#This Row],[SETOR]]&lt;300,"GV 20",IF(Tabela8[[#This Row],[SETOR]]&lt;400,"GV 30","S/GV"))))</f>
        <v>GV 10</v>
      </c>
      <c r="E5" t="s">
        <v>123</v>
      </c>
      <c r="G5" t="str">
        <f>_xlfn.CONCAT(Tabela9[[#This Row],[Coluna1]],Tabela9[[#This Row],[Coluna2]])</f>
        <v>20-Rota</v>
      </c>
    </row>
    <row r="6" spans="1:7" x14ac:dyDescent="0.25">
      <c r="A6">
        <v>44</v>
      </c>
      <c r="B6">
        <v>109</v>
      </c>
      <c r="C6" s="1" t="str">
        <f>IF(Tabela8[[#This Row],[SETOR]]="","",IF(Tabela8[[#This Row],[SETOR]]&lt;200,"GV 10",IF(Tabela8[[#This Row],[SETOR]]&lt;300,"GV 20",IF(Tabela8[[#This Row],[SETOR]]&lt;400,"GV 30","S/GV"))))</f>
        <v>GV 10</v>
      </c>
      <c r="E6" t="s">
        <v>123</v>
      </c>
      <c r="G6" t="str">
        <f>_xlfn.CONCAT(Tabela9[[#This Row],[Coluna1]],Tabela9[[#This Row],[Coluna2]])</f>
        <v>20-Rota</v>
      </c>
    </row>
    <row r="7" spans="1:7" x14ac:dyDescent="0.25">
      <c r="A7">
        <v>48</v>
      </c>
      <c r="B7">
        <v>109</v>
      </c>
      <c r="C7" s="1" t="str">
        <f>IF(Tabela8[[#This Row],[SETOR]]="","",IF(Tabela8[[#This Row],[SETOR]]&lt;200,"GV 10",IF(Tabela8[[#This Row],[SETOR]]&lt;300,"GV 20",IF(Tabela8[[#This Row],[SETOR]]&lt;400,"GV 30","S/GV"))))</f>
        <v>GV 10</v>
      </c>
      <c r="E7" t="s">
        <v>123</v>
      </c>
      <c r="G7" t="str">
        <f>_xlfn.CONCAT(Tabela9[[#This Row],[Coluna1]],Tabela9[[#This Row],[Coluna2]])</f>
        <v>20-Rota</v>
      </c>
    </row>
    <row r="8" spans="1:7" x14ac:dyDescent="0.25">
      <c r="A8">
        <v>61</v>
      </c>
      <c r="B8">
        <v>108</v>
      </c>
      <c r="C8" s="1" t="str">
        <f>IF(Tabela8[[#This Row],[SETOR]]="","",IF(Tabela8[[#This Row],[SETOR]]&lt;200,"GV 10",IF(Tabela8[[#This Row],[SETOR]]&lt;300,"GV 20",IF(Tabela8[[#This Row],[SETOR]]&lt;400,"GV 30","S/GV"))))</f>
        <v>GV 10</v>
      </c>
      <c r="E8" t="s">
        <v>125</v>
      </c>
      <c r="G8" t="str">
        <f>_xlfn.CONCAT(Tabela9[[#This Row],[Coluna1]],Tabela9[[#This Row],[Coluna2]])</f>
        <v>18-TRAD</v>
      </c>
    </row>
    <row r="9" spans="1:7" x14ac:dyDescent="0.25">
      <c r="A9">
        <v>73</v>
      </c>
      <c r="B9">
        <v>102</v>
      </c>
      <c r="C9" s="1" t="str">
        <f>IF(Tabela8[[#This Row],[SETOR]]="","",IF(Tabela8[[#This Row],[SETOR]]&lt;200,"GV 10",IF(Tabela8[[#This Row],[SETOR]]&lt;300,"GV 20",IF(Tabela8[[#This Row],[SETOR]]&lt;400,"GV 30","S/GV"))))</f>
        <v>GV 10</v>
      </c>
      <c r="E9" t="s">
        <v>123</v>
      </c>
      <c r="G9" t="str">
        <f>_xlfn.CONCAT(Tabela9[[#This Row],[Coluna1]],Tabela9[[#This Row],[Coluna2]])</f>
        <v>20-Rota</v>
      </c>
    </row>
    <row r="10" spans="1:7" x14ac:dyDescent="0.25">
      <c r="A10">
        <v>76</v>
      </c>
      <c r="B10">
        <v>102</v>
      </c>
      <c r="C10" s="1" t="str">
        <f>IF(Tabela8[[#This Row],[SETOR]]="","",IF(Tabela8[[#This Row],[SETOR]]&lt;200,"GV 10",IF(Tabela8[[#This Row],[SETOR]]&lt;300,"GV 20",IF(Tabela8[[#This Row],[SETOR]]&lt;400,"GV 30","S/GV"))))</f>
        <v>GV 10</v>
      </c>
      <c r="E10" t="s">
        <v>123</v>
      </c>
      <c r="G10" t="str">
        <f>_xlfn.CONCAT(Tabela9[[#This Row],[Coluna1]],Tabela9[[#This Row],[Coluna2]])</f>
        <v>20-Rota</v>
      </c>
    </row>
    <row r="11" spans="1:7" x14ac:dyDescent="0.25">
      <c r="A11">
        <v>91</v>
      </c>
      <c r="B11">
        <v>306</v>
      </c>
      <c r="C11" s="1" t="str">
        <f>IF(Tabela8[[#This Row],[SETOR]]="","",IF(Tabela8[[#This Row],[SETOR]]&lt;200,"GV 10",IF(Tabela8[[#This Row],[SETOR]]&lt;300,"GV 20",IF(Tabela8[[#This Row],[SETOR]]&lt;400,"GV 30","S/GV"))))</f>
        <v>GV 30</v>
      </c>
      <c r="E11" t="s">
        <v>125</v>
      </c>
      <c r="G11" t="str">
        <f>_xlfn.CONCAT(Tabela9[[#This Row],[Coluna1]],Tabela9[[#This Row],[Coluna2]])</f>
        <v>18-TRAD</v>
      </c>
    </row>
    <row r="12" spans="1:7" x14ac:dyDescent="0.25">
      <c r="A12">
        <v>96</v>
      </c>
      <c r="B12">
        <v>109</v>
      </c>
      <c r="C12" s="1" t="str">
        <f>IF(Tabela8[[#This Row],[SETOR]]="","",IF(Tabela8[[#This Row],[SETOR]]&lt;200,"GV 10",IF(Tabela8[[#This Row],[SETOR]]&lt;300,"GV 20",IF(Tabela8[[#This Row],[SETOR]]&lt;400,"GV 30","S/GV"))))</f>
        <v>GV 10</v>
      </c>
      <c r="E12" t="s">
        <v>123</v>
      </c>
      <c r="G12" t="str">
        <f>_xlfn.CONCAT(Tabela9[[#This Row],[Coluna1]],Tabela9[[#This Row],[Coluna2]])</f>
        <v>20-Rota</v>
      </c>
    </row>
    <row r="13" spans="1:7" x14ac:dyDescent="0.25">
      <c r="A13">
        <v>101</v>
      </c>
      <c r="B13">
        <v>203</v>
      </c>
      <c r="C13" s="1" t="str">
        <f>IF(Tabela8[[#This Row],[SETOR]]="","",IF(Tabela8[[#This Row],[SETOR]]&lt;200,"GV 10",IF(Tabela8[[#This Row],[SETOR]]&lt;300,"GV 20",IF(Tabela8[[#This Row],[SETOR]]&lt;400,"GV 30","S/GV"))))</f>
        <v>GV 20</v>
      </c>
      <c r="E13" t="s">
        <v>123</v>
      </c>
      <c r="G13" t="str">
        <f>_xlfn.CONCAT(Tabela9[[#This Row],[Coluna1]],Tabela9[[#This Row],[Coluna2]])</f>
        <v>20-Rota</v>
      </c>
    </row>
    <row r="14" spans="1:7" x14ac:dyDescent="0.25">
      <c r="A14">
        <v>114</v>
      </c>
      <c r="B14">
        <v>109</v>
      </c>
      <c r="C14" s="1" t="str">
        <f>IF(Tabela8[[#This Row],[SETOR]]="","",IF(Tabela8[[#This Row],[SETOR]]&lt;200,"GV 10",IF(Tabela8[[#This Row],[SETOR]]&lt;300,"GV 20",IF(Tabela8[[#This Row],[SETOR]]&lt;400,"GV 30","S/GV"))))</f>
        <v>GV 10</v>
      </c>
      <c r="E14" t="s">
        <v>123</v>
      </c>
      <c r="G14" t="str">
        <f>_xlfn.CONCAT(Tabela9[[#This Row],[Coluna1]],Tabela9[[#This Row],[Coluna2]])</f>
        <v>20-Rota</v>
      </c>
    </row>
    <row r="15" spans="1:7" x14ac:dyDescent="0.25">
      <c r="A15">
        <v>134</v>
      </c>
      <c r="B15">
        <v>109</v>
      </c>
      <c r="C15" s="1" t="str">
        <f>IF(Tabela8[[#This Row],[SETOR]]="","",IF(Tabela8[[#This Row],[SETOR]]&lt;200,"GV 10",IF(Tabela8[[#This Row],[SETOR]]&lt;300,"GV 20",IF(Tabela8[[#This Row],[SETOR]]&lt;400,"GV 30","S/GV"))))</f>
        <v>GV 10</v>
      </c>
      <c r="E15" t="s">
        <v>123</v>
      </c>
      <c r="G15" t="str">
        <f>_xlfn.CONCAT(Tabela9[[#This Row],[Coluna1]],Tabela9[[#This Row],[Coluna2]])</f>
        <v>20-Rota</v>
      </c>
    </row>
    <row r="16" spans="1:7" x14ac:dyDescent="0.25">
      <c r="A16">
        <v>151</v>
      </c>
      <c r="B16">
        <v>109</v>
      </c>
      <c r="C16" s="1" t="str">
        <f>IF(Tabela8[[#This Row],[SETOR]]="","",IF(Tabela8[[#This Row],[SETOR]]&lt;200,"GV 10",IF(Tabela8[[#This Row],[SETOR]]&lt;300,"GV 20",IF(Tabela8[[#This Row],[SETOR]]&lt;400,"GV 30","S/GV"))))</f>
        <v>GV 10</v>
      </c>
      <c r="E16" t="s">
        <v>123</v>
      </c>
      <c r="G16" t="str">
        <f>_xlfn.CONCAT(Tabela9[[#This Row],[Coluna1]],Tabela9[[#This Row],[Coluna2]])</f>
        <v>20-Rota</v>
      </c>
    </row>
    <row r="17" spans="1:7" x14ac:dyDescent="0.25">
      <c r="A17">
        <v>161</v>
      </c>
      <c r="B17">
        <v>107</v>
      </c>
      <c r="C17" s="1" t="str">
        <f>IF(Tabela8[[#This Row],[SETOR]]="","",IF(Tabela8[[#This Row],[SETOR]]&lt;200,"GV 10",IF(Tabela8[[#This Row],[SETOR]]&lt;300,"GV 20",IF(Tabela8[[#This Row],[SETOR]]&lt;400,"GV 30","S/GV"))))</f>
        <v>GV 10</v>
      </c>
      <c r="E17" t="s">
        <v>125</v>
      </c>
      <c r="G17" t="str">
        <f>_xlfn.CONCAT(Tabela9[[#This Row],[Coluna1]],Tabela9[[#This Row],[Coluna2]])</f>
        <v>18-TRAD</v>
      </c>
    </row>
    <row r="18" spans="1:7" x14ac:dyDescent="0.25">
      <c r="A18">
        <v>168</v>
      </c>
      <c r="B18">
        <v>302</v>
      </c>
      <c r="C18" s="1" t="str">
        <f>IF(Tabela8[[#This Row],[SETOR]]="","",IF(Tabela8[[#This Row],[SETOR]]&lt;200,"GV 10",IF(Tabela8[[#This Row],[SETOR]]&lt;300,"GV 20",IF(Tabela8[[#This Row],[SETOR]]&lt;400,"GV 30","S/GV"))))</f>
        <v>GV 30</v>
      </c>
      <c r="E18" t="s">
        <v>123</v>
      </c>
      <c r="G18" t="str">
        <f>_xlfn.CONCAT(Tabela9[[#This Row],[Coluna1]],Tabela9[[#This Row],[Coluna2]])</f>
        <v>20-Rota</v>
      </c>
    </row>
    <row r="19" spans="1:7" x14ac:dyDescent="0.25">
      <c r="A19">
        <v>169</v>
      </c>
      <c r="B19">
        <v>107</v>
      </c>
      <c r="C19" s="1" t="str">
        <f>IF(Tabela8[[#This Row],[SETOR]]="","",IF(Tabela8[[#This Row],[SETOR]]&lt;200,"GV 10",IF(Tabela8[[#This Row],[SETOR]]&lt;300,"GV 20",IF(Tabela8[[#This Row],[SETOR]]&lt;400,"GV 30","S/GV"))))</f>
        <v>GV 10</v>
      </c>
      <c r="E19" t="s">
        <v>125</v>
      </c>
      <c r="G19" t="str">
        <f>_xlfn.CONCAT(Tabela9[[#This Row],[Coluna1]],Tabela9[[#This Row],[Coluna2]])</f>
        <v>18-TRAD</v>
      </c>
    </row>
    <row r="20" spans="1:7" x14ac:dyDescent="0.25">
      <c r="A20">
        <v>202</v>
      </c>
      <c r="B20">
        <v>304</v>
      </c>
      <c r="C20" s="1" t="str">
        <f>IF(Tabela8[[#This Row],[SETOR]]="","",IF(Tabela8[[#This Row],[SETOR]]&lt;200,"GV 10",IF(Tabela8[[#This Row],[SETOR]]&lt;300,"GV 20",IF(Tabela8[[#This Row],[SETOR]]&lt;400,"GV 30","S/GV"))))</f>
        <v>GV 30</v>
      </c>
      <c r="E20" t="s">
        <v>123</v>
      </c>
      <c r="G20" t="str">
        <f>_xlfn.CONCAT(Tabela9[[#This Row],[Coluna1]],Tabela9[[#This Row],[Coluna2]])</f>
        <v>20-Rota</v>
      </c>
    </row>
    <row r="21" spans="1:7" x14ac:dyDescent="0.25">
      <c r="A21">
        <v>219</v>
      </c>
      <c r="B21">
        <v>107</v>
      </c>
      <c r="C21" s="1" t="str">
        <f>IF(Tabela8[[#This Row],[SETOR]]="","",IF(Tabela8[[#This Row],[SETOR]]&lt;200,"GV 10",IF(Tabela8[[#This Row],[SETOR]]&lt;300,"GV 20",IF(Tabela8[[#This Row],[SETOR]]&lt;400,"GV 30","S/GV"))))</f>
        <v>GV 10</v>
      </c>
      <c r="E21" t="s">
        <v>125</v>
      </c>
      <c r="G21" t="str">
        <f>_xlfn.CONCAT(Tabela9[[#This Row],[Coluna1]],Tabela9[[#This Row],[Coluna2]])</f>
        <v>18-TRAD</v>
      </c>
    </row>
    <row r="22" spans="1:7" x14ac:dyDescent="0.25">
      <c r="A22">
        <v>260</v>
      </c>
      <c r="B22">
        <v>104</v>
      </c>
      <c r="C22" s="1" t="str">
        <f>IF(Tabela8[[#This Row],[SETOR]]="","",IF(Tabela8[[#This Row],[SETOR]]&lt;200,"GV 10",IF(Tabela8[[#This Row],[SETOR]]&lt;300,"GV 20",IF(Tabela8[[#This Row],[SETOR]]&lt;400,"GV 30","S/GV"))))</f>
        <v>GV 10</v>
      </c>
      <c r="E22" t="s">
        <v>123</v>
      </c>
      <c r="G22" t="str">
        <f>_xlfn.CONCAT(Tabela9[[#This Row],[Coluna1]],Tabela9[[#This Row],[Coluna2]])</f>
        <v>20-Rota</v>
      </c>
    </row>
    <row r="23" spans="1:7" x14ac:dyDescent="0.25">
      <c r="A23">
        <v>273</v>
      </c>
      <c r="B23">
        <v>104</v>
      </c>
      <c r="C23" s="1" t="str">
        <f>IF(Tabela8[[#This Row],[SETOR]]="","",IF(Tabela8[[#This Row],[SETOR]]&lt;200,"GV 10",IF(Tabela8[[#This Row],[SETOR]]&lt;300,"GV 20",IF(Tabela8[[#This Row],[SETOR]]&lt;400,"GV 30","S/GV"))))</f>
        <v>GV 10</v>
      </c>
      <c r="E23" t="s">
        <v>123</v>
      </c>
      <c r="G23" t="str">
        <f>_xlfn.CONCAT(Tabela9[[#This Row],[Coluna1]],Tabela9[[#This Row],[Coluna2]])</f>
        <v>20-Rota</v>
      </c>
    </row>
    <row r="24" spans="1:7" x14ac:dyDescent="0.25">
      <c r="A24">
        <v>278</v>
      </c>
      <c r="B24">
        <v>104</v>
      </c>
      <c r="C24" s="1" t="str">
        <f>IF(Tabela8[[#This Row],[SETOR]]="","",IF(Tabela8[[#This Row],[SETOR]]&lt;200,"GV 10",IF(Tabela8[[#This Row],[SETOR]]&lt;300,"GV 20",IF(Tabela8[[#This Row],[SETOR]]&lt;400,"GV 30","S/GV"))))</f>
        <v>GV 10</v>
      </c>
      <c r="E24" t="s">
        <v>123</v>
      </c>
      <c r="G24" t="str">
        <f>_xlfn.CONCAT(Tabela9[[#This Row],[Coluna1]],Tabela9[[#This Row],[Coluna2]])</f>
        <v>20-Rota</v>
      </c>
    </row>
    <row r="25" spans="1:7" x14ac:dyDescent="0.25">
      <c r="A25">
        <v>295</v>
      </c>
      <c r="B25">
        <v>201</v>
      </c>
      <c r="C25" s="1" t="str">
        <f>IF(Tabela8[[#This Row],[SETOR]]="","",IF(Tabela8[[#This Row],[SETOR]]&lt;200,"GV 10",IF(Tabela8[[#This Row],[SETOR]]&lt;300,"GV 20",IF(Tabela8[[#This Row],[SETOR]]&lt;400,"GV 30","S/GV"))))</f>
        <v>GV 20</v>
      </c>
      <c r="E25" t="s">
        <v>125</v>
      </c>
      <c r="G25" t="str">
        <f>_xlfn.CONCAT(Tabela9[[#This Row],[Coluna1]],Tabela9[[#This Row],[Coluna2]])</f>
        <v>18-TRAD</v>
      </c>
    </row>
    <row r="26" spans="1:7" x14ac:dyDescent="0.25">
      <c r="A26">
        <v>298</v>
      </c>
      <c r="B26">
        <v>109</v>
      </c>
      <c r="C26" s="1" t="str">
        <f>IF(Tabela8[[#This Row],[SETOR]]="","",IF(Tabela8[[#This Row],[SETOR]]&lt;200,"GV 10",IF(Tabela8[[#This Row],[SETOR]]&lt;300,"GV 20",IF(Tabela8[[#This Row],[SETOR]]&lt;400,"GV 30","S/GV"))))</f>
        <v>GV 10</v>
      </c>
      <c r="E26" t="s">
        <v>123</v>
      </c>
      <c r="G26" t="str">
        <f>_xlfn.CONCAT(Tabela9[[#This Row],[Coluna1]],Tabela9[[#This Row],[Coluna2]])</f>
        <v>20-Rota</v>
      </c>
    </row>
    <row r="27" spans="1:7" x14ac:dyDescent="0.25">
      <c r="A27">
        <v>302</v>
      </c>
      <c r="B27">
        <v>208</v>
      </c>
      <c r="C27" s="1" t="str">
        <f>IF(Tabela8[[#This Row],[SETOR]]="","",IF(Tabela8[[#This Row],[SETOR]]&lt;200,"GV 10",IF(Tabela8[[#This Row],[SETOR]]&lt;300,"GV 20",IF(Tabela8[[#This Row],[SETOR]]&lt;400,"GV 30","S/GV"))))</f>
        <v>GV 20</v>
      </c>
      <c r="E27" t="s">
        <v>126</v>
      </c>
      <c r="F27" t="s">
        <v>127</v>
      </c>
      <c r="G27" t="str">
        <f>_xlfn.CONCAT(Tabela9[[#This Row],[Coluna1]],Tabela9[[#This Row],[Coluna2]])</f>
        <v>16-AS(5+)</v>
      </c>
    </row>
    <row r="28" spans="1:7" x14ac:dyDescent="0.25">
      <c r="A28">
        <v>305</v>
      </c>
      <c r="B28">
        <v>109</v>
      </c>
      <c r="C28" s="1" t="str">
        <f>IF(Tabela8[[#This Row],[SETOR]]="","",IF(Tabela8[[#This Row],[SETOR]]&lt;200,"GV 10",IF(Tabela8[[#This Row],[SETOR]]&lt;300,"GV 20",IF(Tabela8[[#This Row],[SETOR]]&lt;400,"GV 30","S/GV"))))</f>
        <v>GV 10</v>
      </c>
      <c r="E28" t="s">
        <v>123</v>
      </c>
      <c r="G28" t="str">
        <f>_xlfn.CONCAT(Tabela9[[#This Row],[Coluna1]],Tabela9[[#This Row],[Coluna2]])</f>
        <v>20-Rota</v>
      </c>
    </row>
    <row r="29" spans="1:7" x14ac:dyDescent="0.25">
      <c r="A29">
        <v>307</v>
      </c>
      <c r="B29">
        <v>109</v>
      </c>
      <c r="C29" s="1" t="str">
        <f>IF(Tabela8[[#This Row],[SETOR]]="","",IF(Tabela8[[#This Row],[SETOR]]&lt;200,"GV 10",IF(Tabela8[[#This Row],[SETOR]]&lt;300,"GV 20",IF(Tabela8[[#This Row],[SETOR]]&lt;400,"GV 30","S/GV"))))</f>
        <v>GV 10</v>
      </c>
      <c r="E29" t="s">
        <v>123</v>
      </c>
      <c r="G29" t="str">
        <f>_xlfn.CONCAT(Tabela9[[#This Row],[Coluna1]],Tabela9[[#This Row],[Coluna2]])</f>
        <v>20-Rota</v>
      </c>
    </row>
    <row r="30" spans="1:7" x14ac:dyDescent="0.25">
      <c r="A30">
        <v>333</v>
      </c>
      <c r="B30">
        <v>104</v>
      </c>
      <c r="C30" s="1" t="str">
        <f>IF(Tabela8[[#This Row],[SETOR]]="","",IF(Tabela8[[#This Row],[SETOR]]&lt;200,"GV 10",IF(Tabela8[[#This Row],[SETOR]]&lt;300,"GV 20",IF(Tabela8[[#This Row],[SETOR]]&lt;400,"GV 30","S/GV"))))</f>
        <v>GV 10</v>
      </c>
      <c r="E30" t="s">
        <v>123</v>
      </c>
      <c r="G30" t="str">
        <f>_xlfn.CONCAT(Tabela9[[#This Row],[Coluna1]],Tabela9[[#This Row],[Coluna2]])</f>
        <v>20-Rota</v>
      </c>
    </row>
    <row r="31" spans="1:7" x14ac:dyDescent="0.25">
      <c r="A31">
        <v>348</v>
      </c>
      <c r="B31">
        <v>306</v>
      </c>
      <c r="C31" s="1" t="str">
        <f>IF(Tabela8[[#This Row],[SETOR]]="","",IF(Tabela8[[#This Row],[SETOR]]&lt;200,"GV 10",IF(Tabela8[[#This Row],[SETOR]]&lt;300,"GV 20",IF(Tabela8[[#This Row],[SETOR]]&lt;400,"GV 30","S/GV"))))</f>
        <v>GV 30</v>
      </c>
      <c r="E31" t="s">
        <v>125</v>
      </c>
      <c r="G31" t="str">
        <f>_xlfn.CONCAT(Tabela9[[#This Row],[Coluna1]],Tabela9[[#This Row],[Coluna2]])</f>
        <v>18-TRAD</v>
      </c>
    </row>
    <row r="32" spans="1:7" x14ac:dyDescent="0.25">
      <c r="A32">
        <v>352</v>
      </c>
      <c r="B32">
        <v>107</v>
      </c>
      <c r="C32" s="1" t="str">
        <f>IF(Tabela8[[#This Row],[SETOR]]="","",IF(Tabela8[[#This Row],[SETOR]]&lt;200,"GV 10",IF(Tabela8[[#This Row],[SETOR]]&lt;300,"GV 20",IF(Tabela8[[#This Row],[SETOR]]&lt;400,"GV 30","S/GV"))))</f>
        <v>GV 10</v>
      </c>
      <c r="E32" t="s">
        <v>125</v>
      </c>
      <c r="G32" t="str">
        <f>_xlfn.CONCAT(Tabela9[[#This Row],[Coluna1]],Tabela9[[#This Row],[Coluna2]])</f>
        <v>18-TRAD</v>
      </c>
    </row>
    <row r="33" spans="1:7" x14ac:dyDescent="0.25">
      <c r="A33">
        <v>354</v>
      </c>
      <c r="B33">
        <v>107</v>
      </c>
      <c r="C33" s="1" t="str">
        <f>IF(Tabela8[[#This Row],[SETOR]]="","",IF(Tabela8[[#This Row],[SETOR]]&lt;200,"GV 10",IF(Tabela8[[#This Row],[SETOR]]&lt;300,"GV 20",IF(Tabela8[[#This Row],[SETOR]]&lt;400,"GV 30","S/GV"))))</f>
        <v>GV 10</v>
      </c>
      <c r="E33" t="s">
        <v>125</v>
      </c>
      <c r="G33" t="str">
        <f>_xlfn.CONCAT(Tabela9[[#This Row],[Coluna1]],Tabela9[[#This Row],[Coluna2]])</f>
        <v>18-TRAD</v>
      </c>
    </row>
    <row r="34" spans="1:7" x14ac:dyDescent="0.25">
      <c r="A34">
        <v>378</v>
      </c>
      <c r="B34">
        <v>104</v>
      </c>
      <c r="C34" s="1" t="str">
        <f>IF(Tabela8[[#This Row],[SETOR]]="","",IF(Tabela8[[#This Row],[SETOR]]&lt;200,"GV 10",IF(Tabela8[[#This Row],[SETOR]]&lt;300,"GV 20",IF(Tabela8[[#This Row],[SETOR]]&lt;400,"GV 30","S/GV"))))</f>
        <v>GV 10</v>
      </c>
      <c r="E34" t="s">
        <v>123</v>
      </c>
      <c r="G34" t="str">
        <f>_xlfn.CONCAT(Tabela9[[#This Row],[Coluna1]],Tabela9[[#This Row],[Coluna2]])</f>
        <v>20-Rota</v>
      </c>
    </row>
    <row r="35" spans="1:7" x14ac:dyDescent="0.25">
      <c r="A35">
        <v>400</v>
      </c>
      <c r="B35">
        <v>101</v>
      </c>
      <c r="C35" s="1" t="str">
        <f>IF(Tabela8[[#This Row],[SETOR]]="","",IF(Tabela8[[#This Row],[SETOR]]&lt;200,"GV 10",IF(Tabela8[[#This Row],[SETOR]]&lt;300,"GV 20",IF(Tabela8[[#This Row],[SETOR]]&lt;400,"GV 30","S/GV"))))</f>
        <v>GV 10</v>
      </c>
      <c r="E35" t="s">
        <v>123</v>
      </c>
      <c r="G35" t="str">
        <f>_xlfn.CONCAT(Tabela9[[#This Row],[Coluna1]],Tabela9[[#This Row],[Coluna2]])</f>
        <v>20-Rota</v>
      </c>
    </row>
    <row r="36" spans="1:7" x14ac:dyDescent="0.25">
      <c r="A36">
        <v>405</v>
      </c>
      <c r="B36">
        <v>101</v>
      </c>
      <c r="C36" s="1" t="str">
        <f>IF(Tabela8[[#This Row],[SETOR]]="","",IF(Tabela8[[#This Row],[SETOR]]&lt;200,"GV 10",IF(Tabela8[[#This Row],[SETOR]]&lt;300,"GV 20",IF(Tabela8[[#This Row],[SETOR]]&lt;400,"GV 30","S/GV"))))</f>
        <v>GV 10</v>
      </c>
      <c r="E36" t="s">
        <v>123</v>
      </c>
      <c r="G36" t="str">
        <f>_xlfn.CONCAT(Tabela9[[#This Row],[Coluna1]],Tabela9[[#This Row],[Coluna2]])</f>
        <v>20-Rota</v>
      </c>
    </row>
    <row r="37" spans="1:7" x14ac:dyDescent="0.25">
      <c r="A37">
        <v>417</v>
      </c>
      <c r="B37">
        <v>304</v>
      </c>
      <c r="C37" s="1" t="str">
        <f>IF(Tabela8[[#This Row],[SETOR]]="","",IF(Tabela8[[#This Row],[SETOR]]&lt;200,"GV 10",IF(Tabela8[[#This Row],[SETOR]]&lt;300,"GV 20",IF(Tabela8[[#This Row],[SETOR]]&lt;400,"GV 30","S/GV"))))</f>
        <v>GV 30</v>
      </c>
      <c r="E37" t="s">
        <v>123</v>
      </c>
      <c r="G37" t="str">
        <f>_xlfn.CONCAT(Tabela9[[#This Row],[Coluna1]],Tabela9[[#This Row],[Coluna2]])</f>
        <v>20-Rota</v>
      </c>
    </row>
    <row r="38" spans="1:7" x14ac:dyDescent="0.25">
      <c r="A38">
        <v>438</v>
      </c>
      <c r="B38">
        <v>201</v>
      </c>
      <c r="C38" s="1" t="str">
        <f>IF(Tabela8[[#This Row],[SETOR]]="","",IF(Tabela8[[#This Row],[SETOR]]&lt;200,"GV 10",IF(Tabela8[[#This Row],[SETOR]]&lt;300,"GV 20",IF(Tabela8[[#This Row],[SETOR]]&lt;400,"GV 30","S/GV"))))</f>
        <v>GV 20</v>
      </c>
      <c r="E38" t="s">
        <v>123</v>
      </c>
      <c r="G38" t="str">
        <f>_xlfn.CONCAT(Tabela9[[#This Row],[Coluna1]],Tabela9[[#This Row],[Coluna2]])</f>
        <v>20-Rota</v>
      </c>
    </row>
    <row r="39" spans="1:7" x14ac:dyDescent="0.25">
      <c r="A39">
        <v>460</v>
      </c>
      <c r="B39">
        <v>108</v>
      </c>
      <c r="C39" s="1" t="str">
        <f>IF(Tabela8[[#This Row],[SETOR]]="","",IF(Tabela8[[#This Row],[SETOR]]&lt;200,"GV 10",IF(Tabela8[[#This Row],[SETOR]]&lt;300,"GV 20",IF(Tabela8[[#This Row],[SETOR]]&lt;400,"GV 30","S/GV"))))</f>
        <v>GV 10</v>
      </c>
      <c r="E39" t="s">
        <v>125</v>
      </c>
      <c r="G39" t="str">
        <f>_xlfn.CONCAT(Tabela9[[#This Row],[Coluna1]],Tabela9[[#This Row],[Coluna2]])</f>
        <v>18-TRAD</v>
      </c>
    </row>
    <row r="40" spans="1:7" x14ac:dyDescent="0.25">
      <c r="A40">
        <v>467</v>
      </c>
      <c r="B40">
        <v>108</v>
      </c>
      <c r="C40" s="1" t="str">
        <f>IF(Tabela8[[#This Row],[SETOR]]="","",IF(Tabela8[[#This Row],[SETOR]]&lt;200,"GV 10",IF(Tabela8[[#This Row],[SETOR]]&lt;300,"GV 20",IF(Tabela8[[#This Row],[SETOR]]&lt;400,"GV 30","S/GV"))))</f>
        <v>GV 10</v>
      </c>
      <c r="E40" t="s">
        <v>125</v>
      </c>
      <c r="G40" t="str">
        <f>_xlfn.CONCAT(Tabela9[[#This Row],[Coluna1]],Tabela9[[#This Row],[Coluna2]])</f>
        <v>18-TRAD</v>
      </c>
    </row>
    <row r="41" spans="1:7" x14ac:dyDescent="0.25">
      <c r="A41">
        <v>468</v>
      </c>
      <c r="B41">
        <v>104</v>
      </c>
      <c r="C41" s="1" t="str">
        <f>IF(Tabela8[[#This Row],[SETOR]]="","",IF(Tabela8[[#This Row],[SETOR]]&lt;200,"GV 10",IF(Tabela8[[#This Row],[SETOR]]&lt;300,"GV 20",IF(Tabela8[[#This Row],[SETOR]]&lt;400,"GV 30","S/GV"))))</f>
        <v>GV 10</v>
      </c>
      <c r="E41" t="s">
        <v>123</v>
      </c>
      <c r="G41" t="str">
        <f>_xlfn.CONCAT(Tabela9[[#This Row],[Coluna1]],Tabela9[[#This Row],[Coluna2]])</f>
        <v>20-Rota</v>
      </c>
    </row>
    <row r="42" spans="1:7" x14ac:dyDescent="0.25">
      <c r="A42">
        <v>471</v>
      </c>
      <c r="B42">
        <v>104</v>
      </c>
      <c r="C42" s="1" t="str">
        <f>IF(Tabela8[[#This Row],[SETOR]]="","",IF(Tabela8[[#This Row],[SETOR]]&lt;200,"GV 10",IF(Tabela8[[#This Row],[SETOR]]&lt;300,"GV 20",IF(Tabela8[[#This Row],[SETOR]]&lt;400,"GV 30","S/GV"))))</f>
        <v>GV 10</v>
      </c>
      <c r="E42" t="s">
        <v>125</v>
      </c>
      <c r="G42" t="str">
        <f>_xlfn.CONCAT(Tabela9[[#This Row],[Coluna1]],Tabela9[[#This Row],[Coluna2]])</f>
        <v>18-TRAD</v>
      </c>
    </row>
    <row r="43" spans="1:7" x14ac:dyDescent="0.25">
      <c r="A43">
        <v>482</v>
      </c>
      <c r="B43">
        <v>303</v>
      </c>
      <c r="C43" s="1" t="str">
        <f>IF(Tabela8[[#This Row],[SETOR]]="","",IF(Tabela8[[#This Row],[SETOR]]&lt;200,"GV 10",IF(Tabela8[[#This Row],[SETOR]]&lt;300,"GV 20",IF(Tabela8[[#This Row],[SETOR]]&lt;400,"GV 30","S/GV"))))</f>
        <v>GV 30</v>
      </c>
      <c r="E43" t="s">
        <v>123</v>
      </c>
      <c r="G43" t="str">
        <f>_xlfn.CONCAT(Tabela9[[#This Row],[Coluna1]],Tabela9[[#This Row],[Coluna2]])</f>
        <v>20-Rota</v>
      </c>
    </row>
    <row r="44" spans="1:7" x14ac:dyDescent="0.25">
      <c r="A44">
        <v>501</v>
      </c>
      <c r="B44">
        <v>302</v>
      </c>
      <c r="C44" s="1" t="str">
        <f>IF(Tabela8[[#This Row],[SETOR]]="","",IF(Tabela8[[#This Row],[SETOR]]&lt;200,"GV 10",IF(Tabela8[[#This Row],[SETOR]]&lt;300,"GV 20",IF(Tabela8[[#This Row],[SETOR]]&lt;400,"GV 30","S/GV"))))</f>
        <v>GV 30</v>
      </c>
      <c r="E44" t="s">
        <v>123</v>
      </c>
      <c r="G44" t="str">
        <f>_xlfn.CONCAT(Tabela9[[#This Row],[Coluna1]],Tabela9[[#This Row],[Coluna2]])</f>
        <v>20-Rota</v>
      </c>
    </row>
    <row r="45" spans="1:7" x14ac:dyDescent="0.25">
      <c r="A45">
        <v>508</v>
      </c>
      <c r="B45">
        <v>102</v>
      </c>
      <c r="C45" s="1" t="str">
        <f>IF(Tabela8[[#This Row],[SETOR]]="","",IF(Tabela8[[#This Row],[SETOR]]&lt;200,"GV 10",IF(Tabela8[[#This Row],[SETOR]]&lt;300,"GV 20",IF(Tabela8[[#This Row],[SETOR]]&lt;400,"GV 30","S/GV"))))</f>
        <v>GV 10</v>
      </c>
      <c r="E45" t="s">
        <v>123</v>
      </c>
      <c r="G45" t="str">
        <f>_xlfn.CONCAT(Tabela9[[#This Row],[Coluna1]],Tabela9[[#This Row],[Coluna2]])</f>
        <v>20-Rota</v>
      </c>
    </row>
    <row r="46" spans="1:7" x14ac:dyDescent="0.25">
      <c r="A46">
        <v>511</v>
      </c>
      <c r="B46">
        <v>301</v>
      </c>
      <c r="C46" s="1" t="str">
        <f>IF(Tabela8[[#This Row],[SETOR]]="","",IF(Tabela8[[#This Row],[SETOR]]&lt;200,"GV 10",IF(Tabela8[[#This Row],[SETOR]]&lt;300,"GV 20",IF(Tabela8[[#This Row],[SETOR]]&lt;400,"GV 30","S/GV"))))</f>
        <v>GV 30</v>
      </c>
      <c r="E46" t="s">
        <v>123</v>
      </c>
      <c r="G46" t="str">
        <f>_xlfn.CONCAT(Tabela9[[#This Row],[Coluna1]],Tabela9[[#This Row],[Coluna2]])</f>
        <v>20-Rota</v>
      </c>
    </row>
    <row r="47" spans="1:7" x14ac:dyDescent="0.25">
      <c r="A47">
        <v>519</v>
      </c>
      <c r="B47">
        <v>201</v>
      </c>
      <c r="C47" s="1" t="str">
        <f>IF(Tabela8[[#This Row],[SETOR]]="","",IF(Tabela8[[#This Row],[SETOR]]&lt;200,"GV 10",IF(Tabela8[[#This Row],[SETOR]]&lt;300,"GV 20",IF(Tabela8[[#This Row],[SETOR]]&lt;400,"GV 30","S/GV"))))</f>
        <v>GV 20</v>
      </c>
      <c r="E47" t="s">
        <v>123</v>
      </c>
      <c r="G47" t="str">
        <f>_xlfn.CONCAT(Tabela9[[#This Row],[Coluna1]],Tabela9[[#This Row],[Coluna2]])</f>
        <v>20-Rota</v>
      </c>
    </row>
    <row r="48" spans="1:7" x14ac:dyDescent="0.25">
      <c r="A48">
        <v>543</v>
      </c>
      <c r="B48">
        <v>102</v>
      </c>
      <c r="C48" s="1" t="str">
        <f>IF(Tabela8[[#This Row],[SETOR]]="","",IF(Tabela8[[#This Row],[SETOR]]&lt;200,"GV 10",IF(Tabela8[[#This Row],[SETOR]]&lt;300,"GV 20",IF(Tabela8[[#This Row],[SETOR]]&lt;400,"GV 30","S/GV"))))</f>
        <v>GV 10</v>
      </c>
      <c r="E48" t="s">
        <v>123</v>
      </c>
      <c r="G48" t="str">
        <f>_xlfn.CONCAT(Tabela9[[#This Row],[Coluna1]],Tabela9[[#This Row],[Coluna2]])</f>
        <v>20-Rota</v>
      </c>
    </row>
    <row r="49" spans="1:7" x14ac:dyDescent="0.25">
      <c r="A49">
        <v>546</v>
      </c>
      <c r="B49">
        <v>102</v>
      </c>
      <c r="C49" s="1" t="str">
        <f>IF(Tabela8[[#This Row],[SETOR]]="","",IF(Tabela8[[#This Row],[SETOR]]&lt;200,"GV 10",IF(Tabela8[[#This Row],[SETOR]]&lt;300,"GV 20",IF(Tabela8[[#This Row],[SETOR]]&lt;400,"GV 30","S/GV"))))</f>
        <v>GV 10</v>
      </c>
      <c r="E49" t="s">
        <v>125</v>
      </c>
      <c r="G49" t="str">
        <f>_xlfn.CONCAT(Tabela9[[#This Row],[Coluna1]],Tabela9[[#This Row],[Coluna2]])</f>
        <v>18-TRAD</v>
      </c>
    </row>
    <row r="50" spans="1:7" x14ac:dyDescent="0.25">
      <c r="A50">
        <v>549</v>
      </c>
      <c r="B50">
        <v>102</v>
      </c>
      <c r="C50" s="1" t="str">
        <f>IF(Tabela8[[#This Row],[SETOR]]="","",IF(Tabela8[[#This Row],[SETOR]]&lt;200,"GV 10",IF(Tabela8[[#This Row],[SETOR]]&lt;300,"GV 20",IF(Tabela8[[#This Row],[SETOR]]&lt;400,"GV 30","S/GV"))))</f>
        <v>GV 10</v>
      </c>
      <c r="E50" t="s">
        <v>123</v>
      </c>
      <c r="G50" t="str">
        <f>_xlfn.CONCAT(Tabela9[[#This Row],[Coluna1]],Tabela9[[#This Row],[Coluna2]])</f>
        <v>20-Rota</v>
      </c>
    </row>
    <row r="51" spans="1:7" x14ac:dyDescent="0.25">
      <c r="A51">
        <v>558</v>
      </c>
      <c r="B51">
        <v>102</v>
      </c>
      <c r="C51" s="1" t="str">
        <f>IF(Tabela8[[#This Row],[SETOR]]="","",IF(Tabela8[[#This Row],[SETOR]]&lt;200,"GV 10",IF(Tabela8[[#This Row],[SETOR]]&lt;300,"GV 20",IF(Tabela8[[#This Row],[SETOR]]&lt;400,"GV 30","S/GV"))))</f>
        <v>GV 10</v>
      </c>
      <c r="E51" t="s">
        <v>123</v>
      </c>
      <c r="G51" t="str">
        <f>_xlfn.CONCAT(Tabela9[[#This Row],[Coluna1]],Tabela9[[#This Row],[Coluna2]])</f>
        <v>20-Rota</v>
      </c>
    </row>
    <row r="52" spans="1:7" x14ac:dyDescent="0.25">
      <c r="A52">
        <v>571</v>
      </c>
      <c r="B52">
        <v>102</v>
      </c>
      <c r="C52" s="1" t="str">
        <f>IF(Tabela8[[#This Row],[SETOR]]="","",IF(Tabela8[[#This Row],[SETOR]]&lt;200,"GV 10",IF(Tabela8[[#This Row],[SETOR]]&lt;300,"GV 20",IF(Tabela8[[#This Row],[SETOR]]&lt;400,"GV 30","S/GV"))))</f>
        <v>GV 10</v>
      </c>
      <c r="E52" t="s">
        <v>123</v>
      </c>
      <c r="G52" t="str">
        <f>_xlfn.CONCAT(Tabela9[[#This Row],[Coluna1]],Tabela9[[#This Row],[Coluna2]])</f>
        <v>20-Rota</v>
      </c>
    </row>
    <row r="53" spans="1:7" x14ac:dyDescent="0.25">
      <c r="A53">
        <v>574</v>
      </c>
      <c r="B53">
        <v>102</v>
      </c>
      <c r="C53" s="1" t="str">
        <f>IF(Tabela8[[#This Row],[SETOR]]="","",IF(Tabela8[[#This Row],[SETOR]]&lt;200,"GV 10",IF(Tabela8[[#This Row],[SETOR]]&lt;300,"GV 20",IF(Tabela8[[#This Row],[SETOR]]&lt;400,"GV 30","S/GV"))))</f>
        <v>GV 10</v>
      </c>
      <c r="E53" t="s">
        <v>123</v>
      </c>
      <c r="G53" t="str">
        <f>_xlfn.CONCAT(Tabela9[[#This Row],[Coluna1]],Tabela9[[#This Row],[Coluna2]])</f>
        <v>20-Rota</v>
      </c>
    </row>
    <row r="54" spans="1:7" x14ac:dyDescent="0.25">
      <c r="A54">
        <v>575</v>
      </c>
      <c r="B54">
        <v>102</v>
      </c>
      <c r="C54" s="1" t="str">
        <f>IF(Tabela8[[#This Row],[SETOR]]="","",IF(Tabela8[[#This Row],[SETOR]]&lt;200,"GV 10",IF(Tabela8[[#This Row],[SETOR]]&lt;300,"GV 20",IF(Tabela8[[#This Row],[SETOR]]&lt;400,"GV 30","S/GV"))))</f>
        <v>GV 10</v>
      </c>
      <c r="E54" t="s">
        <v>125</v>
      </c>
      <c r="G54" t="str">
        <f>_xlfn.CONCAT(Tabela9[[#This Row],[Coluna1]],Tabela9[[#This Row],[Coluna2]])</f>
        <v>18-TRAD</v>
      </c>
    </row>
    <row r="55" spans="1:7" x14ac:dyDescent="0.25">
      <c r="A55">
        <v>577</v>
      </c>
      <c r="B55">
        <v>102</v>
      </c>
      <c r="C55" s="1" t="str">
        <f>IF(Tabela8[[#This Row],[SETOR]]="","",IF(Tabela8[[#This Row],[SETOR]]&lt;200,"GV 10",IF(Tabela8[[#This Row],[SETOR]]&lt;300,"GV 20",IF(Tabela8[[#This Row],[SETOR]]&lt;400,"GV 30","S/GV"))))</f>
        <v>GV 10</v>
      </c>
      <c r="E55" t="s">
        <v>123</v>
      </c>
      <c r="G55" t="str">
        <f>_xlfn.CONCAT(Tabela9[[#This Row],[Coluna1]],Tabela9[[#This Row],[Coluna2]])</f>
        <v>20-Rota</v>
      </c>
    </row>
    <row r="56" spans="1:7" x14ac:dyDescent="0.25">
      <c r="A56">
        <v>589</v>
      </c>
      <c r="B56">
        <v>301</v>
      </c>
      <c r="C56" s="1" t="str">
        <f>IF(Tabela8[[#This Row],[SETOR]]="","",IF(Tabela8[[#This Row],[SETOR]]&lt;200,"GV 10",IF(Tabela8[[#This Row],[SETOR]]&lt;300,"GV 20",IF(Tabela8[[#This Row],[SETOR]]&lt;400,"GV 30","S/GV"))))</f>
        <v>GV 30</v>
      </c>
      <c r="E56" t="s">
        <v>123</v>
      </c>
      <c r="G56" t="str">
        <f>_xlfn.CONCAT(Tabela9[[#This Row],[Coluna1]],Tabela9[[#This Row],[Coluna2]])</f>
        <v>20-Rota</v>
      </c>
    </row>
    <row r="57" spans="1:7" x14ac:dyDescent="0.25">
      <c r="A57">
        <v>607</v>
      </c>
      <c r="B57">
        <v>907</v>
      </c>
      <c r="C57" s="1" t="str">
        <f>IF(Tabela8[[#This Row],[SETOR]]="","",IF(Tabela8[[#This Row],[SETOR]]&lt;200,"GV 10",IF(Tabela8[[#This Row],[SETOR]]&lt;300,"GV 20",IF(Tabela8[[#This Row],[SETOR]]&lt;400,"GV 30","S/GV"))))</f>
        <v>S/GV</v>
      </c>
      <c r="G57" t="str">
        <f>_xlfn.CONCAT(Tabela9[[#This Row],[Coluna1]],Tabela9[[#This Row],[Coluna2]])</f>
        <v/>
      </c>
    </row>
    <row r="58" spans="1:7" x14ac:dyDescent="0.25">
      <c r="A58">
        <v>616</v>
      </c>
      <c r="B58">
        <v>916</v>
      </c>
      <c r="C58" s="1" t="str">
        <f>IF(Tabela8[[#This Row],[SETOR]]="","",IF(Tabela8[[#This Row],[SETOR]]&lt;200,"GV 10",IF(Tabela8[[#This Row],[SETOR]]&lt;300,"GV 20",IF(Tabela8[[#This Row],[SETOR]]&lt;400,"GV 30","S/GV"))))</f>
        <v>S/GV</v>
      </c>
      <c r="E58" t="s">
        <v>123</v>
      </c>
      <c r="G58" t="str">
        <f>_xlfn.CONCAT(Tabela9[[#This Row],[Coluna1]],Tabela9[[#This Row],[Coluna2]])</f>
        <v>20-Rota</v>
      </c>
    </row>
    <row r="59" spans="1:7" x14ac:dyDescent="0.25">
      <c r="A59">
        <v>628</v>
      </c>
      <c r="B59">
        <v>302</v>
      </c>
      <c r="C59" s="1" t="str">
        <f>IF(Tabela8[[#This Row],[SETOR]]="","",IF(Tabela8[[#This Row],[SETOR]]&lt;200,"GV 10",IF(Tabela8[[#This Row],[SETOR]]&lt;300,"GV 20",IF(Tabela8[[#This Row],[SETOR]]&lt;400,"GV 30","S/GV"))))</f>
        <v>GV 30</v>
      </c>
      <c r="E59" t="s">
        <v>123</v>
      </c>
      <c r="G59" t="str">
        <f>_xlfn.CONCAT(Tabela9[[#This Row],[Coluna1]],Tabela9[[#This Row],[Coluna2]])</f>
        <v>20-Rota</v>
      </c>
    </row>
    <row r="60" spans="1:7" x14ac:dyDescent="0.25">
      <c r="A60">
        <v>633</v>
      </c>
      <c r="B60">
        <v>104</v>
      </c>
      <c r="C60" s="1" t="str">
        <f>IF(Tabela8[[#This Row],[SETOR]]="","",IF(Tabela8[[#This Row],[SETOR]]&lt;200,"GV 10",IF(Tabela8[[#This Row],[SETOR]]&lt;300,"GV 20",IF(Tabela8[[#This Row],[SETOR]]&lt;400,"GV 30","S/GV"))))</f>
        <v>GV 10</v>
      </c>
      <c r="E60" t="s">
        <v>123</v>
      </c>
      <c r="G60" t="str">
        <f>_xlfn.CONCAT(Tabela9[[#This Row],[Coluna1]],Tabela9[[#This Row],[Coluna2]])</f>
        <v>20-Rota</v>
      </c>
    </row>
    <row r="61" spans="1:7" x14ac:dyDescent="0.25">
      <c r="A61">
        <v>637</v>
      </c>
      <c r="B61">
        <v>201</v>
      </c>
      <c r="C61" s="1" t="str">
        <f>IF(Tabela8[[#This Row],[SETOR]]="","",IF(Tabela8[[#This Row],[SETOR]]&lt;200,"GV 10",IF(Tabela8[[#This Row],[SETOR]]&lt;300,"GV 20",IF(Tabela8[[#This Row],[SETOR]]&lt;400,"GV 30","S/GV"))))</f>
        <v>GV 20</v>
      </c>
      <c r="E61" t="s">
        <v>123</v>
      </c>
      <c r="G61" t="str">
        <f>_xlfn.CONCAT(Tabela9[[#This Row],[Coluna1]],Tabela9[[#This Row],[Coluna2]])</f>
        <v>20-Rota</v>
      </c>
    </row>
    <row r="62" spans="1:7" x14ac:dyDescent="0.25">
      <c r="A62">
        <v>648</v>
      </c>
      <c r="B62">
        <v>203</v>
      </c>
      <c r="C62" s="1" t="str">
        <f>IF(Tabela8[[#This Row],[SETOR]]="","",IF(Tabela8[[#This Row],[SETOR]]&lt;200,"GV 10",IF(Tabela8[[#This Row],[SETOR]]&lt;300,"GV 20",IF(Tabela8[[#This Row],[SETOR]]&lt;400,"GV 30","S/GV"))))</f>
        <v>GV 20</v>
      </c>
      <c r="E62" t="s">
        <v>123</v>
      </c>
      <c r="G62" t="str">
        <f>_xlfn.CONCAT(Tabela9[[#This Row],[Coluna1]],Tabela9[[#This Row],[Coluna2]])</f>
        <v>20-Rota</v>
      </c>
    </row>
    <row r="63" spans="1:7" x14ac:dyDescent="0.25">
      <c r="A63">
        <v>654</v>
      </c>
      <c r="B63">
        <v>101</v>
      </c>
      <c r="C63" s="1" t="str">
        <f>IF(Tabela8[[#This Row],[SETOR]]="","",IF(Tabela8[[#This Row],[SETOR]]&lt;200,"GV 10",IF(Tabela8[[#This Row],[SETOR]]&lt;300,"GV 20",IF(Tabela8[[#This Row],[SETOR]]&lt;400,"GV 30","S/GV"))))</f>
        <v>GV 10</v>
      </c>
      <c r="E63" t="s">
        <v>123</v>
      </c>
      <c r="G63" t="str">
        <f>_xlfn.CONCAT(Tabela9[[#This Row],[Coluna1]],Tabela9[[#This Row],[Coluna2]])</f>
        <v>20-Rota</v>
      </c>
    </row>
    <row r="64" spans="1:7" x14ac:dyDescent="0.25">
      <c r="A64">
        <v>656</v>
      </c>
      <c r="B64">
        <v>103</v>
      </c>
      <c r="C64" s="1" t="str">
        <f>IF(Tabela8[[#This Row],[SETOR]]="","",IF(Tabela8[[#This Row],[SETOR]]&lt;200,"GV 10",IF(Tabela8[[#This Row],[SETOR]]&lt;300,"GV 20",IF(Tabela8[[#This Row],[SETOR]]&lt;400,"GV 30","S/GV"))))</f>
        <v>GV 10</v>
      </c>
      <c r="E64" t="s">
        <v>124</v>
      </c>
      <c r="G64" t="str">
        <f>_xlfn.CONCAT(Tabela9[[#This Row],[Coluna1]],Tabela9[[#This Row],[Coluna2]])</f>
        <v>19-VIP</v>
      </c>
    </row>
    <row r="65" spans="1:7" x14ac:dyDescent="0.25">
      <c r="A65">
        <v>660</v>
      </c>
      <c r="B65">
        <v>308</v>
      </c>
      <c r="C65" s="1" t="str">
        <f>IF(Tabela8[[#This Row],[SETOR]]="","",IF(Tabela8[[#This Row],[SETOR]]&lt;200,"GV 10",IF(Tabela8[[#This Row],[SETOR]]&lt;300,"GV 20",IF(Tabela8[[#This Row],[SETOR]]&lt;400,"GV 30","S/GV"))))</f>
        <v>GV 30</v>
      </c>
      <c r="E65" t="s">
        <v>128</v>
      </c>
      <c r="F65" t="s">
        <v>129</v>
      </c>
      <c r="G65" t="str">
        <f>_xlfn.CONCAT(Tabela9[[#This Row],[Coluna1]],Tabela9[[#This Row],[Coluna2]])</f>
        <v>15-AS(1-4)</v>
      </c>
    </row>
    <row r="66" spans="1:7" x14ac:dyDescent="0.25">
      <c r="A66">
        <v>677</v>
      </c>
      <c r="B66">
        <v>107</v>
      </c>
      <c r="C66" s="1" t="str">
        <f>IF(Tabela8[[#This Row],[SETOR]]="","",IF(Tabela8[[#This Row],[SETOR]]&lt;200,"GV 10",IF(Tabela8[[#This Row],[SETOR]]&lt;300,"GV 20",IF(Tabela8[[#This Row],[SETOR]]&lt;400,"GV 30","S/GV"))))</f>
        <v>GV 10</v>
      </c>
      <c r="E66" t="s">
        <v>125</v>
      </c>
      <c r="G66" t="str">
        <f>_xlfn.CONCAT(Tabela9[[#This Row],[Coluna1]],Tabela9[[#This Row],[Coluna2]])</f>
        <v>18-TRAD</v>
      </c>
    </row>
    <row r="67" spans="1:7" x14ac:dyDescent="0.25">
      <c r="A67">
        <v>686</v>
      </c>
      <c r="B67">
        <v>101</v>
      </c>
      <c r="C67" s="1" t="str">
        <f>IF(Tabela8[[#This Row],[SETOR]]="","",IF(Tabela8[[#This Row],[SETOR]]&lt;200,"GV 10",IF(Tabela8[[#This Row],[SETOR]]&lt;300,"GV 20",IF(Tabela8[[#This Row],[SETOR]]&lt;400,"GV 30","S/GV"))))</f>
        <v>GV 10</v>
      </c>
      <c r="E67" t="s">
        <v>123</v>
      </c>
      <c r="G67" t="str">
        <f>_xlfn.CONCAT(Tabela9[[#This Row],[Coluna1]],Tabela9[[#This Row],[Coluna2]])</f>
        <v>20-Rota</v>
      </c>
    </row>
    <row r="68" spans="1:7" x14ac:dyDescent="0.25">
      <c r="A68">
        <v>708</v>
      </c>
      <c r="B68">
        <v>104</v>
      </c>
      <c r="C68" s="1" t="str">
        <f>IF(Tabela8[[#This Row],[SETOR]]="","",IF(Tabela8[[#This Row],[SETOR]]&lt;200,"GV 10",IF(Tabela8[[#This Row],[SETOR]]&lt;300,"GV 20",IF(Tabela8[[#This Row],[SETOR]]&lt;400,"GV 30","S/GV"))))</f>
        <v>GV 10</v>
      </c>
      <c r="E68" t="s">
        <v>123</v>
      </c>
      <c r="G68" t="str">
        <f>_xlfn.CONCAT(Tabela9[[#This Row],[Coluna1]],Tabela9[[#This Row],[Coluna2]])</f>
        <v>20-Rota</v>
      </c>
    </row>
    <row r="69" spans="1:7" x14ac:dyDescent="0.25">
      <c r="A69">
        <v>725</v>
      </c>
      <c r="B69">
        <v>108</v>
      </c>
      <c r="C69" s="1" t="str">
        <f>IF(Tabela8[[#This Row],[SETOR]]="","",IF(Tabela8[[#This Row],[SETOR]]&lt;200,"GV 10",IF(Tabela8[[#This Row],[SETOR]]&lt;300,"GV 20",IF(Tabela8[[#This Row],[SETOR]]&lt;400,"GV 30","S/GV"))))</f>
        <v>GV 10</v>
      </c>
      <c r="E69" t="s">
        <v>126</v>
      </c>
      <c r="F69" t="s">
        <v>127</v>
      </c>
      <c r="G69" t="str">
        <f>_xlfn.CONCAT(Tabela9[[#This Row],[Coluna1]],Tabela9[[#This Row],[Coluna2]])</f>
        <v>16-AS(5+)</v>
      </c>
    </row>
    <row r="70" spans="1:7" x14ac:dyDescent="0.25">
      <c r="A70">
        <v>751</v>
      </c>
      <c r="B70">
        <v>301</v>
      </c>
      <c r="C70" s="1" t="str">
        <f>IF(Tabela8[[#This Row],[SETOR]]="","",IF(Tabela8[[#This Row],[SETOR]]&lt;200,"GV 10",IF(Tabela8[[#This Row],[SETOR]]&lt;300,"GV 20",IF(Tabela8[[#This Row],[SETOR]]&lt;400,"GV 30","S/GV"))))</f>
        <v>GV 30</v>
      </c>
      <c r="E70" t="s">
        <v>123</v>
      </c>
      <c r="G70" t="str">
        <f>_xlfn.CONCAT(Tabela9[[#This Row],[Coluna1]],Tabela9[[#This Row],[Coluna2]])</f>
        <v>20-Rota</v>
      </c>
    </row>
    <row r="71" spans="1:7" x14ac:dyDescent="0.25">
      <c r="A71">
        <v>783</v>
      </c>
      <c r="B71">
        <v>301</v>
      </c>
      <c r="C71" s="1" t="str">
        <f>IF(Tabela8[[#This Row],[SETOR]]="","",IF(Tabela8[[#This Row],[SETOR]]&lt;200,"GV 10",IF(Tabela8[[#This Row],[SETOR]]&lt;300,"GV 20",IF(Tabela8[[#This Row],[SETOR]]&lt;400,"GV 30","S/GV"))))</f>
        <v>GV 30</v>
      </c>
      <c r="E71" t="s">
        <v>123</v>
      </c>
      <c r="G71" t="str">
        <f>_xlfn.CONCAT(Tabela9[[#This Row],[Coluna1]],Tabela9[[#This Row],[Coluna2]])</f>
        <v>20-Rota</v>
      </c>
    </row>
    <row r="72" spans="1:7" x14ac:dyDescent="0.25">
      <c r="A72">
        <v>814</v>
      </c>
      <c r="B72">
        <v>301</v>
      </c>
      <c r="C72" s="1" t="str">
        <f>IF(Tabela8[[#This Row],[SETOR]]="","",IF(Tabela8[[#This Row],[SETOR]]&lt;200,"GV 10",IF(Tabela8[[#This Row],[SETOR]]&lt;300,"GV 20",IF(Tabela8[[#This Row],[SETOR]]&lt;400,"GV 30","S/GV"))))</f>
        <v>GV 30</v>
      </c>
      <c r="E72" t="s">
        <v>123</v>
      </c>
      <c r="G72" t="str">
        <f>_xlfn.CONCAT(Tabela9[[#This Row],[Coluna1]],Tabela9[[#This Row],[Coluna2]])</f>
        <v>20-Rota</v>
      </c>
    </row>
    <row r="73" spans="1:7" x14ac:dyDescent="0.25">
      <c r="A73">
        <v>819</v>
      </c>
      <c r="B73">
        <v>104</v>
      </c>
      <c r="C73" s="1" t="str">
        <f>IF(Tabela8[[#This Row],[SETOR]]="","",IF(Tabela8[[#This Row],[SETOR]]&lt;200,"GV 10",IF(Tabela8[[#This Row],[SETOR]]&lt;300,"GV 20",IF(Tabela8[[#This Row],[SETOR]]&lt;400,"GV 30","S/GV"))))</f>
        <v>GV 10</v>
      </c>
      <c r="E73" t="s">
        <v>123</v>
      </c>
      <c r="G73" t="str">
        <f>_xlfn.CONCAT(Tabela9[[#This Row],[Coluna1]],Tabela9[[#This Row],[Coluna2]])</f>
        <v>20-Rota</v>
      </c>
    </row>
    <row r="74" spans="1:7" x14ac:dyDescent="0.25">
      <c r="A74">
        <v>827</v>
      </c>
      <c r="B74">
        <v>202</v>
      </c>
      <c r="C74" s="1" t="str">
        <f>IF(Tabela8[[#This Row],[SETOR]]="","",IF(Tabela8[[#This Row],[SETOR]]&lt;200,"GV 10",IF(Tabela8[[#This Row],[SETOR]]&lt;300,"GV 20",IF(Tabela8[[#This Row],[SETOR]]&lt;400,"GV 30","S/GV"))))</f>
        <v>GV 20</v>
      </c>
      <c r="E74" t="s">
        <v>123</v>
      </c>
      <c r="G74" t="str">
        <f>_xlfn.CONCAT(Tabela9[[#This Row],[Coluna1]],Tabela9[[#This Row],[Coluna2]])</f>
        <v>20-Rota</v>
      </c>
    </row>
    <row r="75" spans="1:7" x14ac:dyDescent="0.25">
      <c r="A75">
        <v>837</v>
      </c>
      <c r="B75">
        <v>304</v>
      </c>
      <c r="C75" s="1" t="str">
        <f>IF(Tabela8[[#This Row],[SETOR]]="","",IF(Tabela8[[#This Row],[SETOR]]&lt;200,"GV 10",IF(Tabela8[[#This Row],[SETOR]]&lt;300,"GV 20",IF(Tabela8[[#This Row],[SETOR]]&lt;400,"GV 30","S/GV"))))</f>
        <v>GV 30</v>
      </c>
      <c r="E75" t="s">
        <v>123</v>
      </c>
      <c r="G75" t="str">
        <f>_xlfn.CONCAT(Tabela9[[#This Row],[Coluna1]],Tabela9[[#This Row],[Coluna2]])</f>
        <v>20-Rota</v>
      </c>
    </row>
    <row r="76" spans="1:7" x14ac:dyDescent="0.25">
      <c r="A76">
        <v>838</v>
      </c>
      <c r="B76">
        <v>303</v>
      </c>
      <c r="C76" s="1" t="str">
        <f>IF(Tabela8[[#This Row],[SETOR]]="","",IF(Tabela8[[#This Row],[SETOR]]&lt;200,"GV 10",IF(Tabela8[[#This Row],[SETOR]]&lt;300,"GV 20",IF(Tabela8[[#This Row],[SETOR]]&lt;400,"GV 30","S/GV"))))</f>
        <v>GV 30</v>
      </c>
      <c r="E76" t="s">
        <v>123</v>
      </c>
      <c r="G76" t="str">
        <f>_xlfn.CONCAT(Tabela9[[#This Row],[Coluna1]],Tabela9[[#This Row],[Coluna2]])</f>
        <v>20-Rota</v>
      </c>
    </row>
    <row r="77" spans="1:7" x14ac:dyDescent="0.25">
      <c r="A77">
        <v>873</v>
      </c>
      <c r="B77">
        <v>906</v>
      </c>
      <c r="C77" s="1" t="str">
        <f>IF(Tabela8[[#This Row],[SETOR]]="","",IF(Tabela8[[#This Row],[SETOR]]&lt;200,"GV 10",IF(Tabela8[[#This Row],[SETOR]]&lt;300,"GV 20",IF(Tabela8[[#This Row],[SETOR]]&lt;400,"GV 30","S/GV"))))</f>
        <v>S/GV</v>
      </c>
      <c r="E77" t="s">
        <v>123</v>
      </c>
      <c r="G77" t="str">
        <f>_xlfn.CONCAT(Tabela9[[#This Row],[Coluna1]],Tabela9[[#This Row],[Coluna2]])</f>
        <v>20-Rota</v>
      </c>
    </row>
    <row r="78" spans="1:7" x14ac:dyDescent="0.25">
      <c r="A78">
        <v>878</v>
      </c>
      <c r="B78">
        <v>202</v>
      </c>
      <c r="C78" s="1" t="str">
        <f>IF(Tabela8[[#This Row],[SETOR]]="","",IF(Tabela8[[#This Row],[SETOR]]&lt;200,"GV 10",IF(Tabela8[[#This Row],[SETOR]]&lt;300,"GV 20",IF(Tabela8[[#This Row],[SETOR]]&lt;400,"GV 30","S/GV"))))</f>
        <v>GV 20</v>
      </c>
      <c r="E78" t="s">
        <v>123</v>
      </c>
      <c r="G78" t="str">
        <f>_xlfn.CONCAT(Tabela9[[#This Row],[Coluna1]],Tabela9[[#This Row],[Coluna2]])</f>
        <v>20-Rota</v>
      </c>
    </row>
    <row r="79" spans="1:7" x14ac:dyDescent="0.25">
      <c r="A79">
        <v>885</v>
      </c>
      <c r="B79">
        <v>102</v>
      </c>
      <c r="C79" s="1" t="str">
        <f>IF(Tabela8[[#This Row],[SETOR]]="","",IF(Tabela8[[#This Row],[SETOR]]&lt;200,"GV 10",IF(Tabela8[[#This Row],[SETOR]]&lt;300,"GV 20",IF(Tabela8[[#This Row],[SETOR]]&lt;400,"GV 30","S/GV"))))</f>
        <v>GV 10</v>
      </c>
      <c r="E79" t="s">
        <v>123</v>
      </c>
      <c r="G79" t="str">
        <f>_xlfn.CONCAT(Tabela9[[#This Row],[Coluna1]],Tabela9[[#This Row],[Coluna2]])</f>
        <v>20-Rota</v>
      </c>
    </row>
    <row r="80" spans="1:7" x14ac:dyDescent="0.25">
      <c r="A80">
        <v>893</v>
      </c>
      <c r="B80">
        <v>101</v>
      </c>
      <c r="C80" s="1" t="str">
        <f>IF(Tabela8[[#This Row],[SETOR]]="","",IF(Tabela8[[#This Row],[SETOR]]&lt;200,"GV 10",IF(Tabela8[[#This Row],[SETOR]]&lt;300,"GV 20",IF(Tabela8[[#This Row],[SETOR]]&lt;400,"GV 30","S/GV"))))</f>
        <v>GV 10</v>
      </c>
      <c r="E80" t="s">
        <v>123</v>
      </c>
      <c r="G80" t="str">
        <f>_xlfn.CONCAT(Tabela9[[#This Row],[Coluna1]],Tabela9[[#This Row],[Coluna2]])</f>
        <v>20-Rota</v>
      </c>
    </row>
    <row r="81" spans="1:7" x14ac:dyDescent="0.25">
      <c r="A81">
        <v>903</v>
      </c>
      <c r="B81">
        <v>108</v>
      </c>
      <c r="C81" s="1" t="str">
        <f>IF(Tabela8[[#This Row],[SETOR]]="","",IF(Tabela8[[#This Row],[SETOR]]&lt;200,"GV 10",IF(Tabela8[[#This Row],[SETOR]]&lt;300,"GV 20",IF(Tabela8[[#This Row],[SETOR]]&lt;400,"GV 30","S/GV"))))</f>
        <v>GV 10</v>
      </c>
      <c r="E81" t="s">
        <v>126</v>
      </c>
      <c r="F81" t="s">
        <v>127</v>
      </c>
      <c r="G81" t="str">
        <f>_xlfn.CONCAT(Tabela9[[#This Row],[Coluna1]],Tabela9[[#This Row],[Coluna2]])</f>
        <v>16-AS(5+)</v>
      </c>
    </row>
    <row r="82" spans="1:7" x14ac:dyDescent="0.25">
      <c r="A82">
        <v>906</v>
      </c>
      <c r="B82">
        <v>305</v>
      </c>
      <c r="C82" s="1" t="str">
        <f>IF(Tabela8[[#This Row],[SETOR]]="","",IF(Tabela8[[#This Row],[SETOR]]&lt;200,"GV 10",IF(Tabela8[[#This Row],[SETOR]]&lt;300,"GV 20",IF(Tabela8[[#This Row],[SETOR]]&lt;400,"GV 30","S/GV"))))</f>
        <v>GV 30</v>
      </c>
      <c r="E82" t="s">
        <v>123</v>
      </c>
      <c r="G82" t="str">
        <f>_xlfn.CONCAT(Tabela9[[#This Row],[Coluna1]],Tabela9[[#This Row],[Coluna2]])</f>
        <v>20-Rota</v>
      </c>
    </row>
    <row r="83" spans="1:7" x14ac:dyDescent="0.25">
      <c r="A83">
        <v>911</v>
      </c>
      <c r="B83">
        <v>303</v>
      </c>
      <c r="C83" s="1" t="str">
        <f>IF(Tabela8[[#This Row],[SETOR]]="","",IF(Tabela8[[#This Row],[SETOR]]&lt;200,"GV 10",IF(Tabela8[[#This Row],[SETOR]]&lt;300,"GV 20",IF(Tabela8[[#This Row],[SETOR]]&lt;400,"GV 30","S/GV"))))</f>
        <v>GV 30</v>
      </c>
      <c r="E83" t="s">
        <v>123</v>
      </c>
      <c r="G83" t="str">
        <f>_xlfn.CONCAT(Tabela9[[#This Row],[Coluna1]],Tabela9[[#This Row],[Coluna2]])</f>
        <v>20-Rota</v>
      </c>
    </row>
    <row r="84" spans="1:7" x14ac:dyDescent="0.25">
      <c r="A84">
        <v>938</v>
      </c>
      <c r="B84">
        <v>106</v>
      </c>
      <c r="C84" s="1" t="str">
        <f>IF(Tabela8[[#This Row],[SETOR]]="","",IF(Tabela8[[#This Row],[SETOR]]&lt;200,"GV 10",IF(Tabela8[[#This Row],[SETOR]]&lt;300,"GV 20",IF(Tabela8[[#This Row],[SETOR]]&lt;400,"GV 30","S/GV"))))</f>
        <v>GV 10</v>
      </c>
      <c r="E84" t="s">
        <v>123</v>
      </c>
      <c r="G84" t="str">
        <f>_xlfn.CONCAT(Tabela9[[#This Row],[Coluna1]],Tabela9[[#This Row],[Coluna2]])</f>
        <v>20-Rota</v>
      </c>
    </row>
    <row r="85" spans="1:7" x14ac:dyDescent="0.25">
      <c r="A85">
        <v>958</v>
      </c>
      <c r="B85">
        <v>105</v>
      </c>
      <c r="C85" s="1" t="str">
        <f>IF(Tabela8[[#This Row],[SETOR]]="","",IF(Tabela8[[#This Row],[SETOR]]&lt;200,"GV 10",IF(Tabela8[[#This Row],[SETOR]]&lt;300,"GV 20",IF(Tabela8[[#This Row],[SETOR]]&lt;400,"GV 30","S/GV"))))</f>
        <v>GV 10</v>
      </c>
      <c r="E85" t="s">
        <v>123</v>
      </c>
      <c r="G85" t="str">
        <f>_xlfn.CONCAT(Tabela9[[#This Row],[Coluna1]],Tabela9[[#This Row],[Coluna2]])</f>
        <v>20-Rota</v>
      </c>
    </row>
    <row r="86" spans="1:7" x14ac:dyDescent="0.25">
      <c r="A86">
        <v>959</v>
      </c>
      <c r="B86">
        <v>105</v>
      </c>
      <c r="C86" s="1" t="str">
        <f>IF(Tabela8[[#This Row],[SETOR]]="","",IF(Tabela8[[#This Row],[SETOR]]&lt;200,"GV 10",IF(Tabela8[[#This Row],[SETOR]]&lt;300,"GV 20",IF(Tabela8[[#This Row],[SETOR]]&lt;400,"GV 30","S/GV"))))</f>
        <v>GV 10</v>
      </c>
      <c r="E86" t="s">
        <v>123</v>
      </c>
      <c r="G86" t="str">
        <f>_xlfn.CONCAT(Tabela9[[#This Row],[Coluna1]],Tabela9[[#This Row],[Coluna2]])</f>
        <v>20-Rota</v>
      </c>
    </row>
    <row r="87" spans="1:7" x14ac:dyDescent="0.25">
      <c r="A87">
        <v>973</v>
      </c>
      <c r="B87">
        <v>105</v>
      </c>
      <c r="C87" s="1" t="str">
        <f>IF(Tabela8[[#This Row],[SETOR]]="","",IF(Tabela8[[#This Row],[SETOR]]&lt;200,"GV 10",IF(Tabela8[[#This Row],[SETOR]]&lt;300,"GV 20",IF(Tabela8[[#This Row],[SETOR]]&lt;400,"GV 30","S/GV"))))</f>
        <v>GV 10</v>
      </c>
      <c r="E87" t="s">
        <v>123</v>
      </c>
      <c r="G87" t="str">
        <f>_xlfn.CONCAT(Tabela9[[#This Row],[Coluna1]],Tabela9[[#This Row],[Coluna2]])</f>
        <v>20-Rota</v>
      </c>
    </row>
    <row r="88" spans="1:7" x14ac:dyDescent="0.25">
      <c r="A88">
        <v>980</v>
      </c>
      <c r="B88">
        <v>105</v>
      </c>
      <c r="C88" s="1" t="str">
        <f>IF(Tabela8[[#This Row],[SETOR]]="","",IF(Tabela8[[#This Row],[SETOR]]&lt;200,"GV 10",IF(Tabela8[[#This Row],[SETOR]]&lt;300,"GV 20",IF(Tabela8[[#This Row],[SETOR]]&lt;400,"GV 30","S/GV"))))</f>
        <v>GV 10</v>
      </c>
      <c r="E88" t="s">
        <v>123</v>
      </c>
      <c r="G88" t="str">
        <f>_xlfn.CONCAT(Tabela9[[#This Row],[Coluna1]],Tabela9[[#This Row],[Coluna2]])</f>
        <v>20-Rota</v>
      </c>
    </row>
    <row r="89" spans="1:7" x14ac:dyDescent="0.25">
      <c r="A89">
        <v>983</v>
      </c>
      <c r="B89">
        <v>109</v>
      </c>
      <c r="C89" s="1" t="str">
        <f>IF(Tabela8[[#This Row],[SETOR]]="","",IF(Tabela8[[#This Row],[SETOR]]&lt;200,"GV 10",IF(Tabela8[[#This Row],[SETOR]]&lt;300,"GV 20",IF(Tabela8[[#This Row],[SETOR]]&lt;400,"GV 30","S/GV"))))</f>
        <v>GV 10</v>
      </c>
      <c r="E89" t="s">
        <v>123</v>
      </c>
      <c r="G89" t="str">
        <f>_xlfn.CONCAT(Tabela9[[#This Row],[Coluna1]],Tabela9[[#This Row],[Coluna2]])</f>
        <v>20-Rota</v>
      </c>
    </row>
    <row r="90" spans="1:7" x14ac:dyDescent="0.25">
      <c r="A90">
        <v>985</v>
      </c>
      <c r="B90">
        <v>912</v>
      </c>
      <c r="C90" s="1" t="str">
        <f>IF(Tabela8[[#This Row],[SETOR]]="","",IF(Tabela8[[#This Row],[SETOR]]&lt;200,"GV 10",IF(Tabela8[[#This Row],[SETOR]]&lt;300,"GV 20",IF(Tabela8[[#This Row],[SETOR]]&lt;400,"GV 30","S/GV"))))</f>
        <v>S/GV</v>
      </c>
      <c r="E90" t="s">
        <v>123</v>
      </c>
      <c r="G90" t="str">
        <f>_xlfn.CONCAT(Tabela9[[#This Row],[Coluna1]],Tabela9[[#This Row],[Coluna2]])</f>
        <v>20-Rota</v>
      </c>
    </row>
    <row r="91" spans="1:7" x14ac:dyDescent="0.25">
      <c r="A91">
        <v>996</v>
      </c>
      <c r="B91">
        <v>109</v>
      </c>
      <c r="C91" s="1" t="str">
        <f>IF(Tabela8[[#This Row],[SETOR]]="","",IF(Tabela8[[#This Row],[SETOR]]&lt;200,"GV 10",IF(Tabela8[[#This Row],[SETOR]]&lt;300,"GV 20",IF(Tabela8[[#This Row],[SETOR]]&lt;400,"GV 30","S/GV"))))</f>
        <v>GV 10</v>
      </c>
      <c r="E91" t="s">
        <v>123</v>
      </c>
      <c r="G91" t="str">
        <f>_xlfn.CONCAT(Tabela9[[#This Row],[Coluna1]],Tabela9[[#This Row],[Coluna2]])</f>
        <v>20-Rota</v>
      </c>
    </row>
    <row r="92" spans="1:7" x14ac:dyDescent="0.25">
      <c r="A92">
        <v>1021</v>
      </c>
      <c r="B92">
        <v>105</v>
      </c>
      <c r="C92" s="1" t="str">
        <f>IF(Tabela8[[#This Row],[SETOR]]="","",IF(Tabela8[[#This Row],[SETOR]]&lt;200,"GV 10",IF(Tabela8[[#This Row],[SETOR]]&lt;300,"GV 20",IF(Tabela8[[#This Row],[SETOR]]&lt;400,"GV 30","S/GV"))))</f>
        <v>GV 10</v>
      </c>
      <c r="E92" t="s">
        <v>125</v>
      </c>
      <c r="G92" t="str">
        <f>_xlfn.CONCAT(Tabela9[[#This Row],[Coluna1]],Tabela9[[#This Row],[Coluna2]])</f>
        <v>18-TRAD</v>
      </c>
    </row>
    <row r="93" spans="1:7" x14ac:dyDescent="0.25">
      <c r="A93">
        <v>1026</v>
      </c>
      <c r="B93">
        <v>107</v>
      </c>
      <c r="C93" s="1" t="str">
        <f>IF(Tabela8[[#This Row],[SETOR]]="","",IF(Tabela8[[#This Row],[SETOR]]&lt;200,"GV 10",IF(Tabela8[[#This Row],[SETOR]]&lt;300,"GV 20",IF(Tabela8[[#This Row],[SETOR]]&lt;400,"GV 30","S/GV"))))</f>
        <v>GV 10</v>
      </c>
      <c r="E93" t="s">
        <v>125</v>
      </c>
      <c r="G93" t="str">
        <f>_xlfn.CONCAT(Tabela9[[#This Row],[Coluna1]],Tabela9[[#This Row],[Coluna2]])</f>
        <v>18-TRAD</v>
      </c>
    </row>
    <row r="94" spans="1:7" x14ac:dyDescent="0.25">
      <c r="A94">
        <v>1040</v>
      </c>
      <c r="B94">
        <v>107</v>
      </c>
      <c r="C94" s="1" t="str">
        <f>IF(Tabela8[[#This Row],[SETOR]]="","",IF(Tabela8[[#This Row],[SETOR]]&lt;200,"GV 10",IF(Tabela8[[#This Row],[SETOR]]&lt;300,"GV 20",IF(Tabela8[[#This Row],[SETOR]]&lt;400,"GV 30","S/GV"))))</f>
        <v>GV 10</v>
      </c>
      <c r="E94" t="s">
        <v>130</v>
      </c>
      <c r="G94" t="str">
        <f>_xlfn.CONCAT(Tabela9[[#This Row],[Coluna1]],Tabela9[[#This Row],[Coluna2]])</f>
        <v>21-SUB</v>
      </c>
    </row>
    <row r="95" spans="1:7" x14ac:dyDescent="0.25">
      <c r="A95">
        <v>1041</v>
      </c>
      <c r="B95">
        <v>106</v>
      </c>
      <c r="C95" s="1" t="str">
        <f>IF(Tabela8[[#This Row],[SETOR]]="","",IF(Tabela8[[#This Row],[SETOR]]&lt;200,"GV 10",IF(Tabela8[[#This Row],[SETOR]]&lt;300,"GV 20",IF(Tabela8[[#This Row],[SETOR]]&lt;400,"GV 30","S/GV"))))</f>
        <v>GV 10</v>
      </c>
      <c r="E95" t="s">
        <v>123</v>
      </c>
      <c r="G95" t="str">
        <f>_xlfn.CONCAT(Tabela9[[#This Row],[Coluna1]],Tabela9[[#This Row],[Coluna2]])</f>
        <v>20-Rota</v>
      </c>
    </row>
    <row r="96" spans="1:7" x14ac:dyDescent="0.25">
      <c r="A96">
        <v>1043</v>
      </c>
      <c r="B96">
        <v>202</v>
      </c>
      <c r="C96" s="1" t="str">
        <f>IF(Tabela8[[#This Row],[SETOR]]="","",IF(Tabela8[[#This Row],[SETOR]]&lt;200,"GV 10",IF(Tabela8[[#This Row],[SETOR]]&lt;300,"GV 20",IF(Tabela8[[#This Row],[SETOR]]&lt;400,"GV 30","S/GV"))))</f>
        <v>GV 20</v>
      </c>
      <c r="E96" t="s">
        <v>123</v>
      </c>
      <c r="G96" t="str">
        <f>_xlfn.CONCAT(Tabela9[[#This Row],[Coluna1]],Tabela9[[#This Row],[Coluna2]])</f>
        <v>20-Rota</v>
      </c>
    </row>
    <row r="97" spans="1:7" x14ac:dyDescent="0.25">
      <c r="A97">
        <v>1052</v>
      </c>
      <c r="B97">
        <v>108</v>
      </c>
      <c r="C97" s="1" t="str">
        <f>IF(Tabela8[[#This Row],[SETOR]]="","",IF(Tabela8[[#This Row],[SETOR]]&lt;200,"GV 10",IF(Tabela8[[#This Row],[SETOR]]&lt;300,"GV 20",IF(Tabela8[[#This Row],[SETOR]]&lt;400,"GV 30","S/GV"))))</f>
        <v>GV 10</v>
      </c>
      <c r="E97" t="s">
        <v>126</v>
      </c>
      <c r="F97" t="s">
        <v>127</v>
      </c>
      <c r="G97" t="str">
        <f>_xlfn.CONCAT(Tabela9[[#This Row],[Coluna1]],Tabela9[[#This Row],[Coluna2]])</f>
        <v>16-AS(5+)</v>
      </c>
    </row>
    <row r="98" spans="1:7" x14ac:dyDescent="0.25">
      <c r="A98">
        <v>1092</v>
      </c>
      <c r="B98">
        <v>107</v>
      </c>
      <c r="C98" s="1" t="str">
        <f>IF(Tabela8[[#This Row],[SETOR]]="","",IF(Tabela8[[#This Row],[SETOR]]&lt;200,"GV 10",IF(Tabela8[[#This Row],[SETOR]]&lt;300,"GV 20",IF(Tabela8[[#This Row],[SETOR]]&lt;400,"GV 30","S/GV"))))</f>
        <v>GV 10</v>
      </c>
      <c r="E98" t="s">
        <v>123</v>
      </c>
      <c r="G98" t="str">
        <f>_xlfn.CONCAT(Tabela9[[#This Row],[Coluna1]],Tabela9[[#This Row],[Coluna2]])</f>
        <v>20-Rota</v>
      </c>
    </row>
    <row r="99" spans="1:7" x14ac:dyDescent="0.25">
      <c r="A99">
        <v>1099</v>
      </c>
      <c r="B99">
        <v>916</v>
      </c>
      <c r="C99" s="1" t="str">
        <f>IF(Tabela8[[#This Row],[SETOR]]="","",IF(Tabela8[[#This Row],[SETOR]]&lt;200,"GV 10",IF(Tabela8[[#This Row],[SETOR]]&lt;300,"GV 20",IF(Tabela8[[#This Row],[SETOR]]&lt;400,"GV 30","S/GV"))))</f>
        <v>S/GV</v>
      </c>
      <c r="G99" t="str">
        <f>_xlfn.CONCAT(Tabela9[[#This Row],[Coluna1]],Tabela9[[#This Row],[Coluna2]])</f>
        <v/>
      </c>
    </row>
    <row r="100" spans="1:7" x14ac:dyDescent="0.25">
      <c r="A100">
        <v>1100</v>
      </c>
      <c r="B100">
        <v>105</v>
      </c>
      <c r="C100" s="1" t="str">
        <f>IF(Tabela8[[#This Row],[SETOR]]="","",IF(Tabela8[[#This Row],[SETOR]]&lt;200,"GV 10",IF(Tabela8[[#This Row],[SETOR]]&lt;300,"GV 20",IF(Tabela8[[#This Row],[SETOR]]&lt;400,"GV 30","S/GV"))))</f>
        <v>GV 10</v>
      </c>
      <c r="E100" t="s">
        <v>123</v>
      </c>
      <c r="G100" t="str">
        <f>_xlfn.CONCAT(Tabela9[[#This Row],[Coluna1]],Tabela9[[#This Row],[Coluna2]])</f>
        <v>20-Rota</v>
      </c>
    </row>
    <row r="101" spans="1:7" x14ac:dyDescent="0.25">
      <c r="A101">
        <v>1109</v>
      </c>
      <c r="B101">
        <v>105</v>
      </c>
      <c r="C101" s="1" t="str">
        <f>IF(Tabela8[[#This Row],[SETOR]]="","",IF(Tabela8[[#This Row],[SETOR]]&lt;200,"GV 10",IF(Tabela8[[#This Row],[SETOR]]&lt;300,"GV 20",IF(Tabela8[[#This Row],[SETOR]]&lt;400,"GV 30","S/GV"))))</f>
        <v>GV 10</v>
      </c>
      <c r="E101" t="s">
        <v>123</v>
      </c>
      <c r="G101" t="str">
        <f>_xlfn.CONCAT(Tabela9[[#This Row],[Coluna1]],Tabela9[[#This Row],[Coluna2]])</f>
        <v>20-Rota</v>
      </c>
    </row>
    <row r="102" spans="1:7" x14ac:dyDescent="0.25">
      <c r="A102">
        <v>1115</v>
      </c>
      <c r="B102">
        <v>105</v>
      </c>
      <c r="C102" s="1" t="str">
        <f>IF(Tabela8[[#This Row],[SETOR]]="","",IF(Tabela8[[#This Row],[SETOR]]&lt;200,"GV 10",IF(Tabela8[[#This Row],[SETOR]]&lt;300,"GV 20",IF(Tabela8[[#This Row],[SETOR]]&lt;400,"GV 30","S/GV"))))</f>
        <v>GV 10</v>
      </c>
      <c r="E102" t="s">
        <v>123</v>
      </c>
      <c r="G102" t="str">
        <f>_xlfn.CONCAT(Tabela9[[#This Row],[Coluna1]],Tabela9[[#This Row],[Coluna2]])</f>
        <v>20-Rota</v>
      </c>
    </row>
    <row r="103" spans="1:7" x14ac:dyDescent="0.25">
      <c r="A103">
        <v>1117</v>
      </c>
      <c r="B103">
        <v>108</v>
      </c>
      <c r="C103" s="1" t="str">
        <f>IF(Tabela8[[#This Row],[SETOR]]="","",IF(Tabela8[[#This Row],[SETOR]]&lt;200,"GV 10",IF(Tabela8[[#This Row],[SETOR]]&lt;300,"GV 20",IF(Tabela8[[#This Row],[SETOR]]&lt;400,"GV 30","S/GV"))))</f>
        <v>GV 10</v>
      </c>
      <c r="E103" t="s">
        <v>126</v>
      </c>
      <c r="F103" t="s">
        <v>127</v>
      </c>
      <c r="G103" t="str">
        <f>_xlfn.CONCAT(Tabela9[[#This Row],[Coluna1]],Tabela9[[#This Row],[Coluna2]])</f>
        <v>16-AS(5+)</v>
      </c>
    </row>
    <row r="104" spans="1:7" x14ac:dyDescent="0.25">
      <c r="A104">
        <v>1119</v>
      </c>
      <c r="B104">
        <v>106</v>
      </c>
      <c r="C104" s="1" t="str">
        <f>IF(Tabela8[[#This Row],[SETOR]]="","",IF(Tabela8[[#This Row],[SETOR]]&lt;200,"GV 10",IF(Tabela8[[#This Row],[SETOR]]&lt;300,"GV 20",IF(Tabela8[[#This Row],[SETOR]]&lt;400,"GV 30","S/GV"))))</f>
        <v>GV 10</v>
      </c>
      <c r="E104" t="s">
        <v>123</v>
      </c>
      <c r="G104" t="str">
        <f>_xlfn.CONCAT(Tabela9[[#This Row],[Coluna1]],Tabela9[[#This Row],[Coluna2]])</f>
        <v>20-Rota</v>
      </c>
    </row>
    <row r="105" spans="1:7" x14ac:dyDescent="0.25">
      <c r="A105">
        <v>1136</v>
      </c>
      <c r="B105">
        <v>309</v>
      </c>
      <c r="C105" s="1" t="str">
        <f>IF(Tabela8[[#This Row],[SETOR]]="","",IF(Tabela8[[#This Row],[SETOR]]&lt;200,"GV 10",IF(Tabela8[[#This Row],[SETOR]]&lt;300,"GV 20",IF(Tabela8[[#This Row],[SETOR]]&lt;400,"GV 30","S/GV"))))</f>
        <v>GV 30</v>
      </c>
      <c r="E105" t="s">
        <v>126</v>
      </c>
      <c r="F105" t="s">
        <v>127</v>
      </c>
      <c r="G105" t="str">
        <f>_xlfn.CONCAT(Tabela9[[#This Row],[Coluna1]],Tabela9[[#This Row],[Coluna2]])</f>
        <v>16-AS(5+)</v>
      </c>
    </row>
    <row r="106" spans="1:7" x14ac:dyDescent="0.25">
      <c r="A106">
        <v>1144</v>
      </c>
      <c r="B106">
        <v>308</v>
      </c>
      <c r="C106" s="1" t="str">
        <f>IF(Tabela8[[#This Row],[SETOR]]="","",IF(Tabela8[[#This Row],[SETOR]]&lt;200,"GV 10",IF(Tabela8[[#This Row],[SETOR]]&lt;300,"GV 20",IF(Tabela8[[#This Row],[SETOR]]&lt;400,"GV 30","S/GV"))))</f>
        <v>GV 30</v>
      </c>
      <c r="E106" t="s">
        <v>128</v>
      </c>
      <c r="F106" t="s">
        <v>129</v>
      </c>
      <c r="G106" t="str">
        <f>_xlfn.CONCAT(Tabela9[[#This Row],[Coluna1]],Tabela9[[#This Row],[Coluna2]])</f>
        <v>15-AS(1-4)</v>
      </c>
    </row>
    <row r="107" spans="1:7" x14ac:dyDescent="0.25">
      <c r="A107">
        <v>1163</v>
      </c>
      <c r="B107">
        <v>106</v>
      </c>
      <c r="C107" s="1" t="str">
        <f>IF(Tabela8[[#This Row],[SETOR]]="","",IF(Tabela8[[#This Row],[SETOR]]&lt;200,"GV 10",IF(Tabela8[[#This Row],[SETOR]]&lt;300,"GV 20",IF(Tabela8[[#This Row],[SETOR]]&lt;400,"GV 30","S/GV"))))</f>
        <v>GV 10</v>
      </c>
      <c r="E107" t="s">
        <v>125</v>
      </c>
      <c r="G107" t="str">
        <f>_xlfn.CONCAT(Tabela9[[#This Row],[Coluna1]],Tabela9[[#This Row],[Coluna2]])</f>
        <v>18-TRAD</v>
      </c>
    </row>
    <row r="108" spans="1:7" x14ac:dyDescent="0.25">
      <c r="A108">
        <v>1170</v>
      </c>
      <c r="B108">
        <v>207</v>
      </c>
      <c r="C108" s="1" t="str">
        <f>IF(Tabela8[[#This Row],[SETOR]]="","",IF(Tabela8[[#This Row],[SETOR]]&lt;200,"GV 10",IF(Tabela8[[#This Row],[SETOR]]&lt;300,"GV 20",IF(Tabela8[[#This Row],[SETOR]]&lt;400,"GV 30","S/GV"))))</f>
        <v>GV 20</v>
      </c>
      <c r="E108" t="s">
        <v>126</v>
      </c>
      <c r="F108" t="s">
        <v>127</v>
      </c>
      <c r="G108" t="str">
        <f>_xlfn.CONCAT(Tabela9[[#This Row],[Coluna1]],Tabela9[[#This Row],[Coluna2]])</f>
        <v>16-AS(5+)</v>
      </c>
    </row>
    <row r="109" spans="1:7" x14ac:dyDescent="0.25">
      <c r="A109">
        <v>1189</v>
      </c>
      <c r="B109">
        <v>105</v>
      </c>
      <c r="C109" s="1" t="str">
        <f>IF(Tabela8[[#This Row],[SETOR]]="","",IF(Tabela8[[#This Row],[SETOR]]&lt;200,"GV 10",IF(Tabela8[[#This Row],[SETOR]]&lt;300,"GV 20",IF(Tabela8[[#This Row],[SETOR]]&lt;400,"GV 30","S/GV"))))</f>
        <v>GV 10</v>
      </c>
      <c r="E109" t="s">
        <v>123</v>
      </c>
      <c r="G109" t="str">
        <f>_xlfn.CONCAT(Tabela9[[#This Row],[Coluna1]],Tabela9[[#This Row],[Coluna2]])</f>
        <v>20-Rota</v>
      </c>
    </row>
    <row r="110" spans="1:7" x14ac:dyDescent="0.25">
      <c r="A110">
        <v>1195</v>
      </c>
      <c r="B110">
        <v>105</v>
      </c>
      <c r="C110" s="1" t="str">
        <f>IF(Tabela8[[#This Row],[SETOR]]="","",IF(Tabela8[[#This Row],[SETOR]]&lt;200,"GV 10",IF(Tabela8[[#This Row],[SETOR]]&lt;300,"GV 20",IF(Tabela8[[#This Row],[SETOR]]&lt;400,"GV 30","S/GV"))))</f>
        <v>GV 10</v>
      </c>
      <c r="E110" t="s">
        <v>123</v>
      </c>
      <c r="G110" t="str">
        <f>_xlfn.CONCAT(Tabela9[[#This Row],[Coluna1]],Tabela9[[#This Row],[Coluna2]])</f>
        <v>20-Rota</v>
      </c>
    </row>
    <row r="111" spans="1:7" x14ac:dyDescent="0.25">
      <c r="A111">
        <v>1201</v>
      </c>
      <c r="B111">
        <v>303</v>
      </c>
      <c r="C111" s="1" t="str">
        <f>IF(Tabela8[[#This Row],[SETOR]]="","",IF(Tabela8[[#This Row],[SETOR]]&lt;200,"GV 10",IF(Tabela8[[#This Row],[SETOR]]&lt;300,"GV 20",IF(Tabela8[[#This Row],[SETOR]]&lt;400,"GV 30","S/GV"))))</f>
        <v>GV 30</v>
      </c>
      <c r="E111" t="s">
        <v>123</v>
      </c>
      <c r="G111" t="str">
        <f>_xlfn.CONCAT(Tabela9[[#This Row],[Coluna1]],Tabela9[[#This Row],[Coluna2]])</f>
        <v>20-Rota</v>
      </c>
    </row>
    <row r="112" spans="1:7" x14ac:dyDescent="0.25">
      <c r="A112">
        <v>1218</v>
      </c>
      <c r="B112">
        <v>106</v>
      </c>
      <c r="C112" s="1" t="str">
        <f>IF(Tabela8[[#This Row],[SETOR]]="","",IF(Tabela8[[#This Row],[SETOR]]&lt;200,"GV 10",IF(Tabela8[[#This Row],[SETOR]]&lt;300,"GV 20",IF(Tabela8[[#This Row],[SETOR]]&lt;400,"GV 30","S/GV"))))</f>
        <v>GV 10</v>
      </c>
      <c r="E112" t="s">
        <v>123</v>
      </c>
      <c r="G112" t="str">
        <f>_xlfn.CONCAT(Tabela9[[#This Row],[Coluna1]],Tabela9[[#This Row],[Coluna2]])</f>
        <v>20-Rota</v>
      </c>
    </row>
    <row r="113" spans="1:7" x14ac:dyDescent="0.25">
      <c r="A113">
        <v>1220</v>
      </c>
      <c r="B113">
        <v>107</v>
      </c>
      <c r="C113" s="1" t="str">
        <f>IF(Tabela8[[#This Row],[SETOR]]="","",IF(Tabela8[[#This Row],[SETOR]]&lt;200,"GV 10",IF(Tabela8[[#This Row],[SETOR]]&lt;300,"GV 20",IF(Tabela8[[#This Row],[SETOR]]&lt;400,"GV 30","S/GV"))))</f>
        <v>GV 10</v>
      </c>
      <c r="E113" t="s">
        <v>128</v>
      </c>
      <c r="F113" t="s">
        <v>129</v>
      </c>
      <c r="G113" t="str">
        <f>_xlfn.CONCAT(Tabela9[[#This Row],[Coluna1]],Tabela9[[#This Row],[Coluna2]])</f>
        <v>15-AS(1-4)</v>
      </c>
    </row>
    <row r="114" spans="1:7" x14ac:dyDescent="0.25">
      <c r="A114">
        <v>1227</v>
      </c>
      <c r="B114">
        <v>308</v>
      </c>
      <c r="C114" s="1" t="str">
        <f>IF(Tabela8[[#This Row],[SETOR]]="","",IF(Tabela8[[#This Row],[SETOR]]&lt;200,"GV 10",IF(Tabela8[[#This Row],[SETOR]]&lt;300,"GV 20",IF(Tabela8[[#This Row],[SETOR]]&lt;400,"GV 30","S/GV"))))</f>
        <v>GV 30</v>
      </c>
      <c r="E114" t="s">
        <v>128</v>
      </c>
      <c r="F114" t="s">
        <v>129</v>
      </c>
      <c r="G114" t="str">
        <f>_xlfn.CONCAT(Tabela9[[#This Row],[Coluna1]],Tabela9[[#This Row],[Coluna2]])</f>
        <v>15-AS(1-4)</v>
      </c>
    </row>
    <row r="115" spans="1:7" x14ac:dyDescent="0.25">
      <c r="A115">
        <v>1234</v>
      </c>
      <c r="B115">
        <v>106</v>
      </c>
      <c r="C115" s="1" t="str">
        <f>IF(Tabela8[[#This Row],[SETOR]]="","",IF(Tabela8[[#This Row],[SETOR]]&lt;200,"GV 10",IF(Tabela8[[#This Row],[SETOR]]&lt;300,"GV 20",IF(Tabela8[[#This Row],[SETOR]]&lt;400,"GV 30","S/GV"))))</f>
        <v>GV 10</v>
      </c>
      <c r="E115" t="s">
        <v>123</v>
      </c>
      <c r="G115" t="str">
        <f>_xlfn.CONCAT(Tabela9[[#This Row],[Coluna1]],Tabela9[[#This Row],[Coluna2]])</f>
        <v>20-Rota</v>
      </c>
    </row>
    <row r="116" spans="1:7" x14ac:dyDescent="0.25">
      <c r="A116">
        <v>1240</v>
      </c>
      <c r="B116">
        <v>304</v>
      </c>
      <c r="C116" s="1" t="str">
        <f>IF(Tabela8[[#This Row],[SETOR]]="","",IF(Tabela8[[#This Row],[SETOR]]&lt;200,"GV 10",IF(Tabela8[[#This Row],[SETOR]]&lt;300,"GV 20",IF(Tabela8[[#This Row],[SETOR]]&lt;400,"GV 30","S/GV"))))</f>
        <v>GV 30</v>
      </c>
      <c r="E116" t="s">
        <v>123</v>
      </c>
      <c r="G116" t="str">
        <f>_xlfn.CONCAT(Tabela9[[#This Row],[Coluna1]],Tabela9[[#This Row],[Coluna2]])</f>
        <v>20-Rota</v>
      </c>
    </row>
    <row r="117" spans="1:7" x14ac:dyDescent="0.25">
      <c r="A117">
        <v>1241</v>
      </c>
      <c r="B117">
        <v>203</v>
      </c>
      <c r="C117" s="1" t="str">
        <f>IF(Tabela8[[#This Row],[SETOR]]="","",IF(Tabela8[[#This Row],[SETOR]]&lt;200,"GV 10",IF(Tabela8[[#This Row],[SETOR]]&lt;300,"GV 20",IF(Tabela8[[#This Row],[SETOR]]&lt;400,"GV 30","S/GV"))))</f>
        <v>GV 20</v>
      </c>
      <c r="E117" t="s">
        <v>123</v>
      </c>
      <c r="G117" t="str">
        <f>_xlfn.CONCAT(Tabela9[[#This Row],[Coluna1]],Tabela9[[#This Row],[Coluna2]])</f>
        <v>20-Rota</v>
      </c>
    </row>
    <row r="118" spans="1:7" x14ac:dyDescent="0.25">
      <c r="A118">
        <v>1243</v>
      </c>
      <c r="B118">
        <v>302</v>
      </c>
      <c r="C118" s="1" t="str">
        <f>IF(Tabela8[[#This Row],[SETOR]]="","",IF(Tabela8[[#This Row],[SETOR]]&lt;200,"GV 10",IF(Tabela8[[#This Row],[SETOR]]&lt;300,"GV 20",IF(Tabela8[[#This Row],[SETOR]]&lt;400,"GV 30","S/GV"))))</f>
        <v>GV 30</v>
      </c>
      <c r="E118" t="s">
        <v>123</v>
      </c>
      <c r="G118" t="str">
        <f>_xlfn.CONCAT(Tabela9[[#This Row],[Coluna1]],Tabela9[[#This Row],[Coluna2]])</f>
        <v>20-Rota</v>
      </c>
    </row>
    <row r="119" spans="1:7" x14ac:dyDescent="0.25">
      <c r="A119">
        <v>1249</v>
      </c>
      <c r="B119">
        <v>107</v>
      </c>
      <c r="C119" s="1" t="str">
        <f>IF(Tabela8[[#This Row],[SETOR]]="","",IF(Tabela8[[#This Row],[SETOR]]&lt;200,"GV 10",IF(Tabela8[[#This Row],[SETOR]]&lt;300,"GV 20",IF(Tabela8[[#This Row],[SETOR]]&lt;400,"GV 30","S/GV"))))</f>
        <v>GV 10</v>
      </c>
      <c r="E119" t="s">
        <v>126</v>
      </c>
      <c r="F119" t="s">
        <v>127</v>
      </c>
      <c r="G119" t="str">
        <f>_xlfn.CONCAT(Tabela9[[#This Row],[Coluna1]],Tabela9[[#This Row],[Coluna2]])</f>
        <v>16-AS(5+)</v>
      </c>
    </row>
    <row r="120" spans="1:7" x14ac:dyDescent="0.25">
      <c r="A120">
        <v>1267</v>
      </c>
      <c r="B120">
        <v>105</v>
      </c>
      <c r="C120" s="1" t="str">
        <f>IF(Tabela8[[#This Row],[SETOR]]="","",IF(Tabela8[[#This Row],[SETOR]]&lt;200,"GV 10",IF(Tabela8[[#This Row],[SETOR]]&lt;300,"GV 20",IF(Tabela8[[#This Row],[SETOR]]&lt;400,"GV 30","S/GV"))))</f>
        <v>GV 10</v>
      </c>
      <c r="E120" t="s">
        <v>123</v>
      </c>
      <c r="G120" t="str">
        <f>_xlfn.CONCAT(Tabela9[[#This Row],[Coluna1]],Tabela9[[#This Row],[Coluna2]])</f>
        <v>20-Rota</v>
      </c>
    </row>
    <row r="121" spans="1:7" x14ac:dyDescent="0.25">
      <c r="A121">
        <v>1272</v>
      </c>
      <c r="B121">
        <v>105</v>
      </c>
      <c r="C121" s="1" t="str">
        <f>IF(Tabela8[[#This Row],[SETOR]]="","",IF(Tabela8[[#This Row],[SETOR]]&lt;200,"GV 10",IF(Tabela8[[#This Row],[SETOR]]&lt;300,"GV 20",IF(Tabela8[[#This Row],[SETOR]]&lt;400,"GV 30","S/GV"))))</f>
        <v>GV 10</v>
      </c>
      <c r="E121" t="s">
        <v>123</v>
      </c>
      <c r="G121" t="str">
        <f>_xlfn.CONCAT(Tabela9[[#This Row],[Coluna1]],Tabela9[[#This Row],[Coluna2]])</f>
        <v>20-Rota</v>
      </c>
    </row>
    <row r="122" spans="1:7" x14ac:dyDescent="0.25">
      <c r="A122">
        <v>1277</v>
      </c>
      <c r="B122">
        <v>109</v>
      </c>
      <c r="C122" s="1" t="str">
        <f>IF(Tabela8[[#This Row],[SETOR]]="","",IF(Tabela8[[#This Row],[SETOR]]&lt;200,"GV 10",IF(Tabela8[[#This Row],[SETOR]]&lt;300,"GV 20",IF(Tabela8[[#This Row],[SETOR]]&lt;400,"GV 30","S/GV"))))</f>
        <v>GV 10</v>
      </c>
      <c r="E122" t="s">
        <v>123</v>
      </c>
      <c r="G122" t="str">
        <f>_xlfn.CONCAT(Tabela9[[#This Row],[Coluna1]],Tabela9[[#This Row],[Coluna2]])</f>
        <v>20-Rota</v>
      </c>
    </row>
    <row r="123" spans="1:7" x14ac:dyDescent="0.25">
      <c r="A123">
        <v>1284</v>
      </c>
      <c r="B123">
        <v>105</v>
      </c>
      <c r="C123" s="1" t="str">
        <f>IF(Tabela8[[#This Row],[SETOR]]="","",IF(Tabela8[[#This Row],[SETOR]]&lt;200,"GV 10",IF(Tabela8[[#This Row],[SETOR]]&lt;300,"GV 20",IF(Tabela8[[#This Row],[SETOR]]&lt;400,"GV 30","S/GV"))))</f>
        <v>GV 10</v>
      </c>
      <c r="E123" t="s">
        <v>125</v>
      </c>
      <c r="G123" t="str">
        <f>_xlfn.CONCAT(Tabela9[[#This Row],[Coluna1]],Tabela9[[#This Row],[Coluna2]])</f>
        <v>18-TRAD</v>
      </c>
    </row>
    <row r="124" spans="1:7" x14ac:dyDescent="0.25">
      <c r="A124">
        <v>1285</v>
      </c>
      <c r="B124">
        <v>105</v>
      </c>
      <c r="C124" s="1" t="str">
        <f>IF(Tabela8[[#This Row],[SETOR]]="","",IF(Tabela8[[#This Row],[SETOR]]&lt;200,"GV 10",IF(Tabela8[[#This Row],[SETOR]]&lt;300,"GV 20",IF(Tabela8[[#This Row],[SETOR]]&lt;400,"GV 30","S/GV"))))</f>
        <v>GV 10</v>
      </c>
      <c r="E124" t="s">
        <v>123</v>
      </c>
      <c r="G124" t="str">
        <f>_xlfn.CONCAT(Tabela9[[#This Row],[Coluna1]],Tabela9[[#This Row],[Coluna2]])</f>
        <v>20-Rota</v>
      </c>
    </row>
    <row r="125" spans="1:7" x14ac:dyDescent="0.25">
      <c r="A125">
        <v>1327</v>
      </c>
      <c r="B125">
        <v>106</v>
      </c>
      <c r="C125" s="1" t="str">
        <f>IF(Tabela8[[#This Row],[SETOR]]="","",IF(Tabela8[[#This Row],[SETOR]]&lt;200,"GV 10",IF(Tabela8[[#This Row],[SETOR]]&lt;300,"GV 20",IF(Tabela8[[#This Row],[SETOR]]&lt;400,"GV 30","S/GV"))))</f>
        <v>GV 10</v>
      </c>
      <c r="E125" t="s">
        <v>123</v>
      </c>
      <c r="G125" t="str">
        <f>_xlfn.CONCAT(Tabela9[[#This Row],[Coluna1]],Tabela9[[#This Row],[Coluna2]])</f>
        <v>20-Rota</v>
      </c>
    </row>
    <row r="126" spans="1:7" x14ac:dyDescent="0.25">
      <c r="A126">
        <v>1341</v>
      </c>
      <c r="B126">
        <v>109</v>
      </c>
      <c r="C126" s="1" t="str">
        <f>IF(Tabela8[[#This Row],[SETOR]]="","",IF(Tabela8[[#This Row],[SETOR]]&lt;200,"GV 10",IF(Tabela8[[#This Row],[SETOR]]&lt;300,"GV 20",IF(Tabela8[[#This Row],[SETOR]]&lt;400,"GV 30","S/GV"))))</f>
        <v>GV 10</v>
      </c>
      <c r="E126" t="s">
        <v>123</v>
      </c>
      <c r="G126" t="str">
        <f>_xlfn.CONCAT(Tabela9[[#This Row],[Coluna1]],Tabela9[[#This Row],[Coluna2]])</f>
        <v>20-Rota</v>
      </c>
    </row>
    <row r="127" spans="1:7" x14ac:dyDescent="0.25">
      <c r="A127">
        <v>1351</v>
      </c>
      <c r="B127">
        <v>906</v>
      </c>
      <c r="C127" s="1" t="str">
        <f>IF(Tabela8[[#This Row],[SETOR]]="","",IF(Tabela8[[#This Row],[SETOR]]&lt;200,"GV 10",IF(Tabela8[[#This Row],[SETOR]]&lt;300,"GV 20",IF(Tabela8[[#This Row],[SETOR]]&lt;400,"GV 30","S/GV"))))</f>
        <v>S/GV</v>
      </c>
      <c r="G127" t="str">
        <f>_xlfn.CONCAT(Tabela9[[#This Row],[Coluna1]],Tabela9[[#This Row],[Coluna2]])</f>
        <v/>
      </c>
    </row>
    <row r="128" spans="1:7" x14ac:dyDescent="0.25">
      <c r="A128">
        <v>1352</v>
      </c>
      <c r="B128">
        <v>105</v>
      </c>
      <c r="C128" s="1" t="str">
        <f>IF(Tabela8[[#This Row],[SETOR]]="","",IF(Tabela8[[#This Row],[SETOR]]&lt;200,"GV 10",IF(Tabela8[[#This Row],[SETOR]]&lt;300,"GV 20",IF(Tabela8[[#This Row],[SETOR]]&lt;400,"GV 30","S/GV"))))</f>
        <v>GV 10</v>
      </c>
      <c r="E128" t="s">
        <v>123</v>
      </c>
      <c r="G128" t="str">
        <f>_xlfn.CONCAT(Tabela9[[#This Row],[Coluna1]],Tabela9[[#This Row],[Coluna2]])</f>
        <v>20-Rota</v>
      </c>
    </row>
    <row r="129" spans="1:7" x14ac:dyDescent="0.25">
      <c r="A129">
        <v>1357</v>
      </c>
      <c r="B129">
        <v>105</v>
      </c>
      <c r="C129" s="1" t="str">
        <f>IF(Tabela8[[#This Row],[SETOR]]="","",IF(Tabela8[[#This Row],[SETOR]]&lt;200,"GV 10",IF(Tabela8[[#This Row],[SETOR]]&lt;300,"GV 20",IF(Tabela8[[#This Row],[SETOR]]&lt;400,"GV 30","S/GV"))))</f>
        <v>GV 10</v>
      </c>
      <c r="E129" t="s">
        <v>123</v>
      </c>
      <c r="G129" t="str">
        <f>_xlfn.CONCAT(Tabela9[[#This Row],[Coluna1]],Tabela9[[#This Row],[Coluna2]])</f>
        <v>20-Rota</v>
      </c>
    </row>
    <row r="130" spans="1:7" x14ac:dyDescent="0.25">
      <c r="A130">
        <v>1360</v>
      </c>
      <c r="B130">
        <v>105</v>
      </c>
      <c r="C130" s="1" t="str">
        <f>IF(Tabela8[[#This Row],[SETOR]]="","",IF(Tabela8[[#This Row],[SETOR]]&lt;200,"GV 10",IF(Tabela8[[#This Row],[SETOR]]&lt;300,"GV 20",IF(Tabela8[[#This Row],[SETOR]]&lt;400,"GV 30","S/GV"))))</f>
        <v>GV 10</v>
      </c>
      <c r="E130" t="s">
        <v>123</v>
      </c>
      <c r="G130" t="str">
        <f>_xlfn.CONCAT(Tabela9[[#This Row],[Coluna1]],Tabela9[[#This Row],[Coluna2]])</f>
        <v>20-Rota</v>
      </c>
    </row>
    <row r="131" spans="1:7" x14ac:dyDescent="0.25">
      <c r="A131">
        <v>1365</v>
      </c>
      <c r="B131">
        <v>105</v>
      </c>
      <c r="C131" s="1" t="str">
        <f>IF(Tabela8[[#This Row],[SETOR]]="","",IF(Tabela8[[#This Row],[SETOR]]&lt;200,"GV 10",IF(Tabela8[[#This Row],[SETOR]]&lt;300,"GV 20",IF(Tabela8[[#This Row],[SETOR]]&lt;400,"GV 30","S/GV"))))</f>
        <v>GV 10</v>
      </c>
      <c r="E131" t="s">
        <v>123</v>
      </c>
      <c r="G131" t="str">
        <f>_xlfn.CONCAT(Tabela9[[#This Row],[Coluna1]],Tabela9[[#This Row],[Coluna2]])</f>
        <v>20-Rota</v>
      </c>
    </row>
    <row r="132" spans="1:7" x14ac:dyDescent="0.25">
      <c r="A132">
        <v>1373</v>
      </c>
      <c r="B132">
        <v>101</v>
      </c>
      <c r="C132" s="1" t="str">
        <f>IF(Tabela8[[#This Row],[SETOR]]="","",IF(Tabela8[[#This Row],[SETOR]]&lt;200,"GV 10",IF(Tabela8[[#This Row],[SETOR]]&lt;300,"GV 20",IF(Tabela8[[#This Row],[SETOR]]&lt;400,"GV 30","S/GV"))))</f>
        <v>GV 10</v>
      </c>
      <c r="E132" t="s">
        <v>123</v>
      </c>
      <c r="G132" t="str">
        <f>_xlfn.CONCAT(Tabela9[[#This Row],[Coluna1]],Tabela9[[#This Row],[Coluna2]])</f>
        <v>20-Rota</v>
      </c>
    </row>
    <row r="133" spans="1:7" x14ac:dyDescent="0.25">
      <c r="A133">
        <v>1384</v>
      </c>
      <c r="B133">
        <v>106</v>
      </c>
      <c r="C133" s="1" t="str">
        <f>IF(Tabela8[[#This Row],[SETOR]]="","",IF(Tabela8[[#This Row],[SETOR]]&lt;200,"GV 10",IF(Tabela8[[#This Row],[SETOR]]&lt;300,"GV 20",IF(Tabela8[[#This Row],[SETOR]]&lt;400,"GV 30","S/GV"))))</f>
        <v>GV 10</v>
      </c>
      <c r="E133" t="s">
        <v>128</v>
      </c>
      <c r="F133" t="s">
        <v>129</v>
      </c>
      <c r="G133" t="str">
        <f>_xlfn.CONCAT(Tabela9[[#This Row],[Coluna1]],Tabela9[[#This Row],[Coluna2]])</f>
        <v>15-AS(1-4)</v>
      </c>
    </row>
    <row r="134" spans="1:7" x14ac:dyDescent="0.25">
      <c r="A134">
        <v>1398</v>
      </c>
      <c r="B134">
        <v>105</v>
      </c>
      <c r="C134" s="1" t="str">
        <f>IF(Tabela8[[#This Row],[SETOR]]="","",IF(Tabela8[[#This Row],[SETOR]]&lt;200,"GV 10",IF(Tabela8[[#This Row],[SETOR]]&lt;300,"GV 20",IF(Tabela8[[#This Row],[SETOR]]&lt;400,"GV 30","S/GV"))))</f>
        <v>GV 10</v>
      </c>
      <c r="E134" t="s">
        <v>126</v>
      </c>
      <c r="F134" t="s">
        <v>127</v>
      </c>
      <c r="G134" t="str">
        <f>_xlfn.CONCAT(Tabela9[[#This Row],[Coluna1]],Tabela9[[#This Row],[Coluna2]])</f>
        <v>16-AS(5+)</v>
      </c>
    </row>
    <row r="135" spans="1:7" x14ac:dyDescent="0.25">
      <c r="A135">
        <v>1399</v>
      </c>
      <c r="B135">
        <v>105</v>
      </c>
      <c r="C135" s="1" t="str">
        <f>IF(Tabela8[[#This Row],[SETOR]]="","",IF(Tabela8[[#This Row],[SETOR]]&lt;200,"GV 10",IF(Tabela8[[#This Row],[SETOR]]&lt;300,"GV 20",IF(Tabela8[[#This Row],[SETOR]]&lt;400,"GV 30","S/GV"))))</f>
        <v>GV 10</v>
      </c>
      <c r="E135" t="s">
        <v>125</v>
      </c>
      <c r="G135" t="str">
        <f>_xlfn.CONCAT(Tabela9[[#This Row],[Coluna1]],Tabela9[[#This Row],[Coluna2]])</f>
        <v>18-TRAD</v>
      </c>
    </row>
    <row r="136" spans="1:7" x14ac:dyDescent="0.25">
      <c r="A136">
        <v>1422</v>
      </c>
      <c r="B136">
        <v>103</v>
      </c>
      <c r="C136" s="1" t="str">
        <f>IF(Tabela8[[#This Row],[SETOR]]="","",IF(Tabela8[[#This Row],[SETOR]]&lt;200,"GV 10",IF(Tabela8[[#This Row],[SETOR]]&lt;300,"GV 20",IF(Tabela8[[#This Row],[SETOR]]&lt;400,"GV 30","S/GV"))))</f>
        <v>GV 10</v>
      </c>
      <c r="E136" t="s">
        <v>123</v>
      </c>
      <c r="G136" t="str">
        <f>_xlfn.CONCAT(Tabela9[[#This Row],[Coluna1]],Tabela9[[#This Row],[Coluna2]])</f>
        <v>20-Rota</v>
      </c>
    </row>
    <row r="137" spans="1:7" x14ac:dyDescent="0.25">
      <c r="A137">
        <v>1429</v>
      </c>
      <c r="B137">
        <v>916</v>
      </c>
      <c r="C137" s="1" t="str">
        <f>IF(Tabela8[[#This Row],[SETOR]]="","",IF(Tabela8[[#This Row],[SETOR]]&lt;200,"GV 10",IF(Tabela8[[#This Row],[SETOR]]&lt;300,"GV 20",IF(Tabela8[[#This Row],[SETOR]]&lt;400,"GV 30","S/GV"))))</f>
        <v>S/GV</v>
      </c>
      <c r="G137" t="str">
        <f>_xlfn.CONCAT(Tabela9[[#This Row],[Coluna1]],Tabela9[[#This Row],[Coluna2]])</f>
        <v/>
      </c>
    </row>
    <row r="138" spans="1:7" x14ac:dyDescent="0.25">
      <c r="A138">
        <v>1438</v>
      </c>
      <c r="B138">
        <v>204</v>
      </c>
      <c r="C138" s="1" t="str">
        <f>IF(Tabela8[[#This Row],[SETOR]]="","",IF(Tabela8[[#This Row],[SETOR]]&lt;200,"GV 10",IF(Tabela8[[#This Row],[SETOR]]&lt;300,"GV 20",IF(Tabela8[[#This Row],[SETOR]]&lt;400,"GV 30","S/GV"))))</f>
        <v>GV 20</v>
      </c>
      <c r="E138" t="s">
        <v>123</v>
      </c>
      <c r="G138" t="str">
        <f>_xlfn.CONCAT(Tabela9[[#This Row],[Coluna1]],Tabela9[[#This Row],[Coluna2]])</f>
        <v>20-Rota</v>
      </c>
    </row>
    <row r="139" spans="1:7" x14ac:dyDescent="0.25">
      <c r="A139">
        <v>1447</v>
      </c>
      <c r="B139">
        <v>204</v>
      </c>
      <c r="C139" s="1" t="str">
        <f>IF(Tabela8[[#This Row],[SETOR]]="","",IF(Tabela8[[#This Row],[SETOR]]&lt;200,"GV 10",IF(Tabela8[[#This Row],[SETOR]]&lt;300,"GV 20",IF(Tabela8[[#This Row],[SETOR]]&lt;400,"GV 30","S/GV"))))</f>
        <v>GV 20</v>
      </c>
      <c r="E139" t="s">
        <v>123</v>
      </c>
      <c r="G139" t="str">
        <f>_xlfn.CONCAT(Tabela9[[#This Row],[Coluna1]],Tabela9[[#This Row],[Coluna2]])</f>
        <v>20-Rota</v>
      </c>
    </row>
    <row r="140" spans="1:7" x14ac:dyDescent="0.25">
      <c r="A140">
        <v>1454</v>
      </c>
      <c r="B140">
        <v>906</v>
      </c>
      <c r="C140" s="1" t="str">
        <f>IF(Tabela8[[#This Row],[SETOR]]="","",IF(Tabela8[[#This Row],[SETOR]]&lt;200,"GV 10",IF(Tabela8[[#This Row],[SETOR]]&lt;300,"GV 20",IF(Tabela8[[#This Row],[SETOR]]&lt;400,"GV 30","S/GV"))))</f>
        <v>S/GV</v>
      </c>
      <c r="E140" t="s">
        <v>123</v>
      </c>
      <c r="G140" t="str">
        <f>_xlfn.CONCAT(Tabela9[[#This Row],[Coluna1]],Tabela9[[#This Row],[Coluna2]])</f>
        <v>20-Rota</v>
      </c>
    </row>
    <row r="141" spans="1:7" x14ac:dyDescent="0.25">
      <c r="A141">
        <v>1460</v>
      </c>
      <c r="B141">
        <v>309</v>
      </c>
      <c r="C141" s="1" t="str">
        <f>IF(Tabela8[[#This Row],[SETOR]]="","",IF(Tabela8[[#This Row],[SETOR]]&lt;200,"GV 10",IF(Tabela8[[#This Row],[SETOR]]&lt;300,"GV 20",IF(Tabela8[[#This Row],[SETOR]]&lt;400,"GV 30","S/GV"))))</f>
        <v>GV 30</v>
      </c>
      <c r="E141" t="s">
        <v>126</v>
      </c>
      <c r="F141" t="s">
        <v>127</v>
      </c>
      <c r="G141" t="str">
        <f>_xlfn.CONCAT(Tabela9[[#This Row],[Coluna1]],Tabela9[[#This Row],[Coluna2]])</f>
        <v>16-AS(5+)</v>
      </c>
    </row>
    <row r="142" spans="1:7" x14ac:dyDescent="0.25">
      <c r="A142">
        <v>1471</v>
      </c>
      <c r="B142">
        <v>208</v>
      </c>
      <c r="C142" s="1" t="str">
        <f>IF(Tabela8[[#This Row],[SETOR]]="","",IF(Tabela8[[#This Row],[SETOR]]&lt;200,"GV 10",IF(Tabela8[[#This Row],[SETOR]]&lt;300,"GV 20",IF(Tabela8[[#This Row],[SETOR]]&lt;400,"GV 30","S/GV"))))</f>
        <v>GV 20</v>
      </c>
      <c r="E142" t="s">
        <v>128</v>
      </c>
      <c r="F142" t="s">
        <v>129</v>
      </c>
      <c r="G142" t="str">
        <f>_xlfn.CONCAT(Tabela9[[#This Row],[Coluna1]],Tabela9[[#This Row],[Coluna2]])</f>
        <v>15-AS(1-4)</v>
      </c>
    </row>
    <row r="143" spans="1:7" x14ac:dyDescent="0.25">
      <c r="A143">
        <v>1501</v>
      </c>
      <c r="B143">
        <v>101</v>
      </c>
      <c r="C143" s="1" t="str">
        <f>IF(Tabela8[[#This Row],[SETOR]]="","",IF(Tabela8[[#This Row],[SETOR]]&lt;200,"GV 10",IF(Tabela8[[#This Row],[SETOR]]&lt;300,"GV 20",IF(Tabela8[[#This Row],[SETOR]]&lt;400,"GV 30","S/GV"))))</f>
        <v>GV 10</v>
      </c>
      <c r="E143" t="s">
        <v>123</v>
      </c>
      <c r="G143" t="str">
        <f>_xlfn.CONCAT(Tabela9[[#This Row],[Coluna1]],Tabela9[[#This Row],[Coluna2]])</f>
        <v>20-Rota</v>
      </c>
    </row>
    <row r="144" spans="1:7" x14ac:dyDescent="0.25">
      <c r="A144">
        <v>1514</v>
      </c>
      <c r="B144">
        <v>101</v>
      </c>
      <c r="C144" s="1" t="str">
        <f>IF(Tabela8[[#This Row],[SETOR]]="","",IF(Tabela8[[#This Row],[SETOR]]&lt;200,"GV 10",IF(Tabela8[[#This Row],[SETOR]]&lt;300,"GV 20",IF(Tabela8[[#This Row],[SETOR]]&lt;400,"GV 30","S/GV"))))</f>
        <v>GV 10</v>
      </c>
      <c r="E144" t="s">
        <v>123</v>
      </c>
      <c r="G144" t="str">
        <f>_xlfn.CONCAT(Tabela9[[#This Row],[Coluna1]],Tabela9[[#This Row],[Coluna2]])</f>
        <v>20-Rota</v>
      </c>
    </row>
    <row r="145" spans="1:7" x14ac:dyDescent="0.25">
      <c r="A145">
        <v>1525</v>
      </c>
      <c r="B145">
        <v>104</v>
      </c>
      <c r="C145" s="1" t="str">
        <f>IF(Tabela8[[#This Row],[SETOR]]="","",IF(Tabela8[[#This Row],[SETOR]]&lt;200,"GV 10",IF(Tabela8[[#This Row],[SETOR]]&lt;300,"GV 20",IF(Tabela8[[#This Row],[SETOR]]&lt;400,"GV 30","S/GV"))))</f>
        <v>GV 10</v>
      </c>
      <c r="E145" t="s">
        <v>123</v>
      </c>
      <c r="G145" t="str">
        <f>_xlfn.CONCAT(Tabela9[[#This Row],[Coluna1]],Tabela9[[#This Row],[Coluna2]])</f>
        <v>20-Rota</v>
      </c>
    </row>
    <row r="146" spans="1:7" x14ac:dyDescent="0.25">
      <c r="A146">
        <v>1529</v>
      </c>
      <c r="B146">
        <v>107</v>
      </c>
      <c r="C146" s="1" t="str">
        <f>IF(Tabela8[[#This Row],[SETOR]]="","",IF(Tabela8[[#This Row],[SETOR]]&lt;200,"GV 10",IF(Tabela8[[#This Row],[SETOR]]&lt;300,"GV 20",IF(Tabela8[[#This Row],[SETOR]]&lt;400,"GV 30","S/GV"))))</f>
        <v>GV 10</v>
      </c>
      <c r="E146" t="s">
        <v>125</v>
      </c>
      <c r="G146" t="str">
        <f>_xlfn.CONCAT(Tabela9[[#This Row],[Coluna1]],Tabela9[[#This Row],[Coluna2]])</f>
        <v>18-TRAD</v>
      </c>
    </row>
    <row r="147" spans="1:7" x14ac:dyDescent="0.25">
      <c r="A147">
        <v>1560</v>
      </c>
      <c r="B147">
        <v>108</v>
      </c>
      <c r="C147" s="1" t="str">
        <f>IF(Tabela8[[#This Row],[SETOR]]="","",IF(Tabela8[[#This Row],[SETOR]]&lt;200,"GV 10",IF(Tabela8[[#This Row],[SETOR]]&lt;300,"GV 20",IF(Tabela8[[#This Row],[SETOR]]&lt;400,"GV 30","S/GV"))))</f>
        <v>GV 10</v>
      </c>
      <c r="E147" t="s">
        <v>126</v>
      </c>
      <c r="F147" t="s">
        <v>127</v>
      </c>
      <c r="G147" t="str">
        <f>_xlfn.CONCAT(Tabela9[[#This Row],[Coluna1]],Tabela9[[#This Row],[Coluna2]])</f>
        <v>16-AS(5+)</v>
      </c>
    </row>
    <row r="148" spans="1:7" x14ac:dyDescent="0.25">
      <c r="A148">
        <v>1577</v>
      </c>
      <c r="B148">
        <v>305</v>
      </c>
      <c r="C148" s="1" t="str">
        <f>IF(Tabela8[[#This Row],[SETOR]]="","",IF(Tabela8[[#This Row],[SETOR]]&lt;200,"GV 10",IF(Tabela8[[#This Row],[SETOR]]&lt;300,"GV 20",IF(Tabela8[[#This Row],[SETOR]]&lt;400,"GV 30","S/GV"))))</f>
        <v>GV 30</v>
      </c>
      <c r="E148" t="s">
        <v>123</v>
      </c>
      <c r="G148" t="str">
        <f>_xlfn.CONCAT(Tabela9[[#This Row],[Coluna1]],Tabela9[[#This Row],[Coluna2]])</f>
        <v>20-Rota</v>
      </c>
    </row>
    <row r="149" spans="1:7" x14ac:dyDescent="0.25">
      <c r="A149">
        <v>1584</v>
      </c>
      <c r="B149">
        <v>302</v>
      </c>
      <c r="C149" s="1" t="str">
        <f>IF(Tabela8[[#This Row],[SETOR]]="","",IF(Tabela8[[#This Row],[SETOR]]&lt;200,"GV 10",IF(Tabela8[[#This Row],[SETOR]]&lt;300,"GV 20",IF(Tabela8[[#This Row],[SETOR]]&lt;400,"GV 30","S/GV"))))</f>
        <v>GV 30</v>
      </c>
      <c r="E149" t="s">
        <v>123</v>
      </c>
      <c r="G149" t="str">
        <f>_xlfn.CONCAT(Tabela9[[#This Row],[Coluna1]],Tabela9[[#This Row],[Coluna2]])</f>
        <v>20-Rota</v>
      </c>
    </row>
    <row r="150" spans="1:7" x14ac:dyDescent="0.25">
      <c r="A150">
        <v>1585</v>
      </c>
      <c r="B150">
        <v>104</v>
      </c>
      <c r="C150" s="1" t="str">
        <f>IF(Tabela8[[#This Row],[SETOR]]="","",IF(Tabela8[[#This Row],[SETOR]]&lt;200,"GV 10",IF(Tabela8[[#This Row],[SETOR]]&lt;300,"GV 20",IF(Tabela8[[#This Row],[SETOR]]&lt;400,"GV 30","S/GV"))))</f>
        <v>GV 10</v>
      </c>
      <c r="E150" t="s">
        <v>123</v>
      </c>
      <c r="G150" t="str">
        <f>_xlfn.CONCAT(Tabela9[[#This Row],[Coluna1]],Tabela9[[#This Row],[Coluna2]])</f>
        <v>20-Rota</v>
      </c>
    </row>
    <row r="151" spans="1:7" x14ac:dyDescent="0.25">
      <c r="A151">
        <v>1596</v>
      </c>
      <c r="B151">
        <v>907</v>
      </c>
      <c r="C151" s="1" t="str">
        <f>IF(Tabela8[[#This Row],[SETOR]]="","",IF(Tabela8[[#This Row],[SETOR]]&lt;200,"GV 10",IF(Tabela8[[#This Row],[SETOR]]&lt;300,"GV 20",IF(Tabela8[[#This Row],[SETOR]]&lt;400,"GV 30","S/GV"))))</f>
        <v>S/GV</v>
      </c>
      <c r="G151" t="str">
        <f>_xlfn.CONCAT(Tabela9[[#This Row],[Coluna1]],Tabela9[[#This Row],[Coluna2]])</f>
        <v/>
      </c>
    </row>
    <row r="152" spans="1:7" x14ac:dyDescent="0.25">
      <c r="A152">
        <v>1632</v>
      </c>
      <c r="B152">
        <v>103</v>
      </c>
      <c r="C152" s="1" t="str">
        <f>IF(Tabela8[[#This Row],[SETOR]]="","",IF(Tabela8[[#This Row],[SETOR]]&lt;200,"GV 10",IF(Tabela8[[#This Row],[SETOR]]&lt;300,"GV 20",IF(Tabela8[[#This Row],[SETOR]]&lt;400,"GV 30","S/GV"))))</f>
        <v>GV 10</v>
      </c>
      <c r="E152" t="s">
        <v>131</v>
      </c>
      <c r="F152" t="s">
        <v>132</v>
      </c>
      <c r="G152" t="str">
        <f>_xlfn.CONCAT(Tabela9[[#This Row],[Coluna1]],Tabela9[[#This Row],[Coluna2]])</f>
        <v>14-Lj.Conveniência</v>
      </c>
    </row>
    <row r="153" spans="1:7" x14ac:dyDescent="0.25">
      <c r="A153">
        <v>1636</v>
      </c>
      <c r="B153">
        <v>302</v>
      </c>
      <c r="C153" s="1" t="str">
        <f>IF(Tabela8[[#This Row],[SETOR]]="","",IF(Tabela8[[#This Row],[SETOR]]&lt;200,"GV 10",IF(Tabela8[[#This Row],[SETOR]]&lt;300,"GV 20",IF(Tabela8[[#This Row],[SETOR]]&lt;400,"GV 30","S/GV"))))</f>
        <v>GV 30</v>
      </c>
      <c r="E153" t="s">
        <v>123</v>
      </c>
      <c r="G153" t="str">
        <f>_xlfn.CONCAT(Tabela9[[#This Row],[Coluna1]],Tabela9[[#This Row],[Coluna2]])</f>
        <v>20-Rota</v>
      </c>
    </row>
    <row r="154" spans="1:7" x14ac:dyDescent="0.25">
      <c r="A154">
        <v>1640</v>
      </c>
      <c r="B154">
        <v>109</v>
      </c>
      <c r="C154" s="1" t="str">
        <f>IF(Tabela8[[#This Row],[SETOR]]="","",IF(Tabela8[[#This Row],[SETOR]]&lt;200,"GV 10",IF(Tabela8[[#This Row],[SETOR]]&lt;300,"GV 20",IF(Tabela8[[#This Row],[SETOR]]&lt;400,"GV 30","S/GV"))))</f>
        <v>GV 10</v>
      </c>
      <c r="E154" t="s">
        <v>123</v>
      </c>
      <c r="G154" t="str">
        <f>_xlfn.CONCAT(Tabela9[[#This Row],[Coluna1]],Tabela9[[#This Row],[Coluna2]])</f>
        <v>20-Rota</v>
      </c>
    </row>
    <row r="155" spans="1:7" x14ac:dyDescent="0.25">
      <c r="A155">
        <v>1655</v>
      </c>
      <c r="B155">
        <v>101</v>
      </c>
      <c r="C155" s="1" t="str">
        <f>IF(Tabela8[[#This Row],[SETOR]]="","",IF(Tabela8[[#This Row],[SETOR]]&lt;200,"GV 10",IF(Tabela8[[#This Row],[SETOR]]&lt;300,"GV 20",IF(Tabela8[[#This Row],[SETOR]]&lt;400,"GV 30","S/GV"))))</f>
        <v>GV 10</v>
      </c>
      <c r="E155" t="s">
        <v>123</v>
      </c>
      <c r="G155" t="str">
        <f>_xlfn.CONCAT(Tabela9[[#This Row],[Coluna1]],Tabela9[[#This Row],[Coluna2]])</f>
        <v>20-Rota</v>
      </c>
    </row>
    <row r="156" spans="1:7" x14ac:dyDescent="0.25">
      <c r="A156">
        <v>1680</v>
      </c>
      <c r="B156">
        <v>104</v>
      </c>
      <c r="C156" s="1" t="str">
        <f>IF(Tabela8[[#This Row],[SETOR]]="","",IF(Tabela8[[#This Row],[SETOR]]&lt;200,"GV 10",IF(Tabela8[[#This Row],[SETOR]]&lt;300,"GV 20",IF(Tabela8[[#This Row],[SETOR]]&lt;400,"GV 30","S/GV"))))</f>
        <v>GV 10</v>
      </c>
      <c r="E156" t="s">
        <v>123</v>
      </c>
      <c r="G156" t="str">
        <f>_xlfn.CONCAT(Tabela9[[#This Row],[Coluna1]],Tabela9[[#This Row],[Coluna2]])</f>
        <v>20-Rota</v>
      </c>
    </row>
    <row r="157" spans="1:7" x14ac:dyDescent="0.25">
      <c r="A157">
        <v>1687</v>
      </c>
      <c r="B157">
        <v>105</v>
      </c>
      <c r="C157" s="1" t="str">
        <f>IF(Tabela8[[#This Row],[SETOR]]="","",IF(Tabela8[[#This Row],[SETOR]]&lt;200,"GV 10",IF(Tabela8[[#This Row],[SETOR]]&lt;300,"GV 20",IF(Tabela8[[#This Row],[SETOR]]&lt;400,"GV 30","S/GV"))))</f>
        <v>GV 10</v>
      </c>
      <c r="E157" t="s">
        <v>123</v>
      </c>
      <c r="G157" t="str">
        <f>_xlfn.CONCAT(Tabela9[[#This Row],[Coluna1]],Tabela9[[#This Row],[Coluna2]])</f>
        <v>20-Rota</v>
      </c>
    </row>
    <row r="158" spans="1:7" x14ac:dyDescent="0.25">
      <c r="A158">
        <v>1707</v>
      </c>
      <c r="B158">
        <v>205</v>
      </c>
      <c r="C158" s="1" t="str">
        <f>IF(Tabela8[[#This Row],[SETOR]]="","",IF(Tabela8[[#This Row],[SETOR]]&lt;200,"GV 10",IF(Tabela8[[#This Row],[SETOR]]&lt;300,"GV 20",IF(Tabela8[[#This Row],[SETOR]]&lt;400,"GV 30","S/GV"))))</f>
        <v>GV 20</v>
      </c>
      <c r="E158" t="s">
        <v>123</v>
      </c>
      <c r="G158" t="str">
        <f>_xlfn.CONCAT(Tabela9[[#This Row],[Coluna1]],Tabela9[[#This Row],[Coluna2]])</f>
        <v>20-Rota</v>
      </c>
    </row>
    <row r="159" spans="1:7" x14ac:dyDescent="0.25">
      <c r="A159">
        <v>1709</v>
      </c>
      <c r="B159">
        <v>109</v>
      </c>
      <c r="C159" s="1" t="str">
        <f>IF(Tabela8[[#This Row],[SETOR]]="","",IF(Tabela8[[#This Row],[SETOR]]&lt;200,"GV 10",IF(Tabela8[[#This Row],[SETOR]]&lt;300,"GV 20",IF(Tabela8[[#This Row],[SETOR]]&lt;400,"GV 30","S/GV"))))</f>
        <v>GV 10</v>
      </c>
      <c r="E159" t="s">
        <v>123</v>
      </c>
      <c r="G159" t="str">
        <f>_xlfn.CONCAT(Tabela9[[#This Row],[Coluna1]],Tabela9[[#This Row],[Coluna2]])</f>
        <v>20-Rota</v>
      </c>
    </row>
    <row r="160" spans="1:7" x14ac:dyDescent="0.25">
      <c r="A160">
        <v>1717</v>
      </c>
      <c r="B160">
        <v>102</v>
      </c>
      <c r="C160" s="1" t="str">
        <f>IF(Tabela8[[#This Row],[SETOR]]="","",IF(Tabela8[[#This Row],[SETOR]]&lt;200,"GV 10",IF(Tabela8[[#This Row],[SETOR]]&lt;300,"GV 20",IF(Tabela8[[#This Row],[SETOR]]&lt;400,"GV 30","S/GV"))))</f>
        <v>GV 10</v>
      </c>
      <c r="E160" t="s">
        <v>123</v>
      </c>
      <c r="G160" t="str">
        <f>_xlfn.CONCAT(Tabela9[[#This Row],[Coluna1]],Tabela9[[#This Row],[Coluna2]])</f>
        <v>20-Rota</v>
      </c>
    </row>
    <row r="161" spans="1:7" x14ac:dyDescent="0.25">
      <c r="A161">
        <v>1728</v>
      </c>
      <c r="B161">
        <v>102</v>
      </c>
      <c r="C161" s="1" t="str">
        <f>IF(Tabela8[[#This Row],[SETOR]]="","",IF(Tabela8[[#This Row],[SETOR]]&lt;200,"GV 10",IF(Tabela8[[#This Row],[SETOR]]&lt;300,"GV 20",IF(Tabela8[[#This Row],[SETOR]]&lt;400,"GV 30","S/GV"))))</f>
        <v>GV 10</v>
      </c>
      <c r="E161" t="s">
        <v>123</v>
      </c>
      <c r="G161" t="str">
        <f>_xlfn.CONCAT(Tabela9[[#This Row],[Coluna1]],Tabela9[[#This Row],[Coluna2]])</f>
        <v>20-Rota</v>
      </c>
    </row>
    <row r="162" spans="1:7" x14ac:dyDescent="0.25">
      <c r="A162">
        <v>1734</v>
      </c>
      <c r="B162">
        <v>105</v>
      </c>
      <c r="C162" s="1" t="str">
        <f>IF(Tabela8[[#This Row],[SETOR]]="","",IF(Tabela8[[#This Row],[SETOR]]&lt;200,"GV 10",IF(Tabela8[[#This Row],[SETOR]]&lt;300,"GV 20",IF(Tabela8[[#This Row],[SETOR]]&lt;400,"GV 30","S/GV"))))</f>
        <v>GV 10</v>
      </c>
      <c r="E162" t="s">
        <v>125</v>
      </c>
      <c r="G162" t="str">
        <f>_xlfn.CONCAT(Tabela9[[#This Row],[Coluna1]],Tabela9[[#This Row],[Coluna2]])</f>
        <v>18-TRAD</v>
      </c>
    </row>
    <row r="163" spans="1:7" x14ac:dyDescent="0.25">
      <c r="A163">
        <v>1740</v>
      </c>
      <c r="B163">
        <v>303</v>
      </c>
      <c r="C163" s="1" t="str">
        <f>IF(Tabela8[[#This Row],[SETOR]]="","",IF(Tabela8[[#This Row],[SETOR]]&lt;200,"GV 10",IF(Tabela8[[#This Row],[SETOR]]&lt;300,"GV 20",IF(Tabela8[[#This Row],[SETOR]]&lt;400,"GV 30","S/GV"))))</f>
        <v>GV 30</v>
      </c>
      <c r="E163" t="s">
        <v>125</v>
      </c>
      <c r="G163" t="str">
        <f>_xlfn.CONCAT(Tabela9[[#This Row],[Coluna1]],Tabela9[[#This Row],[Coluna2]])</f>
        <v>18-TRAD</v>
      </c>
    </row>
    <row r="164" spans="1:7" x14ac:dyDescent="0.25">
      <c r="A164">
        <v>1755</v>
      </c>
      <c r="B164">
        <v>109</v>
      </c>
      <c r="C164" s="1" t="str">
        <f>IF(Tabela8[[#This Row],[SETOR]]="","",IF(Tabela8[[#This Row],[SETOR]]&lt;200,"GV 10",IF(Tabela8[[#This Row],[SETOR]]&lt;300,"GV 20",IF(Tabela8[[#This Row],[SETOR]]&lt;400,"GV 30","S/GV"))))</f>
        <v>GV 10</v>
      </c>
      <c r="E164" t="s">
        <v>125</v>
      </c>
      <c r="G164" t="str">
        <f>_xlfn.CONCAT(Tabela9[[#This Row],[Coluna1]],Tabela9[[#This Row],[Coluna2]])</f>
        <v>18-TRAD</v>
      </c>
    </row>
    <row r="165" spans="1:7" x14ac:dyDescent="0.25">
      <c r="A165">
        <v>1769</v>
      </c>
      <c r="B165">
        <v>306</v>
      </c>
      <c r="C165" s="1" t="str">
        <f>IF(Tabela8[[#This Row],[SETOR]]="","",IF(Tabela8[[#This Row],[SETOR]]&lt;200,"GV 10",IF(Tabela8[[#This Row],[SETOR]]&lt;300,"GV 20",IF(Tabela8[[#This Row],[SETOR]]&lt;400,"GV 30","S/GV"))))</f>
        <v>GV 30</v>
      </c>
      <c r="E165" t="s">
        <v>125</v>
      </c>
      <c r="G165" t="str">
        <f>_xlfn.CONCAT(Tabela9[[#This Row],[Coluna1]],Tabela9[[#This Row],[Coluna2]])</f>
        <v>18-TRAD</v>
      </c>
    </row>
    <row r="166" spans="1:7" x14ac:dyDescent="0.25">
      <c r="A166">
        <v>1777</v>
      </c>
      <c r="B166">
        <v>305</v>
      </c>
      <c r="C166" s="1" t="str">
        <f>IF(Tabela8[[#This Row],[SETOR]]="","",IF(Tabela8[[#This Row],[SETOR]]&lt;200,"GV 10",IF(Tabela8[[#This Row],[SETOR]]&lt;300,"GV 20",IF(Tabela8[[#This Row],[SETOR]]&lt;400,"GV 30","S/GV"))))</f>
        <v>GV 30</v>
      </c>
      <c r="E166" t="s">
        <v>123</v>
      </c>
      <c r="G166" t="str">
        <f>_xlfn.CONCAT(Tabela9[[#This Row],[Coluna1]],Tabela9[[#This Row],[Coluna2]])</f>
        <v>20-Rota</v>
      </c>
    </row>
    <row r="167" spans="1:7" x14ac:dyDescent="0.25">
      <c r="A167">
        <v>1781</v>
      </c>
      <c r="B167">
        <v>103</v>
      </c>
      <c r="C167" s="1" t="str">
        <f>IF(Tabela8[[#This Row],[SETOR]]="","",IF(Tabela8[[#This Row],[SETOR]]&lt;200,"GV 10",IF(Tabela8[[#This Row],[SETOR]]&lt;300,"GV 20",IF(Tabela8[[#This Row],[SETOR]]&lt;400,"GV 30","S/GV"))))</f>
        <v>GV 10</v>
      </c>
      <c r="E167" t="s">
        <v>123</v>
      </c>
      <c r="G167" t="str">
        <f>_xlfn.CONCAT(Tabela9[[#This Row],[Coluna1]],Tabela9[[#This Row],[Coluna2]])</f>
        <v>20-Rota</v>
      </c>
    </row>
    <row r="168" spans="1:7" x14ac:dyDescent="0.25">
      <c r="A168">
        <v>1787</v>
      </c>
      <c r="B168">
        <v>104</v>
      </c>
      <c r="C168" s="1" t="str">
        <f>IF(Tabela8[[#This Row],[SETOR]]="","",IF(Tabela8[[#This Row],[SETOR]]&lt;200,"GV 10",IF(Tabela8[[#This Row],[SETOR]]&lt;300,"GV 20",IF(Tabela8[[#This Row],[SETOR]]&lt;400,"GV 30","S/GV"))))</f>
        <v>GV 10</v>
      </c>
      <c r="E168" t="s">
        <v>123</v>
      </c>
      <c r="G168" t="str">
        <f>_xlfn.CONCAT(Tabela9[[#This Row],[Coluna1]],Tabela9[[#This Row],[Coluna2]])</f>
        <v>20-Rota</v>
      </c>
    </row>
    <row r="169" spans="1:7" x14ac:dyDescent="0.25">
      <c r="A169">
        <v>1792</v>
      </c>
      <c r="B169">
        <v>107</v>
      </c>
      <c r="C169" s="1" t="str">
        <f>IF(Tabela8[[#This Row],[SETOR]]="","",IF(Tabela8[[#This Row],[SETOR]]&lt;200,"GV 10",IF(Tabela8[[#This Row],[SETOR]]&lt;300,"GV 20",IF(Tabela8[[#This Row],[SETOR]]&lt;400,"GV 30","S/GV"))))</f>
        <v>GV 10</v>
      </c>
      <c r="E169" t="s">
        <v>130</v>
      </c>
      <c r="G169" t="str">
        <f>_xlfn.CONCAT(Tabela9[[#This Row],[Coluna1]],Tabela9[[#This Row],[Coluna2]])</f>
        <v>21-SUB</v>
      </c>
    </row>
    <row r="170" spans="1:7" x14ac:dyDescent="0.25">
      <c r="A170">
        <v>1796</v>
      </c>
      <c r="B170">
        <v>305</v>
      </c>
      <c r="C170" s="1" t="str">
        <f>IF(Tabela8[[#This Row],[SETOR]]="","",IF(Tabela8[[#This Row],[SETOR]]&lt;200,"GV 10",IF(Tabela8[[#This Row],[SETOR]]&lt;300,"GV 20",IF(Tabela8[[#This Row],[SETOR]]&lt;400,"GV 30","S/GV"))))</f>
        <v>GV 30</v>
      </c>
      <c r="E170" t="s">
        <v>123</v>
      </c>
      <c r="G170" t="str">
        <f>_xlfn.CONCAT(Tabela9[[#This Row],[Coluna1]],Tabela9[[#This Row],[Coluna2]])</f>
        <v>20-Rota</v>
      </c>
    </row>
    <row r="171" spans="1:7" x14ac:dyDescent="0.25">
      <c r="A171">
        <v>1804</v>
      </c>
      <c r="B171">
        <v>202</v>
      </c>
      <c r="C171" s="1" t="str">
        <f>IF(Tabela8[[#This Row],[SETOR]]="","",IF(Tabela8[[#This Row],[SETOR]]&lt;200,"GV 10",IF(Tabela8[[#This Row],[SETOR]]&lt;300,"GV 20",IF(Tabela8[[#This Row],[SETOR]]&lt;400,"GV 30","S/GV"))))</f>
        <v>GV 20</v>
      </c>
      <c r="E171" t="s">
        <v>125</v>
      </c>
      <c r="G171" t="str">
        <f>_xlfn.CONCAT(Tabela9[[#This Row],[Coluna1]],Tabela9[[#This Row],[Coluna2]])</f>
        <v>18-TRAD</v>
      </c>
    </row>
    <row r="172" spans="1:7" x14ac:dyDescent="0.25">
      <c r="A172">
        <v>1839</v>
      </c>
      <c r="B172">
        <v>306</v>
      </c>
      <c r="C172" s="1" t="str">
        <f>IF(Tabela8[[#This Row],[SETOR]]="","",IF(Tabela8[[#This Row],[SETOR]]&lt;200,"GV 10",IF(Tabela8[[#This Row],[SETOR]]&lt;300,"GV 20",IF(Tabela8[[#This Row],[SETOR]]&lt;400,"GV 30","S/GV"))))</f>
        <v>GV 30</v>
      </c>
      <c r="E172" t="s">
        <v>125</v>
      </c>
      <c r="G172" t="str">
        <f>_xlfn.CONCAT(Tabela9[[#This Row],[Coluna1]],Tabela9[[#This Row],[Coluna2]])</f>
        <v>18-TRAD</v>
      </c>
    </row>
    <row r="173" spans="1:7" x14ac:dyDescent="0.25">
      <c r="A173">
        <v>1844</v>
      </c>
      <c r="B173">
        <v>304</v>
      </c>
      <c r="C173" s="1" t="str">
        <f>IF(Tabela8[[#This Row],[SETOR]]="","",IF(Tabela8[[#This Row],[SETOR]]&lt;200,"GV 10",IF(Tabela8[[#This Row],[SETOR]]&lt;300,"GV 20",IF(Tabela8[[#This Row],[SETOR]]&lt;400,"GV 30","S/GV"))))</f>
        <v>GV 30</v>
      </c>
      <c r="E173" t="s">
        <v>123</v>
      </c>
      <c r="G173" t="str">
        <f>_xlfn.CONCAT(Tabela9[[#This Row],[Coluna1]],Tabela9[[#This Row],[Coluna2]])</f>
        <v>20-Rota</v>
      </c>
    </row>
    <row r="174" spans="1:7" x14ac:dyDescent="0.25">
      <c r="A174">
        <v>1847</v>
      </c>
      <c r="B174">
        <v>202</v>
      </c>
      <c r="C174" s="1" t="str">
        <f>IF(Tabela8[[#This Row],[SETOR]]="","",IF(Tabela8[[#This Row],[SETOR]]&lt;200,"GV 10",IF(Tabela8[[#This Row],[SETOR]]&lt;300,"GV 20",IF(Tabela8[[#This Row],[SETOR]]&lt;400,"GV 30","S/GV"))))</f>
        <v>GV 20</v>
      </c>
      <c r="E174" t="s">
        <v>123</v>
      </c>
      <c r="G174" t="str">
        <f>_xlfn.CONCAT(Tabela9[[#This Row],[Coluna1]],Tabela9[[#This Row],[Coluna2]])</f>
        <v>20-Rota</v>
      </c>
    </row>
    <row r="175" spans="1:7" x14ac:dyDescent="0.25">
      <c r="A175">
        <v>1854</v>
      </c>
      <c r="B175">
        <v>105</v>
      </c>
      <c r="C175" s="1" t="str">
        <f>IF(Tabela8[[#This Row],[SETOR]]="","",IF(Tabela8[[#This Row],[SETOR]]&lt;200,"GV 10",IF(Tabela8[[#This Row],[SETOR]]&lt;300,"GV 20",IF(Tabela8[[#This Row],[SETOR]]&lt;400,"GV 30","S/GV"))))</f>
        <v>GV 10</v>
      </c>
      <c r="E175" t="s">
        <v>123</v>
      </c>
      <c r="G175" t="str">
        <f>_xlfn.CONCAT(Tabela9[[#This Row],[Coluna1]],Tabela9[[#This Row],[Coluna2]])</f>
        <v>20-Rota</v>
      </c>
    </row>
    <row r="176" spans="1:7" x14ac:dyDescent="0.25">
      <c r="A176">
        <v>1855</v>
      </c>
      <c r="B176">
        <v>306</v>
      </c>
      <c r="C176" s="1" t="str">
        <f>IF(Tabela8[[#This Row],[SETOR]]="","",IF(Tabela8[[#This Row],[SETOR]]&lt;200,"GV 10",IF(Tabela8[[#This Row],[SETOR]]&lt;300,"GV 20",IF(Tabela8[[#This Row],[SETOR]]&lt;400,"GV 30","S/GV"))))</f>
        <v>GV 30</v>
      </c>
      <c r="E176" t="s">
        <v>125</v>
      </c>
      <c r="G176" t="str">
        <f>_xlfn.CONCAT(Tabela9[[#This Row],[Coluna1]],Tabela9[[#This Row],[Coluna2]])</f>
        <v>18-TRAD</v>
      </c>
    </row>
    <row r="177" spans="1:7" x14ac:dyDescent="0.25">
      <c r="A177">
        <v>1879</v>
      </c>
      <c r="B177">
        <v>103</v>
      </c>
      <c r="C177" s="1" t="str">
        <f>IF(Tabela8[[#This Row],[SETOR]]="","",IF(Tabela8[[#This Row],[SETOR]]&lt;200,"GV 10",IF(Tabela8[[#This Row],[SETOR]]&lt;300,"GV 20",IF(Tabela8[[#This Row],[SETOR]]&lt;400,"GV 30","S/GV"))))</f>
        <v>GV 10</v>
      </c>
      <c r="E177" t="s">
        <v>123</v>
      </c>
      <c r="G177" t="str">
        <f>_xlfn.CONCAT(Tabela9[[#This Row],[Coluna1]],Tabela9[[#This Row],[Coluna2]])</f>
        <v>20-Rota</v>
      </c>
    </row>
    <row r="178" spans="1:7" x14ac:dyDescent="0.25">
      <c r="A178">
        <v>1903</v>
      </c>
      <c r="B178">
        <v>108</v>
      </c>
      <c r="C178" s="1" t="str">
        <f>IF(Tabela8[[#This Row],[SETOR]]="","",IF(Tabela8[[#This Row],[SETOR]]&lt;200,"GV 10",IF(Tabela8[[#This Row],[SETOR]]&lt;300,"GV 20",IF(Tabela8[[#This Row],[SETOR]]&lt;400,"GV 30","S/GV"))))</f>
        <v>GV 10</v>
      </c>
      <c r="E178" t="s">
        <v>131</v>
      </c>
      <c r="F178" t="s">
        <v>132</v>
      </c>
      <c r="G178" t="str">
        <f>_xlfn.CONCAT(Tabela9[[#This Row],[Coluna1]],Tabela9[[#This Row],[Coluna2]])</f>
        <v>14-Lj.Conveniência</v>
      </c>
    </row>
    <row r="179" spans="1:7" x14ac:dyDescent="0.25">
      <c r="A179">
        <v>1907</v>
      </c>
      <c r="B179">
        <v>109</v>
      </c>
      <c r="C179" s="1" t="str">
        <f>IF(Tabela8[[#This Row],[SETOR]]="","",IF(Tabela8[[#This Row],[SETOR]]&lt;200,"GV 10",IF(Tabela8[[#This Row],[SETOR]]&lt;300,"GV 20",IF(Tabela8[[#This Row],[SETOR]]&lt;400,"GV 30","S/GV"))))</f>
        <v>GV 10</v>
      </c>
      <c r="E179" t="s">
        <v>123</v>
      </c>
      <c r="G179" t="str">
        <f>_xlfn.CONCAT(Tabela9[[#This Row],[Coluna1]],Tabela9[[#This Row],[Coluna2]])</f>
        <v>20-Rota</v>
      </c>
    </row>
    <row r="180" spans="1:7" x14ac:dyDescent="0.25">
      <c r="A180">
        <v>1916</v>
      </c>
      <c r="B180">
        <v>309</v>
      </c>
      <c r="C180" s="1" t="str">
        <f>IF(Tabela8[[#This Row],[SETOR]]="","",IF(Tabela8[[#This Row],[SETOR]]&lt;200,"GV 10",IF(Tabela8[[#This Row],[SETOR]]&lt;300,"GV 20",IF(Tabela8[[#This Row],[SETOR]]&lt;400,"GV 30","S/GV"))))</f>
        <v>GV 30</v>
      </c>
      <c r="E180" t="s">
        <v>126</v>
      </c>
      <c r="F180" t="s">
        <v>127</v>
      </c>
      <c r="G180" t="str">
        <f>_xlfn.CONCAT(Tabela9[[#This Row],[Coluna1]],Tabela9[[#This Row],[Coluna2]])</f>
        <v>16-AS(5+)</v>
      </c>
    </row>
    <row r="181" spans="1:7" x14ac:dyDescent="0.25">
      <c r="A181">
        <v>1920</v>
      </c>
      <c r="B181">
        <v>303</v>
      </c>
      <c r="C181" s="1" t="str">
        <f>IF(Tabela8[[#This Row],[SETOR]]="","",IF(Tabela8[[#This Row],[SETOR]]&lt;200,"GV 10",IF(Tabela8[[#This Row],[SETOR]]&lt;300,"GV 20",IF(Tabela8[[#This Row],[SETOR]]&lt;400,"GV 30","S/GV"))))</f>
        <v>GV 30</v>
      </c>
      <c r="E181" t="s">
        <v>123</v>
      </c>
      <c r="G181" t="str">
        <f>_xlfn.CONCAT(Tabela9[[#This Row],[Coluna1]],Tabela9[[#This Row],[Coluna2]])</f>
        <v>20-Rota</v>
      </c>
    </row>
    <row r="182" spans="1:7" x14ac:dyDescent="0.25">
      <c r="A182">
        <v>1923</v>
      </c>
      <c r="B182">
        <v>109</v>
      </c>
      <c r="C182" s="1" t="str">
        <f>IF(Tabela8[[#This Row],[SETOR]]="","",IF(Tabela8[[#This Row],[SETOR]]&lt;200,"GV 10",IF(Tabela8[[#This Row],[SETOR]]&lt;300,"GV 20",IF(Tabela8[[#This Row],[SETOR]]&lt;400,"GV 30","S/GV"))))</f>
        <v>GV 10</v>
      </c>
      <c r="E182" t="s">
        <v>131</v>
      </c>
      <c r="F182" t="s">
        <v>132</v>
      </c>
      <c r="G182" t="str">
        <f>_xlfn.CONCAT(Tabela9[[#This Row],[Coluna1]],Tabela9[[#This Row],[Coluna2]])</f>
        <v>14-Lj.Conveniência</v>
      </c>
    </row>
    <row r="183" spans="1:7" x14ac:dyDescent="0.25">
      <c r="A183">
        <v>1937</v>
      </c>
      <c r="B183">
        <v>303</v>
      </c>
      <c r="C183" s="1" t="str">
        <f>IF(Tabela8[[#This Row],[SETOR]]="","",IF(Tabela8[[#This Row],[SETOR]]&lt;200,"GV 10",IF(Tabela8[[#This Row],[SETOR]]&lt;300,"GV 20",IF(Tabela8[[#This Row],[SETOR]]&lt;400,"GV 30","S/GV"))))</f>
        <v>GV 30</v>
      </c>
      <c r="E183" t="s">
        <v>123</v>
      </c>
      <c r="G183" t="str">
        <f>_xlfn.CONCAT(Tabela9[[#This Row],[Coluna1]],Tabela9[[#This Row],[Coluna2]])</f>
        <v>20-Rota</v>
      </c>
    </row>
    <row r="184" spans="1:7" x14ac:dyDescent="0.25">
      <c r="A184">
        <v>1967</v>
      </c>
      <c r="B184">
        <v>302</v>
      </c>
      <c r="C184" s="1" t="str">
        <f>IF(Tabela8[[#This Row],[SETOR]]="","",IF(Tabela8[[#This Row],[SETOR]]&lt;200,"GV 10",IF(Tabela8[[#This Row],[SETOR]]&lt;300,"GV 20",IF(Tabela8[[#This Row],[SETOR]]&lt;400,"GV 30","S/GV"))))</f>
        <v>GV 30</v>
      </c>
      <c r="E184" t="s">
        <v>123</v>
      </c>
      <c r="G184" t="str">
        <f>_xlfn.CONCAT(Tabela9[[#This Row],[Coluna1]],Tabela9[[#This Row],[Coluna2]])</f>
        <v>20-Rota</v>
      </c>
    </row>
    <row r="185" spans="1:7" x14ac:dyDescent="0.25">
      <c r="A185">
        <v>1971</v>
      </c>
      <c r="B185">
        <v>307</v>
      </c>
      <c r="C185" s="1" t="str">
        <f>IF(Tabela8[[#This Row],[SETOR]]="","",IF(Tabela8[[#This Row],[SETOR]]&lt;200,"GV 10",IF(Tabela8[[#This Row],[SETOR]]&lt;300,"GV 20",IF(Tabela8[[#This Row],[SETOR]]&lt;400,"GV 30","S/GV"))))</f>
        <v>GV 30</v>
      </c>
      <c r="E185" t="s">
        <v>130</v>
      </c>
      <c r="G185" t="str">
        <f>_xlfn.CONCAT(Tabela9[[#This Row],[Coluna1]],Tabela9[[#This Row],[Coluna2]])</f>
        <v>21-SUB</v>
      </c>
    </row>
    <row r="186" spans="1:7" x14ac:dyDescent="0.25">
      <c r="A186">
        <v>1976</v>
      </c>
      <c r="B186">
        <v>301</v>
      </c>
      <c r="C186" s="1" t="str">
        <f>IF(Tabela8[[#This Row],[SETOR]]="","",IF(Tabela8[[#This Row],[SETOR]]&lt;200,"GV 10",IF(Tabela8[[#This Row],[SETOR]]&lt;300,"GV 20",IF(Tabela8[[#This Row],[SETOR]]&lt;400,"GV 30","S/GV"))))</f>
        <v>GV 30</v>
      </c>
      <c r="E186" t="s">
        <v>123</v>
      </c>
      <c r="G186" t="str">
        <f>_xlfn.CONCAT(Tabela9[[#This Row],[Coluna1]],Tabela9[[#This Row],[Coluna2]])</f>
        <v>20-Rota</v>
      </c>
    </row>
    <row r="187" spans="1:7" x14ac:dyDescent="0.25">
      <c r="A187">
        <v>1982</v>
      </c>
      <c r="B187">
        <v>207</v>
      </c>
      <c r="C187" s="1" t="str">
        <f>IF(Tabela8[[#This Row],[SETOR]]="","",IF(Tabela8[[#This Row],[SETOR]]&lt;200,"GV 10",IF(Tabela8[[#This Row],[SETOR]]&lt;300,"GV 20",IF(Tabela8[[#This Row],[SETOR]]&lt;400,"GV 30","S/GV"))))</f>
        <v>GV 20</v>
      </c>
      <c r="E187" t="s">
        <v>130</v>
      </c>
      <c r="G187" t="str">
        <f>_xlfn.CONCAT(Tabela9[[#This Row],[Coluna1]],Tabela9[[#This Row],[Coluna2]])</f>
        <v>21-SUB</v>
      </c>
    </row>
    <row r="188" spans="1:7" x14ac:dyDescent="0.25">
      <c r="A188">
        <v>1989</v>
      </c>
      <c r="B188">
        <v>204</v>
      </c>
      <c r="C188" s="1" t="str">
        <f>IF(Tabela8[[#This Row],[SETOR]]="","",IF(Tabela8[[#This Row],[SETOR]]&lt;200,"GV 10",IF(Tabela8[[#This Row],[SETOR]]&lt;300,"GV 20",IF(Tabela8[[#This Row],[SETOR]]&lt;400,"GV 30","S/GV"))))</f>
        <v>GV 20</v>
      </c>
      <c r="E188" t="s">
        <v>123</v>
      </c>
      <c r="G188" t="str">
        <f>_xlfn.CONCAT(Tabela9[[#This Row],[Coluna1]],Tabela9[[#This Row],[Coluna2]])</f>
        <v>20-Rota</v>
      </c>
    </row>
    <row r="189" spans="1:7" x14ac:dyDescent="0.25">
      <c r="A189">
        <v>1991</v>
      </c>
      <c r="B189">
        <v>302</v>
      </c>
      <c r="C189" s="1" t="str">
        <f>IF(Tabela8[[#This Row],[SETOR]]="","",IF(Tabela8[[#This Row],[SETOR]]&lt;200,"GV 10",IF(Tabela8[[#This Row],[SETOR]]&lt;300,"GV 20",IF(Tabela8[[#This Row],[SETOR]]&lt;400,"GV 30","S/GV"))))</f>
        <v>GV 30</v>
      </c>
      <c r="E189" t="s">
        <v>123</v>
      </c>
      <c r="G189" t="str">
        <f>_xlfn.CONCAT(Tabela9[[#This Row],[Coluna1]],Tabela9[[#This Row],[Coluna2]])</f>
        <v>20-Rota</v>
      </c>
    </row>
    <row r="190" spans="1:7" x14ac:dyDescent="0.25">
      <c r="A190">
        <v>1997</v>
      </c>
      <c r="B190">
        <v>201</v>
      </c>
      <c r="C190" s="1" t="str">
        <f>IF(Tabela8[[#This Row],[SETOR]]="","",IF(Tabela8[[#This Row],[SETOR]]&lt;200,"GV 10",IF(Tabela8[[#This Row],[SETOR]]&lt;300,"GV 20",IF(Tabela8[[#This Row],[SETOR]]&lt;400,"GV 30","S/GV"))))</f>
        <v>GV 20</v>
      </c>
      <c r="E190" t="s">
        <v>123</v>
      </c>
      <c r="G190" t="str">
        <f>_xlfn.CONCAT(Tabela9[[#This Row],[Coluna1]],Tabela9[[#This Row],[Coluna2]])</f>
        <v>20-Rota</v>
      </c>
    </row>
    <row r="191" spans="1:7" x14ac:dyDescent="0.25">
      <c r="A191">
        <v>2026</v>
      </c>
      <c r="B191">
        <v>102</v>
      </c>
      <c r="C191" s="1" t="str">
        <f>IF(Tabela8[[#This Row],[SETOR]]="","",IF(Tabela8[[#This Row],[SETOR]]&lt;200,"GV 10",IF(Tabela8[[#This Row],[SETOR]]&lt;300,"GV 20",IF(Tabela8[[#This Row],[SETOR]]&lt;400,"GV 30","S/GV"))))</f>
        <v>GV 10</v>
      </c>
      <c r="E191" t="s">
        <v>123</v>
      </c>
      <c r="G191" t="str">
        <f>_xlfn.CONCAT(Tabela9[[#This Row],[Coluna1]],Tabela9[[#This Row],[Coluna2]])</f>
        <v>20-Rota</v>
      </c>
    </row>
    <row r="192" spans="1:7" x14ac:dyDescent="0.25">
      <c r="A192">
        <v>2041</v>
      </c>
      <c r="B192">
        <v>102</v>
      </c>
      <c r="C192" s="1" t="str">
        <f>IF(Tabela8[[#This Row],[SETOR]]="","",IF(Tabela8[[#This Row],[SETOR]]&lt;200,"GV 10",IF(Tabela8[[#This Row],[SETOR]]&lt;300,"GV 20",IF(Tabela8[[#This Row],[SETOR]]&lt;400,"GV 30","S/GV"))))</f>
        <v>GV 10</v>
      </c>
      <c r="G192" t="str">
        <f>_xlfn.CONCAT(Tabela9[[#This Row],[Coluna1]],Tabela9[[#This Row],[Coluna2]])</f>
        <v/>
      </c>
    </row>
    <row r="193" spans="1:7" x14ac:dyDescent="0.25">
      <c r="A193">
        <v>2059</v>
      </c>
      <c r="B193">
        <v>916</v>
      </c>
      <c r="C193" s="1" t="str">
        <f>IF(Tabela8[[#This Row],[SETOR]]="","",IF(Tabela8[[#This Row],[SETOR]]&lt;200,"GV 10",IF(Tabela8[[#This Row],[SETOR]]&lt;300,"GV 20",IF(Tabela8[[#This Row],[SETOR]]&lt;400,"GV 30","S/GV"))))</f>
        <v>S/GV</v>
      </c>
      <c r="G193" t="str">
        <f>_xlfn.CONCAT(Tabela9[[#This Row],[Coluna1]],Tabela9[[#This Row],[Coluna2]])</f>
        <v/>
      </c>
    </row>
    <row r="194" spans="1:7" x14ac:dyDescent="0.25">
      <c r="A194">
        <v>2075</v>
      </c>
      <c r="B194">
        <v>202</v>
      </c>
      <c r="C194" s="1" t="str">
        <f>IF(Tabela8[[#This Row],[SETOR]]="","",IF(Tabela8[[#This Row],[SETOR]]&lt;200,"GV 10",IF(Tabela8[[#This Row],[SETOR]]&lt;300,"GV 20",IF(Tabela8[[#This Row],[SETOR]]&lt;400,"GV 30","S/GV"))))</f>
        <v>GV 20</v>
      </c>
      <c r="E194" t="s">
        <v>130</v>
      </c>
      <c r="G194" t="str">
        <f>_xlfn.CONCAT(Tabela9[[#This Row],[Coluna1]],Tabela9[[#This Row],[Coluna2]])</f>
        <v>21-SUB</v>
      </c>
    </row>
    <row r="195" spans="1:7" x14ac:dyDescent="0.25">
      <c r="A195">
        <v>2105</v>
      </c>
      <c r="B195">
        <v>203</v>
      </c>
      <c r="C195" s="1" t="str">
        <f>IF(Tabela8[[#This Row],[SETOR]]="","",IF(Tabela8[[#This Row],[SETOR]]&lt;200,"GV 10",IF(Tabela8[[#This Row],[SETOR]]&lt;300,"GV 20",IF(Tabela8[[#This Row],[SETOR]]&lt;400,"GV 30","S/GV"))))</f>
        <v>GV 20</v>
      </c>
      <c r="E195" t="s">
        <v>123</v>
      </c>
      <c r="G195" t="str">
        <f>_xlfn.CONCAT(Tabela9[[#This Row],[Coluna1]],Tabela9[[#This Row],[Coluna2]])</f>
        <v>20-Rota</v>
      </c>
    </row>
    <row r="196" spans="1:7" x14ac:dyDescent="0.25">
      <c r="A196">
        <v>2112</v>
      </c>
      <c r="B196">
        <v>208</v>
      </c>
      <c r="C196" s="1" t="str">
        <f>IF(Tabela8[[#This Row],[SETOR]]="","",IF(Tabela8[[#This Row],[SETOR]]&lt;200,"GV 10",IF(Tabela8[[#This Row],[SETOR]]&lt;300,"GV 20",IF(Tabela8[[#This Row],[SETOR]]&lt;400,"GV 30","S/GV"))))</f>
        <v>GV 20</v>
      </c>
      <c r="E196" t="s">
        <v>126</v>
      </c>
      <c r="F196" t="s">
        <v>127</v>
      </c>
      <c r="G196" t="str">
        <f>_xlfn.CONCAT(Tabela9[[#This Row],[Coluna1]],Tabela9[[#This Row],[Coluna2]])</f>
        <v>16-AS(5+)</v>
      </c>
    </row>
    <row r="197" spans="1:7" x14ac:dyDescent="0.25">
      <c r="A197">
        <v>2113</v>
      </c>
      <c r="B197">
        <v>208</v>
      </c>
      <c r="C197" s="1" t="str">
        <f>IF(Tabela8[[#This Row],[SETOR]]="","",IF(Tabela8[[#This Row],[SETOR]]&lt;200,"GV 10",IF(Tabela8[[#This Row],[SETOR]]&lt;300,"GV 20",IF(Tabela8[[#This Row],[SETOR]]&lt;400,"GV 30","S/GV"))))</f>
        <v>GV 20</v>
      </c>
      <c r="E197" t="s">
        <v>131</v>
      </c>
      <c r="F197" t="s">
        <v>132</v>
      </c>
      <c r="G197" t="str">
        <f>_xlfn.CONCAT(Tabela9[[#This Row],[Coluna1]],Tabela9[[#This Row],[Coluna2]])</f>
        <v>14-Lj.Conveniência</v>
      </c>
    </row>
    <row r="198" spans="1:7" x14ac:dyDescent="0.25">
      <c r="A198">
        <v>2121</v>
      </c>
      <c r="B198">
        <v>103</v>
      </c>
      <c r="C198" s="1" t="str">
        <f>IF(Tabela8[[#This Row],[SETOR]]="","",IF(Tabela8[[#This Row],[SETOR]]&lt;200,"GV 10",IF(Tabela8[[#This Row],[SETOR]]&lt;300,"GV 20",IF(Tabela8[[#This Row],[SETOR]]&lt;400,"GV 30","S/GV"))))</f>
        <v>GV 10</v>
      </c>
      <c r="E198" t="s">
        <v>123</v>
      </c>
      <c r="G198" t="str">
        <f>_xlfn.CONCAT(Tabela9[[#This Row],[Coluna1]],Tabela9[[#This Row],[Coluna2]])</f>
        <v>20-Rota</v>
      </c>
    </row>
    <row r="199" spans="1:7" x14ac:dyDescent="0.25">
      <c r="A199">
        <v>2133</v>
      </c>
      <c r="B199">
        <v>202</v>
      </c>
      <c r="C199" s="1" t="str">
        <f>IF(Tabela8[[#This Row],[SETOR]]="","",IF(Tabela8[[#This Row],[SETOR]]&lt;200,"GV 10",IF(Tabela8[[#This Row],[SETOR]]&lt;300,"GV 20",IF(Tabela8[[#This Row],[SETOR]]&lt;400,"GV 30","S/GV"))))</f>
        <v>GV 20</v>
      </c>
      <c r="E199" t="s">
        <v>123</v>
      </c>
      <c r="G199" t="str">
        <f>_xlfn.CONCAT(Tabela9[[#This Row],[Coluna1]],Tabela9[[#This Row],[Coluna2]])</f>
        <v>20-Rota</v>
      </c>
    </row>
    <row r="200" spans="1:7" x14ac:dyDescent="0.25">
      <c r="A200">
        <v>2148</v>
      </c>
      <c r="B200">
        <v>103</v>
      </c>
      <c r="C200" s="1" t="str">
        <f>IF(Tabela8[[#This Row],[SETOR]]="","",IF(Tabela8[[#This Row],[SETOR]]&lt;200,"GV 10",IF(Tabela8[[#This Row],[SETOR]]&lt;300,"GV 20",IF(Tabela8[[#This Row],[SETOR]]&lt;400,"GV 30","S/GV"))))</f>
        <v>GV 10</v>
      </c>
      <c r="E200" t="s">
        <v>123</v>
      </c>
      <c r="G200" t="str">
        <f>_xlfn.CONCAT(Tabela9[[#This Row],[Coluna1]],Tabela9[[#This Row],[Coluna2]])</f>
        <v>20-Rota</v>
      </c>
    </row>
    <row r="201" spans="1:7" x14ac:dyDescent="0.25">
      <c r="A201">
        <v>2149</v>
      </c>
      <c r="B201">
        <v>202</v>
      </c>
      <c r="C201" s="1" t="str">
        <f>IF(Tabela8[[#This Row],[SETOR]]="","",IF(Tabela8[[#This Row],[SETOR]]&lt;200,"GV 10",IF(Tabela8[[#This Row],[SETOR]]&lt;300,"GV 20",IF(Tabela8[[#This Row],[SETOR]]&lt;400,"GV 30","S/GV"))))</f>
        <v>GV 20</v>
      </c>
      <c r="E201" t="s">
        <v>125</v>
      </c>
      <c r="G201" t="str">
        <f>_xlfn.CONCAT(Tabela9[[#This Row],[Coluna1]],Tabela9[[#This Row],[Coluna2]])</f>
        <v>18-TRAD</v>
      </c>
    </row>
    <row r="202" spans="1:7" x14ac:dyDescent="0.25">
      <c r="A202">
        <v>2156</v>
      </c>
      <c r="B202">
        <v>206</v>
      </c>
      <c r="C202" s="1" t="str">
        <f>IF(Tabela8[[#This Row],[SETOR]]="","",IF(Tabela8[[#This Row],[SETOR]]&lt;200,"GV 10",IF(Tabela8[[#This Row],[SETOR]]&lt;300,"GV 20",IF(Tabela8[[#This Row],[SETOR]]&lt;400,"GV 30","S/GV"))))</f>
        <v>GV 20</v>
      </c>
      <c r="E202" t="s">
        <v>123</v>
      </c>
      <c r="G202" t="str">
        <f>_xlfn.CONCAT(Tabela9[[#This Row],[Coluna1]],Tabela9[[#This Row],[Coluna2]])</f>
        <v>20-Rota</v>
      </c>
    </row>
    <row r="203" spans="1:7" x14ac:dyDescent="0.25">
      <c r="A203">
        <v>2167</v>
      </c>
      <c r="B203">
        <v>105</v>
      </c>
      <c r="C203" s="1" t="str">
        <f>IF(Tabela8[[#This Row],[SETOR]]="","",IF(Tabela8[[#This Row],[SETOR]]&lt;200,"GV 10",IF(Tabela8[[#This Row],[SETOR]]&lt;300,"GV 20",IF(Tabela8[[#This Row],[SETOR]]&lt;400,"GV 30","S/GV"))))</f>
        <v>GV 10</v>
      </c>
      <c r="E203" t="s">
        <v>128</v>
      </c>
      <c r="F203" t="s">
        <v>129</v>
      </c>
      <c r="G203" t="str">
        <f>_xlfn.CONCAT(Tabela9[[#This Row],[Coluna1]],Tabela9[[#This Row],[Coluna2]])</f>
        <v>15-AS(1-4)</v>
      </c>
    </row>
    <row r="204" spans="1:7" x14ac:dyDescent="0.25">
      <c r="A204">
        <v>2189</v>
      </c>
      <c r="B204">
        <v>907</v>
      </c>
      <c r="C204" s="1" t="str">
        <f>IF(Tabela8[[#This Row],[SETOR]]="","",IF(Tabela8[[#This Row],[SETOR]]&lt;200,"GV 10",IF(Tabela8[[#This Row],[SETOR]]&lt;300,"GV 20",IF(Tabela8[[#This Row],[SETOR]]&lt;400,"GV 30","S/GV"))))</f>
        <v>S/GV</v>
      </c>
      <c r="G204" t="str">
        <f>_xlfn.CONCAT(Tabela9[[#This Row],[Coluna1]],Tabela9[[#This Row],[Coluna2]])</f>
        <v/>
      </c>
    </row>
    <row r="205" spans="1:7" x14ac:dyDescent="0.25">
      <c r="A205">
        <v>2212</v>
      </c>
      <c r="B205">
        <v>304</v>
      </c>
      <c r="C205" s="1" t="str">
        <f>IF(Tabela8[[#This Row],[SETOR]]="","",IF(Tabela8[[#This Row],[SETOR]]&lt;200,"GV 10",IF(Tabela8[[#This Row],[SETOR]]&lt;300,"GV 20",IF(Tabela8[[#This Row],[SETOR]]&lt;400,"GV 30","S/GV"))))</f>
        <v>GV 30</v>
      </c>
      <c r="E205" t="s">
        <v>123</v>
      </c>
      <c r="G205" t="str">
        <f>_xlfn.CONCAT(Tabela9[[#This Row],[Coluna1]],Tabela9[[#This Row],[Coluna2]])</f>
        <v>20-Rota</v>
      </c>
    </row>
    <row r="206" spans="1:7" x14ac:dyDescent="0.25">
      <c r="A206">
        <v>2219</v>
      </c>
      <c r="B206">
        <v>308</v>
      </c>
      <c r="C206" s="1" t="str">
        <f>IF(Tabela8[[#This Row],[SETOR]]="","",IF(Tabela8[[#This Row],[SETOR]]&lt;200,"GV 10",IF(Tabela8[[#This Row],[SETOR]]&lt;300,"GV 20",IF(Tabela8[[#This Row],[SETOR]]&lt;400,"GV 30","S/GV"))))</f>
        <v>GV 30</v>
      </c>
      <c r="E206" t="s">
        <v>128</v>
      </c>
      <c r="F206" t="s">
        <v>129</v>
      </c>
      <c r="G206" t="str">
        <f>_xlfn.CONCAT(Tabela9[[#This Row],[Coluna1]],Tabela9[[#This Row],[Coluna2]])</f>
        <v>15-AS(1-4)</v>
      </c>
    </row>
    <row r="207" spans="1:7" x14ac:dyDescent="0.25">
      <c r="A207">
        <v>2226</v>
      </c>
      <c r="B207">
        <v>208</v>
      </c>
      <c r="C207" s="1" t="str">
        <f>IF(Tabela8[[#This Row],[SETOR]]="","",IF(Tabela8[[#This Row],[SETOR]]&lt;200,"GV 10",IF(Tabela8[[#This Row],[SETOR]]&lt;300,"GV 20",IF(Tabela8[[#This Row],[SETOR]]&lt;400,"GV 30","S/GV"))))</f>
        <v>GV 20</v>
      </c>
      <c r="E207" t="s">
        <v>130</v>
      </c>
      <c r="G207" t="str">
        <f>_xlfn.CONCAT(Tabela9[[#This Row],[Coluna1]],Tabela9[[#This Row],[Coluna2]])</f>
        <v>21-SUB</v>
      </c>
    </row>
    <row r="208" spans="1:7" x14ac:dyDescent="0.25">
      <c r="A208">
        <v>2230</v>
      </c>
      <c r="B208">
        <v>916</v>
      </c>
      <c r="C208" s="1" t="str">
        <f>IF(Tabela8[[#This Row],[SETOR]]="","",IF(Tabela8[[#This Row],[SETOR]]&lt;200,"GV 10",IF(Tabela8[[#This Row],[SETOR]]&lt;300,"GV 20",IF(Tabela8[[#This Row],[SETOR]]&lt;400,"GV 30","S/GV"))))</f>
        <v>S/GV</v>
      </c>
      <c r="G208" t="str">
        <f>_xlfn.CONCAT(Tabela9[[#This Row],[Coluna1]],Tabela9[[#This Row],[Coluna2]])</f>
        <v/>
      </c>
    </row>
    <row r="209" spans="1:7" x14ac:dyDescent="0.25">
      <c r="A209">
        <v>2242</v>
      </c>
      <c r="B209">
        <v>102</v>
      </c>
      <c r="C209" s="1" t="str">
        <f>IF(Tabela8[[#This Row],[SETOR]]="","",IF(Tabela8[[#This Row],[SETOR]]&lt;200,"GV 10",IF(Tabela8[[#This Row],[SETOR]]&lt;300,"GV 20",IF(Tabela8[[#This Row],[SETOR]]&lt;400,"GV 30","S/GV"))))</f>
        <v>GV 10</v>
      </c>
      <c r="E209" t="s">
        <v>123</v>
      </c>
      <c r="G209" t="str">
        <f>_xlfn.CONCAT(Tabela9[[#This Row],[Coluna1]],Tabela9[[#This Row],[Coluna2]])</f>
        <v>20-Rota</v>
      </c>
    </row>
    <row r="210" spans="1:7" x14ac:dyDescent="0.25">
      <c r="A210">
        <v>2247</v>
      </c>
      <c r="B210">
        <v>202</v>
      </c>
      <c r="C210" s="1" t="str">
        <f>IF(Tabela8[[#This Row],[SETOR]]="","",IF(Tabela8[[#This Row],[SETOR]]&lt;200,"GV 10",IF(Tabela8[[#This Row],[SETOR]]&lt;300,"GV 20",IF(Tabela8[[#This Row],[SETOR]]&lt;400,"GV 30","S/GV"))))</f>
        <v>GV 20</v>
      </c>
      <c r="E210" t="s">
        <v>125</v>
      </c>
      <c r="G210" t="str">
        <f>_xlfn.CONCAT(Tabela9[[#This Row],[Coluna1]],Tabela9[[#This Row],[Coluna2]])</f>
        <v>18-TRAD</v>
      </c>
    </row>
    <row r="211" spans="1:7" x14ac:dyDescent="0.25">
      <c r="A211">
        <v>2250</v>
      </c>
      <c r="B211">
        <v>916</v>
      </c>
      <c r="C211" s="1" t="str">
        <f>IF(Tabela8[[#This Row],[SETOR]]="","",IF(Tabela8[[#This Row],[SETOR]]&lt;200,"GV 10",IF(Tabela8[[#This Row],[SETOR]]&lt;300,"GV 20",IF(Tabela8[[#This Row],[SETOR]]&lt;400,"GV 30","S/GV"))))</f>
        <v>S/GV</v>
      </c>
      <c r="G211" t="str">
        <f>_xlfn.CONCAT(Tabela9[[#This Row],[Coluna1]],Tabela9[[#This Row],[Coluna2]])</f>
        <v/>
      </c>
    </row>
    <row r="212" spans="1:7" x14ac:dyDescent="0.25">
      <c r="A212">
        <v>2251</v>
      </c>
      <c r="B212">
        <v>916</v>
      </c>
      <c r="C212" s="1" t="str">
        <f>IF(Tabela8[[#This Row],[SETOR]]="","",IF(Tabela8[[#This Row],[SETOR]]&lt;200,"GV 10",IF(Tabela8[[#This Row],[SETOR]]&lt;300,"GV 20",IF(Tabela8[[#This Row],[SETOR]]&lt;400,"GV 30","S/GV"))))</f>
        <v>S/GV</v>
      </c>
      <c r="G212" t="str">
        <f>_xlfn.CONCAT(Tabela9[[#This Row],[Coluna1]],Tabela9[[#This Row],[Coluna2]])</f>
        <v/>
      </c>
    </row>
    <row r="213" spans="1:7" x14ac:dyDescent="0.25">
      <c r="A213">
        <v>2262</v>
      </c>
      <c r="B213">
        <v>305</v>
      </c>
      <c r="C213" s="1" t="str">
        <f>IF(Tabela8[[#This Row],[SETOR]]="","",IF(Tabela8[[#This Row],[SETOR]]&lt;200,"GV 10",IF(Tabela8[[#This Row],[SETOR]]&lt;300,"GV 20",IF(Tabela8[[#This Row],[SETOR]]&lt;400,"GV 30","S/GV"))))</f>
        <v>GV 30</v>
      </c>
      <c r="E213" t="s">
        <v>123</v>
      </c>
      <c r="G213" t="str">
        <f>_xlfn.CONCAT(Tabela9[[#This Row],[Coluna1]],Tabela9[[#This Row],[Coluna2]])</f>
        <v>20-Rota</v>
      </c>
    </row>
    <row r="214" spans="1:7" x14ac:dyDescent="0.25">
      <c r="A214">
        <v>2265</v>
      </c>
      <c r="B214">
        <v>107</v>
      </c>
      <c r="C214" s="1" t="str">
        <f>IF(Tabela8[[#This Row],[SETOR]]="","",IF(Tabela8[[#This Row],[SETOR]]&lt;200,"GV 10",IF(Tabela8[[#This Row],[SETOR]]&lt;300,"GV 20",IF(Tabela8[[#This Row],[SETOR]]&lt;400,"GV 30","S/GV"))))</f>
        <v>GV 10</v>
      </c>
      <c r="E214" t="s">
        <v>125</v>
      </c>
      <c r="G214" t="str">
        <f>_xlfn.CONCAT(Tabela9[[#This Row],[Coluna1]],Tabela9[[#This Row],[Coluna2]])</f>
        <v>18-TRAD</v>
      </c>
    </row>
    <row r="215" spans="1:7" x14ac:dyDescent="0.25">
      <c r="A215">
        <v>2271</v>
      </c>
      <c r="B215">
        <v>916</v>
      </c>
      <c r="C215" s="1" t="str">
        <f>IF(Tabela8[[#This Row],[SETOR]]="","",IF(Tabela8[[#This Row],[SETOR]]&lt;200,"GV 10",IF(Tabela8[[#This Row],[SETOR]]&lt;300,"GV 20",IF(Tabela8[[#This Row],[SETOR]]&lt;400,"GV 30","S/GV"))))</f>
        <v>S/GV</v>
      </c>
      <c r="G215" t="str">
        <f>_xlfn.CONCAT(Tabela9[[#This Row],[Coluna1]],Tabela9[[#This Row],[Coluna2]])</f>
        <v/>
      </c>
    </row>
    <row r="216" spans="1:7" x14ac:dyDescent="0.25">
      <c r="A216">
        <v>2299</v>
      </c>
      <c r="B216">
        <v>206</v>
      </c>
      <c r="C216" s="1" t="str">
        <f>IF(Tabela8[[#This Row],[SETOR]]="","",IF(Tabela8[[#This Row],[SETOR]]&lt;200,"GV 10",IF(Tabela8[[#This Row],[SETOR]]&lt;300,"GV 20",IF(Tabela8[[#This Row],[SETOR]]&lt;400,"GV 30","S/GV"))))</f>
        <v>GV 20</v>
      </c>
      <c r="E216" t="s">
        <v>123</v>
      </c>
      <c r="G216" t="str">
        <f>_xlfn.CONCAT(Tabela9[[#This Row],[Coluna1]],Tabela9[[#This Row],[Coluna2]])</f>
        <v>20-Rota</v>
      </c>
    </row>
    <row r="217" spans="1:7" x14ac:dyDescent="0.25">
      <c r="A217">
        <v>2303</v>
      </c>
      <c r="B217">
        <v>206</v>
      </c>
      <c r="C217" s="1" t="str">
        <f>IF(Tabela8[[#This Row],[SETOR]]="","",IF(Tabela8[[#This Row],[SETOR]]&lt;200,"GV 10",IF(Tabela8[[#This Row],[SETOR]]&lt;300,"GV 20",IF(Tabela8[[#This Row],[SETOR]]&lt;400,"GV 30","S/GV"))))</f>
        <v>GV 20</v>
      </c>
      <c r="E217" t="s">
        <v>123</v>
      </c>
      <c r="G217" t="str">
        <f>_xlfn.CONCAT(Tabela9[[#This Row],[Coluna1]],Tabela9[[#This Row],[Coluna2]])</f>
        <v>20-Rota</v>
      </c>
    </row>
    <row r="218" spans="1:7" x14ac:dyDescent="0.25">
      <c r="A218">
        <v>2314</v>
      </c>
      <c r="B218">
        <v>106</v>
      </c>
      <c r="C218" s="1" t="str">
        <f>IF(Tabela8[[#This Row],[SETOR]]="","",IF(Tabela8[[#This Row],[SETOR]]&lt;200,"GV 10",IF(Tabela8[[#This Row],[SETOR]]&lt;300,"GV 20",IF(Tabela8[[#This Row],[SETOR]]&lt;400,"GV 30","S/GV"))))</f>
        <v>GV 10</v>
      </c>
      <c r="E218" t="s">
        <v>123</v>
      </c>
      <c r="G218" t="str">
        <f>_xlfn.CONCAT(Tabela9[[#This Row],[Coluna1]],Tabela9[[#This Row],[Coluna2]])</f>
        <v>20-Rota</v>
      </c>
    </row>
    <row r="219" spans="1:7" x14ac:dyDescent="0.25">
      <c r="A219">
        <v>2315</v>
      </c>
      <c r="B219">
        <v>206</v>
      </c>
      <c r="C219" s="1" t="str">
        <f>IF(Tabela8[[#This Row],[SETOR]]="","",IF(Tabela8[[#This Row],[SETOR]]&lt;200,"GV 10",IF(Tabela8[[#This Row],[SETOR]]&lt;300,"GV 20",IF(Tabela8[[#This Row],[SETOR]]&lt;400,"GV 30","S/GV"))))</f>
        <v>GV 20</v>
      </c>
      <c r="E219" t="s">
        <v>123</v>
      </c>
      <c r="G219" t="str">
        <f>_xlfn.CONCAT(Tabela9[[#This Row],[Coluna1]],Tabela9[[#This Row],[Coluna2]])</f>
        <v>20-Rota</v>
      </c>
    </row>
    <row r="220" spans="1:7" x14ac:dyDescent="0.25">
      <c r="A220">
        <v>2318</v>
      </c>
      <c r="B220">
        <v>104</v>
      </c>
      <c r="C220" s="1" t="str">
        <f>IF(Tabela8[[#This Row],[SETOR]]="","",IF(Tabela8[[#This Row],[SETOR]]&lt;200,"GV 10",IF(Tabela8[[#This Row],[SETOR]]&lt;300,"GV 20",IF(Tabela8[[#This Row],[SETOR]]&lt;400,"GV 30","S/GV"))))</f>
        <v>GV 10</v>
      </c>
      <c r="E220" t="s">
        <v>123</v>
      </c>
      <c r="G220" t="str">
        <f>_xlfn.CONCAT(Tabela9[[#This Row],[Coluna1]],Tabela9[[#This Row],[Coluna2]])</f>
        <v>20-Rota</v>
      </c>
    </row>
    <row r="221" spans="1:7" x14ac:dyDescent="0.25">
      <c r="A221">
        <v>2325</v>
      </c>
      <c r="B221">
        <v>108</v>
      </c>
      <c r="C221" s="1" t="str">
        <f>IF(Tabela8[[#This Row],[SETOR]]="","",IF(Tabela8[[#This Row],[SETOR]]&lt;200,"GV 10",IF(Tabela8[[#This Row],[SETOR]]&lt;300,"GV 20",IF(Tabela8[[#This Row],[SETOR]]&lt;400,"GV 30","S/GV"))))</f>
        <v>GV 10</v>
      </c>
      <c r="E221" t="s">
        <v>125</v>
      </c>
      <c r="G221" t="str">
        <f>_xlfn.CONCAT(Tabela9[[#This Row],[Coluna1]],Tabela9[[#This Row],[Coluna2]])</f>
        <v>18-TRAD</v>
      </c>
    </row>
    <row r="222" spans="1:7" x14ac:dyDescent="0.25">
      <c r="A222">
        <v>2330</v>
      </c>
      <c r="B222">
        <v>205</v>
      </c>
      <c r="C222" s="1" t="str">
        <f>IF(Tabela8[[#This Row],[SETOR]]="","",IF(Tabela8[[#This Row],[SETOR]]&lt;200,"GV 10",IF(Tabela8[[#This Row],[SETOR]]&lt;300,"GV 20",IF(Tabela8[[#This Row],[SETOR]]&lt;400,"GV 30","S/GV"))))</f>
        <v>GV 20</v>
      </c>
      <c r="E222" t="s">
        <v>123</v>
      </c>
      <c r="G222" t="str">
        <f>_xlfn.CONCAT(Tabela9[[#This Row],[Coluna1]],Tabela9[[#This Row],[Coluna2]])</f>
        <v>20-Rota</v>
      </c>
    </row>
    <row r="223" spans="1:7" x14ac:dyDescent="0.25">
      <c r="A223">
        <v>2332</v>
      </c>
      <c r="B223">
        <v>205</v>
      </c>
      <c r="C223" s="1" t="str">
        <f>IF(Tabela8[[#This Row],[SETOR]]="","",IF(Tabela8[[#This Row],[SETOR]]&lt;200,"GV 10",IF(Tabela8[[#This Row],[SETOR]]&lt;300,"GV 20",IF(Tabela8[[#This Row],[SETOR]]&lt;400,"GV 30","S/GV"))))</f>
        <v>GV 20</v>
      </c>
      <c r="E223" t="s">
        <v>123</v>
      </c>
      <c r="G223" t="str">
        <f>_xlfn.CONCAT(Tabela9[[#This Row],[Coluna1]],Tabela9[[#This Row],[Coluna2]])</f>
        <v>20-Rota</v>
      </c>
    </row>
    <row r="224" spans="1:7" x14ac:dyDescent="0.25">
      <c r="A224">
        <v>2345</v>
      </c>
      <c r="B224">
        <v>206</v>
      </c>
      <c r="C224" s="1" t="str">
        <f>IF(Tabela8[[#This Row],[SETOR]]="","",IF(Tabela8[[#This Row],[SETOR]]&lt;200,"GV 10",IF(Tabela8[[#This Row],[SETOR]]&lt;300,"GV 20",IF(Tabela8[[#This Row],[SETOR]]&lt;400,"GV 30","S/GV"))))</f>
        <v>GV 20</v>
      </c>
      <c r="E224" t="s">
        <v>123</v>
      </c>
      <c r="G224" t="str">
        <f>_xlfn.CONCAT(Tabela9[[#This Row],[Coluna1]],Tabela9[[#This Row],[Coluna2]])</f>
        <v>20-Rota</v>
      </c>
    </row>
    <row r="225" spans="1:7" x14ac:dyDescent="0.25">
      <c r="A225">
        <v>2354</v>
      </c>
      <c r="B225">
        <v>206</v>
      </c>
      <c r="C225" s="1" t="str">
        <f>IF(Tabela8[[#This Row],[SETOR]]="","",IF(Tabela8[[#This Row],[SETOR]]&lt;200,"GV 10",IF(Tabela8[[#This Row],[SETOR]]&lt;300,"GV 20",IF(Tabela8[[#This Row],[SETOR]]&lt;400,"GV 30","S/GV"))))</f>
        <v>GV 20</v>
      </c>
      <c r="E225" t="s">
        <v>123</v>
      </c>
      <c r="G225" t="str">
        <f>_xlfn.CONCAT(Tabela9[[#This Row],[Coluna1]],Tabela9[[#This Row],[Coluna2]])</f>
        <v>20-Rota</v>
      </c>
    </row>
    <row r="226" spans="1:7" x14ac:dyDescent="0.25">
      <c r="A226">
        <v>2373</v>
      </c>
      <c r="B226">
        <v>204</v>
      </c>
      <c r="C226" s="1" t="str">
        <f>IF(Tabela8[[#This Row],[SETOR]]="","",IF(Tabela8[[#This Row],[SETOR]]&lt;200,"GV 10",IF(Tabela8[[#This Row],[SETOR]]&lt;300,"GV 20",IF(Tabela8[[#This Row],[SETOR]]&lt;400,"GV 30","S/GV"))))</f>
        <v>GV 20</v>
      </c>
      <c r="E226" t="s">
        <v>125</v>
      </c>
      <c r="G226" t="str">
        <f>_xlfn.CONCAT(Tabela9[[#This Row],[Coluna1]],Tabela9[[#This Row],[Coluna2]])</f>
        <v>18-TRAD</v>
      </c>
    </row>
    <row r="227" spans="1:7" x14ac:dyDescent="0.25">
      <c r="A227">
        <v>2377</v>
      </c>
      <c r="B227">
        <v>309</v>
      </c>
      <c r="C227" s="1" t="str">
        <f>IF(Tabela8[[#This Row],[SETOR]]="","",IF(Tabela8[[#This Row],[SETOR]]&lt;200,"GV 10",IF(Tabela8[[#This Row],[SETOR]]&lt;300,"GV 20",IF(Tabela8[[#This Row],[SETOR]]&lt;400,"GV 30","S/GV"))))</f>
        <v>GV 30</v>
      </c>
      <c r="E227" t="s">
        <v>126</v>
      </c>
      <c r="F227" t="s">
        <v>127</v>
      </c>
      <c r="G227" t="str">
        <f>_xlfn.CONCAT(Tabela9[[#This Row],[Coluna1]],Tabela9[[#This Row],[Coluna2]])</f>
        <v>16-AS(5+)</v>
      </c>
    </row>
    <row r="228" spans="1:7" x14ac:dyDescent="0.25">
      <c r="A228">
        <v>2398</v>
      </c>
      <c r="B228">
        <v>106</v>
      </c>
      <c r="C228" s="1" t="str">
        <f>IF(Tabela8[[#This Row],[SETOR]]="","",IF(Tabela8[[#This Row],[SETOR]]&lt;200,"GV 10",IF(Tabela8[[#This Row],[SETOR]]&lt;300,"GV 20",IF(Tabela8[[#This Row],[SETOR]]&lt;400,"GV 30","S/GV"))))</f>
        <v>GV 10</v>
      </c>
      <c r="E228" t="s">
        <v>123</v>
      </c>
      <c r="G228" t="str">
        <f>_xlfn.CONCAT(Tabela9[[#This Row],[Coluna1]],Tabela9[[#This Row],[Coluna2]])</f>
        <v>20-Rota</v>
      </c>
    </row>
    <row r="229" spans="1:7" x14ac:dyDescent="0.25">
      <c r="A229">
        <v>2404</v>
      </c>
      <c r="B229">
        <v>101</v>
      </c>
      <c r="C229" s="1" t="str">
        <f>IF(Tabela8[[#This Row],[SETOR]]="","",IF(Tabela8[[#This Row],[SETOR]]&lt;200,"GV 10",IF(Tabela8[[#This Row],[SETOR]]&lt;300,"GV 20",IF(Tabela8[[#This Row],[SETOR]]&lt;400,"GV 30","S/GV"))))</f>
        <v>GV 10</v>
      </c>
      <c r="E229" t="s">
        <v>123</v>
      </c>
      <c r="G229" t="str">
        <f>_xlfn.CONCAT(Tabela9[[#This Row],[Coluna1]],Tabela9[[#This Row],[Coluna2]])</f>
        <v>20-Rota</v>
      </c>
    </row>
    <row r="230" spans="1:7" x14ac:dyDescent="0.25">
      <c r="A230">
        <v>2417</v>
      </c>
      <c r="B230">
        <v>104</v>
      </c>
      <c r="C230" s="1" t="str">
        <f>IF(Tabela8[[#This Row],[SETOR]]="","",IF(Tabela8[[#This Row],[SETOR]]&lt;200,"GV 10",IF(Tabela8[[#This Row],[SETOR]]&lt;300,"GV 20",IF(Tabela8[[#This Row],[SETOR]]&lt;400,"GV 30","S/GV"))))</f>
        <v>GV 10</v>
      </c>
      <c r="E230" t="s">
        <v>123</v>
      </c>
      <c r="G230" t="str">
        <f>_xlfn.CONCAT(Tabela9[[#This Row],[Coluna1]],Tabela9[[#This Row],[Coluna2]])</f>
        <v>20-Rota</v>
      </c>
    </row>
    <row r="231" spans="1:7" x14ac:dyDescent="0.25">
      <c r="A231">
        <v>2436</v>
      </c>
      <c r="B231">
        <v>309</v>
      </c>
      <c r="C231" s="1" t="str">
        <f>IF(Tabela8[[#This Row],[SETOR]]="","",IF(Tabela8[[#This Row],[SETOR]]&lt;200,"GV 10",IF(Tabela8[[#This Row],[SETOR]]&lt;300,"GV 20",IF(Tabela8[[#This Row],[SETOR]]&lt;400,"GV 30","S/GV"))))</f>
        <v>GV 30</v>
      </c>
      <c r="E231" t="s">
        <v>128</v>
      </c>
      <c r="F231" t="s">
        <v>129</v>
      </c>
      <c r="G231" t="str">
        <f>_xlfn.CONCAT(Tabela9[[#This Row],[Coluna1]],Tabela9[[#This Row],[Coluna2]])</f>
        <v>15-AS(1-4)</v>
      </c>
    </row>
    <row r="232" spans="1:7" x14ac:dyDescent="0.25">
      <c r="A232">
        <v>2458</v>
      </c>
      <c r="B232">
        <v>309</v>
      </c>
      <c r="C232" s="1" t="str">
        <f>IF(Tabela8[[#This Row],[SETOR]]="","",IF(Tabela8[[#This Row],[SETOR]]&lt;200,"GV 10",IF(Tabela8[[#This Row],[SETOR]]&lt;300,"GV 20",IF(Tabela8[[#This Row],[SETOR]]&lt;400,"GV 30","S/GV"))))</f>
        <v>GV 30</v>
      </c>
      <c r="E232" t="s">
        <v>128</v>
      </c>
      <c r="F232" t="s">
        <v>129</v>
      </c>
      <c r="G232" t="str">
        <f>_xlfn.CONCAT(Tabela9[[#This Row],[Coluna1]],Tabela9[[#This Row],[Coluna2]])</f>
        <v>15-AS(1-4)</v>
      </c>
    </row>
    <row r="233" spans="1:7" x14ac:dyDescent="0.25">
      <c r="A233">
        <v>2466</v>
      </c>
      <c r="B233">
        <v>107</v>
      </c>
      <c r="C233" s="1" t="str">
        <f>IF(Tabela8[[#This Row],[SETOR]]="","",IF(Tabela8[[#This Row],[SETOR]]&lt;200,"GV 10",IF(Tabela8[[#This Row],[SETOR]]&lt;300,"GV 20",IF(Tabela8[[#This Row],[SETOR]]&lt;400,"GV 30","S/GV"))))</f>
        <v>GV 10</v>
      </c>
      <c r="E233" t="s">
        <v>125</v>
      </c>
      <c r="G233" t="str">
        <f>_xlfn.CONCAT(Tabela9[[#This Row],[Coluna1]],Tabela9[[#This Row],[Coluna2]])</f>
        <v>18-TRAD</v>
      </c>
    </row>
    <row r="234" spans="1:7" x14ac:dyDescent="0.25">
      <c r="A234">
        <v>2503</v>
      </c>
      <c r="B234">
        <v>205</v>
      </c>
      <c r="C234" s="1" t="str">
        <f>IF(Tabela8[[#This Row],[SETOR]]="","",IF(Tabela8[[#This Row],[SETOR]]&lt;200,"GV 10",IF(Tabela8[[#This Row],[SETOR]]&lt;300,"GV 20",IF(Tabela8[[#This Row],[SETOR]]&lt;400,"GV 30","S/GV"))))</f>
        <v>GV 20</v>
      </c>
      <c r="E234" t="s">
        <v>123</v>
      </c>
      <c r="G234" t="str">
        <f>_xlfn.CONCAT(Tabela9[[#This Row],[Coluna1]],Tabela9[[#This Row],[Coluna2]])</f>
        <v>20-Rota</v>
      </c>
    </row>
    <row r="235" spans="1:7" x14ac:dyDescent="0.25">
      <c r="A235">
        <v>2506</v>
      </c>
      <c r="B235">
        <v>103</v>
      </c>
      <c r="C235" s="1" t="str">
        <f>IF(Tabela8[[#This Row],[SETOR]]="","",IF(Tabela8[[#This Row],[SETOR]]&lt;200,"GV 10",IF(Tabela8[[#This Row],[SETOR]]&lt;300,"GV 20",IF(Tabela8[[#This Row],[SETOR]]&lt;400,"GV 30","S/GV"))))</f>
        <v>GV 10</v>
      </c>
      <c r="E235" t="s">
        <v>125</v>
      </c>
      <c r="G235" t="str">
        <f>_xlfn.CONCAT(Tabela9[[#This Row],[Coluna1]],Tabela9[[#This Row],[Coluna2]])</f>
        <v>18-TRAD</v>
      </c>
    </row>
    <row r="236" spans="1:7" x14ac:dyDescent="0.25">
      <c r="A236">
        <v>2511</v>
      </c>
      <c r="B236">
        <v>303</v>
      </c>
      <c r="C236" s="1" t="str">
        <f>IF(Tabela8[[#This Row],[SETOR]]="","",IF(Tabela8[[#This Row],[SETOR]]&lt;200,"GV 10",IF(Tabela8[[#This Row],[SETOR]]&lt;300,"GV 20",IF(Tabela8[[#This Row],[SETOR]]&lt;400,"GV 30","S/GV"))))</f>
        <v>GV 30</v>
      </c>
      <c r="E236" t="s">
        <v>123</v>
      </c>
      <c r="G236" t="str">
        <f>_xlfn.CONCAT(Tabela9[[#This Row],[Coluna1]],Tabela9[[#This Row],[Coluna2]])</f>
        <v>20-Rota</v>
      </c>
    </row>
    <row r="237" spans="1:7" x14ac:dyDescent="0.25">
      <c r="A237">
        <v>2520</v>
      </c>
      <c r="B237">
        <v>208</v>
      </c>
      <c r="C237" s="1" t="str">
        <f>IF(Tabela8[[#This Row],[SETOR]]="","",IF(Tabela8[[#This Row],[SETOR]]&lt;200,"GV 10",IF(Tabela8[[#This Row],[SETOR]]&lt;300,"GV 20",IF(Tabela8[[#This Row],[SETOR]]&lt;400,"GV 30","S/GV"))))</f>
        <v>GV 20</v>
      </c>
      <c r="E237" t="s">
        <v>126</v>
      </c>
      <c r="F237" t="s">
        <v>127</v>
      </c>
      <c r="G237" t="str">
        <f>_xlfn.CONCAT(Tabela9[[#This Row],[Coluna1]],Tabela9[[#This Row],[Coluna2]])</f>
        <v>16-AS(5+)</v>
      </c>
    </row>
    <row r="238" spans="1:7" x14ac:dyDescent="0.25">
      <c r="A238">
        <v>2523</v>
      </c>
      <c r="B238">
        <v>103</v>
      </c>
      <c r="C238" s="1" t="str">
        <f>IF(Tabela8[[#This Row],[SETOR]]="","",IF(Tabela8[[#This Row],[SETOR]]&lt;200,"GV 10",IF(Tabela8[[#This Row],[SETOR]]&lt;300,"GV 20",IF(Tabela8[[#This Row],[SETOR]]&lt;400,"GV 30","S/GV"))))</f>
        <v>GV 10</v>
      </c>
      <c r="E238" t="s">
        <v>123</v>
      </c>
      <c r="G238" t="str">
        <f>_xlfn.CONCAT(Tabela9[[#This Row],[Coluna1]],Tabela9[[#This Row],[Coluna2]])</f>
        <v>20-Rota</v>
      </c>
    </row>
    <row r="239" spans="1:7" x14ac:dyDescent="0.25">
      <c r="A239">
        <v>2525</v>
      </c>
      <c r="B239">
        <v>103</v>
      </c>
      <c r="C239" s="1" t="str">
        <f>IF(Tabela8[[#This Row],[SETOR]]="","",IF(Tabela8[[#This Row],[SETOR]]&lt;200,"GV 10",IF(Tabela8[[#This Row],[SETOR]]&lt;300,"GV 20",IF(Tabela8[[#This Row],[SETOR]]&lt;400,"GV 30","S/GV"))))</f>
        <v>GV 10</v>
      </c>
      <c r="E239" t="s">
        <v>125</v>
      </c>
      <c r="G239" t="str">
        <f>_xlfn.CONCAT(Tabela9[[#This Row],[Coluna1]],Tabela9[[#This Row],[Coluna2]])</f>
        <v>18-TRAD</v>
      </c>
    </row>
    <row r="240" spans="1:7" x14ac:dyDescent="0.25">
      <c r="A240">
        <v>2526</v>
      </c>
      <c r="B240">
        <v>208</v>
      </c>
      <c r="C240" s="1" t="str">
        <f>IF(Tabela8[[#This Row],[SETOR]]="","",IF(Tabela8[[#This Row],[SETOR]]&lt;200,"GV 10",IF(Tabela8[[#This Row],[SETOR]]&lt;300,"GV 20",IF(Tabela8[[#This Row],[SETOR]]&lt;400,"GV 30","S/GV"))))</f>
        <v>GV 20</v>
      </c>
      <c r="E240" t="s">
        <v>126</v>
      </c>
      <c r="F240" t="s">
        <v>127</v>
      </c>
      <c r="G240" t="str">
        <f>_xlfn.CONCAT(Tabela9[[#This Row],[Coluna1]],Tabela9[[#This Row],[Coluna2]])</f>
        <v>16-AS(5+)</v>
      </c>
    </row>
    <row r="241" spans="1:7" x14ac:dyDescent="0.25">
      <c r="A241">
        <v>2531</v>
      </c>
      <c r="B241">
        <v>204</v>
      </c>
      <c r="C241" s="1" t="str">
        <f>IF(Tabela8[[#This Row],[SETOR]]="","",IF(Tabela8[[#This Row],[SETOR]]&lt;200,"GV 10",IF(Tabela8[[#This Row],[SETOR]]&lt;300,"GV 20",IF(Tabela8[[#This Row],[SETOR]]&lt;400,"GV 30","S/GV"))))</f>
        <v>GV 20</v>
      </c>
      <c r="E241" t="s">
        <v>123</v>
      </c>
      <c r="G241" t="str">
        <f>_xlfn.CONCAT(Tabela9[[#This Row],[Coluna1]],Tabela9[[#This Row],[Coluna2]])</f>
        <v>20-Rota</v>
      </c>
    </row>
    <row r="242" spans="1:7" x14ac:dyDescent="0.25">
      <c r="A242">
        <v>2532</v>
      </c>
      <c r="B242">
        <v>206</v>
      </c>
      <c r="C242" s="1" t="str">
        <f>IF(Tabela8[[#This Row],[SETOR]]="","",IF(Tabela8[[#This Row],[SETOR]]&lt;200,"GV 10",IF(Tabela8[[#This Row],[SETOR]]&lt;300,"GV 20",IF(Tabela8[[#This Row],[SETOR]]&lt;400,"GV 30","S/GV"))))</f>
        <v>GV 20</v>
      </c>
      <c r="E242" t="s">
        <v>123</v>
      </c>
      <c r="G242" t="str">
        <f>_xlfn.CONCAT(Tabela9[[#This Row],[Coluna1]],Tabela9[[#This Row],[Coluna2]])</f>
        <v>20-Rota</v>
      </c>
    </row>
    <row r="243" spans="1:7" x14ac:dyDescent="0.25">
      <c r="A243">
        <v>2544</v>
      </c>
      <c r="B243">
        <v>109</v>
      </c>
      <c r="C243" s="1" t="str">
        <f>IF(Tabela8[[#This Row],[SETOR]]="","",IF(Tabela8[[#This Row],[SETOR]]&lt;200,"GV 10",IF(Tabela8[[#This Row],[SETOR]]&lt;300,"GV 20",IF(Tabela8[[#This Row],[SETOR]]&lt;400,"GV 30","S/GV"))))</f>
        <v>GV 10</v>
      </c>
      <c r="E243" t="s">
        <v>123</v>
      </c>
      <c r="G243" t="str">
        <f>_xlfn.CONCAT(Tabela9[[#This Row],[Coluna1]],Tabela9[[#This Row],[Coluna2]])</f>
        <v>20-Rota</v>
      </c>
    </row>
    <row r="244" spans="1:7" x14ac:dyDescent="0.25">
      <c r="A244">
        <v>2552</v>
      </c>
      <c r="B244">
        <v>105</v>
      </c>
      <c r="C244" s="1" t="str">
        <f>IF(Tabela8[[#This Row],[SETOR]]="","",IF(Tabela8[[#This Row],[SETOR]]&lt;200,"GV 10",IF(Tabela8[[#This Row],[SETOR]]&lt;300,"GV 20",IF(Tabela8[[#This Row],[SETOR]]&lt;400,"GV 30","S/GV"))))</f>
        <v>GV 10</v>
      </c>
      <c r="E244" t="s">
        <v>123</v>
      </c>
      <c r="G244" t="str">
        <f>_xlfn.CONCAT(Tabela9[[#This Row],[Coluna1]],Tabela9[[#This Row],[Coluna2]])</f>
        <v>20-Rota</v>
      </c>
    </row>
    <row r="245" spans="1:7" x14ac:dyDescent="0.25">
      <c r="A245">
        <v>2563</v>
      </c>
      <c r="B245">
        <v>205</v>
      </c>
      <c r="C245" s="1" t="str">
        <f>IF(Tabela8[[#This Row],[SETOR]]="","",IF(Tabela8[[#This Row],[SETOR]]&lt;200,"GV 10",IF(Tabela8[[#This Row],[SETOR]]&lt;300,"GV 20",IF(Tabela8[[#This Row],[SETOR]]&lt;400,"GV 30","S/GV"))))</f>
        <v>GV 20</v>
      </c>
      <c r="E245" t="s">
        <v>123</v>
      </c>
      <c r="G245" t="str">
        <f>_xlfn.CONCAT(Tabela9[[#This Row],[Coluna1]],Tabela9[[#This Row],[Coluna2]])</f>
        <v>20-Rota</v>
      </c>
    </row>
    <row r="246" spans="1:7" x14ac:dyDescent="0.25">
      <c r="A246">
        <v>2566</v>
      </c>
      <c r="B246">
        <v>304</v>
      </c>
      <c r="C246" s="1" t="str">
        <f>IF(Tabela8[[#This Row],[SETOR]]="","",IF(Tabela8[[#This Row],[SETOR]]&lt;200,"GV 10",IF(Tabela8[[#This Row],[SETOR]]&lt;300,"GV 20",IF(Tabela8[[#This Row],[SETOR]]&lt;400,"GV 30","S/GV"))))</f>
        <v>GV 30</v>
      </c>
      <c r="E246" t="s">
        <v>123</v>
      </c>
      <c r="G246" t="str">
        <f>_xlfn.CONCAT(Tabela9[[#This Row],[Coluna1]],Tabela9[[#This Row],[Coluna2]])</f>
        <v>20-Rota</v>
      </c>
    </row>
    <row r="247" spans="1:7" x14ac:dyDescent="0.25">
      <c r="A247">
        <v>2568</v>
      </c>
      <c r="B247">
        <v>101</v>
      </c>
      <c r="C247" s="1" t="str">
        <f>IF(Tabela8[[#This Row],[SETOR]]="","",IF(Tabela8[[#This Row],[SETOR]]&lt;200,"GV 10",IF(Tabela8[[#This Row],[SETOR]]&lt;300,"GV 20",IF(Tabela8[[#This Row],[SETOR]]&lt;400,"GV 30","S/GV"))))</f>
        <v>GV 10</v>
      </c>
      <c r="E247" t="s">
        <v>123</v>
      </c>
      <c r="G247" t="str">
        <f>_xlfn.CONCAT(Tabela9[[#This Row],[Coluna1]],Tabela9[[#This Row],[Coluna2]])</f>
        <v>20-Rota</v>
      </c>
    </row>
    <row r="248" spans="1:7" x14ac:dyDescent="0.25">
      <c r="A248">
        <v>2592</v>
      </c>
      <c r="B248">
        <v>916</v>
      </c>
      <c r="C248" s="1" t="str">
        <f>IF(Tabela8[[#This Row],[SETOR]]="","",IF(Tabela8[[#This Row],[SETOR]]&lt;200,"GV 10",IF(Tabela8[[#This Row],[SETOR]]&lt;300,"GV 20",IF(Tabela8[[#This Row],[SETOR]]&lt;400,"GV 30","S/GV"))))</f>
        <v>S/GV</v>
      </c>
      <c r="G248" t="str">
        <f>_xlfn.CONCAT(Tabela9[[#This Row],[Coluna1]],Tabela9[[#This Row],[Coluna2]])</f>
        <v/>
      </c>
    </row>
    <row r="249" spans="1:7" x14ac:dyDescent="0.25">
      <c r="A249">
        <v>2595</v>
      </c>
      <c r="B249">
        <v>101</v>
      </c>
      <c r="C249" s="1" t="str">
        <f>IF(Tabela8[[#This Row],[SETOR]]="","",IF(Tabela8[[#This Row],[SETOR]]&lt;200,"GV 10",IF(Tabela8[[#This Row],[SETOR]]&lt;300,"GV 20",IF(Tabela8[[#This Row],[SETOR]]&lt;400,"GV 30","S/GV"))))</f>
        <v>GV 10</v>
      </c>
      <c r="E249" t="s">
        <v>123</v>
      </c>
      <c r="G249" t="str">
        <f>_xlfn.CONCAT(Tabela9[[#This Row],[Coluna1]],Tabela9[[#This Row],[Coluna2]])</f>
        <v>20-Rota</v>
      </c>
    </row>
    <row r="250" spans="1:7" x14ac:dyDescent="0.25">
      <c r="A250">
        <v>2600</v>
      </c>
      <c r="B250">
        <v>301</v>
      </c>
      <c r="C250" s="1" t="str">
        <f>IF(Tabela8[[#This Row],[SETOR]]="","",IF(Tabela8[[#This Row],[SETOR]]&lt;200,"GV 10",IF(Tabela8[[#This Row],[SETOR]]&lt;300,"GV 20",IF(Tabela8[[#This Row],[SETOR]]&lt;400,"GV 30","S/GV"))))</f>
        <v>GV 30</v>
      </c>
      <c r="E250" t="s">
        <v>123</v>
      </c>
      <c r="G250" t="str">
        <f>_xlfn.CONCAT(Tabela9[[#This Row],[Coluna1]],Tabela9[[#This Row],[Coluna2]])</f>
        <v>20-Rota</v>
      </c>
    </row>
    <row r="251" spans="1:7" x14ac:dyDescent="0.25">
      <c r="A251">
        <v>2602</v>
      </c>
      <c r="B251">
        <v>101</v>
      </c>
      <c r="C251" s="1" t="str">
        <f>IF(Tabela8[[#This Row],[SETOR]]="","",IF(Tabela8[[#This Row],[SETOR]]&lt;200,"GV 10",IF(Tabela8[[#This Row],[SETOR]]&lt;300,"GV 20",IF(Tabela8[[#This Row],[SETOR]]&lt;400,"GV 30","S/GV"))))</f>
        <v>GV 10</v>
      </c>
      <c r="E251" t="s">
        <v>123</v>
      </c>
      <c r="G251" t="str">
        <f>_xlfn.CONCAT(Tabela9[[#This Row],[Coluna1]],Tabela9[[#This Row],[Coluna2]])</f>
        <v>20-Rota</v>
      </c>
    </row>
    <row r="252" spans="1:7" x14ac:dyDescent="0.25">
      <c r="A252">
        <v>2604</v>
      </c>
      <c r="B252">
        <v>208</v>
      </c>
      <c r="C252" s="1" t="str">
        <f>IF(Tabela8[[#This Row],[SETOR]]="","",IF(Tabela8[[#This Row],[SETOR]]&lt;200,"GV 10",IF(Tabela8[[#This Row],[SETOR]]&lt;300,"GV 20",IF(Tabela8[[#This Row],[SETOR]]&lt;400,"GV 30","S/GV"))))</f>
        <v>GV 20</v>
      </c>
      <c r="E252" t="s">
        <v>125</v>
      </c>
      <c r="G252" t="str">
        <f>_xlfn.CONCAT(Tabela9[[#This Row],[Coluna1]],Tabela9[[#This Row],[Coluna2]])</f>
        <v>18-TRAD</v>
      </c>
    </row>
    <row r="253" spans="1:7" x14ac:dyDescent="0.25">
      <c r="A253">
        <v>2605</v>
      </c>
      <c r="B253">
        <v>201</v>
      </c>
      <c r="C253" s="1" t="str">
        <f>IF(Tabela8[[#This Row],[SETOR]]="","",IF(Tabela8[[#This Row],[SETOR]]&lt;200,"GV 10",IF(Tabela8[[#This Row],[SETOR]]&lt;300,"GV 20",IF(Tabela8[[#This Row],[SETOR]]&lt;400,"GV 30","S/GV"))))</f>
        <v>GV 20</v>
      </c>
      <c r="E253" t="s">
        <v>123</v>
      </c>
      <c r="G253" t="str">
        <f>_xlfn.CONCAT(Tabela9[[#This Row],[Coluna1]],Tabela9[[#This Row],[Coluna2]])</f>
        <v>20-Rota</v>
      </c>
    </row>
    <row r="254" spans="1:7" x14ac:dyDescent="0.25">
      <c r="A254">
        <v>2608</v>
      </c>
      <c r="B254">
        <v>204</v>
      </c>
      <c r="C254" s="1" t="str">
        <f>IF(Tabela8[[#This Row],[SETOR]]="","",IF(Tabela8[[#This Row],[SETOR]]&lt;200,"GV 10",IF(Tabela8[[#This Row],[SETOR]]&lt;300,"GV 20",IF(Tabela8[[#This Row],[SETOR]]&lt;400,"GV 30","S/GV"))))</f>
        <v>GV 20</v>
      </c>
      <c r="E254" t="s">
        <v>123</v>
      </c>
      <c r="G254" t="str">
        <f>_xlfn.CONCAT(Tabela9[[#This Row],[Coluna1]],Tabela9[[#This Row],[Coluna2]])</f>
        <v>20-Rota</v>
      </c>
    </row>
    <row r="255" spans="1:7" x14ac:dyDescent="0.25">
      <c r="A255">
        <v>2616</v>
      </c>
      <c r="B255">
        <v>101</v>
      </c>
      <c r="C255" s="1" t="str">
        <f>IF(Tabela8[[#This Row],[SETOR]]="","",IF(Tabela8[[#This Row],[SETOR]]&lt;200,"GV 10",IF(Tabela8[[#This Row],[SETOR]]&lt;300,"GV 20",IF(Tabela8[[#This Row],[SETOR]]&lt;400,"GV 30","S/GV"))))</f>
        <v>GV 10</v>
      </c>
      <c r="E255" t="s">
        <v>123</v>
      </c>
      <c r="G255" t="str">
        <f>_xlfn.CONCAT(Tabela9[[#This Row],[Coluna1]],Tabela9[[#This Row],[Coluna2]])</f>
        <v>20-Rota</v>
      </c>
    </row>
    <row r="256" spans="1:7" x14ac:dyDescent="0.25">
      <c r="A256">
        <v>2622</v>
      </c>
      <c r="B256">
        <v>916</v>
      </c>
      <c r="C256" s="1" t="str">
        <f>IF(Tabela8[[#This Row],[SETOR]]="","",IF(Tabela8[[#This Row],[SETOR]]&lt;200,"GV 10",IF(Tabela8[[#This Row],[SETOR]]&lt;300,"GV 20",IF(Tabela8[[#This Row],[SETOR]]&lt;400,"GV 30","S/GV"))))</f>
        <v>S/GV</v>
      </c>
      <c r="G256" t="str">
        <f>_xlfn.CONCAT(Tabela9[[#This Row],[Coluna1]],Tabela9[[#This Row],[Coluna2]])</f>
        <v/>
      </c>
    </row>
    <row r="257" spans="1:7" x14ac:dyDescent="0.25">
      <c r="A257">
        <v>2637</v>
      </c>
      <c r="B257">
        <v>108</v>
      </c>
      <c r="C257" s="1" t="str">
        <f>IF(Tabela8[[#This Row],[SETOR]]="","",IF(Tabela8[[#This Row],[SETOR]]&lt;200,"GV 10",IF(Tabela8[[#This Row],[SETOR]]&lt;300,"GV 20",IF(Tabela8[[#This Row],[SETOR]]&lt;400,"GV 30","S/GV"))))</f>
        <v>GV 10</v>
      </c>
      <c r="E257" t="s">
        <v>126</v>
      </c>
      <c r="F257" t="s">
        <v>127</v>
      </c>
      <c r="G257" t="str">
        <f>_xlfn.CONCAT(Tabela9[[#This Row],[Coluna1]],Tabela9[[#This Row],[Coluna2]])</f>
        <v>16-AS(5+)</v>
      </c>
    </row>
    <row r="258" spans="1:7" x14ac:dyDescent="0.25">
      <c r="A258">
        <v>2656</v>
      </c>
      <c r="B258">
        <v>303</v>
      </c>
      <c r="C258" s="1" t="str">
        <f>IF(Tabela8[[#This Row],[SETOR]]="","",IF(Tabela8[[#This Row],[SETOR]]&lt;200,"GV 10",IF(Tabela8[[#This Row],[SETOR]]&lt;300,"GV 20",IF(Tabela8[[#This Row],[SETOR]]&lt;400,"GV 30","S/GV"))))</f>
        <v>GV 30</v>
      </c>
      <c r="E258" t="s">
        <v>123</v>
      </c>
      <c r="G258" t="str">
        <f>_xlfn.CONCAT(Tabela9[[#This Row],[Coluna1]],Tabela9[[#This Row],[Coluna2]])</f>
        <v>20-Rota</v>
      </c>
    </row>
    <row r="259" spans="1:7" x14ac:dyDescent="0.25">
      <c r="A259">
        <v>2680</v>
      </c>
      <c r="B259">
        <v>916</v>
      </c>
      <c r="C259" s="1" t="str">
        <f>IF(Tabela8[[#This Row],[SETOR]]="","",IF(Tabela8[[#This Row],[SETOR]]&lt;200,"GV 10",IF(Tabela8[[#This Row],[SETOR]]&lt;300,"GV 20",IF(Tabela8[[#This Row],[SETOR]]&lt;400,"GV 30","S/GV"))))</f>
        <v>S/GV</v>
      </c>
      <c r="G259" t="str">
        <f>_xlfn.CONCAT(Tabela9[[#This Row],[Coluna1]],Tabela9[[#This Row],[Coluna2]])</f>
        <v/>
      </c>
    </row>
    <row r="260" spans="1:7" x14ac:dyDescent="0.25">
      <c r="A260">
        <v>2687</v>
      </c>
      <c r="B260">
        <v>105</v>
      </c>
      <c r="C260" s="1" t="str">
        <f>IF(Tabela8[[#This Row],[SETOR]]="","",IF(Tabela8[[#This Row],[SETOR]]&lt;200,"GV 10",IF(Tabela8[[#This Row],[SETOR]]&lt;300,"GV 20",IF(Tabela8[[#This Row],[SETOR]]&lt;400,"GV 30","S/GV"))))</f>
        <v>GV 10</v>
      </c>
      <c r="E260" t="s">
        <v>123</v>
      </c>
      <c r="G260" t="str">
        <f>_xlfn.CONCAT(Tabela9[[#This Row],[Coluna1]],Tabela9[[#This Row],[Coluna2]])</f>
        <v>20-Rota</v>
      </c>
    </row>
    <row r="261" spans="1:7" x14ac:dyDescent="0.25">
      <c r="A261">
        <v>2703</v>
      </c>
      <c r="B261">
        <v>103</v>
      </c>
      <c r="C261" s="1" t="str">
        <f>IF(Tabela8[[#This Row],[SETOR]]="","",IF(Tabela8[[#This Row],[SETOR]]&lt;200,"GV 10",IF(Tabela8[[#This Row],[SETOR]]&lt;300,"GV 20",IF(Tabela8[[#This Row],[SETOR]]&lt;400,"GV 30","S/GV"))))</f>
        <v>GV 10</v>
      </c>
      <c r="E261" t="s">
        <v>123</v>
      </c>
      <c r="G261" t="str">
        <f>_xlfn.CONCAT(Tabela9[[#This Row],[Coluna1]],Tabela9[[#This Row],[Coluna2]])</f>
        <v>20-Rota</v>
      </c>
    </row>
    <row r="262" spans="1:7" x14ac:dyDescent="0.25">
      <c r="A262">
        <v>2717</v>
      </c>
      <c r="B262">
        <v>912</v>
      </c>
      <c r="C262" s="1" t="str">
        <f>IF(Tabela8[[#This Row],[SETOR]]="","",IF(Tabela8[[#This Row],[SETOR]]&lt;200,"GV 10",IF(Tabela8[[#This Row],[SETOR]]&lt;300,"GV 20",IF(Tabela8[[#This Row],[SETOR]]&lt;400,"GV 30","S/GV"))))</f>
        <v>S/GV</v>
      </c>
      <c r="E262" t="s">
        <v>123</v>
      </c>
      <c r="G262" t="str">
        <f>_xlfn.CONCAT(Tabela9[[#This Row],[Coluna1]],Tabela9[[#This Row],[Coluna2]])</f>
        <v>20-Rota</v>
      </c>
    </row>
    <row r="263" spans="1:7" x14ac:dyDescent="0.25">
      <c r="A263">
        <v>2733</v>
      </c>
      <c r="B263">
        <v>101</v>
      </c>
      <c r="C263" s="1" t="str">
        <f>IF(Tabela8[[#This Row],[SETOR]]="","",IF(Tabela8[[#This Row],[SETOR]]&lt;200,"GV 10",IF(Tabela8[[#This Row],[SETOR]]&lt;300,"GV 20",IF(Tabela8[[#This Row],[SETOR]]&lt;400,"GV 30","S/GV"))))</f>
        <v>GV 10</v>
      </c>
      <c r="E263" t="s">
        <v>123</v>
      </c>
      <c r="G263" t="str">
        <f>_xlfn.CONCAT(Tabela9[[#This Row],[Coluna1]],Tabela9[[#This Row],[Coluna2]])</f>
        <v>20-Rota</v>
      </c>
    </row>
    <row r="264" spans="1:7" x14ac:dyDescent="0.25">
      <c r="A264">
        <v>2743</v>
      </c>
      <c r="B264">
        <v>108</v>
      </c>
      <c r="C264" s="1" t="str">
        <f>IF(Tabela8[[#This Row],[SETOR]]="","",IF(Tabela8[[#This Row],[SETOR]]&lt;200,"GV 10",IF(Tabela8[[#This Row],[SETOR]]&lt;300,"GV 20",IF(Tabela8[[#This Row],[SETOR]]&lt;400,"GV 30","S/GV"))))</f>
        <v>GV 10</v>
      </c>
      <c r="E264" t="s">
        <v>125</v>
      </c>
      <c r="G264" t="str">
        <f>_xlfn.CONCAT(Tabela9[[#This Row],[Coluna1]],Tabela9[[#This Row],[Coluna2]])</f>
        <v>18-TRAD</v>
      </c>
    </row>
    <row r="265" spans="1:7" x14ac:dyDescent="0.25">
      <c r="A265">
        <v>2744</v>
      </c>
      <c r="B265">
        <v>208</v>
      </c>
      <c r="C265" s="1" t="str">
        <f>IF(Tabela8[[#This Row],[SETOR]]="","",IF(Tabela8[[#This Row],[SETOR]]&lt;200,"GV 10",IF(Tabela8[[#This Row],[SETOR]]&lt;300,"GV 20",IF(Tabela8[[#This Row],[SETOR]]&lt;400,"GV 30","S/GV"))))</f>
        <v>GV 20</v>
      </c>
      <c r="E265" t="s">
        <v>125</v>
      </c>
      <c r="G265" t="str">
        <f>_xlfn.CONCAT(Tabela9[[#This Row],[Coluna1]],Tabela9[[#This Row],[Coluna2]])</f>
        <v>18-TRAD</v>
      </c>
    </row>
    <row r="266" spans="1:7" x14ac:dyDescent="0.25">
      <c r="A266">
        <v>2745</v>
      </c>
      <c r="B266">
        <v>101</v>
      </c>
      <c r="C266" s="1" t="str">
        <f>IF(Tabela8[[#This Row],[SETOR]]="","",IF(Tabela8[[#This Row],[SETOR]]&lt;200,"GV 10",IF(Tabela8[[#This Row],[SETOR]]&lt;300,"GV 20",IF(Tabela8[[#This Row],[SETOR]]&lt;400,"GV 30","S/GV"))))</f>
        <v>GV 10</v>
      </c>
      <c r="E266" t="s">
        <v>123</v>
      </c>
      <c r="G266" t="str">
        <f>_xlfn.CONCAT(Tabela9[[#This Row],[Coluna1]],Tabela9[[#This Row],[Coluna2]])</f>
        <v>20-Rota</v>
      </c>
    </row>
    <row r="267" spans="1:7" x14ac:dyDescent="0.25">
      <c r="A267">
        <v>2750</v>
      </c>
      <c r="B267">
        <v>101</v>
      </c>
      <c r="C267" s="1" t="str">
        <f>IF(Tabela8[[#This Row],[SETOR]]="","",IF(Tabela8[[#This Row],[SETOR]]&lt;200,"GV 10",IF(Tabela8[[#This Row],[SETOR]]&lt;300,"GV 20",IF(Tabela8[[#This Row],[SETOR]]&lt;400,"GV 30","S/GV"))))</f>
        <v>GV 10</v>
      </c>
      <c r="E267" t="s">
        <v>123</v>
      </c>
      <c r="G267" t="str">
        <f>_xlfn.CONCAT(Tabela9[[#This Row],[Coluna1]],Tabela9[[#This Row],[Coluna2]])</f>
        <v>20-Rota</v>
      </c>
    </row>
    <row r="268" spans="1:7" x14ac:dyDescent="0.25">
      <c r="A268">
        <v>2758</v>
      </c>
      <c r="B268">
        <v>102</v>
      </c>
      <c r="C268" s="1" t="str">
        <f>IF(Tabela8[[#This Row],[SETOR]]="","",IF(Tabela8[[#This Row],[SETOR]]&lt;200,"GV 10",IF(Tabela8[[#This Row],[SETOR]]&lt;300,"GV 20",IF(Tabela8[[#This Row],[SETOR]]&lt;400,"GV 30","S/GV"))))</f>
        <v>GV 10</v>
      </c>
      <c r="E268" t="s">
        <v>123</v>
      </c>
      <c r="G268" t="str">
        <f>_xlfn.CONCAT(Tabela9[[#This Row],[Coluna1]],Tabela9[[#This Row],[Coluna2]])</f>
        <v>20-Rota</v>
      </c>
    </row>
    <row r="269" spans="1:7" x14ac:dyDescent="0.25">
      <c r="A269">
        <v>2787</v>
      </c>
      <c r="B269">
        <v>103</v>
      </c>
      <c r="C269" s="1" t="str">
        <f>IF(Tabela8[[#This Row],[SETOR]]="","",IF(Tabela8[[#This Row],[SETOR]]&lt;200,"GV 10",IF(Tabela8[[#This Row],[SETOR]]&lt;300,"GV 20",IF(Tabela8[[#This Row],[SETOR]]&lt;400,"GV 30","S/GV"))))</f>
        <v>GV 10</v>
      </c>
      <c r="E269" t="s">
        <v>123</v>
      </c>
      <c r="G269" t="str">
        <f>_xlfn.CONCAT(Tabela9[[#This Row],[Coluna1]],Tabela9[[#This Row],[Coluna2]])</f>
        <v>20-Rota</v>
      </c>
    </row>
    <row r="270" spans="1:7" x14ac:dyDescent="0.25">
      <c r="A270">
        <v>2793</v>
      </c>
      <c r="B270">
        <v>305</v>
      </c>
      <c r="C270" s="1" t="str">
        <f>IF(Tabela8[[#This Row],[SETOR]]="","",IF(Tabela8[[#This Row],[SETOR]]&lt;200,"GV 10",IF(Tabela8[[#This Row],[SETOR]]&lt;300,"GV 20",IF(Tabela8[[#This Row],[SETOR]]&lt;400,"GV 30","S/GV"))))</f>
        <v>GV 30</v>
      </c>
      <c r="E270" t="s">
        <v>123</v>
      </c>
      <c r="G270" t="str">
        <f>_xlfn.CONCAT(Tabela9[[#This Row],[Coluna1]],Tabela9[[#This Row],[Coluna2]])</f>
        <v>20-Rota</v>
      </c>
    </row>
    <row r="271" spans="1:7" x14ac:dyDescent="0.25">
      <c r="A271">
        <v>2798</v>
      </c>
      <c r="B271">
        <v>103</v>
      </c>
      <c r="C271" s="1" t="str">
        <f>IF(Tabela8[[#This Row],[SETOR]]="","",IF(Tabela8[[#This Row],[SETOR]]&lt;200,"GV 10",IF(Tabela8[[#This Row],[SETOR]]&lt;300,"GV 20",IF(Tabela8[[#This Row],[SETOR]]&lt;400,"GV 30","S/GV"))))</f>
        <v>GV 10</v>
      </c>
      <c r="E271" t="s">
        <v>123</v>
      </c>
      <c r="G271" t="str">
        <f>_xlfn.CONCAT(Tabela9[[#This Row],[Coluna1]],Tabela9[[#This Row],[Coluna2]])</f>
        <v>20-Rota</v>
      </c>
    </row>
    <row r="272" spans="1:7" x14ac:dyDescent="0.25">
      <c r="A272">
        <v>2800</v>
      </c>
      <c r="B272">
        <v>103</v>
      </c>
      <c r="C272" s="1" t="str">
        <f>IF(Tabela8[[#This Row],[SETOR]]="","",IF(Tabela8[[#This Row],[SETOR]]&lt;200,"GV 10",IF(Tabela8[[#This Row],[SETOR]]&lt;300,"GV 20",IF(Tabela8[[#This Row],[SETOR]]&lt;400,"GV 30","S/GV"))))</f>
        <v>GV 10</v>
      </c>
      <c r="E272" t="s">
        <v>123</v>
      </c>
      <c r="G272" t="str">
        <f>_xlfn.CONCAT(Tabela9[[#This Row],[Coluna1]],Tabela9[[#This Row],[Coluna2]])</f>
        <v>20-Rota</v>
      </c>
    </row>
    <row r="273" spans="1:7" x14ac:dyDescent="0.25">
      <c r="A273">
        <v>2804</v>
      </c>
      <c r="B273">
        <v>302</v>
      </c>
      <c r="C273" s="1" t="str">
        <f>IF(Tabela8[[#This Row],[SETOR]]="","",IF(Tabela8[[#This Row],[SETOR]]&lt;200,"GV 10",IF(Tabela8[[#This Row],[SETOR]]&lt;300,"GV 20",IF(Tabela8[[#This Row],[SETOR]]&lt;400,"GV 30","S/GV"))))</f>
        <v>GV 30</v>
      </c>
      <c r="E273" t="s">
        <v>123</v>
      </c>
      <c r="G273" t="str">
        <f>_xlfn.CONCAT(Tabela9[[#This Row],[Coluna1]],Tabela9[[#This Row],[Coluna2]])</f>
        <v>20-Rota</v>
      </c>
    </row>
    <row r="274" spans="1:7" x14ac:dyDescent="0.25">
      <c r="A274">
        <v>2829</v>
      </c>
      <c r="B274">
        <v>106</v>
      </c>
      <c r="C274" s="1" t="str">
        <f>IF(Tabela8[[#This Row],[SETOR]]="","",IF(Tabela8[[#This Row],[SETOR]]&lt;200,"GV 10",IF(Tabela8[[#This Row],[SETOR]]&lt;300,"GV 20",IF(Tabela8[[#This Row],[SETOR]]&lt;400,"GV 30","S/GV"))))</f>
        <v>GV 10</v>
      </c>
      <c r="E274" t="s">
        <v>123</v>
      </c>
      <c r="G274" t="str">
        <f>_xlfn.CONCAT(Tabela9[[#This Row],[Coluna1]],Tabela9[[#This Row],[Coluna2]])</f>
        <v>20-Rota</v>
      </c>
    </row>
    <row r="275" spans="1:7" x14ac:dyDescent="0.25">
      <c r="A275">
        <v>2837</v>
      </c>
      <c r="B275">
        <v>106</v>
      </c>
      <c r="C275" s="1" t="str">
        <f>IF(Tabela8[[#This Row],[SETOR]]="","",IF(Tabela8[[#This Row],[SETOR]]&lt;200,"GV 10",IF(Tabela8[[#This Row],[SETOR]]&lt;300,"GV 20",IF(Tabela8[[#This Row],[SETOR]]&lt;400,"GV 30","S/GV"))))</f>
        <v>GV 10</v>
      </c>
      <c r="E275" t="s">
        <v>123</v>
      </c>
      <c r="G275" t="str">
        <f>_xlfn.CONCAT(Tabela9[[#This Row],[Coluna1]],Tabela9[[#This Row],[Coluna2]])</f>
        <v>20-Rota</v>
      </c>
    </row>
    <row r="276" spans="1:7" x14ac:dyDescent="0.25">
      <c r="A276">
        <v>2867</v>
      </c>
      <c r="B276">
        <v>913</v>
      </c>
      <c r="C276" s="1" t="str">
        <f>IF(Tabela8[[#This Row],[SETOR]]="","",IF(Tabela8[[#This Row],[SETOR]]&lt;200,"GV 10",IF(Tabela8[[#This Row],[SETOR]]&lt;300,"GV 20",IF(Tabela8[[#This Row],[SETOR]]&lt;400,"GV 30","S/GV"))))</f>
        <v>S/GV</v>
      </c>
      <c r="E276" t="s">
        <v>123</v>
      </c>
      <c r="G276" t="str">
        <f>_xlfn.CONCAT(Tabela9[[#This Row],[Coluna1]],Tabela9[[#This Row],[Coluna2]])</f>
        <v>20-Rota</v>
      </c>
    </row>
    <row r="277" spans="1:7" x14ac:dyDescent="0.25">
      <c r="A277">
        <v>2874</v>
      </c>
      <c r="B277">
        <v>106</v>
      </c>
      <c r="C277" s="1" t="str">
        <f>IF(Tabela8[[#This Row],[SETOR]]="","",IF(Tabela8[[#This Row],[SETOR]]&lt;200,"GV 10",IF(Tabela8[[#This Row],[SETOR]]&lt;300,"GV 20",IF(Tabela8[[#This Row],[SETOR]]&lt;400,"GV 30","S/GV"))))</f>
        <v>GV 10</v>
      </c>
      <c r="E277" t="s">
        <v>123</v>
      </c>
      <c r="G277" t="str">
        <f>_xlfn.CONCAT(Tabela9[[#This Row],[Coluna1]],Tabela9[[#This Row],[Coluna2]])</f>
        <v>20-Rota</v>
      </c>
    </row>
    <row r="278" spans="1:7" x14ac:dyDescent="0.25">
      <c r="A278">
        <v>2890</v>
      </c>
      <c r="B278">
        <v>208</v>
      </c>
      <c r="C278" s="1" t="str">
        <f>IF(Tabela8[[#This Row],[SETOR]]="","",IF(Tabela8[[#This Row],[SETOR]]&lt;200,"GV 10",IF(Tabela8[[#This Row],[SETOR]]&lt;300,"GV 20",IF(Tabela8[[#This Row],[SETOR]]&lt;400,"GV 30","S/GV"))))</f>
        <v>GV 20</v>
      </c>
      <c r="E278" t="s">
        <v>128</v>
      </c>
      <c r="F278" t="s">
        <v>129</v>
      </c>
      <c r="G278" t="str">
        <f>_xlfn.CONCAT(Tabela9[[#This Row],[Coluna1]],Tabela9[[#This Row],[Coluna2]])</f>
        <v>15-AS(1-4)</v>
      </c>
    </row>
    <row r="279" spans="1:7" x14ac:dyDescent="0.25">
      <c r="A279">
        <v>2897</v>
      </c>
      <c r="B279">
        <v>103</v>
      </c>
      <c r="C279" s="1" t="str">
        <f>IF(Tabela8[[#This Row],[SETOR]]="","",IF(Tabela8[[#This Row],[SETOR]]&lt;200,"GV 10",IF(Tabela8[[#This Row],[SETOR]]&lt;300,"GV 20",IF(Tabela8[[#This Row],[SETOR]]&lt;400,"GV 30","S/GV"))))</f>
        <v>GV 10</v>
      </c>
      <c r="E279" t="s">
        <v>123</v>
      </c>
      <c r="G279" t="str">
        <f>_xlfn.CONCAT(Tabela9[[#This Row],[Coluna1]],Tabela9[[#This Row],[Coluna2]])</f>
        <v>20-Rota</v>
      </c>
    </row>
    <row r="280" spans="1:7" x14ac:dyDescent="0.25">
      <c r="A280">
        <v>2900</v>
      </c>
      <c r="B280">
        <v>101</v>
      </c>
      <c r="C280" s="1" t="str">
        <f>IF(Tabela8[[#This Row],[SETOR]]="","",IF(Tabela8[[#This Row],[SETOR]]&lt;200,"GV 10",IF(Tabela8[[#This Row],[SETOR]]&lt;300,"GV 20",IF(Tabela8[[#This Row],[SETOR]]&lt;400,"GV 30","S/GV"))))</f>
        <v>GV 10</v>
      </c>
      <c r="E280" t="s">
        <v>123</v>
      </c>
      <c r="G280" t="str">
        <f>_xlfn.CONCAT(Tabela9[[#This Row],[Coluna1]],Tabela9[[#This Row],[Coluna2]])</f>
        <v>20-Rota</v>
      </c>
    </row>
    <row r="281" spans="1:7" x14ac:dyDescent="0.25">
      <c r="A281">
        <v>2906</v>
      </c>
      <c r="B281">
        <v>204</v>
      </c>
      <c r="C281" s="1" t="str">
        <f>IF(Tabela8[[#This Row],[SETOR]]="","",IF(Tabela8[[#This Row],[SETOR]]&lt;200,"GV 10",IF(Tabela8[[#This Row],[SETOR]]&lt;300,"GV 20",IF(Tabela8[[#This Row],[SETOR]]&lt;400,"GV 30","S/GV"))))</f>
        <v>GV 20</v>
      </c>
      <c r="E281" t="s">
        <v>123</v>
      </c>
      <c r="G281" t="str">
        <f>_xlfn.CONCAT(Tabela9[[#This Row],[Coluna1]],Tabela9[[#This Row],[Coluna2]])</f>
        <v>20-Rota</v>
      </c>
    </row>
    <row r="282" spans="1:7" x14ac:dyDescent="0.25">
      <c r="A282">
        <v>2924</v>
      </c>
      <c r="B282">
        <v>303</v>
      </c>
      <c r="C282" s="1" t="str">
        <f>IF(Tabela8[[#This Row],[SETOR]]="","",IF(Tabela8[[#This Row],[SETOR]]&lt;200,"GV 10",IF(Tabela8[[#This Row],[SETOR]]&lt;300,"GV 20",IF(Tabela8[[#This Row],[SETOR]]&lt;400,"GV 30","S/GV"))))</f>
        <v>GV 30</v>
      </c>
      <c r="E282" t="s">
        <v>123</v>
      </c>
      <c r="G282" t="str">
        <f>_xlfn.CONCAT(Tabela9[[#This Row],[Coluna1]],Tabela9[[#This Row],[Coluna2]])</f>
        <v>20-Rota</v>
      </c>
    </row>
    <row r="283" spans="1:7" x14ac:dyDescent="0.25">
      <c r="A283">
        <v>2936</v>
      </c>
      <c r="B283">
        <v>103</v>
      </c>
      <c r="C283" s="1" t="str">
        <f>IF(Tabela8[[#This Row],[SETOR]]="","",IF(Tabela8[[#This Row],[SETOR]]&lt;200,"GV 10",IF(Tabela8[[#This Row],[SETOR]]&lt;300,"GV 20",IF(Tabela8[[#This Row],[SETOR]]&lt;400,"GV 30","S/GV"))))</f>
        <v>GV 10</v>
      </c>
      <c r="E283" t="s">
        <v>123</v>
      </c>
      <c r="G283" t="str">
        <f>_xlfn.CONCAT(Tabela9[[#This Row],[Coluna1]],Tabela9[[#This Row],[Coluna2]])</f>
        <v>20-Rota</v>
      </c>
    </row>
    <row r="284" spans="1:7" x14ac:dyDescent="0.25">
      <c r="A284">
        <v>2951</v>
      </c>
      <c r="B284">
        <v>301</v>
      </c>
      <c r="C284" s="1" t="str">
        <f>IF(Tabela8[[#This Row],[SETOR]]="","",IF(Tabela8[[#This Row],[SETOR]]&lt;200,"GV 10",IF(Tabela8[[#This Row],[SETOR]]&lt;300,"GV 20",IF(Tabela8[[#This Row],[SETOR]]&lt;400,"GV 30","S/GV"))))</f>
        <v>GV 30</v>
      </c>
      <c r="E284" t="s">
        <v>123</v>
      </c>
      <c r="G284" t="str">
        <f>_xlfn.CONCAT(Tabela9[[#This Row],[Coluna1]],Tabela9[[#This Row],[Coluna2]])</f>
        <v>20-Rota</v>
      </c>
    </row>
    <row r="285" spans="1:7" x14ac:dyDescent="0.25">
      <c r="A285">
        <v>2954</v>
      </c>
      <c r="B285">
        <v>101</v>
      </c>
      <c r="C285" s="1" t="str">
        <f>IF(Tabela8[[#This Row],[SETOR]]="","",IF(Tabela8[[#This Row],[SETOR]]&lt;200,"GV 10",IF(Tabela8[[#This Row],[SETOR]]&lt;300,"GV 20",IF(Tabela8[[#This Row],[SETOR]]&lt;400,"GV 30","S/GV"))))</f>
        <v>GV 10</v>
      </c>
      <c r="E285" t="s">
        <v>123</v>
      </c>
      <c r="G285" t="str">
        <f>_xlfn.CONCAT(Tabela9[[#This Row],[Coluna1]],Tabela9[[#This Row],[Coluna2]])</f>
        <v>20-Rota</v>
      </c>
    </row>
    <row r="286" spans="1:7" x14ac:dyDescent="0.25">
      <c r="A286">
        <v>2961</v>
      </c>
      <c r="B286">
        <v>103</v>
      </c>
      <c r="C286" s="1" t="str">
        <f>IF(Tabela8[[#This Row],[SETOR]]="","",IF(Tabela8[[#This Row],[SETOR]]&lt;200,"GV 10",IF(Tabela8[[#This Row],[SETOR]]&lt;300,"GV 20",IF(Tabela8[[#This Row],[SETOR]]&lt;400,"GV 30","S/GV"))))</f>
        <v>GV 10</v>
      </c>
      <c r="E286" t="s">
        <v>123</v>
      </c>
      <c r="G286" t="str">
        <f>_xlfn.CONCAT(Tabela9[[#This Row],[Coluna1]],Tabela9[[#This Row],[Coluna2]])</f>
        <v>20-Rota</v>
      </c>
    </row>
    <row r="287" spans="1:7" x14ac:dyDescent="0.25">
      <c r="A287">
        <v>2986</v>
      </c>
      <c r="B287">
        <v>302</v>
      </c>
      <c r="C287" s="1" t="str">
        <f>IF(Tabela8[[#This Row],[SETOR]]="","",IF(Tabela8[[#This Row],[SETOR]]&lt;200,"GV 10",IF(Tabela8[[#This Row],[SETOR]]&lt;300,"GV 20",IF(Tabela8[[#This Row],[SETOR]]&lt;400,"GV 30","S/GV"))))</f>
        <v>GV 30</v>
      </c>
      <c r="E287" t="s">
        <v>123</v>
      </c>
      <c r="G287" t="str">
        <f>_xlfn.CONCAT(Tabela9[[#This Row],[Coluna1]],Tabela9[[#This Row],[Coluna2]])</f>
        <v>20-Rota</v>
      </c>
    </row>
    <row r="288" spans="1:7" x14ac:dyDescent="0.25">
      <c r="A288">
        <v>2987</v>
      </c>
      <c r="B288">
        <v>303</v>
      </c>
      <c r="C288" s="1" t="str">
        <f>IF(Tabela8[[#This Row],[SETOR]]="","",IF(Tabela8[[#This Row],[SETOR]]&lt;200,"GV 10",IF(Tabela8[[#This Row],[SETOR]]&lt;300,"GV 20",IF(Tabela8[[#This Row],[SETOR]]&lt;400,"GV 30","S/GV"))))</f>
        <v>GV 30</v>
      </c>
      <c r="E288" t="s">
        <v>123</v>
      </c>
      <c r="G288" t="str">
        <f>_xlfn.CONCAT(Tabela9[[#This Row],[Coluna1]],Tabela9[[#This Row],[Coluna2]])</f>
        <v>20-Rota</v>
      </c>
    </row>
    <row r="289" spans="1:7" x14ac:dyDescent="0.25">
      <c r="A289">
        <v>2988</v>
      </c>
      <c r="B289">
        <v>103</v>
      </c>
      <c r="C289" s="1" t="str">
        <f>IF(Tabela8[[#This Row],[SETOR]]="","",IF(Tabela8[[#This Row],[SETOR]]&lt;200,"GV 10",IF(Tabela8[[#This Row],[SETOR]]&lt;300,"GV 20",IF(Tabela8[[#This Row],[SETOR]]&lt;400,"GV 30","S/GV"))))</f>
        <v>GV 10</v>
      </c>
      <c r="E289" t="s">
        <v>123</v>
      </c>
      <c r="G289" t="str">
        <f>_xlfn.CONCAT(Tabela9[[#This Row],[Coluna1]],Tabela9[[#This Row],[Coluna2]])</f>
        <v>20-Rota</v>
      </c>
    </row>
    <row r="290" spans="1:7" x14ac:dyDescent="0.25">
      <c r="A290">
        <v>2992</v>
      </c>
      <c r="B290">
        <v>106</v>
      </c>
      <c r="C290" s="1" t="str">
        <f>IF(Tabela8[[#This Row],[SETOR]]="","",IF(Tabela8[[#This Row],[SETOR]]&lt;200,"GV 10",IF(Tabela8[[#This Row],[SETOR]]&lt;300,"GV 20",IF(Tabela8[[#This Row],[SETOR]]&lt;400,"GV 30","S/GV"))))</f>
        <v>GV 10</v>
      </c>
      <c r="E290" t="s">
        <v>123</v>
      </c>
      <c r="G290" t="str">
        <f>_xlfn.CONCAT(Tabela9[[#This Row],[Coluna1]],Tabela9[[#This Row],[Coluna2]])</f>
        <v>20-Rota</v>
      </c>
    </row>
    <row r="291" spans="1:7" x14ac:dyDescent="0.25">
      <c r="A291">
        <v>2996</v>
      </c>
      <c r="B291">
        <v>101</v>
      </c>
      <c r="C291" s="1" t="str">
        <f>IF(Tabela8[[#This Row],[SETOR]]="","",IF(Tabela8[[#This Row],[SETOR]]&lt;200,"GV 10",IF(Tabela8[[#This Row],[SETOR]]&lt;300,"GV 20",IF(Tabela8[[#This Row],[SETOR]]&lt;400,"GV 30","S/GV"))))</f>
        <v>GV 10</v>
      </c>
      <c r="E291" t="s">
        <v>123</v>
      </c>
      <c r="G291" t="str">
        <f>_xlfn.CONCAT(Tabela9[[#This Row],[Coluna1]],Tabela9[[#This Row],[Coluna2]])</f>
        <v>20-Rota</v>
      </c>
    </row>
    <row r="292" spans="1:7" x14ac:dyDescent="0.25">
      <c r="A292">
        <v>2999</v>
      </c>
      <c r="B292">
        <v>916</v>
      </c>
      <c r="C292" s="1" t="str">
        <f>IF(Tabela8[[#This Row],[SETOR]]="","",IF(Tabela8[[#This Row],[SETOR]]&lt;200,"GV 10",IF(Tabela8[[#This Row],[SETOR]]&lt;300,"GV 20",IF(Tabela8[[#This Row],[SETOR]]&lt;400,"GV 30","S/GV"))))</f>
        <v>S/GV</v>
      </c>
      <c r="G292" t="str">
        <f>_xlfn.CONCAT(Tabela9[[#This Row],[Coluna1]],Tabela9[[#This Row],[Coluna2]])</f>
        <v/>
      </c>
    </row>
    <row r="293" spans="1:7" x14ac:dyDescent="0.25">
      <c r="A293">
        <v>3004</v>
      </c>
      <c r="B293">
        <v>304</v>
      </c>
      <c r="C293" s="1" t="str">
        <f>IF(Tabela8[[#This Row],[SETOR]]="","",IF(Tabela8[[#This Row],[SETOR]]&lt;200,"GV 10",IF(Tabela8[[#This Row],[SETOR]]&lt;300,"GV 20",IF(Tabela8[[#This Row],[SETOR]]&lt;400,"GV 30","S/GV"))))</f>
        <v>GV 30</v>
      </c>
      <c r="E293" t="s">
        <v>123</v>
      </c>
      <c r="G293" t="str">
        <f>_xlfn.CONCAT(Tabela9[[#This Row],[Coluna1]],Tabela9[[#This Row],[Coluna2]])</f>
        <v>20-Rota</v>
      </c>
    </row>
    <row r="294" spans="1:7" x14ac:dyDescent="0.25">
      <c r="A294">
        <v>3008</v>
      </c>
      <c r="B294">
        <v>302</v>
      </c>
      <c r="C294" s="1" t="str">
        <f>IF(Tabela8[[#This Row],[SETOR]]="","",IF(Tabela8[[#This Row],[SETOR]]&lt;200,"GV 10",IF(Tabela8[[#This Row],[SETOR]]&lt;300,"GV 20",IF(Tabela8[[#This Row],[SETOR]]&lt;400,"GV 30","S/GV"))))</f>
        <v>GV 30</v>
      </c>
      <c r="E294" t="s">
        <v>123</v>
      </c>
      <c r="G294" t="str">
        <f>_xlfn.CONCAT(Tabela9[[#This Row],[Coluna1]],Tabela9[[#This Row],[Coluna2]])</f>
        <v>20-Rota</v>
      </c>
    </row>
    <row r="295" spans="1:7" x14ac:dyDescent="0.25">
      <c r="A295">
        <v>3017</v>
      </c>
      <c r="B295">
        <v>101</v>
      </c>
      <c r="C295" s="1" t="str">
        <f>IF(Tabela8[[#This Row],[SETOR]]="","",IF(Tabela8[[#This Row],[SETOR]]&lt;200,"GV 10",IF(Tabela8[[#This Row],[SETOR]]&lt;300,"GV 20",IF(Tabela8[[#This Row],[SETOR]]&lt;400,"GV 30","S/GV"))))</f>
        <v>GV 10</v>
      </c>
      <c r="E295" t="s">
        <v>123</v>
      </c>
      <c r="G295" t="str">
        <f>_xlfn.CONCAT(Tabela9[[#This Row],[Coluna1]],Tabela9[[#This Row],[Coluna2]])</f>
        <v>20-Rota</v>
      </c>
    </row>
    <row r="296" spans="1:7" x14ac:dyDescent="0.25">
      <c r="A296">
        <v>3021</v>
      </c>
      <c r="B296">
        <v>104</v>
      </c>
      <c r="C296" s="1" t="str">
        <f>IF(Tabela8[[#This Row],[SETOR]]="","",IF(Tabela8[[#This Row],[SETOR]]&lt;200,"GV 10",IF(Tabela8[[#This Row],[SETOR]]&lt;300,"GV 20",IF(Tabela8[[#This Row],[SETOR]]&lt;400,"GV 30","S/GV"))))</f>
        <v>GV 10</v>
      </c>
      <c r="E296" t="s">
        <v>123</v>
      </c>
      <c r="G296" t="str">
        <f>_xlfn.CONCAT(Tabela9[[#This Row],[Coluna1]],Tabela9[[#This Row],[Coluna2]])</f>
        <v>20-Rota</v>
      </c>
    </row>
    <row r="297" spans="1:7" x14ac:dyDescent="0.25">
      <c r="A297">
        <v>3026</v>
      </c>
      <c r="B297">
        <v>308</v>
      </c>
      <c r="C297" s="1" t="str">
        <f>IF(Tabela8[[#This Row],[SETOR]]="","",IF(Tabela8[[#This Row],[SETOR]]&lt;200,"GV 10",IF(Tabela8[[#This Row],[SETOR]]&lt;300,"GV 20",IF(Tabela8[[#This Row],[SETOR]]&lt;400,"GV 30","S/GV"))))</f>
        <v>GV 30</v>
      </c>
      <c r="E297" t="s">
        <v>128</v>
      </c>
      <c r="F297" t="s">
        <v>129</v>
      </c>
      <c r="G297" t="str">
        <f>_xlfn.CONCAT(Tabela9[[#This Row],[Coluna1]],Tabela9[[#This Row],[Coluna2]])</f>
        <v>15-AS(1-4)</v>
      </c>
    </row>
    <row r="298" spans="1:7" x14ac:dyDescent="0.25">
      <c r="A298">
        <v>3031</v>
      </c>
      <c r="B298">
        <v>301</v>
      </c>
      <c r="C298" s="1" t="str">
        <f>IF(Tabela8[[#This Row],[SETOR]]="","",IF(Tabela8[[#This Row],[SETOR]]&lt;200,"GV 10",IF(Tabela8[[#This Row],[SETOR]]&lt;300,"GV 20",IF(Tabela8[[#This Row],[SETOR]]&lt;400,"GV 30","S/GV"))))</f>
        <v>GV 30</v>
      </c>
      <c r="E298" t="s">
        <v>123</v>
      </c>
      <c r="G298" t="str">
        <f>_xlfn.CONCAT(Tabela9[[#This Row],[Coluna1]],Tabela9[[#This Row],[Coluna2]])</f>
        <v>20-Rota</v>
      </c>
    </row>
    <row r="299" spans="1:7" x14ac:dyDescent="0.25">
      <c r="A299">
        <v>3035</v>
      </c>
      <c r="B299">
        <v>308</v>
      </c>
      <c r="C299" s="1" t="str">
        <f>IF(Tabela8[[#This Row],[SETOR]]="","",IF(Tabela8[[#This Row],[SETOR]]&lt;200,"GV 10",IF(Tabela8[[#This Row],[SETOR]]&lt;300,"GV 20",IF(Tabela8[[#This Row],[SETOR]]&lt;400,"GV 30","S/GV"))))</f>
        <v>GV 30</v>
      </c>
      <c r="E299" t="s">
        <v>128</v>
      </c>
      <c r="F299" t="s">
        <v>129</v>
      </c>
      <c r="G299" t="str">
        <f>_xlfn.CONCAT(Tabela9[[#This Row],[Coluna1]],Tabela9[[#This Row],[Coluna2]])</f>
        <v>15-AS(1-4)</v>
      </c>
    </row>
    <row r="300" spans="1:7" x14ac:dyDescent="0.25">
      <c r="A300">
        <v>3037</v>
      </c>
      <c r="B300">
        <v>912</v>
      </c>
      <c r="C300" s="1" t="str">
        <f>IF(Tabela8[[#This Row],[SETOR]]="","",IF(Tabela8[[#This Row],[SETOR]]&lt;200,"GV 10",IF(Tabela8[[#This Row],[SETOR]]&lt;300,"GV 20",IF(Tabela8[[#This Row],[SETOR]]&lt;400,"GV 30","S/GV"))))</f>
        <v>S/GV</v>
      </c>
      <c r="G300" t="str">
        <f>_xlfn.CONCAT(Tabela9[[#This Row],[Coluna1]],Tabela9[[#This Row],[Coluna2]])</f>
        <v/>
      </c>
    </row>
    <row r="301" spans="1:7" x14ac:dyDescent="0.25">
      <c r="A301">
        <v>3057</v>
      </c>
      <c r="B301">
        <v>307</v>
      </c>
      <c r="C301" s="1" t="str">
        <f>IF(Tabela8[[#This Row],[SETOR]]="","",IF(Tabela8[[#This Row],[SETOR]]&lt;200,"GV 10",IF(Tabela8[[#This Row],[SETOR]]&lt;300,"GV 20",IF(Tabela8[[#This Row],[SETOR]]&lt;400,"GV 30","S/GV"))))</f>
        <v>GV 30</v>
      </c>
      <c r="E301" t="s">
        <v>130</v>
      </c>
      <c r="G301" t="str">
        <f>_xlfn.CONCAT(Tabela9[[#This Row],[Coluna1]],Tabela9[[#This Row],[Coluna2]])</f>
        <v>21-SUB</v>
      </c>
    </row>
    <row r="302" spans="1:7" x14ac:dyDescent="0.25">
      <c r="A302">
        <v>3058</v>
      </c>
      <c r="B302">
        <v>308</v>
      </c>
      <c r="C302" s="1" t="str">
        <f>IF(Tabela8[[#This Row],[SETOR]]="","",IF(Tabela8[[#This Row],[SETOR]]&lt;200,"GV 10",IF(Tabela8[[#This Row],[SETOR]]&lt;300,"GV 20",IF(Tabela8[[#This Row],[SETOR]]&lt;400,"GV 30","S/GV"))))</f>
        <v>GV 30</v>
      </c>
      <c r="E302" t="s">
        <v>128</v>
      </c>
      <c r="F302" t="s">
        <v>129</v>
      </c>
      <c r="G302" t="str">
        <f>_xlfn.CONCAT(Tabela9[[#This Row],[Coluna1]],Tabela9[[#This Row],[Coluna2]])</f>
        <v>15-AS(1-4)</v>
      </c>
    </row>
    <row r="303" spans="1:7" x14ac:dyDescent="0.25">
      <c r="A303">
        <v>3075</v>
      </c>
      <c r="B303">
        <v>102</v>
      </c>
      <c r="C303" s="1" t="str">
        <f>IF(Tabela8[[#This Row],[SETOR]]="","",IF(Tabela8[[#This Row],[SETOR]]&lt;200,"GV 10",IF(Tabela8[[#This Row],[SETOR]]&lt;300,"GV 20",IF(Tabela8[[#This Row],[SETOR]]&lt;400,"GV 30","S/GV"))))</f>
        <v>GV 10</v>
      </c>
      <c r="E303" t="s">
        <v>123</v>
      </c>
      <c r="G303" t="str">
        <f>_xlfn.CONCAT(Tabela9[[#This Row],[Coluna1]],Tabela9[[#This Row],[Coluna2]])</f>
        <v>20-Rota</v>
      </c>
    </row>
    <row r="304" spans="1:7" x14ac:dyDescent="0.25">
      <c r="A304">
        <v>3085</v>
      </c>
      <c r="B304">
        <v>203</v>
      </c>
      <c r="C304" s="1" t="str">
        <f>IF(Tabela8[[#This Row],[SETOR]]="","",IF(Tabela8[[#This Row],[SETOR]]&lt;200,"GV 10",IF(Tabela8[[#This Row],[SETOR]]&lt;300,"GV 20",IF(Tabela8[[#This Row],[SETOR]]&lt;400,"GV 30","S/GV"))))</f>
        <v>GV 20</v>
      </c>
      <c r="E304" t="s">
        <v>123</v>
      </c>
      <c r="G304" t="str">
        <f>_xlfn.CONCAT(Tabela9[[#This Row],[Coluna1]],Tabela9[[#This Row],[Coluna2]])</f>
        <v>20-Rota</v>
      </c>
    </row>
    <row r="305" spans="1:7" x14ac:dyDescent="0.25">
      <c r="A305">
        <v>3095</v>
      </c>
      <c r="B305">
        <v>305</v>
      </c>
      <c r="C305" s="1" t="str">
        <f>IF(Tabela8[[#This Row],[SETOR]]="","",IF(Tabela8[[#This Row],[SETOR]]&lt;200,"GV 10",IF(Tabela8[[#This Row],[SETOR]]&lt;300,"GV 20",IF(Tabela8[[#This Row],[SETOR]]&lt;400,"GV 30","S/GV"))))</f>
        <v>GV 30</v>
      </c>
      <c r="E305" t="s">
        <v>123</v>
      </c>
      <c r="G305" t="str">
        <f>_xlfn.CONCAT(Tabela9[[#This Row],[Coluna1]],Tabela9[[#This Row],[Coluna2]])</f>
        <v>20-Rota</v>
      </c>
    </row>
    <row r="306" spans="1:7" x14ac:dyDescent="0.25">
      <c r="A306">
        <v>3106</v>
      </c>
      <c r="B306">
        <v>102</v>
      </c>
      <c r="C306" s="1" t="str">
        <f>IF(Tabela8[[#This Row],[SETOR]]="","",IF(Tabela8[[#This Row],[SETOR]]&lt;200,"GV 10",IF(Tabela8[[#This Row],[SETOR]]&lt;300,"GV 20",IF(Tabela8[[#This Row],[SETOR]]&lt;400,"GV 30","S/GV"))))</f>
        <v>GV 10</v>
      </c>
      <c r="E306" t="s">
        <v>123</v>
      </c>
      <c r="G306" t="str">
        <f>_xlfn.CONCAT(Tabela9[[#This Row],[Coluna1]],Tabela9[[#This Row],[Coluna2]])</f>
        <v>20-Rota</v>
      </c>
    </row>
    <row r="307" spans="1:7" x14ac:dyDescent="0.25">
      <c r="A307">
        <v>3121</v>
      </c>
      <c r="B307">
        <v>101</v>
      </c>
      <c r="C307" s="1" t="str">
        <f>IF(Tabela8[[#This Row],[SETOR]]="","",IF(Tabela8[[#This Row],[SETOR]]&lt;200,"GV 10",IF(Tabela8[[#This Row],[SETOR]]&lt;300,"GV 20",IF(Tabela8[[#This Row],[SETOR]]&lt;400,"GV 30","S/GV"))))</f>
        <v>GV 10</v>
      </c>
      <c r="E307" t="s">
        <v>123</v>
      </c>
      <c r="G307" t="str">
        <f>_xlfn.CONCAT(Tabela9[[#This Row],[Coluna1]],Tabela9[[#This Row],[Coluna2]])</f>
        <v>20-Rota</v>
      </c>
    </row>
    <row r="308" spans="1:7" x14ac:dyDescent="0.25">
      <c r="A308">
        <v>3127</v>
      </c>
      <c r="B308">
        <v>907</v>
      </c>
      <c r="C308" s="1" t="str">
        <f>IF(Tabela8[[#This Row],[SETOR]]="","",IF(Tabela8[[#This Row],[SETOR]]&lt;200,"GV 10",IF(Tabela8[[#This Row],[SETOR]]&lt;300,"GV 20",IF(Tabela8[[#This Row],[SETOR]]&lt;400,"GV 30","S/GV"))))</f>
        <v>S/GV</v>
      </c>
      <c r="G308" t="str">
        <f>_xlfn.CONCAT(Tabela9[[#This Row],[Coluna1]],Tabela9[[#This Row],[Coluna2]])</f>
        <v/>
      </c>
    </row>
    <row r="309" spans="1:7" x14ac:dyDescent="0.25">
      <c r="A309">
        <v>3137</v>
      </c>
      <c r="B309">
        <v>108</v>
      </c>
      <c r="C309" s="1" t="str">
        <f>IF(Tabela8[[#This Row],[SETOR]]="","",IF(Tabela8[[#This Row],[SETOR]]&lt;200,"GV 10",IF(Tabela8[[#This Row],[SETOR]]&lt;300,"GV 20",IF(Tabela8[[#This Row],[SETOR]]&lt;400,"GV 30","S/GV"))))</f>
        <v>GV 10</v>
      </c>
      <c r="E309" t="s">
        <v>128</v>
      </c>
      <c r="F309" t="s">
        <v>129</v>
      </c>
      <c r="G309" t="str">
        <f>_xlfn.CONCAT(Tabela9[[#This Row],[Coluna1]],Tabela9[[#This Row],[Coluna2]])</f>
        <v>15-AS(1-4)</v>
      </c>
    </row>
    <row r="310" spans="1:7" x14ac:dyDescent="0.25">
      <c r="A310">
        <v>3155</v>
      </c>
      <c r="B310">
        <v>202</v>
      </c>
      <c r="C310" s="1" t="str">
        <f>IF(Tabela8[[#This Row],[SETOR]]="","",IF(Tabela8[[#This Row],[SETOR]]&lt;200,"GV 10",IF(Tabela8[[#This Row],[SETOR]]&lt;300,"GV 20",IF(Tabela8[[#This Row],[SETOR]]&lt;400,"GV 30","S/GV"))))</f>
        <v>GV 20</v>
      </c>
      <c r="E310" t="s">
        <v>123</v>
      </c>
      <c r="G310" t="str">
        <f>_xlfn.CONCAT(Tabela9[[#This Row],[Coluna1]],Tabela9[[#This Row],[Coluna2]])</f>
        <v>20-Rota</v>
      </c>
    </row>
    <row r="311" spans="1:7" x14ac:dyDescent="0.25">
      <c r="A311">
        <v>3173</v>
      </c>
      <c r="B311">
        <v>304</v>
      </c>
      <c r="C311" s="1" t="str">
        <f>IF(Tabela8[[#This Row],[SETOR]]="","",IF(Tabela8[[#This Row],[SETOR]]&lt;200,"GV 10",IF(Tabela8[[#This Row],[SETOR]]&lt;300,"GV 20",IF(Tabela8[[#This Row],[SETOR]]&lt;400,"GV 30","S/GV"))))</f>
        <v>GV 30</v>
      </c>
      <c r="E311" t="s">
        <v>123</v>
      </c>
      <c r="G311" t="str">
        <f>_xlfn.CONCAT(Tabela9[[#This Row],[Coluna1]],Tabela9[[#This Row],[Coluna2]])</f>
        <v>20-Rota</v>
      </c>
    </row>
    <row r="312" spans="1:7" x14ac:dyDescent="0.25">
      <c r="A312">
        <v>3176</v>
      </c>
      <c r="B312">
        <v>201</v>
      </c>
      <c r="C312" s="1" t="str">
        <f>IF(Tabela8[[#This Row],[SETOR]]="","",IF(Tabela8[[#This Row],[SETOR]]&lt;200,"GV 10",IF(Tabela8[[#This Row],[SETOR]]&lt;300,"GV 20",IF(Tabela8[[#This Row],[SETOR]]&lt;400,"GV 30","S/GV"))))</f>
        <v>GV 20</v>
      </c>
      <c r="E312" t="s">
        <v>123</v>
      </c>
      <c r="G312" t="str">
        <f>_xlfn.CONCAT(Tabela9[[#This Row],[Coluna1]],Tabela9[[#This Row],[Coluna2]])</f>
        <v>20-Rota</v>
      </c>
    </row>
    <row r="313" spans="1:7" x14ac:dyDescent="0.25">
      <c r="A313">
        <v>3182</v>
      </c>
      <c r="B313">
        <v>309</v>
      </c>
      <c r="C313" s="1" t="str">
        <f>IF(Tabela8[[#This Row],[SETOR]]="","",IF(Tabela8[[#This Row],[SETOR]]&lt;200,"GV 10",IF(Tabela8[[#This Row],[SETOR]]&lt;300,"GV 20",IF(Tabela8[[#This Row],[SETOR]]&lt;400,"GV 30","S/GV"))))</f>
        <v>GV 30</v>
      </c>
      <c r="E313" t="s">
        <v>126</v>
      </c>
      <c r="F313" t="s">
        <v>127</v>
      </c>
      <c r="G313" t="str">
        <f>_xlfn.CONCAT(Tabela9[[#This Row],[Coluna1]],Tabela9[[#This Row],[Coluna2]])</f>
        <v>16-AS(5+)</v>
      </c>
    </row>
    <row r="314" spans="1:7" x14ac:dyDescent="0.25">
      <c r="A314">
        <v>3186</v>
      </c>
      <c r="B314">
        <v>208</v>
      </c>
      <c r="C314" s="1" t="str">
        <f>IF(Tabela8[[#This Row],[SETOR]]="","",IF(Tabela8[[#This Row],[SETOR]]&lt;200,"GV 10",IF(Tabela8[[#This Row],[SETOR]]&lt;300,"GV 20",IF(Tabela8[[#This Row],[SETOR]]&lt;400,"GV 30","S/GV"))))</f>
        <v>GV 20</v>
      </c>
      <c r="E314" t="s">
        <v>125</v>
      </c>
      <c r="G314" t="str">
        <f>_xlfn.CONCAT(Tabela9[[#This Row],[Coluna1]],Tabela9[[#This Row],[Coluna2]])</f>
        <v>18-TRAD</v>
      </c>
    </row>
    <row r="315" spans="1:7" x14ac:dyDescent="0.25">
      <c r="A315">
        <v>3191</v>
      </c>
      <c r="B315">
        <v>101</v>
      </c>
      <c r="C315" s="1" t="str">
        <f>IF(Tabela8[[#This Row],[SETOR]]="","",IF(Tabela8[[#This Row],[SETOR]]&lt;200,"GV 10",IF(Tabela8[[#This Row],[SETOR]]&lt;300,"GV 20",IF(Tabela8[[#This Row],[SETOR]]&lt;400,"GV 30","S/GV"))))</f>
        <v>GV 10</v>
      </c>
      <c r="E315" t="s">
        <v>125</v>
      </c>
      <c r="G315" t="str">
        <f>_xlfn.CONCAT(Tabela9[[#This Row],[Coluna1]],Tabela9[[#This Row],[Coluna2]])</f>
        <v>18-TRAD</v>
      </c>
    </row>
    <row r="316" spans="1:7" x14ac:dyDescent="0.25">
      <c r="A316">
        <v>3194</v>
      </c>
      <c r="B316">
        <v>301</v>
      </c>
      <c r="C316" s="1" t="str">
        <f>IF(Tabela8[[#This Row],[SETOR]]="","",IF(Tabela8[[#This Row],[SETOR]]&lt;200,"GV 10",IF(Tabela8[[#This Row],[SETOR]]&lt;300,"GV 20",IF(Tabela8[[#This Row],[SETOR]]&lt;400,"GV 30","S/GV"))))</f>
        <v>GV 30</v>
      </c>
      <c r="E316" t="s">
        <v>123</v>
      </c>
      <c r="G316" t="str">
        <f>_xlfn.CONCAT(Tabela9[[#This Row],[Coluna1]],Tabela9[[#This Row],[Coluna2]])</f>
        <v>20-Rota</v>
      </c>
    </row>
    <row r="317" spans="1:7" x14ac:dyDescent="0.25">
      <c r="A317">
        <v>3221</v>
      </c>
      <c r="B317">
        <v>201</v>
      </c>
      <c r="C317" s="1" t="str">
        <f>IF(Tabela8[[#This Row],[SETOR]]="","",IF(Tabela8[[#This Row],[SETOR]]&lt;200,"GV 10",IF(Tabela8[[#This Row],[SETOR]]&lt;300,"GV 20",IF(Tabela8[[#This Row],[SETOR]]&lt;400,"GV 30","S/GV"))))</f>
        <v>GV 20</v>
      </c>
      <c r="E317" t="s">
        <v>123</v>
      </c>
      <c r="G317" t="str">
        <f>_xlfn.CONCAT(Tabela9[[#This Row],[Coluna1]],Tabela9[[#This Row],[Coluna2]])</f>
        <v>20-Rota</v>
      </c>
    </row>
    <row r="318" spans="1:7" x14ac:dyDescent="0.25">
      <c r="A318">
        <v>3226</v>
      </c>
      <c r="B318">
        <v>307</v>
      </c>
      <c r="C318" s="1" t="str">
        <f>IF(Tabela8[[#This Row],[SETOR]]="","",IF(Tabela8[[#This Row],[SETOR]]&lt;200,"GV 10",IF(Tabela8[[#This Row],[SETOR]]&lt;300,"GV 20",IF(Tabela8[[#This Row],[SETOR]]&lt;400,"GV 30","S/GV"))))</f>
        <v>GV 30</v>
      </c>
      <c r="E318" t="s">
        <v>130</v>
      </c>
      <c r="G318" t="str">
        <f>_xlfn.CONCAT(Tabela9[[#This Row],[Coluna1]],Tabela9[[#This Row],[Coluna2]])</f>
        <v>21-SUB</v>
      </c>
    </row>
    <row r="319" spans="1:7" x14ac:dyDescent="0.25">
      <c r="A319">
        <v>3244</v>
      </c>
      <c r="B319">
        <v>109</v>
      </c>
      <c r="C319" s="1" t="str">
        <f>IF(Tabela8[[#This Row],[SETOR]]="","",IF(Tabela8[[#This Row],[SETOR]]&lt;200,"GV 10",IF(Tabela8[[#This Row],[SETOR]]&lt;300,"GV 20",IF(Tabela8[[#This Row],[SETOR]]&lt;400,"GV 30","S/GV"))))</f>
        <v>GV 10</v>
      </c>
      <c r="E319" t="s">
        <v>123</v>
      </c>
      <c r="G319" t="str">
        <f>_xlfn.CONCAT(Tabela9[[#This Row],[Coluna1]],Tabela9[[#This Row],[Coluna2]])</f>
        <v>20-Rota</v>
      </c>
    </row>
    <row r="320" spans="1:7" x14ac:dyDescent="0.25">
      <c r="A320">
        <v>3246</v>
      </c>
      <c r="B320">
        <v>203</v>
      </c>
      <c r="C320" s="1" t="str">
        <f>IF(Tabela8[[#This Row],[SETOR]]="","",IF(Tabela8[[#This Row],[SETOR]]&lt;200,"GV 10",IF(Tabela8[[#This Row],[SETOR]]&lt;300,"GV 20",IF(Tabela8[[#This Row],[SETOR]]&lt;400,"GV 30","S/GV"))))</f>
        <v>GV 20</v>
      </c>
      <c r="E320" t="s">
        <v>123</v>
      </c>
      <c r="G320" t="str">
        <f>_xlfn.CONCAT(Tabela9[[#This Row],[Coluna1]],Tabela9[[#This Row],[Coluna2]])</f>
        <v>20-Rota</v>
      </c>
    </row>
    <row r="321" spans="1:7" x14ac:dyDescent="0.25">
      <c r="A321">
        <v>3252</v>
      </c>
      <c r="B321">
        <v>203</v>
      </c>
      <c r="C321" s="1" t="str">
        <f>IF(Tabela8[[#This Row],[SETOR]]="","",IF(Tabela8[[#This Row],[SETOR]]&lt;200,"GV 10",IF(Tabela8[[#This Row],[SETOR]]&lt;300,"GV 20",IF(Tabela8[[#This Row],[SETOR]]&lt;400,"GV 30","S/GV"))))</f>
        <v>GV 20</v>
      </c>
      <c r="E321" t="s">
        <v>123</v>
      </c>
      <c r="G321" t="str">
        <f>_xlfn.CONCAT(Tabela9[[#This Row],[Coluna1]],Tabela9[[#This Row],[Coluna2]])</f>
        <v>20-Rota</v>
      </c>
    </row>
    <row r="322" spans="1:7" x14ac:dyDescent="0.25">
      <c r="A322">
        <v>3258</v>
      </c>
      <c r="B322">
        <v>202</v>
      </c>
      <c r="C322" s="1" t="str">
        <f>IF(Tabela8[[#This Row],[SETOR]]="","",IF(Tabela8[[#This Row],[SETOR]]&lt;200,"GV 10",IF(Tabela8[[#This Row],[SETOR]]&lt;300,"GV 20",IF(Tabela8[[#This Row],[SETOR]]&lt;400,"GV 30","S/GV"))))</f>
        <v>GV 20</v>
      </c>
      <c r="E322" t="s">
        <v>123</v>
      </c>
      <c r="G322" t="str">
        <f>_xlfn.CONCAT(Tabela9[[#This Row],[Coluna1]],Tabela9[[#This Row],[Coluna2]])</f>
        <v>20-Rota</v>
      </c>
    </row>
    <row r="323" spans="1:7" x14ac:dyDescent="0.25">
      <c r="A323">
        <v>3259</v>
      </c>
      <c r="B323">
        <v>203</v>
      </c>
      <c r="C323" s="1" t="str">
        <f>IF(Tabela8[[#This Row],[SETOR]]="","",IF(Tabela8[[#This Row],[SETOR]]&lt;200,"GV 10",IF(Tabela8[[#This Row],[SETOR]]&lt;300,"GV 20",IF(Tabela8[[#This Row],[SETOR]]&lt;400,"GV 30","S/GV"))))</f>
        <v>GV 20</v>
      </c>
      <c r="E323" t="s">
        <v>123</v>
      </c>
      <c r="G323" t="str">
        <f>_xlfn.CONCAT(Tabela9[[#This Row],[Coluna1]],Tabela9[[#This Row],[Coluna2]])</f>
        <v>20-Rota</v>
      </c>
    </row>
    <row r="324" spans="1:7" x14ac:dyDescent="0.25">
      <c r="A324">
        <v>3260</v>
      </c>
      <c r="B324">
        <v>206</v>
      </c>
      <c r="C324" s="1" t="str">
        <f>IF(Tabela8[[#This Row],[SETOR]]="","",IF(Tabela8[[#This Row],[SETOR]]&lt;200,"GV 10",IF(Tabela8[[#This Row],[SETOR]]&lt;300,"GV 20",IF(Tabela8[[#This Row],[SETOR]]&lt;400,"GV 30","S/GV"))))</f>
        <v>GV 20</v>
      </c>
      <c r="E324" t="s">
        <v>123</v>
      </c>
      <c r="G324" t="str">
        <f>_xlfn.CONCAT(Tabela9[[#This Row],[Coluna1]],Tabela9[[#This Row],[Coluna2]])</f>
        <v>20-Rota</v>
      </c>
    </row>
    <row r="325" spans="1:7" x14ac:dyDescent="0.25">
      <c r="A325">
        <v>3281</v>
      </c>
      <c r="B325">
        <v>203</v>
      </c>
      <c r="C325" s="1" t="str">
        <f>IF(Tabela8[[#This Row],[SETOR]]="","",IF(Tabela8[[#This Row],[SETOR]]&lt;200,"GV 10",IF(Tabela8[[#This Row],[SETOR]]&lt;300,"GV 20",IF(Tabela8[[#This Row],[SETOR]]&lt;400,"GV 30","S/GV"))))</f>
        <v>GV 20</v>
      </c>
      <c r="E325" t="s">
        <v>123</v>
      </c>
      <c r="G325" t="str">
        <f>_xlfn.CONCAT(Tabela9[[#This Row],[Coluna1]],Tabela9[[#This Row],[Coluna2]])</f>
        <v>20-Rota</v>
      </c>
    </row>
    <row r="326" spans="1:7" x14ac:dyDescent="0.25">
      <c r="A326">
        <v>3283</v>
      </c>
      <c r="B326">
        <v>208</v>
      </c>
      <c r="C326" s="1" t="str">
        <f>IF(Tabela8[[#This Row],[SETOR]]="","",IF(Tabela8[[#This Row],[SETOR]]&lt;200,"GV 10",IF(Tabela8[[#This Row],[SETOR]]&lt;300,"GV 20",IF(Tabela8[[#This Row],[SETOR]]&lt;400,"GV 30","S/GV"))))</f>
        <v>GV 20</v>
      </c>
      <c r="E326" t="s">
        <v>126</v>
      </c>
      <c r="F326" t="s">
        <v>127</v>
      </c>
      <c r="G326" t="str">
        <f>_xlfn.CONCAT(Tabela9[[#This Row],[Coluna1]],Tabela9[[#This Row],[Coluna2]])</f>
        <v>16-AS(5+)</v>
      </c>
    </row>
    <row r="327" spans="1:7" x14ac:dyDescent="0.25">
      <c r="A327">
        <v>3293</v>
      </c>
      <c r="B327">
        <v>203</v>
      </c>
      <c r="C327" s="1" t="str">
        <f>IF(Tabela8[[#This Row],[SETOR]]="","",IF(Tabela8[[#This Row],[SETOR]]&lt;200,"GV 10",IF(Tabela8[[#This Row],[SETOR]]&lt;300,"GV 20",IF(Tabela8[[#This Row],[SETOR]]&lt;400,"GV 30","S/GV"))))</f>
        <v>GV 20</v>
      </c>
      <c r="E327" t="s">
        <v>123</v>
      </c>
      <c r="G327" t="str">
        <f>_xlfn.CONCAT(Tabela9[[#This Row],[Coluna1]],Tabela9[[#This Row],[Coluna2]])</f>
        <v>20-Rota</v>
      </c>
    </row>
    <row r="328" spans="1:7" x14ac:dyDescent="0.25">
      <c r="A328">
        <v>3294</v>
      </c>
      <c r="B328">
        <v>202</v>
      </c>
      <c r="C328" s="1" t="str">
        <f>IF(Tabela8[[#This Row],[SETOR]]="","",IF(Tabela8[[#This Row],[SETOR]]&lt;200,"GV 10",IF(Tabela8[[#This Row],[SETOR]]&lt;300,"GV 20",IF(Tabela8[[#This Row],[SETOR]]&lt;400,"GV 30","S/GV"))))</f>
        <v>GV 20</v>
      </c>
      <c r="E328" t="s">
        <v>123</v>
      </c>
      <c r="G328" t="str">
        <f>_xlfn.CONCAT(Tabela9[[#This Row],[Coluna1]],Tabela9[[#This Row],[Coluna2]])</f>
        <v>20-Rota</v>
      </c>
    </row>
    <row r="329" spans="1:7" x14ac:dyDescent="0.25">
      <c r="A329">
        <v>3301</v>
      </c>
      <c r="B329">
        <v>906</v>
      </c>
      <c r="C329" s="1" t="str">
        <f>IF(Tabela8[[#This Row],[SETOR]]="","",IF(Tabela8[[#This Row],[SETOR]]&lt;200,"GV 10",IF(Tabela8[[#This Row],[SETOR]]&lt;300,"GV 20",IF(Tabela8[[#This Row],[SETOR]]&lt;400,"GV 30","S/GV"))))</f>
        <v>S/GV</v>
      </c>
      <c r="G329" t="str">
        <f>_xlfn.CONCAT(Tabela9[[#This Row],[Coluna1]],Tabela9[[#This Row],[Coluna2]])</f>
        <v/>
      </c>
    </row>
    <row r="330" spans="1:7" x14ac:dyDescent="0.25">
      <c r="A330">
        <v>3311</v>
      </c>
      <c r="B330">
        <v>205</v>
      </c>
      <c r="C330" s="1" t="str">
        <f>IF(Tabela8[[#This Row],[SETOR]]="","",IF(Tabela8[[#This Row],[SETOR]]&lt;200,"GV 10",IF(Tabela8[[#This Row],[SETOR]]&lt;300,"GV 20",IF(Tabela8[[#This Row],[SETOR]]&lt;400,"GV 30","S/GV"))))</f>
        <v>GV 20</v>
      </c>
      <c r="E330" t="s">
        <v>123</v>
      </c>
      <c r="G330" t="str">
        <f>_xlfn.CONCAT(Tabela9[[#This Row],[Coluna1]],Tabela9[[#This Row],[Coluna2]])</f>
        <v>20-Rota</v>
      </c>
    </row>
    <row r="331" spans="1:7" x14ac:dyDescent="0.25">
      <c r="A331">
        <v>3313</v>
      </c>
      <c r="B331">
        <v>206</v>
      </c>
      <c r="C331" s="1" t="str">
        <f>IF(Tabela8[[#This Row],[SETOR]]="","",IF(Tabela8[[#This Row],[SETOR]]&lt;200,"GV 10",IF(Tabela8[[#This Row],[SETOR]]&lt;300,"GV 20",IF(Tabela8[[#This Row],[SETOR]]&lt;400,"GV 30","S/GV"))))</f>
        <v>GV 20</v>
      </c>
      <c r="E331" t="s">
        <v>125</v>
      </c>
      <c r="G331" t="str">
        <f>_xlfn.CONCAT(Tabela9[[#This Row],[Coluna1]],Tabela9[[#This Row],[Coluna2]])</f>
        <v>18-TRAD</v>
      </c>
    </row>
    <row r="332" spans="1:7" x14ac:dyDescent="0.25">
      <c r="A332">
        <v>3318</v>
      </c>
      <c r="B332">
        <v>206</v>
      </c>
      <c r="C332" s="1" t="str">
        <f>IF(Tabela8[[#This Row],[SETOR]]="","",IF(Tabela8[[#This Row],[SETOR]]&lt;200,"GV 10",IF(Tabela8[[#This Row],[SETOR]]&lt;300,"GV 20",IF(Tabela8[[#This Row],[SETOR]]&lt;400,"GV 30","S/GV"))))</f>
        <v>GV 20</v>
      </c>
      <c r="E332" t="s">
        <v>125</v>
      </c>
      <c r="G332" t="str">
        <f>_xlfn.CONCAT(Tabela9[[#This Row],[Coluna1]],Tabela9[[#This Row],[Coluna2]])</f>
        <v>18-TRAD</v>
      </c>
    </row>
    <row r="333" spans="1:7" x14ac:dyDescent="0.25">
      <c r="A333">
        <v>3319</v>
      </c>
      <c r="B333">
        <v>207</v>
      </c>
      <c r="C333" s="1" t="str">
        <f>IF(Tabela8[[#This Row],[SETOR]]="","",IF(Tabela8[[#This Row],[SETOR]]&lt;200,"GV 10",IF(Tabela8[[#This Row],[SETOR]]&lt;300,"GV 20",IF(Tabela8[[#This Row],[SETOR]]&lt;400,"GV 30","S/GV"))))</f>
        <v>GV 20</v>
      </c>
      <c r="E333" t="s">
        <v>125</v>
      </c>
      <c r="G333" t="str">
        <f>_xlfn.CONCAT(Tabela9[[#This Row],[Coluna1]],Tabela9[[#This Row],[Coluna2]])</f>
        <v>18-TRAD</v>
      </c>
    </row>
    <row r="334" spans="1:7" x14ac:dyDescent="0.25">
      <c r="A334">
        <v>3326</v>
      </c>
      <c r="B334">
        <v>202</v>
      </c>
      <c r="C334" s="1" t="str">
        <f>IF(Tabela8[[#This Row],[SETOR]]="","",IF(Tabela8[[#This Row],[SETOR]]&lt;200,"GV 10",IF(Tabela8[[#This Row],[SETOR]]&lt;300,"GV 20",IF(Tabela8[[#This Row],[SETOR]]&lt;400,"GV 30","S/GV"))))</f>
        <v>GV 20</v>
      </c>
      <c r="E334" t="s">
        <v>123</v>
      </c>
      <c r="G334" t="str">
        <f>_xlfn.CONCAT(Tabela9[[#This Row],[Coluna1]],Tabela9[[#This Row],[Coluna2]])</f>
        <v>20-Rota</v>
      </c>
    </row>
    <row r="335" spans="1:7" x14ac:dyDescent="0.25">
      <c r="A335">
        <v>3328</v>
      </c>
      <c r="B335">
        <v>203</v>
      </c>
      <c r="C335" s="1" t="str">
        <f>IF(Tabela8[[#This Row],[SETOR]]="","",IF(Tabela8[[#This Row],[SETOR]]&lt;200,"GV 10",IF(Tabela8[[#This Row],[SETOR]]&lt;300,"GV 20",IF(Tabela8[[#This Row],[SETOR]]&lt;400,"GV 30","S/GV"))))</f>
        <v>GV 20</v>
      </c>
      <c r="E335" t="s">
        <v>123</v>
      </c>
      <c r="G335" t="str">
        <f>_xlfn.CONCAT(Tabela9[[#This Row],[Coluna1]],Tabela9[[#This Row],[Coluna2]])</f>
        <v>20-Rota</v>
      </c>
    </row>
    <row r="336" spans="1:7" x14ac:dyDescent="0.25">
      <c r="A336">
        <v>3330</v>
      </c>
      <c r="B336">
        <v>208</v>
      </c>
      <c r="C336" s="1" t="str">
        <f>IF(Tabela8[[#This Row],[SETOR]]="","",IF(Tabela8[[#This Row],[SETOR]]&lt;200,"GV 10",IF(Tabela8[[#This Row],[SETOR]]&lt;300,"GV 20",IF(Tabela8[[#This Row],[SETOR]]&lt;400,"GV 30","S/GV"))))</f>
        <v>GV 20</v>
      </c>
      <c r="E336" t="s">
        <v>126</v>
      </c>
      <c r="F336" t="s">
        <v>127</v>
      </c>
      <c r="G336" t="str">
        <f>_xlfn.CONCAT(Tabela9[[#This Row],[Coluna1]],Tabela9[[#This Row],[Coluna2]])</f>
        <v>16-AS(5+)</v>
      </c>
    </row>
    <row r="337" spans="1:7" x14ac:dyDescent="0.25">
      <c r="A337">
        <v>3333</v>
      </c>
      <c r="B337">
        <v>208</v>
      </c>
      <c r="C337" s="1" t="str">
        <f>IF(Tabela8[[#This Row],[SETOR]]="","",IF(Tabela8[[#This Row],[SETOR]]&lt;200,"GV 10",IF(Tabela8[[#This Row],[SETOR]]&lt;300,"GV 20",IF(Tabela8[[#This Row],[SETOR]]&lt;400,"GV 30","S/GV"))))</f>
        <v>GV 20</v>
      </c>
      <c r="E337" t="s">
        <v>126</v>
      </c>
      <c r="F337" t="s">
        <v>127</v>
      </c>
      <c r="G337" t="str">
        <f>_xlfn.CONCAT(Tabela9[[#This Row],[Coluna1]],Tabela9[[#This Row],[Coluna2]])</f>
        <v>16-AS(5+)</v>
      </c>
    </row>
    <row r="338" spans="1:7" x14ac:dyDescent="0.25">
      <c r="A338">
        <v>3334</v>
      </c>
      <c r="B338">
        <v>208</v>
      </c>
      <c r="C338" s="1" t="str">
        <f>IF(Tabela8[[#This Row],[SETOR]]="","",IF(Tabela8[[#This Row],[SETOR]]&lt;200,"GV 10",IF(Tabela8[[#This Row],[SETOR]]&lt;300,"GV 20",IF(Tabela8[[#This Row],[SETOR]]&lt;400,"GV 30","S/GV"))))</f>
        <v>GV 20</v>
      </c>
      <c r="E338" t="s">
        <v>128</v>
      </c>
      <c r="F338" t="s">
        <v>129</v>
      </c>
      <c r="G338" t="str">
        <f>_xlfn.CONCAT(Tabela9[[#This Row],[Coluna1]],Tabela9[[#This Row],[Coluna2]])</f>
        <v>15-AS(1-4)</v>
      </c>
    </row>
    <row r="339" spans="1:7" x14ac:dyDescent="0.25">
      <c r="A339">
        <v>3336</v>
      </c>
      <c r="B339">
        <v>208</v>
      </c>
      <c r="C339" s="1" t="str">
        <f>IF(Tabela8[[#This Row],[SETOR]]="","",IF(Tabela8[[#This Row],[SETOR]]&lt;200,"GV 10",IF(Tabela8[[#This Row],[SETOR]]&lt;300,"GV 20",IF(Tabela8[[#This Row],[SETOR]]&lt;400,"GV 30","S/GV"))))</f>
        <v>GV 20</v>
      </c>
      <c r="E339" t="s">
        <v>126</v>
      </c>
      <c r="F339" t="s">
        <v>127</v>
      </c>
      <c r="G339" t="str">
        <f>_xlfn.CONCAT(Tabela9[[#This Row],[Coluna1]],Tabela9[[#This Row],[Coluna2]])</f>
        <v>16-AS(5+)</v>
      </c>
    </row>
    <row r="340" spans="1:7" x14ac:dyDescent="0.25">
      <c r="A340">
        <v>3337</v>
      </c>
      <c r="B340">
        <v>208</v>
      </c>
      <c r="C340" s="1" t="str">
        <f>IF(Tabela8[[#This Row],[SETOR]]="","",IF(Tabela8[[#This Row],[SETOR]]&lt;200,"GV 10",IF(Tabela8[[#This Row],[SETOR]]&lt;300,"GV 20",IF(Tabela8[[#This Row],[SETOR]]&lt;400,"GV 30","S/GV"))))</f>
        <v>GV 20</v>
      </c>
      <c r="E340" t="s">
        <v>126</v>
      </c>
      <c r="F340" t="s">
        <v>127</v>
      </c>
      <c r="G340" t="str">
        <f>_xlfn.CONCAT(Tabela9[[#This Row],[Coluna1]],Tabela9[[#This Row],[Coluna2]])</f>
        <v>16-AS(5+)</v>
      </c>
    </row>
    <row r="341" spans="1:7" x14ac:dyDescent="0.25">
      <c r="A341">
        <v>3350</v>
      </c>
      <c r="B341">
        <v>906</v>
      </c>
      <c r="C341" s="1" t="str">
        <f>IF(Tabela8[[#This Row],[SETOR]]="","",IF(Tabela8[[#This Row],[SETOR]]&lt;200,"GV 10",IF(Tabela8[[#This Row],[SETOR]]&lt;300,"GV 20",IF(Tabela8[[#This Row],[SETOR]]&lt;400,"GV 30","S/GV"))))</f>
        <v>S/GV</v>
      </c>
      <c r="E341" t="s">
        <v>123</v>
      </c>
      <c r="G341" t="str">
        <f>_xlfn.CONCAT(Tabela9[[#This Row],[Coluna1]],Tabela9[[#This Row],[Coluna2]])</f>
        <v>20-Rota</v>
      </c>
    </row>
    <row r="342" spans="1:7" x14ac:dyDescent="0.25">
      <c r="A342">
        <v>3353</v>
      </c>
      <c r="B342">
        <v>204</v>
      </c>
      <c r="C342" s="1" t="str">
        <f>IF(Tabela8[[#This Row],[SETOR]]="","",IF(Tabela8[[#This Row],[SETOR]]&lt;200,"GV 10",IF(Tabela8[[#This Row],[SETOR]]&lt;300,"GV 20",IF(Tabela8[[#This Row],[SETOR]]&lt;400,"GV 30","S/GV"))))</f>
        <v>GV 20</v>
      </c>
      <c r="E342" t="s">
        <v>123</v>
      </c>
      <c r="G342" t="str">
        <f>_xlfn.CONCAT(Tabela9[[#This Row],[Coluna1]],Tabela9[[#This Row],[Coluna2]])</f>
        <v>20-Rota</v>
      </c>
    </row>
    <row r="343" spans="1:7" x14ac:dyDescent="0.25">
      <c r="A343">
        <v>3354</v>
      </c>
      <c r="B343">
        <v>308</v>
      </c>
      <c r="C343" s="1" t="str">
        <f>IF(Tabela8[[#This Row],[SETOR]]="","",IF(Tabela8[[#This Row],[SETOR]]&lt;200,"GV 10",IF(Tabela8[[#This Row],[SETOR]]&lt;300,"GV 20",IF(Tabela8[[#This Row],[SETOR]]&lt;400,"GV 30","S/GV"))))</f>
        <v>GV 30</v>
      </c>
      <c r="E343" t="s">
        <v>128</v>
      </c>
      <c r="F343" t="s">
        <v>129</v>
      </c>
      <c r="G343" t="str">
        <f>_xlfn.CONCAT(Tabela9[[#This Row],[Coluna1]],Tabela9[[#This Row],[Coluna2]])</f>
        <v>15-AS(1-4)</v>
      </c>
    </row>
    <row r="344" spans="1:7" x14ac:dyDescent="0.25">
      <c r="A344">
        <v>3356</v>
      </c>
      <c r="B344">
        <v>301</v>
      </c>
      <c r="C344" s="1" t="str">
        <f>IF(Tabela8[[#This Row],[SETOR]]="","",IF(Tabela8[[#This Row],[SETOR]]&lt;200,"GV 10",IF(Tabela8[[#This Row],[SETOR]]&lt;300,"GV 20",IF(Tabela8[[#This Row],[SETOR]]&lt;400,"GV 30","S/GV"))))</f>
        <v>GV 30</v>
      </c>
      <c r="E344" t="s">
        <v>123</v>
      </c>
      <c r="G344" t="str">
        <f>_xlfn.CONCAT(Tabela9[[#This Row],[Coluna1]],Tabela9[[#This Row],[Coluna2]])</f>
        <v>20-Rota</v>
      </c>
    </row>
    <row r="345" spans="1:7" x14ac:dyDescent="0.25">
      <c r="A345">
        <v>3361</v>
      </c>
      <c r="B345">
        <v>303</v>
      </c>
      <c r="C345" s="1" t="str">
        <f>IF(Tabela8[[#This Row],[SETOR]]="","",IF(Tabela8[[#This Row],[SETOR]]&lt;200,"GV 10",IF(Tabela8[[#This Row],[SETOR]]&lt;300,"GV 20",IF(Tabela8[[#This Row],[SETOR]]&lt;400,"GV 30","S/GV"))))</f>
        <v>GV 30</v>
      </c>
      <c r="E345" t="s">
        <v>123</v>
      </c>
      <c r="G345" t="str">
        <f>_xlfn.CONCAT(Tabela9[[#This Row],[Coluna1]],Tabela9[[#This Row],[Coluna2]])</f>
        <v>20-Rota</v>
      </c>
    </row>
    <row r="346" spans="1:7" x14ac:dyDescent="0.25">
      <c r="A346">
        <v>3364</v>
      </c>
      <c r="B346">
        <v>102</v>
      </c>
      <c r="C346" s="1" t="str">
        <f>IF(Tabela8[[#This Row],[SETOR]]="","",IF(Tabela8[[#This Row],[SETOR]]&lt;200,"GV 10",IF(Tabela8[[#This Row],[SETOR]]&lt;300,"GV 20",IF(Tabela8[[#This Row],[SETOR]]&lt;400,"GV 30","S/GV"))))</f>
        <v>GV 10</v>
      </c>
      <c r="E346" t="s">
        <v>123</v>
      </c>
      <c r="G346" t="str">
        <f>_xlfn.CONCAT(Tabela9[[#This Row],[Coluna1]],Tabela9[[#This Row],[Coluna2]])</f>
        <v>20-Rota</v>
      </c>
    </row>
    <row r="347" spans="1:7" x14ac:dyDescent="0.25">
      <c r="A347">
        <v>3369</v>
      </c>
      <c r="B347">
        <v>906</v>
      </c>
      <c r="C347" s="1" t="str">
        <f>IF(Tabela8[[#This Row],[SETOR]]="","",IF(Tabela8[[#This Row],[SETOR]]&lt;200,"GV 10",IF(Tabela8[[#This Row],[SETOR]]&lt;300,"GV 20",IF(Tabela8[[#This Row],[SETOR]]&lt;400,"GV 30","S/GV"))))</f>
        <v>S/GV</v>
      </c>
      <c r="G347" t="str">
        <f>_xlfn.CONCAT(Tabela9[[#This Row],[Coluna1]],Tabela9[[#This Row],[Coluna2]])</f>
        <v/>
      </c>
    </row>
    <row r="348" spans="1:7" x14ac:dyDescent="0.25">
      <c r="A348">
        <v>3379</v>
      </c>
      <c r="B348">
        <v>107</v>
      </c>
      <c r="C348" s="1" t="str">
        <f>IF(Tabela8[[#This Row],[SETOR]]="","",IF(Tabela8[[#This Row],[SETOR]]&lt;200,"GV 10",IF(Tabela8[[#This Row],[SETOR]]&lt;300,"GV 20",IF(Tabela8[[#This Row],[SETOR]]&lt;400,"GV 30","S/GV"))))</f>
        <v>GV 10</v>
      </c>
      <c r="E348" t="s">
        <v>125</v>
      </c>
      <c r="G348" t="str">
        <f>_xlfn.CONCAT(Tabela9[[#This Row],[Coluna1]],Tabela9[[#This Row],[Coluna2]])</f>
        <v>18-TRAD</v>
      </c>
    </row>
    <row r="349" spans="1:7" x14ac:dyDescent="0.25">
      <c r="A349">
        <v>3389</v>
      </c>
      <c r="B349">
        <v>304</v>
      </c>
      <c r="C349" s="1" t="str">
        <f>IF(Tabela8[[#This Row],[SETOR]]="","",IF(Tabela8[[#This Row],[SETOR]]&lt;200,"GV 10",IF(Tabela8[[#This Row],[SETOR]]&lt;300,"GV 20",IF(Tabela8[[#This Row],[SETOR]]&lt;400,"GV 30","S/GV"))))</f>
        <v>GV 30</v>
      </c>
      <c r="E349" t="s">
        <v>123</v>
      </c>
      <c r="G349" t="str">
        <f>_xlfn.CONCAT(Tabela9[[#This Row],[Coluna1]],Tabela9[[#This Row],[Coluna2]])</f>
        <v>20-Rota</v>
      </c>
    </row>
    <row r="350" spans="1:7" x14ac:dyDescent="0.25">
      <c r="A350">
        <v>3398</v>
      </c>
      <c r="B350">
        <v>103</v>
      </c>
      <c r="C350" s="1" t="str">
        <f>IF(Tabela8[[#This Row],[SETOR]]="","",IF(Tabela8[[#This Row],[SETOR]]&lt;200,"GV 10",IF(Tabela8[[#This Row],[SETOR]]&lt;300,"GV 20",IF(Tabela8[[#This Row],[SETOR]]&lt;400,"GV 30","S/GV"))))</f>
        <v>GV 10</v>
      </c>
      <c r="E350" t="s">
        <v>123</v>
      </c>
      <c r="G350" t="str">
        <f>_xlfn.CONCAT(Tabela9[[#This Row],[Coluna1]],Tabela9[[#This Row],[Coluna2]])</f>
        <v>20-Rota</v>
      </c>
    </row>
    <row r="351" spans="1:7" x14ac:dyDescent="0.25">
      <c r="A351">
        <v>3402</v>
      </c>
      <c r="B351">
        <v>104</v>
      </c>
      <c r="C351" s="1" t="str">
        <f>IF(Tabela8[[#This Row],[SETOR]]="","",IF(Tabela8[[#This Row],[SETOR]]&lt;200,"GV 10",IF(Tabela8[[#This Row],[SETOR]]&lt;300,"GV 20",IF(Tabela8[[#This Row],[SETOR]]&lt;400,"GV 30","S/GV"))))</f>
        <v>GV 10</v>
      </c>
      <c r="E351" t="s">
        <v>123</v>
      </c>
      <c r="G351" t="str">
        <f>_xlfn.CONCAT(Tabela9[[#This Row],[Coluna1]],Tabela9[[#This Row],[Coluna2]])</f>
        <v>20-Rota</v>
      </c>
    </row>
    <row r="352" spans="1:7" x14ac:dyDescent="0.25">
      <c r="A352">
        <v>3405</v>
      </c>
      <c r="B352">
        <v>108</v>
      </c>
      <c r="C352" s="1" t="str">
        <f>IF(Tabela8[[#This Row],[SETOR]]="","",IF(Tabela8[[#This Row],[SETOR]]&lt;200,"GV 10",IF(Tabela8[[#This Row],[SETOR]]&lt;300,"GV 20",IF(Tabela8[[#This Row],[SETOR]]&lt;400,"GV 30","S/GV"))))</f>
        <v>GV 10</v>
      </c>
      <c r="E352" t="s">
        <v>128</v>
      </c>
      <c r="F352" t="s">
        <v>129</v>
      </c>
      <c r="G352" t="str">
        <f>_xlfn.CONCAT(Tabela9[[#This Row],[Coluna1]],Tabela9[[#This Row],[Coluna2]])</f>
        <v>15-AS(1-4)</v>
      </c>
    </row>
    <row r="353" spans="1:7" x14ac:dyDescent="0.25">
      <c r="A353">
        <v>3406</v>
      </c>
      <c r="B353">
        <v>906</v>
      </c>
      <c r="C353" s="1" t="str">
        <f>IF(Tabela8[[#This Row],[SETOR]]="","",IF(Tabela8[[#This Row],[SETOR]]&lt;200,"GV 10",IF(Tabela8[[#This Row],[SETOR]]&lt;300,"GV 20",IF(Tabela8[[#This Row],[SETOR]]&lt;400,"GV 30","S/GV"))))</f>
        <v>S/GV</v>
      </c>
      <c r="G353" t="str">
        <f>_xlfn.CONCAT(Tabela9[[#This Row],[Coluna1]],Tabela9[[#This Row],[Coluna2]])</f>
        <v/>
      </c>
    </row>
    <row r="354" spans="1:7" x14ac:dyDescent="0.25">
      <c r="A354">
        <v>3421</v>
      </c>
      <c r="B354">
        <v>208</v>
      </c>
      <c r="C354" s="1" t="str">
        <f>IF(Tabela8[[#This Row],[SETOR]]="","",IF(Tabela8[[#This Row],[SETOR]]&lt;200,"GV 10",IF(Tabela8[[#This Row],[SETOR]]&lt;300,"GV 20",IF(Tabela8[[#This Row],[SETOR]]&lt;400,"GV 30","S/GV"))))</f>
        <v>GV 20</v>
      </c>
      <c r="E354" t="s">
        <v>126</v>
      </c>
      <c r="F354" t="s">
        <v>127</v>
      </c>
      <c r="G354" t="str">
        <f>_xlfn.CONCAT(Tabela9[[#This Row],[Coluna1]],Tabela9[[#This Row],[Coluna2]])</f>
        <v>16-AS(5+)</v>
      </c>
    </row>
    <row r="355" spans="1:7" x14ac:dyDescent="0.25">
      <c r="A355">
        <v>3422</v>
      </c>
      <c r="B355">
        <v>203</v>
      </c>
      <c r="C355" s="1" t="str">
        <f>IF(Tabela8[[#This Row],[SETOR]]="","",IF(Tabela8[[#This Row],[SETOR]]&lt;200,"GV 10",IF(Tabela8[[#This Row],[SETOR]]&lt;300,"GV 20",IF(Tabela8[[#This Row],[SETOR]]&lt;400,"GV 30","S/GV"))))</f>
        <v>GV 20</v>
      </c>
      <c r="E355" t="s">
        <v>123</v>
      </c>
      <c r="G355" t="str">
        <f>_xlfn.CONCAT(Tabela9[[#This Row],[Coluna1]],Tabela9[[#This Row],[Coluna2]])</f>
        <v>20-Rota</v>
      </c>
    </row>
    <row r="356" spans="1:7" x14ac:dyDescent="0.25">
      <c r="A356">
        <v>3425</v>
      </c>
      <c r="B356">
        <v>306</v>
      </c>
      <c r="C356" s="1" t="str">
        <f>IF(Tabela8[[#This Row],[SETOR]]="","",IF(Tabela8[[#This Row],[SETOR]]&lt;200,"GV 10",IF(Tabela8[[#This Row],[SETOR]]&lt;300,"GV 20",IF(Tabela8[[#This Row],[SETOR]]&lt;400,"GV 30","S/GV"))))</f>
        <v>GV 30</v>
      </c>
      <c r="E356" t="s">
        <v>125</v>
      </c>
      <c r="G356" t="str">
        <f>_xlfn.CONCAT(Tabela9[[#This Row],[Coluna1]],Tabela9[[#This Row],[Coluna2]])</f>
        <v>18-TRAD</v>
      </c>
    </row>
    <row r="357" spans="1:7" x14ac:dyDescent="0.25">
      <c r="A357">
        <v>3426</v>
      </c>
      <c r="B357">
        <v>309</v>
      </c>
      <c r="C357" s="1" t="str">
        <f>IF(Tabela8[[#This Row],[SETOR]]="","",IF(Tabela8[[#This Row],[SETOR]]&lt;200,"GV 10",IF(Tabela8[[#This Row],[SETOR]]&lt;300,"GV 20",IF(Tabela8[[#This Row],[SETOR]]&lt;400,"GV 30","S/GV"))))</f>
        <v>GV 30</v>
      </c>
      <c r="E357" t="s">
        <v>126</v>
      </c>
      <c r="F357" t="s">
        <v>127</v>
      </c>
      <c r="G357" t="str">
        <f>_xlfn.CONCAT(Tabela9[[#This Row],[Coluna1]],Tabela9[[#This Row],[Coluna2]])</f>
        <v>16-AS(5+)</v>
      </c>
    </row>
    <row r="358" spans="1:7" x14ac:dyDescent="0.25">
      <c r="A358">
        <v>3428</v>
      </c>
      <c r="B358">
        <v>906</v>
      </c>
      <c r="C358" s="1" t="str">
        <f>IF(Tabela8[[#This Row],[SETOR]]="","",IF(Tabela8[[#This Row],[SETOR]]&lt;200,"GV 10",IF(Tabela8[[#This Row],[SETOR]]&lt;300,"GV 20",IF(Tabela8[[#This Row],[SETOR]]&lt;400,"GV 30","S/GV"))))</f>
        <v>S/GV</v>
      </c>
      <c r="G358" t="str">
        <f>_xlfn.CONCAT(Tabela9[[#This Row],[Coluna1]],Tabela9[[#This Row],[Coluna2]])</f>
        <v/>
      </c>
    </row>
    <row r="359" spans="1:7" x14ac:dyDescent="0.25">
      <c r="A359">
        <v>3429</v>
      </c>
      <c r="B359">
        <v>207</v>
      </c>
      <c r="C359" s="1" t="str">
        <f>IF(Tabela8[[#This Row],[SETOR]]="","",IF(Tabela8[[#This Row],[SETOR]]&lt;200,"GV 10",IF(Tabela8[[#This Row],[SETOR]]&lt;300,"GV 20",IF(Tabela8[[#This Row],[SETOR]]&lt;400,"GV 30","S/GV"))))</f>
        <v>GV 20</v>
      </c>
      <c r="E359" t="s">
        <v>130</v>
      </c>
      <c r="G359" t="str">
        <f>_xlfn.CONCAT(Tabela9[[#This Row],[Coluna1]],Tabela9[[#This Row],[Coluna2]])</f>
        <v>21-SUB</v>
      </c>
    </row>
    <row r="360" spans="1:7" x14ac:dyDescent="0.25">
      <c r="A360">
        <v>3452</v>
      </c>
      <c r="B360">
        <v>202</v>
      </c>
      <c r="C360" s="1" t="str">
        <f>IF(Tabela8[[#This Row],[SETOR]]="","",IF(Tabela8[[#This Row],[SETOR]]&lt;200,"GV 10",IF(Tabela8[[#This Row],[SETOR]]&lt;300,"GV 20",IF(Tabela8[[#This Row],[SETOR]]&lt;400,"GV 30","S/GV"))))</f>
        <v>GV 20</v>
      </c>
      <c r="E360" t="s">
        <v>123</v>
      </c>
      <c r="G360" t="str">
        <f>_xlfn.CONCAT(Tabela9[[#This Row],[Coluna1]],Tabela9[[#This Row],[Coluna2]])</f>
        <v>20-Rota</v>
      </c>
    </row>
    <row r="361" spans="1:7" x14ac:dyDescent="0.25">
      <c r="A361">
        <v>3473</v>
      </c>
      <c r="B361">
        <v>205</v>
      </c>
      <c r="C361" s="1" t="str">
        <f>IF(Tabela8[[#This Row],[SETOR]]="","",IF(Tabela8[[#This Row],[SETOR]]&lt;200,"GV 10",IF(Tabela8[[#This Row],[SETOR]]&lt;300,"GV 20",IF(Tabela8[[#This Row],[SETOR]]&lt;400,"GV 30","S/GV"))))</f>
        <v>GV 20</v>
      </c>
      <c r="E361" t="s">
        <v>123</v>
      </c>
      <c r="G361" t="str">
        <f>_xlfn.CONCAT(Tabela9[[#This Row],[Coluna1]],Tabela9[[#This Row],[Coluna2]])</f>
        <v>20-Rota</v>
      </c>
    </row>
    <row r="362" spans="1:7" x14ac:dyDescent="0.25">
      <c r="A362">
        <v>3478</v>
      </c>
      <c r="B362">
        <v>205</v>
      </c>
      <c r="C362" s="1" t="str">
        <f>IF(Tabela8[[#This Row],[SETOR]]="","",IF(Tabela8[[#This Row],[SETOR]]&lt;200,"GV 10",IF(Tabela8[[#This Row],[SETOR]]&lt;300,"GV 20",IF(Tabela8[[#This Row],[SETOR]]&lt;400,"GV 30","S/GV"))))</f>
        <v>GV 20</v>
      </c>
      <c r="E362" t="s">
        <v>123</v>
      </c>
      <c r="G362" t="str">
        <f>_xlfn.CONCAT(Tabela9[[#This Row],[Coluna1]],Tabela9[[#This Row],[Coluna2]])</f>
        <v>20-Rota</v>
      </c>
    </row>
    <row r="363" spans="1:7" x14ac:dyDescent="0.25">
      <c r="A363">
        <v>3480</v>
      </c>
      <c r="B363">
        <v>202</v>
      </c>
      <c r="C363" s="1" t="str">
        <f>IF(Tabela8[[#This Row],[SETOR]]="","",IF(Tabela8[[#This Row],[SETOR]]&lt;200,"GV 10",IF(Tabela8[[#This Row],[SETOR]]&lt;300,"GV 20",IF(Tabela8[[#This Row],[SETOR]]&lt;400,"GV 30","S/GV"))))</f>
        <v>GV 20</v>
      </c>
      <c r="E363" t="s">
        <v>123</v>
      </c>
      <c r="G363" t="str">
        <f>_xlfn.CONCAT(Tabela9[[#This Row],[Coluna1]],Tabela9[[#This Row],[Coluna2]])</f>
        <v>20-Rota</v>
      </c>
    </row>
    <row r="364" spans="1:7" x14ac:dyDescent="0.25">
      <c r="A364">
        <v>3487</v>
      </c>
      <c r="B364">
        <v>101</v>
      </c>
      <c r="C364" s="1" t="str">
        <f>IF(Tabela8[[#This Row],[SETOR]]="","",IF(Tabela8[[#This Row],[SETOR]]&lt;200,"GV 10",IF(Tabela8[[#This Row],[SETOR]]&lt;300,"GV 20",IF(Tabela8[[#This Row],[SETOR]]&lt;400,"GV 30","S/GV"))))</f>
        <v>GV 10</v>
      </c>
      <c r="E364" t="s">
        <v>123</v>
      </c>
      <c r="G364" t="str">
        <f>_xlfn.CONCAT(Tabela9[[#This Row],[Coluna1]],Tabela9[[#This Row],[Coluna2]])</f>
        <v>20-Rota</v>
      </c>
    </row>
    <row r="365" spans="1:7" x14ac:dyDescent="0.25">
      <c r="A365">
        <v>3496</v>
      </c>
      <c r="B365">
        <v>207</v>
      </c>
      <c r="C365" s="1" t="str">
        <f>IF(Tabela8[[#This Row],[SETOR]]="","",IF(Tabela8[[#This Row],[SETOR]]&lt;200,"GV 10",IF(Tabela8[[#This Row],[SETOR]]&lt;300,"GV 20",IF(Tabela8[[#This Row],[SETOR]]&lt;400,"GV 30","S/GV"))))</f>
        <v>GV 20</v>
      </c>
      <c r="E365" t="s">
        <v>125</v>
      </c>
      <c r="G365" t="str">
        <f>_xlfn.CONCAT(Tabela9[[#This Row],[Coluna1]],Tabela9[[#This Row],[Coluna2]])</f>
        <v>18-TRAD</v>
      </c>
    </row>
    <row r="366" spans="1:7" x14ac:dyDescent="0.25">
      <c r="A366">
        <v>3498</v>
      </c>
      <c r="B366">
        <v>306</v>
      </c>
      <c r="C366" s="1" t="str">
        <f>IF(Tabela8[[#This Row],[SETOR]]="","",IF(Tabela8[[#This Row],[SETOR]]&lt;200,"GV 10",IF(Tabela8[[#This Row],[SETOR]]&lt;300,"GV 20",IF(Tabela8[[#This Row],[SETOR]]&lt;400,"GV 30","S/GV"))))</f>
        <v>GV 30</v>
      </c>
      <c r="E366" t="s">
        <v>125</v>
      </c>
      <c r="G366" t="str">
        <f>_xlfn.CONCAT(Tabela9[[#This Row],[Coluna1]],Tabela9[[#This Row],[Coluna2]])</f>
        <v>18-TRAD</v>
      </c>
    </row>
    <row r="367" spans="1:7" x14ac:dyDescent="0.25">
      <c r="A367">
        <v>3510</v>
      </c>
      <c r="B367">
        <v>204</v>
      </c>
      <c r="C367" s="1" t="str">
        <f>IF(Tabela8[[#This Row],[SETOR]]="","",IF(Tabela8[[#This Row],[SETOR]]&lt;200,"GV 10",IF(Tabela8[[#This Row],[SETOR]]&lt;300,"GV 20",IF(Tabela8[[#This Row],[SETOR]]&lt;400,"GV 30","S/GV"))))</f>
        <v>GV 20</v>
      </c>
      <c r="E367" t="s">
        <v>123</v>
      </c>
      <c r="G367" t="str">
        <f>_xlfn.CONCAT(Tabela9[[#This Row],[Coluna1]],Tabela9[[#This Row],[Coluna2]])</f>
        <v>20-Rota</v>
      </c>
    </row>
    <row r="368" spans="1:7" x14ac:dyDescent="0.25">
      <c r="A368">
        <v>3515</v>
      </c>
      <c r="B368">
        <v>202</v>
      </c>
      <c r="C368" s="1" t="str">
        <f>IF(Tabela8[[#This Row],[SETOR]]="","",IF(Tabela8[[#This Row],[SETOR]]&lt;200,"GV 10",IF(Tabela8[[#This Row],[SETOR]]&lt;300,"GV 20",IF(Tabela8[[#This Row],[SETOR]]&lt;400,"GV 30","S/GV"))))</f>
        <v>GV 20</v>
      </c>
      <c r="E368" t="s">
        <v>123</v>
      </c>
      <c r="G368" t="str">
        <f>_xlfn.CONCAT(Tabela9[[#This Row],[Coluna1]],Tabela9[[#This Row],[Coluna2]])</f>
        <v>20-Rota</v>
      </c>
    </row>
    <row r="369" spans="1:7" x14ac:dyDescent="0.25">
      <c r="A369">
        <v>3518</v>
      </c>
      <c r="B369">
        <v>203</v>
      </c>
      <c r="C369" s="1" t="str">
        <f>IF(Tabela8[[#This Row],[SETOR]]="","",IF(Tabela8[[#This Row],[SETOR]]&lt;200,"GV 10",IF(Tabela8[[#This Row],[SETOR]]&lt;300,"GV 20",IF(Tabela8[[#This Row],[SETOR]]&lt;400,"GV 30","S/GV"))))</f>
        <v>GV 20</v>
      </c>
      <c r="E369" t="s">
        <v>123</v>
      </c>
      <c r="G369" t="str">
        <f>_xlfn.CONCAT(Tabela9[[#This Row],[Coluna1]],Tabela9[[#This Row],[Coluna2]])</f>
        <v>20-Rota</v>
      </c>
    </row>
    <row r="370" spans="1:7" x14ac:dyDescent="0.25">
      <c r="A370">
        <v>3524</v>
      </c>
      <c r="B370">
        <v>207</v>
      </c>
      <c r="C370" s="1" t="str">
        <f>IF(Tabela8[[#This Row],[SETOR]]="","",IF(Tabela8[[#This Row],[SETOR]]&lt;200,"GV 10",IF(Tabela8[[#This Row],[SETOR]]&lt;300,"GV 20",IF(Tabela8[[#This Row],[SETOR]]&lt;400,"GV 30","S/GV"))))</f>
        <v>GV 20</v>
      </c>
      <c r="E370" t="s">
        <v>126</v>
      </c>
      <c r="F370" t="s">
        <v>127</v>
      </c>
      <c r="G370" t="str">
        <f>_xlfn.CONCAT(Tabela9[[#This Row],[Coluna1]],Tabela9[[#This Row],[Coluna2]])</f>
        <v>16-AS(5+)</v>
      </c>
    </row>
    <row r="371" spans="1:7" x14ac:dyDescent="0.25">
      <c r="A371">
        <v>3534</v>
      </c>
      <c r="B371">
        <v>306</v>
      </c>
      <c r="C371" s="1" t="str">
        <f>IF(Tabela8[[#This Row],[SETOR]]="","",IF(Tabela8[[#This Row],[SETOR]]&lt;200,"GV 10",IF(Tabela8[[#This Row],[SETOR]]&lt;300,"GV 20",IF(Tabela8[[#This Row],[SETOR]]&lt;400,"GV 30","S/GV"))))</f>
        <v>GV 30</v>
      </c>
      <c r="E371" t="s">
        <v>125</v>
      </c>
      <c r="G371" t="str">
        <f>_xlfn.CONCAT(Tabela9[[#This Row],[Coluna1]],Tabela9[[#This Row],[Coluna2]])</f>
        <v>18-TRAD</v>
      </c>
    </row>
    <row r="372" spans="1:7" x14ac:dyDescent="0.25">
      <c r="A372">
        <v>3535</v>
      </c>
      <c r="B372">
        <v>203</v>
      </c>
      <c r="C372" s="1" t="str">
        <f>IF(Tabela8[[#This Row],[SETOR]]="","",IF(Tabela8[[#This Row],[SETOR]]&lt;200,"GV 10",IF(Tabela8[[#This Row],[SETOR]]&lt;300,"GV 20",IF(Tabela8[[#This Row],[SETOR]]&lt;400,"GV 30","S/GV"))))</f>
        <v>GV 20</v>
      </c>
      <c r="E372" t="s">
        <v>123</v>
      </c>
      <c r="G372" t="str">
        <f>_xlfn.CONCAT(Tabela9[[#This Row],[Coluna1]],Tabela9[[#This Row],[Coluna2]])</f>
        <v>20-Rota</v>
      </c>
    </row>
    <row r="373" spans="1:7" x14ac:dyDescent="0.25">
      <c r="A373">
        <v>3542</v>
      </c>
      <c r="B373">
        <v>105</v>
      </c>
      <c r="C373" s="1" t="str">
        <f>IF(Tabela8[[#This Row],[SETOR]]="","",IF(Tabela8[[#This Row],[SETOR]]&lt;200,"GV 10",IF(Tabela8[[#This Row],[SETOR]]&lt;300,"GV 20",IF(Tabela8[[#This Row],[SETOR]]&lt;400,"GV 30","S/GV"))))</f>
        <v>GV 10</v>
      </c>
      <c r="E373" t="s">
        <v>123</v>
      </c>
      <c r="G373" t="str">
        <f>_xlfn.CONCAT(Tabela9[[#This Row],[Coluna1]],Tabela9[[#This Row],[Coluna2]])</f>
        <v>20-Rota</v>
      </c>
    </row>
    <row r="374" spans="1:7" x14ac:dyDescent="0.25">
      <c r="A374">
        <v>3546</v>
      </c>
      <c r="B374">
        <v>303</v>
      </c>
      <c r="C374" s="1" t="str">
        <f>IF(Tabela8[[#This Row],[SETOR]]="","",IF(Tabela8[[#This Row],[SETOR]]&lt;200,"GV 10",IF(Tabela8[[#This Row],[SETOR]]&lt;300,"GV 20",IF(Tabela8[[#This Row],[SETOR]]&lt;400,"GV 30","S/GV"))))</f>
        <v>GV 30</v>
      </c>
      <c r="E374" t="s">
        <v>123</v>
      </c>
      <c r="G374" t="str">
        <f>_xlfn.CONCAT(Tabela9[[#This Row],[Coluna1]],Tabela9[[#This Row],[Coluna2]])</f>
        <v>20-Rota</v>
      </c>
    </row>
    <row r="375" spans="1:7" x14ac:dyDescent="0.25">
      <c r="A375">
        <v>3555</v>
      </c>
      <c r="B375">
        <v>207</v>
      </c>
      <c r="C375" s="1" t="str">
        <f>IF(Tabela8[[#This Row],[SETOR]]="","",IF(Tabela8[[#This Row],[SETOR]]&lt;200,"GV 10",IF(Tabela8[[#This Row],[SETOR]]&lt;300,"GV 20",IF(Tabela8[[#This Row],[SETOR]]&lt;400,"GV 30","S/GV"))))</f>
        <v>GV 20</v>
      </c>
      <c r="E375" t="s">
        <v>128</v>
      </c>
      <c r="F375" t="s">
        <v>129</v>
      </c>
      <c r="G375" t="str">
        <f>_xlfn.CONCAT(Tabela9[[#This Row],[Coluna1]],Tabela9[[#This Row],[Coluna2]])</f>
        <v>15-AS(1-4)</v>
      </c>
    </row>
    <row r="376" spans="1:7" x14ac:dyDescent="0.25">
      <c r="A376">
        <v>3582</v>
      </c>
      <c r="B376">
        <v>304</v>
      </c>
      <c r="C376" s="1" t="str">
        <f>IF(Tabela8[[#This Row],[SETOR]]="","",IF(Tabela8[[#This Row],[SETOR]]&lt;200,"GV 10",IF(Tabela8[[#This Row],[SETOR]]&lt;300,"GV 20",IF(Tabela8[[#This Row],[SETOR]]&lt;400,"GV 30","S/GV"))))</f>
        <v>GV 30</v>
      </c>
      <c r="E376" t="s">
        <v>123</v>
      </c>
      <c r="G376" t="str">
        <f>_xlfn.CONCAT(Tabela9[[#This Row],[Coluna1]],Tabela9[[#This Row],[Coluna2]])</f>
        <v>20-Rota</v>
      </c>
    </row>
    <row r="377" spans="1:7" x14ac:dyDescent="0.25">
      <c r="A377">
        <v>3583</v>
      </c>
      <c r="B377">
        <v>207</v>
      </c>
      <c r="C377" s="1" t="str">
        <f>IF(Tabela8[[#This Row],[SETOR]]="","",IF(Tabela8[[#This Row],[SETOR]]&lt;200,"GV 10",IF(Tabela8[[#This Row],[SETOR]]&lt;300,"GV 20",IF(Tabela8[[#This Row],[SETOR]]&lt;400,"GV 30","S/GV"))))</f>
        <v>GV 20</v>
      </c>
      <c r="E377" t="s">
        <v>126</v>
      </c>
      <c r="F377" t="s">
        <v>127</v>
      </c>
      <c r="G377" t="str">
        <f>_xlfn.CONCAT(Tabela9[[#This Row],[Coluna1]],Tabela9[[#This Row],[Coluna2]])</f>
        <v>16-AS(5+)</v>
      </c>
    </row>
    <row r="378" spans="1:7" x14ac:dyDescent="0.25">
      <c r="A378">
        <v>3585</v>
      </c>
      <c r="B378">
        <v>202</v>
      </c>
      <c r="C378" s="1" t="str">
        <f>IF(Tabela8[[#This Row],[SETOR]]="","",IF(Tabela8[[#This Row],[SETOR]]&lt;200,"GV 10",IF(Tabela8[[#This Row],[SETOR]]&lt;300,"GV 20",IF(Tabela8[[#This Row],[SETOR]]&lt;400,"GV 30","S/GV"))))</f>
        <v>GV 20</v>
      </c>
      <c r="E378" t="s">
        <v>123</v>
      </c>
      <c r="G378" t="str">
        <f>_xlfn.CONCAT(Tabela9[[#This Row],[Coluna1]],Tabela9[[#This Row],[Coluna2]])</f>
        <v>20-Rota</v>
      </c>
    </row>
    <row r="379" spans="1:7" x14ac:dyDescent="0.25">
      <c r="A379">
        <v>3590</v>
      </c>
      <c r="B379">
        <v>201</v>
      </c>
      <c r="C379" s="1" t="str">
        <f>IF(Tabela8[[#This Row],[SETOR]]="","",IF(Tabela8[[#This Row],[SETOR]]&lt;200,"GV 10",IF(Tabela8[[#This Row],[SETOR]]&lt;300,"GV 20",IF(Tabela8[[#This Row],[SETOR]]&lt;400,"GV 30","S/GV"))))</f>
        <v>GV 20</v>
      </c>
      <c r="E379" t="s">
        <v>123</v>
      </c>
      <c r="G379" t="str">
        <f>_xlfn.CONCAT(Tabela9[[#This Row],[Coluna1]],Tabela9[[#This Row],[Coluna2]])</f>
        <v>20-Rota</v>
      </c>
    </row>
    <row r="380" spans="1:7" x14ac:dyDescent="0.25">
      <c r="A380">
        <v>3645</v>
      </c>
      <c r="B380">
        <v>208</v>
      </c>
      <c r="C380" s="1" t="str">
        <f>IF(Tabela8[[#This Row],[SETOR]]="","",IF(Tabela8[[#This Row],[SETOR]]&lt;200,"GV 10",IF(Tabela8[[#This Row],[SETOR]]&lt;300,"GV 20",IF(Tabela8[[#This Row],[SETOR]]&lt;400,"GV 30","S/GV"))))</f>
        <v>GV 20</v>
      </c>
      <c r="E380" t="s">
        <v>128</v>
      </c>
      <c r="F380" t="s">
        <v>129</v>
      </c>
      <c r="G380" t="str">
        <f>_xlfn.CONCAT(Tabela9[[#This Row],[Coluna1]],Tabela9[[#This Row],[Coluna2]])</f>
        <v>15-AS(1-4)</v>
      </c>
    </row>
    <row r="381" spans="1:7" x14ac:dyDescent="0.25">
      <c r="A381">
        <v>3656</v>
      </c>
      <c r="B381">
        <v>208</v>
      </c>
      <c r="C381" s="1" t="str">
        <f>IF(Tabela8[[#This Row],[SETOR]]="","",IF(Tabela8[[#This Row],[SETOR]]&lt;200,"GV 10",IF(Tabela8[[#This Row],[SETOR]]&lt;300,"GV 20",IF(Tabela8[[#This Row],[SETOR]]&lt;400,"GV 30","S/GV"))))</f>
        <v>GV 20</v>
      </c>
      <c r="E381" t="s">
        <v>128</v>
      </c>
      <c r="F381" t="s">
        <v>129</v>
      </c>
      <c r="G381" t="str">
        <f>_xlfn.CONCAT(Tabela9[[#This Row],[Coluna1]],Tabela9[[#This Row],[Coluna2]])</f>
        <v>15-AS(1-4)</v>
      </c>
    </row>
    <row r="382" spans="1:7" x14ac:dyDescent="0.25">
      <c r="A382">
        <v>3673</v>
      </c>
      <c r="B382">
        <v>203</v>
      </c>
      <c r="C382" s="1" t="str">
        <f>IF(Tabela8[[#This Row],[SETOR]]="","",IF(Tabela8[[#This Row],[SETOR]]&lt;200,"GV 10",IF(Tabela8[[#This Row],[SETOR]]&lt;300,"GV 20",IF(Tabela8[[#This Row],[SETOR]]&lt;400,"GV 30","S/GV"))))</f>
        <v>GV 20</v>
      </c>
      <c r="E382" t="s">
        <v>123</v>
      </c>
      <c r="G382" t="str">
        <f>_xlfn.CONCAT(Tabela9[[#This Row],[Coluna1]],Tabela9[[#This Row],[Coluna2]])</f>
        <v>20-Rota</v>
      </c>
    </row>
    <row r="383" spans="1:7" x14ac:dyDescent="0.25">
      <c r="A383">
        <v>3680</v>
      </c>
      <c r="B383">
        <v>202</v>
      </c>
      <c r="C383" s="1" t="str">
        <f>IF(Tabela8[[#This Row],[SETOR]]="","",IF(Tabela8[[#This Row],[SETOR]]&lt;200,"GV 10",IF(Tabela8[[#This Row],[SETOR]]&lt;300,"GV 20",IF(Tabela8[[#This Row],[SETOR]]&lt;400,"GV 30","S/GV"))))</f>
        <v>GV 20</v>
      </c>
      <c r="E383" t="s">
        <v>125</v>
      </c>
      <c r="G383" t="str">
        <f>_xlfn.CONCAT(Tabela9[[#This Row],[Coluna1]],Tabela9[[#This Row],[Coluna2]])</f>
        <v>18-TRAD</v>
      </c>
    </row>
    <row r="384" spans="1:7" x14ac:dyDescent="0.25">
      <c r="A384">
        <v>3688</v>
      </c>
      <c r="B384">
        <v>202</v>
      </c>
      <c r="C384" s="1" t="str">
        <f>IF(Tabela8[[#This Row],[SETOR]]="","",IF(Tabela8[[#This Row],[SETOR]]&lt;200,"GV 10",IF(Tabela8[[#This Row],[SETOR]]&lt;300,"GV 20",IF(Tabela8[[#This Row],[SETOR]]&lt;400,"GV 30","S/GV"))))</f>
        <v>GV 20</v>
      </c>
      <c r="E384" t="s">
        <v>123</v>
      </c>
      <c r="G384" t="str">
        <f>_xlfn.CONCAT(Tabela9[[#This Row],[Coluna1]],Tabela9[[#This Row],[Coluna2]])</f>
        <v>20-Rota</v>
      </c>
    </row>
    <row r="385" spans="1:7" x14ac:dyDescent="0.25">
      <c r="A385">
        <v>3696</v>
      </c>
      <c r="B385">
        <v>202</v>
      </c>
      <c r="C385" s="1" t="str">
        <f>IF(Tabela8[[#This Row],[SETOR]]="","",IF(Tabela8[[#This Row],[SETOR]]&lt;200,"GV 10",IF(Tabela8[[#This Row],[SETOR]]&lt;300,"GV 20",IF(Tabela8[[#This Row],[SETOR]]&lt;400,"GV 30","S/GV"))))</f>
        <v>GV 20</v>
      </c>
      <c r="E385" t="s">
        <v>125</v>
      </c>
      <c r="G385" t="str">
        <f>_xlfn.CONCAT(Tabela9[[#This Row],[Coluna1]],Tabela9[[#This Row],[Coluna2]])</f>
        <v>18-TRAD</v>
      </c>
    </row>
    <row r="386" spans="1:7" x14ac:dyDescent="0.25">
      <c r="A386">
        <v>3705</v>
      </c>
      <c r="B386">
        <v>202</v>
      </c>
      <c r="C386" s="1" t="str">
        <f>IF(Tabela8[[#This Row],[SETOR]]="","",IF(Tabela8[[#This Row],[SETOR]]&lt;200,"GV 10",IF(Tabela8[[#This Row],[SETOR]]&lt;300,"GV 20",IF(Tabela8[[#This Row],[SETOR]]&lt;400,"GV 30","S/GV"))))</f>
        <v>GV 20</v>
      </c>
      <c r="E386" t="s">
        <v>123</v>
      </c>
      <c r="G386" t="str">
        <f>_xlfn.CONCAT(Tabela9[[#This Row],[Coluna1]],Tabela9[[#This Row],[Coluna2]])</f>
        <v>20-Rota</v>
      </c>
    </row>
    <row r="387" spans="1:7" x14ac:dyDescent="0.25">
      <c r="A387">
        <v>3727</v>
      </c>
      <c r="B387">
        <v>202</v>
      </c>
      <c r="C387" s="1" t="str">
        <f>IF(Tabela8[[#This Row],[SETOR]]="","",IF(Tabela8[[#This Row],[SETOR]]&lt;200,"GV 10",IF(Tabela8[[#This Row],[SETOR]]&lt;300,"GV 20",IF(Tabela8[[#This Row],[SETOR]]&lt;400,"GV 30","S/GV"))))</f>
        <v>GV 20</v>
      </c>
      <c r="E387" t="s">
        <v>125</v>
      </c>
      <c r="G387" t="str">
        <f>_xlfn.CONCAT(Tabela9[[#This Row],[Coluna1]],Tabela9[[#This Row],[Coluna2]])</f>
        <v>18-TRAD</v>
      </c>
    </row>
    <row r="388" spans="1:7" x14ac:dyDescent="0.25">
      <c r="A388">
        <v>3738</v>
      </c>
      <c r="B388">
        <v>109</v>
      </c>
      <c r="C388" s="1" t="str">
        <f>IF(Tabela8[[#This Row],[SETOR]]="","",IF(Tabela8[[#This Row],[SETOR]]&lt;200,"GV 10",IF(Tabela8[[#This Row],[SETOR]]&lt;300,"GV 20",IF(Tabela8[[#This Row],[SETOR]]&lt;400,"GV 30","S/GV"))))</f>
        <v>GV 10</v>
      </c>
      <c r="E388" t="s">
        <v>123</v>
      </c>
      <c r="G388" t="str">
        <f>_xlfn.CONCAT(Tabela9[[#This Row],[Coluna1]],Tabela9[[#This Row],[Coluna2]])</f>
        <v>20-Rota</v>
      </c>
    </row>
    <row r="389" spans="1:7" x14ac:dyDescent="0.25">
      <c r="A389">
        <v>3740</v>
      </c>
      <c r="B389">
        <v>309</v>
      </c>
      <c r="C389" s="1" t="str">
        <f>IF(Tabela8[[#This Row],[SETOR]]="","",IF(Tabela8[[#This Row],[SETOR]]&lt;200,"GV 10",IF(Tabela8[[#This Row],[SETOR]]&lt;300,"GV 20",IF(Tabela8[[#This Row],[SETOR]]&lt;400,"GV 30","S/GV"))))</f>
        <v>GV 30</v>
      </c>
      <c r="E389" t="s">
        <v>126</v>
      </c>
      <c r="F389" t="s">
        <v>127</v>
      </c>
      <c r="G389" t="str">
        <f>_xlfn.CONCAT(Tabela9[[#This Row],[Coluna1]],Tabela9[[#This Row],[Coluna2]])</f>
        <v>16-AS(5+)</v>
      </c>
    </row>
    <row r="390" spans="1:7" x14ac:dyDescent="0.25">
      <c r="A390">
        <v>3790</v>
      </c>
      <c r="B390">
        <v>104</v>
      </c>
      <c r="C390" s="1" t="str">
        <f>IF(Tabela8[[#This Row],[SETOR]]="","",IF(Tabela8[[#This Row],[SETOR]]&lt;200,"GV 10",IF(Tabela8[[#This Row],[SETOR]]&lt;300,"GV 20",IF(Tabela8[[#This Row],[SETOR]]&lt;400,"GV 30","S/GV"))))</f>
        <v>GV 10</v>
      </c>
      <c r="E390" t="s">
        <v>123</v>
      </c>
      <c r="G390" t="str">
        <f>_xlfn.CONCAT(Tabela9[[#This Row],[Coluna1]],Tabela9[[#This Row],[Coluna2]])</f>
        <v>20-Rota</v>
      </c>
    </row>
    <row r="391" spans="1:7" x14ac:dyDescent="0.25">
      <c r="A391">
        <v>3792</v>
      </c>
      <c r="B391">
        <v>916</v>
      </c>
      <c r="C391" s="1" t="str">
        <f>IF(Tabela8[[#This Row],[SETOR]]="","",IF(Tabela8[[#This Row],[SETOR]]&lt;200,"GV 10",IF(Tabela8[[#This Row],[SETOR]]&lt;300,"GV 20",IF(Tabela8[[#This Row],[SETOR]]&lt;400,"GV 30","S/GV"))))</f>
        <v>S/GV</v>
      </c>
      <c r="G391" t="str">
        <f>_xlfn.CONCAT(Tabela9[[#This Row],[Coluna1]],Tabela9[[#This Row],[Coluna2]])</f>
        <v/>
      </c>
    </row>
    <row r="392" spans="1:7" x14ac:dyDescent="0.25">
      <c r="A392">
        <v>3802</v>
      </c>
      <c r="B392">
        <v>101</v>
      </c>
      <c r="C392" s="1" t="str">
        <f>IF(Tabela8[[#This Row],[SETOR]]="","",IF(Tabela8[[#This Row],[SETOR]]&lt;200,"GV 10",IF(Tabela8[[#This Row],[SETOR]]&lt;300,"GV 20",IF(Tabela8[[#This Row],[SETOR]]&lt;400,"GV 30","S/GV"))))</f>
        <v>GV 10</v>
      </c>
      <c r="E392" t="s">
        <v>123</v>
      </c>
      <c r="G392" t="str">
        <f>_xlfn.CONCAT(Tabela9[[#This Row],[Coluna1]],Tabela9[[#This Row],[Coluna2]])</f>
        <v>20-Rota</v>
      </c>
    </row>
    <row r="393" spans="1:7" x14ac:dyDescent="0.25">
      <c r="A393">
        <v>3818</v>
      </c>
      <c r="B393">
        <v>202</v>
      </c>
      <c r="C393" s="1" t="str">
        <f>IF(Tabela8[[#This Row],[SETOR]]="","",IF(Tabela8[[#This Row],[SETOR]]&lt;200,"GV 10",IF(Tabela8[[#This Row],[SETOR]]&lt;300,"GV 20",IF(Tabela8[[#This Row],[SETOR]]&lt;400,"GV 30","S/GV"))))</f>
        <v>GV 20</v>
      </c>
      <c r="E393" t="s">
        <v>124</v>
      </c>
      <c r="G393" t="str">
        <f>_xlfn.CONCAT(Tabela9[[#This Row],[Coluna1]],Tabela9[[#This Row],[Coluna2]])</f>
        <v>19-VIP</v>
      </c>
    </row>
    <row r="394" spans="1:7" x14ac:dyDescent="0.25">
      <c r="A394">
        <v>3823</v>
      </c>
      <c r="B394">
        <v>305</v>
      </c>
      <c r="C394" s="1" t="str">
        <f>IF(Tabela8[[#This Row],[SETOR]]="","",IF(Tabela8[[#This Row],[SETOR]]&lt;200,"GV 10",IF(Tabela8[[#This Row],[SETOR]]&lt;300,"GV 20",IF(Tabela8[[#This Row],[SETOR]]&lt;400,"GV 30","S/GV"))))</f>
        <v>GV 30</v>
      </c>
      <c r="E394" t="s">
        <v>123</v>
      </c>
      <c r="G394" t="str">
        <f>_xlfn.CONCAT(Tabela9[[#This Row],[Coluna1]],Tabela9[[#This Row],[Coluna2]])</f>
        <v>20-Rota</v>
      </c>
    </row>
    <row r="395" spans="1:7" x14ac:dyDescent="0.25">
      <c r="A395">
        <v>3843</v>
      </c>
      <c r="B395">
        <v>102</v>
      </c>
      <c r="C395" s="1" t="str">
        <f>IF(Tabela8[[#This Row],[SETOR]]="","",IF(Tabela8[[#This Row],[SETOR]]&lt;200,"GV 10",IF(Tabela8[[#This Row],[SETOR]]&lt;300,"GV 20",IF(Tabela8[[#This Row],[SETOR]]&lt;400,"GV 30","S/GV"))))</f>
        <v>GV 10</v>
      </c>
      <c r="E395" t="s">
        <v>123</v>
      </c>
      <c r="G395" t="str">
        <f>_xlfn.CONCAT(Tabela9[[#This Row],[Coluna1]],Tabela9[[#This Row],[Coluna2]])</f>
        <v>20-Rota</v>
      </c>
    </row>
    <row r="396" spans="1:7" x14ac:dyDescent="0.25">
      <c r="A396">
        <v>3844</v>
      </c>
      <c r="B396">
        <v>208</v>
      </c>
      <c r="C396" s="1" t="str">
        <f>IF(Tabela8[[#This Row],[SETOR]]="","",IF(Tabela8[[#This Row],[SETOR]]&lt;200,"GV 10",IF(Tabela8[[#This Row],[SETOR]]&lt;300,"GV 20",IF(Tabela8[[#This Row],[SETOR]]&lt;400,"GV 30","S/GV"))))</f>
        <v>GV 20</v>
      </c>
      <c r="E396" t="s">
        <v>126</v>
      </c>
      <c r="F396" t="s">
        <v>127</v>
      </c>
      <c r="G396" t="str">
        <f>_xlfn.CONCAT(Tabela9[[#This Row],[Coluna1]],Tabela9[[#This Row],[Coluna2]])</f>
        <v>16-AS(5+)</v>
      </c>
    </row>
    <row r="397" spans="1:7" x14ac:dyDescent="0.25">
      <c r="A397">
        <v>3862</v>
      </c>
      <c r="B397">
        <v>916</v>
      </c>
      <c r="C397" s="1" t="str">
        <f>IF(Tabela8[[#This Row],[SETOR]]="","",IF(Tabela8[[#This Row],[SETOR]]&lt;200,"GV 10",IF(Tabela8[[#This Row],[SETOR]]&lt;300,"GV 20",IF(Tabela8[[#This Row],[SETOR]]&lt;400,"GV 30","S/GV"))))</f>
        <v>S/GV</v>
      </c>
      <c r="G397" t="str">
        <f>_xlfn.CONCAT(Tabela9[[#This Row],[Coluna1]],Tabela9[[#This Row],[Coluna2]])</f>
        <v/>
      </c>
    </row>
    <row r="398" spans="1:7" x14ac:dyDescent="0.25">
      <c r="A398">
        <v>3866</v>
      </c>
      <c r="B398">
        <v>202</v>
      </c>
      <c r="C398" s="1" t="str">
        <f>IF(Tabela8[[#This Row],[SETOR]]="","",IF(Tabela8[[#This Row],[SETOR]]&lt;200,"GV 10",IF(Tabela8[[#This Row],[SETOR]]&lt;300,"GV 20",IF(Tabela8[[#This Row],[SETOR]]&lt;400,"GV 30","S/GV"))))</f>
        <v>GV 20</v>
      </c>
      <c r="E398" t="s">
        <v>125</v>
      </c>
      <c r="G398" t="str">
        <f>_xlfn.CONCAT(Tabela9[[#This Row],[Coluna1]],Tabela9[[#This Row],[Coluna2]])</f>
        <v>18-TRAD</v>
      </c>
    </row>
    <row r="399" spans="1:7" x14ac:dyDescent="0.25">
      <c r="A399">
        <v>3872</v>
      </c>
      <c r="B399">
        <v>108</v>
      </c>
      <c r="C399" s="1" t="str">
        <f>IF(Tabela8[[#This Row],[SETOR]]="","",IF(Tabela8[[#This Row],[SETOR]]&lt;200,"GV 10",IF(Tabela8[[#This Row],[SETOR]]&lt;300,"GV 20",IF(Tabela8[[#This Row],[SETOR]]&lt;400,"GV 30","S/GV"))))</f>
        <v>GV 10</v>
      </c>
      <c r="E399" t="s">
        <v>125</v>
      </c>
      <c r="G399" t="str">
        <f>_xlfn.CONCAT(Tabela9[[#This Row],[Coluna1]],Tabela9[[#This Row],[Coluna2]])</f>
        <v>18-TRAD</v>
      </c>
    </row>
    <row r="400" spans="1:7" x14ac:dyDescent="0.25">
      <c r="A400">
        <v>3876</v>
      </c>
      <c r="B400">
        <v>107</v>
      </c>
      <c r="C400" s="1" t="str">
        <f>IF(Tabela8[[#This Row],[SETOR]]="","",IF(Tabela8[[#This Row],[SETOR]]&lt;200,"GV 10",IF(Tabela8[[#This Row],[SETOR]]&lt;300,"GV 20",IF(Tabela8[[#This Row],[SETOR]]&lt;400,"GV 30","S/GV"))))</f>
        <v>GV 10</v>
      </c>
      <c r="E400" t="s">
        <v>125</v>
      </c>
      <c r="G400" t="str">
        <f>_xlfn.CONCAT(Tabela9[[#This Row],[Coluna1]],Tabela9[[#This Row],[Coluna2]])</f>
        <v>18-TRAD</v>
      </c>
    </row>
    <row r="401" spans="1:7" x14ac:dyDescent="0.25">
      <c r="A401">
        <v>3887</v>
      </c>
      <c r="B401">
        <v>205</v>
      </c>
      <c r="C401" s="1" t="str">
        <f>IF(Tabela8[[#This Row],[SETOR]]="","",IF(Tabela8[[#This Row],[SETOR]]&lt;200,"GV 10",IF(Tabela8[[#This Row],[SETOR]]&lt;300,"GV 20",IF(Tabela8[[#This Row],[SETOR]]&lt;400,"GV 30","S/GV"))))</f>
        <v>GV 20</v>
      </c>
      <c r="E401" t="s">
        <v>123</v>
      </c>
      <c r="G401" t="str">
        <f>_xlfn.CONCAT(Tabela9[[#This Row],[Coluna1]],Tabela9[[#This Row],[Coluna2]])</f>
        <v>20-Rota</v>
      </c>
    </row>
    <row r="402" spans="1:7" x14ac:dyDescent="0.25">
      <c r="A402">
        <v>3893</v>
      </c>
      <c r="B402">
        <v>203</v>
      </c>
      <c r="C402" s="1" t="str">
        <f>IF(Tabela8[[#This Row],[SETOR]]="","",IF(Tabela8[[#This Row],[SETOR]]&lt;200,"GV 10",IF(Tabela8[[#This Row],[SETOR]]&lt;300,"GV 20",IF(Tabela8[[#This Row],[SETOR]]&lt;400,"GV 30","S/GV"))))</f>
        <v>GV 20</v>
      </c>
      <c r="E402" t="s">
        <v>123</v>
      </c>
      <c r="G402" t="str">
        <f>_xlfn.CONCAT(Tabela9[[#This Row],[Coluna1]],Tabela9[[#This Row],[Coluna2]])</f>
        <v>20-Rota</v>
      </c>
    </row>
    <row r="403" spans="1:7" x14ac:dyDescent="0.25">
      <c r="A403">
        <v>3896</v>
      </c>
      <c r="B403">
        <v>206</v>
      </c>
      <c r="C403" s="1" t="str">
        <f>IF(Tabela8[[#This Row],[SETOR]]="","",IF(Tabela8[[#This Row],[SETOR]]&lt;200,"GV 10",IF(Tabela8[[#This Row],[SETOR]]&lt;300,"GV 20",IF(Tabela8[[#This Row],[SETOR]]&lt;400,"GV 30","S/GV"))))</f>
        <v>GV 20</v>
      </c>
      <c r="E403" t="s">
        <v>123</v>
      </c>
      <c r="G403" t="str">
        <f>_xlfn.CONCAT(Tabela9[[#This Row],[Coluna1]],Tabela9[[#This Row],[Coluna2]])</f>
        <v>20-Rota</v>
      </c>
    </row>
    <row r="404" spans="1:7" x14ac:dyDescent="0.25">
      <c r="A404">
        <v>3904</v>
      </c>
      <c r="B404">
        <v>207</v>
      </c>
      <c r="C404" s="1" t="str">
        <f>IF(Tabela8[[#This Row],[SETOR]]="","",IF(Tabela8[[#This Row],[SETOR]]&lt;200,"GV 10",IF(Tabela8[[#This Row],[SETOR]]&lt;300,"GV 20",IF(Tabela8[[#This Row],[SETOR]]&lt;400,"GV 30","S/GV"))))</f>
        <v>GV 20</v>
      </c>
      <c r="E404" t="s">
        <v>125</v>
      </c>
      <c r="G404" t="str">
        <f>_xlfn.CONCAT(Tabela9[[#This Row],[Coluna1]],Tabela9[[#This Row],[Coluna2]])</f>
        <v>18-TRAD</v>
      </c>
    </row>
    <row r="405" spans="1:7" x14ac:dyDescent="0.25">
      <c r="A405">
        <v>3905</v>
      </c>
      <c r="B405">
        <v>205</v>
      </c>
      <c r="C405" s="1" t="str">
        <f>IF(Tabela8[[#This Row],[SETOR]]="","",IF(Tabela8[[#This Row],[SETOR]]&lt;200,"GV 10",IF(Tabela8[[#This Row],[SETOR]]&lt;300,"GV 20",IF(Tabela8[[#This Row],[SETOR]]&lt;400,"GV 30","S/GV"))))</f>
        <v>GV 20</v>
      </c>
      <c r="E405" t="s">
        <v>123</v>
      </c>
      <c r="G405" t="str">
        <f>_xlfn.CONCAT(Tabela9[[#This Row],[Coluna1]],Tabela9[[#This Row],[Coluna2]])</f>
        <v>20-Rota</v>
      </c>
    </row>
    <row r="406" spans="1:7" x14ac:dyDescent="0.25">
      <c r="A406">
        <v>3915</v>
      </c>
      <c r="B406">
        <v>204</v>
      </c>
      <c r="C406" s="1" t="str">
        <f>IF(Tabela8[[#This Row],[SETOR]]="","",IF(Tabela8[[#This Row],[SETOR]]&lt;200,"GV 10",IF(Tabela8[[#This Row],[SETOR]]&lt;300,"GV 20",IF(Tabela8[[#This Row],[SETOR]]&lt;400,"GV 30","S/GV"))))</f>
        <v>GV 20</v>
      </c>
      <c r="E406" t="s">
        <v>123</v>
      </c>
      <c r="G406" t="str">
        <f>_xlfn.CONCAT(Tabela9[[#This Row],[Coluna1]],Tabela9[[#This Row],[Coluna2]])</f>
        <v>20-Rota</v>
      </c>
    </row>
    <row r="407" spans="1:7" x14ac:dyDescent="0.25">
      <c r="A407">
        <v>3916</v>
      </c>
      <c r="B407">
        <v>207</v>
      </c>
      <c r="C407" s="1" t="str">
        <f>IF(Tabela8[[#This Row],[SETOR]]="","",IF(Tabela8[[#This Row],[SETOR]]&lt;200,"GV 10",IF(Tabela8[[#This Row],[SETOR]]&lt;300,"GV 20",IF(Tabela8[[#This Row],[SETOR]]&lt;400,"GV 30","S/GV"))))</f>
        <v>GV 20</v>
      </c>
      <c r="E407" t="s">
        <v>125</v>
      </c>
      <c r="G407" t="str">
        <f>_xlfn.CONCAT(Tabela9[[#This Row],[Coluna1]],Tabela9[[#This Row],[Coluna2]])</f>
        <v>18-TRAD</v>
      </c>
    </row>
    <row r="408" spans="1:7" x14ac:dyDescent="0.25">
      <c r="A408">
        <v>3925</v>
      </c>
      <c r="B408">
        <v>302</v>
      </c>
      <c r="C408" s="1" t="str">
        <f>IF(Tabela8[[#This Row],[SETOR]]="","",IF(Tabela8[[#This Row],[SETOR]]&lt;200,"GV 10",IF(Tabela8[[#This Row],[SETOR]]&lt;300,"GV 20",IF(Tabela8[[#This Row],[SETOR]]&lt;400,"GV 30","S/GV"))))</f>
        <v>GV 30</v>
      </c>
      <c r="E408" t="s">
        <v>123</v>
      </c>
      <c r="G408" t="str">
        <f>_xlfn.CONCAT(Tabela9[[#This Row],[Coluna1]],Tabela9[[#This Row],[Coluna2]])</f>
        <v>20-Rota</v>
      </c>
    </row>
    <row r="409" spans="1:7" x14ac:dyDescent="0.25">
      <c r="A409">
        <v>3927</v>
      </c>
      <c r="B409">
        <v>308</v>
      </c>
      <c r="C409" s="1" t="str">
        <f>IF(Tabela8[[#This Row],[SETOR]]="","",IF(Tabela8[[#This Row],[SETOR]]&lt;200,"GV 10",IF(Tabela8[[#This Row],[SETOR]]&lt;300,"GV 20",IF(Tabela8[[#This Row],[SETOR]]&lt;400,"GV 30","S/GV"))))</f>
        <v>GV 30</v>
      </c>
      <c r="E409" t="s">
        <v>128</v>
      </c>
      <c r="F409" t="s">
        <v>129</v>
      </c>
      <c r="G409" t="str">
        <f>_xlfn.CONCAT(Tabela9[[#This Row],[Coluna1]],Tabela9[[#This Row],[Coluna2]])</f>
        <v>15-AS(1-4)</v>
      </c>
    </row>
    <row r="410" spans="1:7" x14ac:dyDescent="0.25">
      <c r="A410">
        <v>3940</v>
      </c>
      <c r="B410">
        <v>206</v>
      </c>
      <c r="C410" s="1" t="str">
        <f>IF(Tabela8[[#This Row],[SETOR]]="","",IF(Tabela8[[#This Row],[SETOR]]&lt;200,"GV 10",IF(Tabela8[[#This Row],[SETOR]]&lt;300,"GV 20",IF(Tabela8[[#This Row],[SETOR]]&lt;400,"GV 30","S/GV"))))</f>
        <v>GV 20</v>
      </c>
      <c r="E410" t="s">
        <v>123</v>
      </c>
      <c r="G410" t="str">
        <f>_xlfn.CONCAT(Tabela9[[#This Row],[Coluna1]],Tabela9[[#This Row],[Coluna2]])</f>
        <v>20-Rota</v>
      </c>
    </row>
    <row r="411" spans="1:7" x14ac:dyDescent="0.25">
      <c r="A411">
        <v>3945</v>
      </c>
      <c r="B411">
        <v>201</v>
      </c>
      <c r="C411" s="1" t="str">
        <f>IF(Tabela8[[#This Row],[SETOR]]="","",IF(Tabela8[[#This Row],[SETOR]]&lt;200,"GV 10",IF(Tabela8[[#This Row],[SETOR]]&lt;300,"GV 20",IF(Tabela8[[#This Row],[SETOR]]&lt;400,"GV 30","S/GV"))))</f>
        <v>GV 20</v>
      </c>
      <c r="E411" t="s">
        <v>123</v>
      </c>
      <c r="G411" t="str">
        <f>_xlfn.CONCAT(Tabela9[[#This Row],[Coluna1]],Tabela9[[#This Row],[Coluna2]])</f>
        <v>20-Rota</v>
      </c>
    </row>
    <row r="412" spans="1:7" x14ac:dyDescent="0.25">
      <c r="A412">
        <v>3964</v>
      </c>
      <c r="B412">
        <v>102</v>
      </c>
      <c r="C412" s="1" t="str">
        <f>IF(Tabela8[[#This Row],[SETOR]]="","",IF(Tabela8[[#This Row],[SETOR]]&lt;200,"GV 10",IF(Tabela8[[#This Row],[SETOR]]&lt;300,"GV 20",IF(Tabela8[[#This Row],[SETOR]]&lt;400,"GV 30","S/GV"))))</f>
        <v>GV 10</v>
      </c>
      <c r="E412" t="s">
        <v>123</v>
      </c>
      <c r="G412" t="str">
        <f>_xlfn.CONCAT(Tabela9[[#This Row],[Coluna1]],Tabela9[[#This Row],[Coluna2]])</f>
        <v>20-Rota</v>
      </c>
    </row>
    <row r="413" spans="1:7" x14ac:dyDescent="0.25">
      <c r="A413">
        <v>3965</v>
      </c>
      <c r="B413">
        <v>104</v>
      </c>
      <c r="C413" s="1" t="str">
        <f>IF(Tabela8[[#This Row],[SETOR]]="","",IF(Tabela8[[#This Row],[SETOR]]&lt;200,"GV 10",IF(Tabela8[[#This Row],[SETOR]]&lt;300,"GV 20",IF(Tabela8[[#This Row],[SETOR]]&lt;400,"GV 30","S/GV"))))</f>
        <v>GV 10</v>
      </c>
      <c r="E413" t="s">
        <v>125</v>
      </c>
      <c r="G413" t="str">
        <f>_xlfn.CONCAT(Tabela9[[#This Row],[Coluna1]],Tabela9[[#This Row],[Coluna2]])</f>
        <v>18-TRAD</v>
      </c>
    </row>
    <row r="414" spans="1:7" x14ac:dyDescent="0.25">
      <c r="A414">
        <v>3966</v>
      </c>
      <c r="B414">
        <v>102</v>
      </c>
      <c r="C414" s="1" t="str">
        <f>IF(Tabela8[[#This Row],[SETOR]]="","",IF(Tabela8[[#This Row],[SETOR]]&lt;200,"GV 10",IF(Tabela8[[#This Row],[SETOR]]&lt;300,"GV 20",IF(Tabela8[[#This Row],[SETOR]]&lt;400,"GV 30","S/GV"))))</f>
        <v>GV 10</v>
      </c>
      <c r="E414" t="s">
        <v>123</v>
      </c>
      <c r="G414" t="str">
        <f>_xlfn.CONCAT(Tabela9[[#This Row],[Coluna1]],Tabela9[[#This Row],[Coluna2]])</f>
        <v>20-Rota</v>
      </c>
    </row>
    <row r="415" spans="1:7" x14ac:dyDescent="0.25">
      <c r="A415">
        <v>3967</v>
      </c>
      <c r="B415">
        <v>102</v>
      </c>
      <c r="C415" s="1" t="str">
        <f>IF(Tabela8[[#This Row],[SETOR]]="","",IF(Tabela8[[#This Row],[SETOR]]&lt;200,"GV 10",IF(Tabela8[[#This Row],[SETOR]]&lt;300,"GV 20",IF(Tabela8[[#This Row],[SETOR]]&lt;400,"GV 30","S/GV"))))</f>
        <v>GV 10</v>
      </c>
      <c r="E415" t="s">
        <v>123</v>
      </c>
      <c r="G415" t="str">
        <f>_xlfn.CONCAT(Tabela9[[#This Row],[Coluna1]],Tabela9[[#This Row],[Coluna2]])</f>
        <v>20-Rota</v>
      </c>
    </row>
    <row r="416" spans="1:7" x14ac:dyDescent="0.25">
      <c r="A416">
        <v>3976</v>
      </c>
      <c r="B416">
        <v>204</v>
      </c>
      <c r="C416" s="1" t="str">
        <f>IF(Tabela8[[#This Row],[SETOR]]="","",IF(Tabela8[[#This Row],[SETOR]]&lt;200,"GV 10",IF(Tabela8[[#This Row],[SETOR]]&lt;300,"GV 20",IF(Tabela8[[#This Row],[SETOR]]&lt;400,"GV 30","S/GV"))))</f>
        <v>GV 20</v>
      </c>
      <c r="E416" t="s">
        <v>123</v>
      </c>
      <c r="G416" t="str">
        <f>_xlfn.CONCAT(Tabela9[[#This Row],[Coluna1]],Tabela9[[#This Row],[Coluna2]])</f>
        <v>20-Rota</v>
      </c>
    </row>
    <row r="417" spans="1:7" x14ac:dyDescent="0.25">
      <c r="A417">
        <v>3984</v>
      </c>
      <c r="B417">
        <v>202</v>
      </c>
      <c r="C417" s="1" t="str">
        <f>IF(Tabela8[[#This Row],[SETOR]]="","",IF(Tabela8[[#This Row],[SETOR]]&lt;200,"GV 10",IF(Tabela8[[#This Row],[SETOR]]&lt;300,"GV 20",IF(Tabela8[[#This Row],[SETOR]]&lt;400,"GV 30","S/GV"))))</f>
        <v>GV 20</v>
      </c>
      <c r="E417" t="s">
        <v>124</v>
      </c>
      <c r="G417" t="str">
        <f>_xlfn.CONCAT(Tabela9[[#This Row],[Coluna1]],Tabela9[[#This Row],[Coluna2]])</f>
        <v>19-VIP</v>
      </c>
    </row>
    <row r="418" spans="1:7" x14ac:dyDescent="0.25">
      <c r="A418">
        <v>3999</v>
      </c>
      <c r="B418">
        <v>103</v>
      </c>
      <c r="C418" s="1" t="str">
        <f>IF(Tabela8[[#This Row],[SETOR]]="","",IF(Tabela8[[#This Row],[SETOR]]&lt;200,"GV 10",IF(Tabela8[[#This Row],[SETOR]]&lt;300,"GV 20",IF(Tabela8[[#This Row],[SETOR]]&lt;400,"GV 30","S/GV"))))</f>
        <v>GV 10</v>
      </c>
      <c r="E418" t="s">
        <v>125</v>
      </c>
      <c r="G418" t="str">
        <f>_xlfn.CONCAT(Tabela9[[#This Row],[Coluna1]],Tabela9[[#This Row],[Coluna2]])</f>
        <v>18-TRAD</v>
      </c>
    </row>
    <row r="419" spans="1:7" x14ac:dyDescent="0.25">
      <c r="A419">
        <v>4015</v>
      </c>
      <c r="B419">
        <v>201</v>
      </c>
      <c r="C419" s="1" t="str">
        <f>IF(Tabela8[[#This Row],[SETOR]]="","",IF(Tabela8[[#This Row],[SETOR]]&lt;200,"GV 10",IF(Tabela8[[#This Row],[SETOR]]&lt;300,"GV 20",IF(Tabela8[[#This Row],[SETOR]]&lt;400,"GV 30","S/GV"))))</f>
        <v>GV 20</v>
      </c>
      <c r="E419" t="s">
        <v>123</v>
      </c>
      <c r="G419" t="str">
        <f>_xlfn.CONCAT(Tabela9[[#This Row],[Coluna1]],Tabela9[[#This Row],[Coluna2]])</f>
        <v>20-Rota</v>
      </c>
    </row>
    <row r="420" spans="1:7" x14ac:dyDescent="0.25">
      <c r="A420">
        <v>4017</v>
      </c>
      <c r="B420">
        <v>207</v>
      </c>
      <c r="C420" s="1" t="str">
        <f>IF(Tabela8[[#This Row],[SETOR]]="","",IF(Tabela8[[#This Row],[SETOR]]&lt;200,"GV 10",IF(Tabela8[[#This Row],[SETOR]]&lt;300,"GV 20",IF(Tabela8[[#This Row],[SETOR]]&lt;400,"GV 30","S/GV"))))</f>
        <v>GV 20</v>
      </c>
      <c r="E420" t="s">
        <v>125</v>
      </c>
      <c r="G420" t="str">
        <f>_xlfn.CONCAT(Tabela9[[#This Row],[Coluna1]],Tabela9[[#This Row],[Coluna2]])</f>
        <v>18-TRAD</v>
      </c>
    </row>
    <row r="421" spans="1:7" x14ac:dyDescent="0.25">
      <c r="A421">
        <v>4019</v>
      </c>
      <c r="B421">
        <v>201</v>
      </c>
      <c r="C421" s="1" t="str">
        <f>IF(Tabela8[[#This Row],[SETOR]]="","",IF(Tabela8[[#This Row],[SETOR]]&lt;200,"GV 10",IF(Tabela8[[#This Row],[SETOR]]&lt;300,"GV 20",IF(Tabela8[[#This Row],[SETOR]]&lt;400,"GV 30","S/GV"))))</f>
        <v>GV 20</v>
      </c>
      <c r="E421" t="s">
        <v>123</v>
      </c>
      <c r="G421" t="str">
        <f>_xlfn.CONCAT(Tabela9[[#This Row],[Coluna1]],Tabela9[[#This Row],[Coluna2]])</f>
        <v>20-Rota</v>
      </c>
    </row>
    <row r="422" spans="1:7" x14ac:dyDescent="0.25">
      <c r="A422">
        <v>4022</v>
      </c>
      <c r="B422">
        <v>306</v>
      </c>
      <c r="C422" s="1" t="str">
        <f>IF(Tabela8[[#This Row],[SETOR]]="","",IF(Tabela8[[#This Row],[SETOR]]&lt;200,"GV 10",IF(Tabela8[[#This Row],[SETOR]]&lt;300,"GV 20",IF(Tabela8[[#This Row],[SETOR]]&lt;400,"GV 30","S/GV"))))</f>
        <v>GV 30</v>
      </c>
      <c r="E422" t="s">
        <v>125</v>
      </c>
      <c r="G422" t="str">
        <f>_xlfn.CONCAT(Tabela9[[#This Row],[Coluna1]],Tabela9[[#This Row],[Coluna2]])</f>
        <v>18-TRAD</v>
      </c>
    </row>
    <row r="423" spans="1:7" x14ac:dyDescent="0.25">
      <c r="A423">
        <v>4025</v>
      </c>
      <c r="B423">
        <v>301</v>
      </c>
      <c r="C423" s="1" t="str">
        <f>IF(Tabela8[[#This Row],[SETOR]]="","",IF(Tabela8[[#This Row],[SETOR]]&lt;200,"GV 10",IF(Tabela8[[#This Row],[SETOR]]&lt;300,"GV 20",IF(Tabela8[[#This Row],[SETOR]]&lt;400,"GV 30","S/GV"))))</f>
        <v>GV 30</v>
      </c>
      <c r="E423" t="s">
        <v>125</v>
      </c>
      <c r="G423" t="str">
        <f>_xlfn.CONCAT(Tabela9[[#This Row],[Coluna1]],Tabela9[[#This Row],[Coluna2]])</f>
        <v>18-TRAD</v>
      </c>
    </row>
    <row r="424" spans="1:7" x14ac:dyDescent="0.25">
      <c r="A424">
        <v>4026</v>
      </c>
      <c r="B424">
        <v>305</v>
      </c>
      <c r="C424" s="1" t="str">
        <f>IF(Tabela8[[#This Row],[SETOR]]="","",IF(Tabela8[[#This Row],[SETOR]]&lt;200,"GV 10",IF(Tabela8[[#This Row],[SETOR]]&lt;300,"GV 20",IF(Tabela8[[#This Row],[SETOR]]&lt;400,"GV 30","S/GV"))))</f>
        <v>GV 30</v>
      </c>
      <c r="E424" t="s">
        <v>123</v>
      </c>
      <c r="G424" t="str">
        <f>_xlfn.CONCAT(Tabela9[[#This Row],[Coluna1]],Tabela9[[#This Row],[Coluna2]])</f>
        <v>20-Rota</v>
      </c>
    </row>
    <row r="425" spans="1:7" x14ac:dyDescent="0.25">
      <c r="A425">
        <v>4030</v>
      </c>
      <c r="B425">
        <v>306</v>
      </c>
      <c r="C425" s="1" t="str">
        <f>IF(Tabela8[[#This Row],[SETOR]]="","",IF(Tabela8[[#This Row],[SETOR]]&lt;200,"GV 10",IF(Tabela8[[#This Row],[SETOR]]&lt;300,"GV 20",IF(Tabela8[[#This Row],[SETOR]]&lt;400,"GV 30","S/GV"))))</f>
        <v>GV 30</v>
      </c>
      <c r="E425" t="s">
        <v>128</v>
      </c>
      <c r="F425" t="s">
        <v>129</v>
      </c>
      <c r="G425" t="str">
        <f>_xlfn.CONCAT(Tabela9[[#This Row],[Coluna1]],Tabela9[[#This Row],[Coluna2]])</f>
        <v>15-AS(1-4)</v>
      </c>
    </row>
    <row r="426" spans="1:7" x14ac:dyDescent="0.25">
      <c r="A426">
        <v>4040</v>
      </c>
      <c r="B426">
        <v>303</v>
      </c>
      <c r="C426" s="1" t="str">
        <f>IF(Tabela8[[#This Row],[SETOR]]="","",IF(Tabela8[[#This Row],[SETOR]]&lt;200,"GV 10",IF(Tabela8[[#This Row],[SETOR]]&lt;300,"GV 20",IF(Tabela8[[#This Row],[SETOR]]&lt;400,"GV 30","S/GV"))))</f>
        <v>GV 30</v>
      </c>
      <c r="E426" t="s">
        <v>124</v>
      </c>
      <c r="G426" t="str">
        <f>_xlfn.CONCAT(Tabela9[[#This Row],[Coluna1]],Tabela9[[#This Row],[Coluna2]])</f>
        <v>19-VIP</v>
      </c>
    </row>
    <row r="427" spans="1:7" x14ac:dyDescent="0.25">
      <c r="A427">
        <v>4048</v>
      </c>
      <c r="B427">
        <v>305</v>
      </c>
      <c r="C427" s="1" t="str">
        <f>IF(Tabela8[[#This Row],[SETOR]]="","",IF(Tabela8[[#This Row],[SETOR]]&lt;200,"GV 10",IF(Tabela8[[#This Row],[SETOR]]&lt;300,"GV 20",IF(Tabela8[[#This Row],[SETOR]]&lt;400,"GV 30","S/GV"))))</f>
        <v>GV 30</v>
      </c>
      <c r="E427" t="s">
        <v>123</v>
      </c>
      <c r="G427" t="str">
        <f>_xlfn.CONCAT(Tabela9[[#This Row],[Coluna1]],Tabela9[[#This Row],[Coluna2]])</f>
        <v>20-Rota</v>
      </c>
    </row>
    <row r="428" spans="1:7" x14ac:dyDescent="0.25">
      <c r="A428">
        <v>4052</v>
      </c>
      <c r="B428">
        <v>303</v>
      </c>
      <c r="C428" s="1" t="str">
        <f>IF(Tabela8[[#This Row],[SETOR]]="","",IF(Tabela8[[#This Row],[SETOR]]&lt;200,"GV 10",IF(Tabela8[[#This Row],[SETOR]]&lt;300,"GV 20",IF(Tabela8[[#This Row],[SETOR]]&lt;400,"GV 30","S/GV"))))</f>
        <v>GV 30</v>
      </c>
      <c r="E428" t="s">
        <v>125</v>
      </c>
      <c r="G428" t="str">
        <f>_xlfn.CONCAT(Tabela9[[#This Row],[Coluna1]],Tabela9[[#This Row],[Coluna2]])</f>
        <v>18-TRAD</v>
      </c>
    </row>
    <row r="429" spans="1:7" x14ac:dyDescent="0.25">
      <c r="A429">
        <v>4062</v>
      </c>
      <c r="B429">
        <v>306</v>
      </c>
      <c r="C429" s="1" t="str">
        <f>IF(Tabela8[[#This Row],[SETOR]]="","",IF(Tabela8[[#This Row],[SETOR]]&lt;200,"GV 10",IF(Tabela8[[#This Row],[SETOR]]&lt;300,"GV 20",IF(Tabela8[[#This Row],[SETOR]]&lt;400,"GV 30","S/GV"))))</f>
        <v>GV 30</v>
      </c>
      <c r="E429" t="s">
        <v>128</v>
      </c>
      <c r="F429" t="s">
        <v>129</v>
      </c>
      <c r="G429" t="str">
        <f>_xlfn.CONCAT(Tabela9[[#This Row],[Coluna1]],Tabela9[[#This Row],[Coluna2]])</f>
        <v>15-AS(1-4)</v>
      </c>
    </row>
    <row r="430" spans="1:7" x14ac:dyDescent="0.25">
      <c r="A430">
        <v>4064</v>
      </c>
      <c r="B430">
        <v>906</v>
      </c>
      <c r="C430" s="1" t="str">
        <f>IF(Tabela8[[#This Row],[SETOR]]="","",IF(Tabela8[[#This Row],[SETOR]]&lt;200,"GV 10",IF(Tabela8[[#This Row],[SETOR]]&lt;300,"GV 20",IF(Tabela8[[#This Row],[SETOR]]&lt;400,"GV 30","S/GV"))))</f>
        <v>S/GV</v>
      </c>
      <c r="G430" t="str">
        <f>_xlfn.CONCAT(Tabela9[[#This Row],[Coluna1]],Tabela9[[#This Row],[Coluna2]])</f>
        <v/>
      </c>
    </row>
    <row r="431" spans="1:7" x14ac:dyDescent="0.25">
      <c r="A431">
        <v>4065</v>
      </c>
      <c r="B431">
        <v>201</v>
      </c>
      <c r="C431" s="1" t="str">
        <f>IF(Tabela8[[#This Row],[SETOR]]="","",IF(Tabela8[[#This Row],[SETOR]]&lt;200,"GV 10",IF(Tabela8[[#This Row],[SETOR]]&lt;300,"GV 20",IF(Tabela8[[#This Row],[SETOR]]&lt;400,"GV 30","S/GV"))))</f>
        <v>GV 20</v>
      </c>
      <c r="E431" t="s">
        <v>123</v>
      </c>
      <c r="G431" t="str">
        <f>_xlfn.CONCAT(Tabela9[[#This Row],[Coluna1]],Tabela9[[#This Row],[Coluna2]])</f>
        <v>20-Rota</v>
      </c>
    </row>
    <row r="432" spans="1:7" x14ac:dyDescent="0.25">
      <c r="A432">
        <v>4076</v>
      </c>
      <c r="B432">
        <v>308</v>
      </c>
      <c r="C432" s="1" t="str">
        <f>IF(Tabela8[[#This Row],[SETOR]]="","",IF(Tabela8[[#This Row],[SETOR]]&lt;200,"GV 10",IF(Tabela8[[#This Row],[SETOR]]&lt;300,"GV 20",IF(Tabela8[[#This Row],[SETOR]]&lt;400,"GV 30","S/GV"))))</f>
        <v>GV 30</v>
      </c>
      <c r="E432" t="s">
        <v>128</v>
      </c>
      <c r="F432" t="s">
        <v>129</v>
      </c>
      <c r="G432" t="str">
        <f>_xlfn.CONCAT(Tabela9[[#This Row],[Coluna1]],Tabela9[[#This Row],[Coluna2]])</f>
        <v>15-AS(1-4)</v>
      </c>
    </row>
    <row r="433" spans="1:7" x14ac:dyDescent="0.25">
      <c r="A433">
        <v>4110</v>
      </c>
      <c r="B433">
        <v>301</v>
      </c>
      <c r="C433" s="1" t="str">
        <f>IF(Tabela8[[#This Row],[SETOR]]="","",IF(Tabela8[[#This Row],[SETOR]]&lt;200,"GV 10",IF(Tabela8[[#This Row],[SETOR]]&lt;300,"GV 20",IF(Tabela8[[#This Row],[SETOR]]&lt;400,"GV 30","S/GV"))))</f>
        <v>GV 30</v>
      </c>
      <c r="E433" t="s">
        <v>123</v>
      </c>
      <c r="G433" t="str">
        <f>_xlfn.CONCAT(Tabela9[[#This Row],[Coluna1]],Tabela9[[#This Row],[Coluna2]])</f>
        <v>20-Rota</v>
      </c>
    </row>
    <row r="434" spans="1:7" x14ac:dyDescent="0.25">
      <c r="A434">
        <v>4120</v>
      </c>
      <c r="B434">
        <v>104</v>
      </c>
      <c r="C434" s="1" t="str">
        <f>IF(Tabela8[[#This Row],[SETOR]]="","",IF(Tabela8[[#This Row],[SETOR]]&lt;200,"GV 10",IF(Tabela8[[#This Row],[SETOR]]&lt;300,"GV 20",IF(Tabela8[[#This Row],[SETOR]]&lt;400,"GV 30","S/GV"))))</f>
        <v>GV 10</v>
      </c>
      <c r="E434" t="s">
        <v>123</v>
      </c>
      <c r="G434" t="str">
        <f>_xlfn.CONCAT(Tabela9[[#This Row],[Coluna1]],Tabela9[[#This Row],[Coluna2]])</f>
        <v>20-Rota</v>
      </c>
    </row>
    <row r="435" spans="1:7" x14ac:dyDescent="0.25">
      <c r="A435">
        <v>4136</v>
      </c>
      <c r="B435">
        <v>306</v>
      </c>
      <c r="C435" s="1" t="str">
        <f>IF(Tabela8[[#This Row],[SETOR]]="","",IF(Tabela8[[#This Row],[SETOR]]&lt;200,"GV 10",IF(Tabela8[[#This Row],[SETOR]]&lt;300,"GV 20",IF(Tabela8[[#This Row],[SETOR]]&lt;400,"GV 30","S/GV"))))</f>
        <v>GV 30</v>
      </c>
      <c r="E435" t="s">
        <v>125</v>
      </c>
      <c r="G435" t="str">
        <f>_xlfn.CONCAT(Tabela9[[#This Row],[Coluna1]],Tabela9[[#This Row],[Coluna2]])</f>
        <v>18-TRAD</v>
      </c>
    </row>
    <row r="436" spans="1:7" x14ac:dyDescent="0.25">
      <c r="A436">
        <v>4137</v>
      </c>
      <c r="B436">
        <v>302</v>
      </c>
      <c r="C436" s="1" t="str">
        <f>IF(Tabela8[[#This Row],[SETOR]]="","",IF(Tabela8[[#This Row],[SETOR]]&lt;200,"GV 10",IF(Tabela8[[#This Row],[SETOR]]&lt;300,"GV 20",IF(Tabela8[[#This Row],[SETOR]]&lt;400,"GV 30","S/GV"))))</f>
        <v>GV 30</v>
      </c>
      <c r="E436" t="s">
        <v>123</v>
      </c>
      <c r="G436" t="str">
        <f>_xlfn.CONCAT(Tabela9[[#This Row],[Coluna1]],Tabela9[[#This Row],[Coluna2]])</f>
        <v>20-Rota</v>
      </c>
    </row>
    <row r="437" spans="1:7" x14ac:dyDescent="0.25">
      <c r="A437">
        <v>4145</v>
      </c>
      <c r="B437">
        <v>202</v>
      </c>
      <c r="C437" s="1" t="str">
        <f>IF(Tabela8[[#This Row],[SETOR]]="","",IF(Tabela8[[#This Row],[SETOR]]&lt;200,"GV 10",IF(Tabela8[[#This Row],[SETOR]]&lt;300,"GV 20",IF(Tabela8[[#This Row],[SETOR]]&lt;400,"GV 30","S/GV"))))</f>
        <v>GV 20</v>
      </c>
      <c r="E437" t="s">
        <v>125</v>
      </c>
      <c r="G437" t="str">
        <f>_xlfn.CONCAT(Tabela9[[#This Row],[Coluna1]],Tabela9[[#This Row],[Coluna2]])</f>
        <v>18-TRAD</v>
      </c>
    </row>
    <row r="438" spans="1:7" x14ac:dyDescent="0.25">
      <c r="A438">
        <v>4157</v>
      </c>
      <c r="B438">
        <v>906</v>
      </c>
      <c r="C438" s="1" t="str">
        <f>IF(Tabela8[[#This Row],[SETOR]]="","",IF(Tabela8[[#This Row],[SETOR]]&lt;200,"GV 10",IF(Tabela8[[#This Row],[SETOR]]&lt;300,"GV 20",IF(Tabela8[[#This Row],[SETOR]]&lt;400,"GV 30","S/GV"))))</f>
        <v>S/GV</v>
      </c>
      <c r="G438" t="str">
        <f>_xlfn.CONCAT(Tabela9[[#This Row],[Coluna1]],Tabela9[[#This Row],[Coluna2]])</f>
        <v/>
      </c>
    </row>
    <row r="439" spans="1:7" x14ac:dyDescent="0.25">
      <c r="A439">
        <v>4165</v>
      </c>
      <c r="B439">
        <v>208</v>
      </c>
      <c r="C439" s="1" t="str">
        <f>IF(Tabela8[[#This Row],[SETOR]]="","",IF(Tabela8[[#This Row],[SETOR]]&lt;200,"GV 10",IF(Tabela8[[#This Row],[SETOR]]&lt;300,"GV 20",IF(Tabela8[[#This Row],[SETOR]]&lt;400,"GV 30","S/GV"))))</f>
        <v>GV 20</v>
      </c>
      <c r="E439" t="s">
        <v>128</v>
      </c>
      <c r="F439" t="s">
        <v>129</v>
      </c>
      <c r="G439" t="str">
        <f>_xlfn.CONCAT(Tabela9[[#This Row],[Coluna1]],Tabela9[[#This Row],[Coluna2]])</f>
        <v>15-AS(1-4)</v>
      </c>
    </row>
    <row r="440" spans="1:7" x14ac:dyDescent="0.25">
      <c r="A440">
        <v>4167</v>
      </c>
      <c r="B440">
        <v>303</v>
      </c>
      <c r="C440" s="1" t="str">
        <f>IF(Tabela8[[#This Row],[SETOR]]="","",IF(Tabela8[[#This Row],[SETOR]]&lt;200,"GV 10",IF(Tabela8[[#This Row],[SETOR]]&lt;300,"GV 20",IF(Tabela8[[#This Row],[SETOR]]&lt;400,"GV 30","S/GV"))))</f>
        <v>GV 30</v>
      </c>
      <c r="E440" t="s">
        <v>125</v>
      </c>
      <c r="G440" t="str">
        <f>_xlfn.CONCAT(Tabela9[[#This Row],[Coluna1]],Tabela9[[#This Row],[Coluna2]])</f>
        <v>18-TRAD</v>
      </c>
    </row>
    <row r="441" spans="1:7" x14ac:dyDescent="0.25">
      <c r="A441">
        <v>4196</v>
      </c>
      <c r="B441">
        <v>207</v>
      </c>
      <c r="C441" s="1" t="str">
        <f>IF(Tabela8[[#This Row],[SETOR]]="","",IF(Tabela8[[#This Row],[SETOR]]&lt;200,"GV 10",IF(Tabela8[[#This Row],[SETOR]]&lt;300,"GV 20",IF(Tabela8[[#This Row],[SETOR]]&lt;400,"GV 30","S/GV"))))</f>
        <v>GV 20</v>
      </c>
      <c r="E441" t="s">
        <v>125</v>
      </c>
      <c r="G441" t="str">
        <f>_xlfn.CONCAT(Tabela9[[#This Row],[Coluna1]],Tabela9[[#This Row],[Coluna2]])</f>
        <v>18-TRAD</v>
      </c>
    </row>
    <row r="442" spans="1:7" x14ac:dyDescent="0.25">
      <c r="A442">
        <v>4204</v>
      </c>
      <c r="B442">
        <v>103</v>
      </c>
      <c r="C442" s="1" t="str">
        <f>IF(Tabela8[[#This Row],[SETOR]]="","",IF(Tabela8[[#This Row],[SETOR]]&lt;200,"GV 10",IF(Tabela8[[#This Row],[SETOR]]&lt;300,"GV 20",IF(Tabela8[[#This Row],[SETOR]]&lt;400,"GV 30","S/GV"))))</f>
        <v>GV 10</v>
      </c>
      <c r="E442" t="s">
        <v>125</v>
      </c>
      <c r="G442" t="str">
        <f>_xlfn.CONCAT(Tabela9[[#This Row],[Coluna1]],Tabela9[[#This Row],[Coluna2]])</f>
        <v>18-TRAD</v>
      </c>
    </row>
    <row r="443" spans="1:7" x14ac:dyDescent="0.25">
      <c r="A443">
        <v>4231</v>
      </c>
      <c r="B443">
        <v>108</v>
      </c>
      <c r="C443" s="1" t="str">
        <f>IF(Tabela8[[#This Row],[SETOR]]="","",IF(Tabela8[[#This Row],[SETOR]]&lt;200,"GV 10",IF(Tabela8[[#This Row],[SETOR]]&lt;300,"GV 20",IF(Tabela8[[#This Row],[SETOR]]&lt;400,"GV 30","S/GV"))))</f>
        <v>GV 10</v>
      </c>
      <c r="E443" t="s">
        <v>126</v>
      </c>
      <c r="F443" t="s">
        <v>127</v>
      </c>
      <c r="G443" t="str">
        <f>_xlfn.CONCAT(Tabela9[[#This Row],[Coluna1]],Tabela9[[#This Row],[Coluna2]])</f>
        <v>16-AS(5+)</v>
      </c>
    </row>
    <row r="444" spans="1:7" x14ac:dyDescent="0.25">
      <c r="A444">
        <v>4234</v>
      </c>
      <c r="B444">
        <v>204</v>
      </c>
      <c r="C444" s="1" t="str">
        <f>IF(Tabela8[[#This Row],[SETOR]]="","",IF(Tabela8[[#This Row],[SETOR]]&lt;200,"GV 10",IF(Tabela8[[#This Row],[SETOR]]&lt;300,"GV 20",IF(Tabela8[[#This Row],[SETOR]]&lt;400,"GV 30","S/GV"))))</f>
        <v>GV 20</v>
      </c>
      <c r="E444" t="s">
        <v>123</v>
      </c>
      <c r="G444" t="str">
        <f>_xlfn.CONCAT(Tabela9[[#This Row],[Coluna1]],Tabela9[[#This Row],[Coluna2]])</f>
        <v>20-Rota</v>
      </c>
    </row>
    <row r="445" spans="1:7" x14ac:dyDescent="0.25">
      <c r="A445">
        <v>4250</v>
      </c>
      <c r="B445">
        <v>907</v>
      </c>
      <c r="C445" s="1" t="str">
        <f>IF(Tabela8[[#This Row],[SETOR]]="","",IF(Tabela8[[#This Row],[SETOR]]&lt;200,"GV 10",IF(Tabela8[[#This Row],[SETOR]]&lt;300,"GV 20",IF(Tabela8[[#This Row],[SETOR]]&lt;400,"GV 30","S/GV"))))</f>
        <v>S/GV</v>
      </c>
      <c r="G445" t="str">
        <f>_xlfn.CONCAT(Tabela9[[#This Row],[Coluna1]],Tabela9[[#This Row],[Coluna2]])</f>
        <v/>
      </c>
    </row>
    <row r="446" spans="1:7" x14ac:dyDescent="0.25">
      <c r="A446">
        <v>4278</v>
      </c>
      <c r="B446">
        <v>203</v>
      </c>
      <c r="C446" s="1" t="str">
        <f>IF(Tabela8[[#This Row],[SETOR]]="","",IF(Tabela8[[#This Row],[SETOR]]&lt;200,"GV 10",IF(Tabela8[[#This Row],[SETOR]]&lt;300,"GV 20",IF(Tabela8[[#This Row],[SETOR]]&lt;400,"GV 30","S/GV"))))</f>
        <v>GV 20</v>
      </c>
      <c r="E446" t="s">
        <v>123</v>
      </c>
      <c r="G446" t="str">
        <f>_xlfn.CONCAT(Tabela9[[#This Row],[Coluna1]],Tabela9[[#This Row],[Coluna2]])</f>
        <v>20-Rota</v>
      </c>
    </row>
    <row r="447" spans="1:7" x14ac:dyDescent="0.25">
      <c r="A447">
        <v>4283</v>
      </c>
      <c r="B447">
        <v>916</v>
      </c>
      <c r="C447" s="1" t="str">
        <f>IF(Tabela8[[#This Row],[SETOR]]="","",IF(Tabela8[[#This Row],[SETOR]]&lt;200,"GV 10",IF(Tabela8[[#This Row],[SETOR]]&lt;300,"GV 20",IF(Tabela8[[#This Row],[SETOR]]&lt;400,"GV 30","S/GV"))))</f>
        <v>S/GV</v>
      </c>
      <c r="G447" t="str">
        <f>_xlfn.CONCAT(Tabela9[[#This Row],[Coluna1]],Tabela9[[#This Row],[Coluna2]])</f>
        <v/>
      </c>
    </row>
    <row r="448" spans="1:7" x14ac:dyDescent="0.25">
      <c r="A448">
        <v>4293</v>
      </c>
      <c r="B448">
        <v>203</v>
      </c>
      <c r="C448" s="1" t="str">
        <f>IF(Tabela8[[#This Row],[SETOR]]="","",IF(Tabela8[[#This Row],[SETOR]]&lt;200,"GV 10",IF(Tabela8[[#This Row],[SETOR]]&lt;300,"GV 20",IF(Tabela8[[#This Row],[SETOR]]&lt;400,"GV 30","S/GV"))))</f>
        <v>GV 20</v>
      </c>
      <c r="E448" t="s">
        <v>123</v>
      </c>
      <c r="G448" t="str">
        <f>_xlfn.CONCAT(Tabela9[[#This Row],[Coluna1]],Tabela9[[#This Row],[Coluna2]])</f>
        <v>20-Rota</v>
      </c>
    </row>
    <row r="449" spans="1:7" x14ac:dyDescent="0.25">
      <c r="A449">
        <v>4297</v>
      </c>
      <c r="B449">
        <v>104</v>
      </c>
      <c r="C449" s="1" t="str">
        <f>IF(Tabela8[[#This Row],[SETOR]]="","",IF(Tabela8[[#This Row],[SETOR]]&lt;200,"GV 10",IF(Tabela8[[#This Row],[SETOR]]&lt;300,"GV 20",IF(Tabela8[[#This Row],[SETOR]]&lt;400,"GV 30","S/GV"))))</f>
        <v>GV 10</v>
      </c>
      <c r="E449" t="s">
        <v>123</v>
      </c>
      <c r="G449" t="str">
        <f>_xlfn.CONCAT(Tabela9[[#This Row],[Coluna1]],Tabela9[[#This Row],[Coluna2]])</f>
        <v>20-Rota</v>
      </c>
    </row>
    <row r="450" spans="1:7" x14ac:dyDescent="0.25">
      <c r="A450">
        <v>4321</v>
      </c>
      <c r="B450">
        <v>306</v>
      </c>
      <c r="C450" s="1" t="str">
        <f>IF(Tabela8[[#This Row],[SETOR]]="","",IF(Tabela8[[#This Row],[SETOR]]&lt;200,"GV 10",IF(Tabela8[[#This Row],[SETOR]]&lt;300,"GV 20",IF(Tabela8[[#This Row],[SETOR]]&lt;400,"GV 30","S/GV"))))</f>
        <v>GV 30</v>
      </c>
      <c r="E450" t="s">
        <v>125</v>
      </c>
      <c r="G450" t="str">
        <f>_xlfn.CONCAT(Tabela9[[#This Row],[Coluna1]],Tabela9[[#This Row],[Coluna2]])</f>
        <v>18-TRAD</v>
      </c>
    </row>
    <row r="451" spans="1:7" x14ac:dyDescent="0.25">
      <c r="A451">
        <v>4323</v>
      </c>
      <c r="B451">
        <v>304</v>
      </c>
      <c r="C451" s="1" t="str">
        <f>IF(Tabela8[[#This Row],[SETOR]]="","",IF(Tabela8[[#This Row],[SETOR]]&lt;200,"GV 10",IF(Tabela8[[#This Row],[SETOR]]&lt;300,"GV 20",IF(Tabela8[[#This Row],[SETOR]]&lt;400,"GV 30","S/GV"))))</f>
        <v>GV 30</v>
      </c>
      <c r="E451" t="s">
        <v>123</v>
      </c>
      <c r="G451" t="str">
        <f>_xlfn.CONCAT(Tabela9[[#This Row],[Coluna1]],Tabela9[[#This Row],[Coluna2]])</f>
        <v>20-Rota</v>
      </c>
    </row>
    <row r="452" spans="1:7" x14ac:dyDescent="0.25">
      <c r="A452">
        <v>4325</v>
      </c>
      <c r="B452">
        <v>301</v>
      </c>
      <c r="C452" s="1" t="str">
        <f>IF(Tabela8[[#This Row],[SETOR]]="","",IF(Tabela8[[#This Row],[SETOR]]&lt;200,"GV 10",IF(Tabela8[[#This Row],[SETOR]]&lt;300,"GV 20",IF(Tabela8[[#This Row],[SETOR]]&lt;400,"GV 30","S/GV"))))</f>
        <v>GV 30</v>
      </c>
      <c r="E452" t="s">
        <v>123</v>
      </c>
      <c r="G452" t="str">
        <f>_xlfn.CONCAT(Tabela9[[#This Row],[Coluna1]],Tabela9[[#This Row],[Coluna2]])</f>
        <v>20-Rota</v>
      </c>
    </row>
    <row r="453" spans="1:7" x14ac:dyDescent="0.25">
      <c r="A453">
        <v>4327</v>
      </c>
      <c r="B453">
        <v>305</v>
      </c>
      <c r="C453" s="1" t="str">
        <f>IF(Tabela8[[#This Row],[SETOR]]="","",IF(Tabela8[[#This Row],[SETOR]]&lt;200,"GV 10",IF(Tabela8[[#This Row],[SETOR]]&lt;300,"GV 20",IF(Tabela8[[#This Row],[SETOR]]&lt;400,"GV 30","S/GV"))))</f>
        <v>GV 30</v>
      </c>
      <c r="E453" t="s">
        <v>123</v>
      </c>
      <c r="G453" t="str">
        <f>_xlfn.CONCAT(Tabela9[[#This Row],[Coluna1]],Tabela9[[#This Row],[Coluna2]])</f>
        <v>20-Rota</v>
      </c>
    </row>
    <row r="454" spans="1:7" x14ac:dyDescent="0.25">
      <c r="A454">
        <v>4329</v>
      </c>
      <c r="B454">
        <v>303</v>
      </c>
      <c r="C454" s="1" t="str">
        <f>IF(Tabela8[[#This Row],[SETOR]]="","",IF(Tabela8[[#This Row],[SETOR]]&lt;200,"GV 10",IF(Tabela8[[#This Row],[SETOR]]&lt;300,"GV 20",IF(Tabela8[[#This Row],[SETOR]]&lt;400,"GV 30","S/GV"))))</f>
        <v>GV 30</v>
      </c>
      <c r="E454" t="s">
        <v>123</v>
      </c>
      <c r="G454" t="str">
        <f>_xlfn.CONCAT(Tabela9[[#This Row],[Coluna1]],Tabela9[[#This Row],[Coluna2]])</f>
        <v>20-Rota</v>
      </c>
    </row>
    <row r="455" spans="1:7" x14ac:dyDescent="0.25">
      <c r="A455">
        <v>4331</v>
      </c>
      <c r="B455">
        <v>203</v>
      </c>
      <c r="C455" s="1" t="str">
        <f>IF(Tabela8[[#This Row],[SETOR]]="","",IF(Tabela8[[#This Row],[SETOR]]&lt;200,"GV 10",IF(Tabela8[[#This Row],[SETOR]]&lt;300,"GV 20",IF(Tabela8[[#This Row],[SETOR]]&lt;400,"GV 30","S/GV"))))</f>
        <v>GV 20</v>
      </c>
      <c r="E455" t="s">
        <v>125</v>
      </c>
      <c r="G455" t="str">
        <f>_xlfn.CONCAT(Tabela9[[#This Row],[Coluna1]],Tabela9[[#This Row],[Coluna2]])</f>
        <v>18-TRAD</v>
      </c>
    </row>
    <row r="456" spans="1:7" x14ac:dyDescent="0.25">
      <c r="A456">
        <v>4341</v>
      </c>
      <c r="B456">
        <v>202</v>
      </c>
      <c r="C456" s="1" t="str">
        <f>IF(Tabela8[[#This Row],[SETOR]]="","",IF(Tabela8[[#This Row],[SETOR]]&lt;200,"GV 10",IF(Tabela8[[#This Row],[SETOR]]&lt;300,"GV 20",IF(Tabela8[[#This Row],[SETOR]]&lt;400,"GV 30","S/GV"))))</f>
        <v>GV 20</v>
      </c>
      <c r="E456" t="s">
        <v>123</v>
      </c>
      <c r="G456" t="str">
        <f>_xlfn.CONCAT(Tabela9[[#This Row],[Coluna1]],Tabela9[[#This Row],[Coluna2]])</f>
        <v>20-Rota</v>
      </c>
    </row>
    <row r="457" spans="1:7" x14ac:dyDescent="0.25">
      <c r="A457">
        <v>4344</v>
      </c>
      <c r="B457">
        <v>906</v>
      </c>
      <c r="C457" s="1" t="str">
        <f>IF(Tabela8[[#This Row],[SETOR]]="","",IF(Tabela8[[#This Row],[SETOR]]&lt;200,"GV 10",IF(Tabela8[[#This Row],[SETOR]]&lt;300,"GV 20",IF(Tabela8[[#This Row],[SETOR]]&lt;400,"GV 30","S/GV"))))</f>
        <v>S/GV</v>
      </c>
      <c r="G457" t="str">
        <f>_xlfn.CONCAT(Tabela9[[#This Row],[Coluna1]],Tabela9[[#This Row],[Coluna2]])</f>
        <v/>
      </c>
    </row>
    <row r="458" spans="1:7" x14ac:dyDescent="0.25">
      <c r="A458">
        <v>4367</v>
      </c>
      <c r="B458">
        <v>906</v>
      </c>
      <c r="C458" s="1" t="str">
        <f>IF(Tabela8[[#This Row],[SETOR]]="","",IF(Tabela8[[#This Row],[SETOR]]&lt;200,"GV 10",IF(Tabela8[[#This Row],[SETOR]]&lt;300,"GV 20",IF(Tabela8[[#This Row],[SETOR]]&lt;400,"GV 30","S/GV"))))</f>
        <v>S/GV</v>
      </c>
      <c r="G458" t="str">
        <f>_xlfn.CONCAT(Tabela9[[#This Row],[Coluna1]],Tabela9[[#This Row],[Coluna2]])</f>
        <v/>
      </c>
    </row>
    <row r="459" spans="1:7" x14ac:dyDescent="0.25">
      <c r="A459">
        <v>4381</v>
      </c>
      <c r="B459">
        <v>303</v>
      </c>
      <c r="C459" s="1" t="str">
        <f>IF(Tabela8[[#This Row],[SETOR]]="","",IF(Tabela8[[#This Row],[SETOR]]&lt;200,"GV 10",IF(Tabela8[[#This Row],[SETOR]]&lt;300,"GV 20",IF(Tabela8[[#This Row],[SETOR]]&lt;400,"GV 30","S/GV"))))</f>
        <v>GV 30</v>
      </c>
      <c r="E459" t="s">
        <v>128</v>
      </c>
      <c r="F459" t="s">
        <v>129</v>
      </c>
      <c r="G459" t="str">
        <f>_xlfn.CONCAT(Tabela9[[#This Row],[Coluna1]],Tabela9[[#This Row],[Coluna2]])</f>
        <v>15-AS(1-4)</v>
      </c>
    </row>
    <row r="460" spans="1:7" x14ac:dyDescent="0.25">
      <c r="A460">
        <v>4386</v>
      </c>
      <c r="B460">
        <v>104</v>
      </c>
      <c r="C460" s="1" t="str">
        <f>IF(Tabela8[[#This Row],[SETOR]]="","",IF(Tabela8[[#This Row],[SETOR]]&lt;200,"GV 10",IF(Tabela8[[#This Row],[SETOR]]&lt;300,"GV 20",IF(Tabela8[[#This Row],[SETOR]]&lt;400,"GV 30","S/GV"))))</f>
        <v>GV 10</v>
      </c>
      <c r="E460" t="s">
        <v>123</v>
      </c>
      <c r="G460" t="str">
        <f>_xlfn.CONCAT(Tabela9[[#This Row],[Coluna1]],Tabela9[[#This Row],[Coluna2]])</f>
        <v>20-Rota</v>
      </c>
    </row>
    <row r="461" spans="1:7" x14ac:dyDescent="0.25">
      <c r="A461">
        <v>4388</v>
      </c>
      <c r="B461">
        <v>308</v>
      </c>
      <c r="C461" s="1" t="str">
        <f>IF(Tabela8[[#This Row],[SETOR]]="","",IF(Tabela8[[#This Row],[SETOR]]&lt;200,"GV 10",IF(Tabela8[[#This Row],[SETOR]]&lt;300,"GV 20",IF(Tabela8[[#This Row],[SETOR]]&lt;400,"GV 30","S/GV"))))</f>
        <v>GV 30</v>
      </c>
      <c r="E461" t="s">
        <v>128</v>
      </c>
      <c r="F461" t="s">
        <v>129</v>
      </c>
      <c r="G461" t="str">
        <f>_xlfn.CONCAT(Tabela9[[#This Row],[Coluna1]],Tabela9[[#This Row],[Coluna2]])</f>
        <v>15-AS(1-4)</v>
      </c>
    </row>
    <row r="462" spans="1:7" x14ac:dyDescent="0.25">
      <c r="A462">
        <v>4390</v>
      </c>
      <c r="B462">
        <v>104</v>
      </c>
      <c r="C462" s="1" t="str">
        <f>IF(Tabela8[[#This Row],[SETOR]]="","",IF(Tabela8[[#This Row],[SETOR]]&lt;200,"GV 10",IF(Tabela8[[#This Row],[SETOR]]&lt;300,"GV 20",IF(Tabela8[[#This Row],[SETOR]]&lt;400,"GV 30","S/GV"))))</f>
        <v>GV 10</v>
      </c>
      <c r="E462" t="s">
        <v>123</v>
      </c>
      <c r="G462" t="str">
        <f>_xlfn.CONCAT(Tabela9[[#This Row],[Coluna1]],Tabela9[[#This Row],[Coluna2]])</f>
        <v>20-Rota</v>
      </c>
    </row>
    <row r="463" spans="1:7" x14ac:dyDescent="0.25">
      <c r="A463">
        <v>4393</v>
      </c>
      <c r="B463">
        <v>107</v>
      </c>
      <c r="C463" s="1" t="str">
        <f>IF(Tabela8[[#This Row],[SETOR]]="","",IF(Tabela8[[#This Row],[SETOR]]&lt;200,"GV 10",IF(Tabela8[[#This Row],[SETOR]]&lt;300,"GV 20",IF(Tabela8[[#This Row],[SETOR]]&lt;400,"GV 30","S/GV"))))</f>
        <v>GV 10</v>
      </c>
      <c r="E463" t="s">
        <v>125</v>
      </c>
      <c r="G463" t="str">
        <f>_xlfn.CONCAT(Tabela9[[#This Row],[Coluna1]],Tabela9[[#This Row],[Coluna2]])</f>
        <v>18-TRAD</v>
      </c>
    </row>
    <row r="464" spans="1:7" x14ac:dyDescent="0.25">
      <c r="A464">
        <v>4404</v>
      </c>
      <c r="B464">
        <v>916</v>
      </c>
      <c r="C464" s="1" t="str">
        <f>IF(Tabela8[[#This Row],[SETOR]]="","",IF(Tabela8[[#This Row],[SETOR]]&lt;200,"GV 10",IF(Tabela8[[#This Row],[SETOR]]&lt;300,"GV 20",IF(Tabela8[[#This Row],[SETOR]]&lt;400,"GV 30","S/GV"))))</f>
        <v>S/GV</v>
      </c>
      <c r="G464" t="str">
        <f>_xlfn.CONCAT(Tabela9[[#This Row],[Coluna1]],Tabela9[[#This Row],[Coluna2]])</f>
        <v/>
      </c>
    </row>
    <row r="465" spans="1:7" x14ac:dyDescent="0.25">
      <c r="A465">
        <v>4414</v>
      </c>
      <c r="B465">
        <v>203</v>
      </c>
      <c r="C465" s="1" t="str">
        <f>IF(Tabela8[[#This Row],[SETOR]]="","",IF(Tabela8[[#This Row],[SETOR]]&lt;200,"GV 10",IF(Tabela8[[#This Row],[SETOR]]&lt;300,"GV 20",IF(Tabela8[[#This Row],[SETOR]]&lt;400,"GV 30","S/GV"))))</f>
        <v>GV 20</v>
      </c>
      <c r="E465" t="s">
        <v>123</v>
      </c>
      <c r="G465" t="str">
        <f>_xlfn.CONCAT(Tabela9[[#This Row],[Coluna1]],Tabela9[[#This Row],[Coluna2]])</f>
        <v>20-Rota</v>
      </c>
    </row>
    <row r="466" spans="1:7" x14ac:dyDescent="0.25">
      <c r="A466">
        <v>4429</v>
      </c>
      <c r="B466">
        <v>202</v>
      </c>
      <c r="C466" s="1" t="str">
        <f>IF(Tabela8[[#This Row],[SETOR]]="","",IF(Tabela8[[#This Row],[SETOR]]&lt;200,"GV 10",IF(Tabela8[[#This Row],[SETOR]]&lt;300,"GV 20",IF(Tabela8[[#This Row],[SETOR]]&lt;400,"GV 30","S/GV"))))</f>
        <v>GV 20</v>
      </c>
      <c r="E466" t="s">
        <v>125</v>
      </c>
      <c r="G466" t="str">
        <f>_xlfn.CONCAT(Tabela9[[#This Row],[Coluna1]],Tabela9[[#This Row],[Coluna2]])</f>
        <v>18-TRAD</v>
      </c>
    </row>
    <row r="467" spans="1:7" x14ac:dyDescent="0.25">
      <c r="A467">
        <v>4434</v>
      </c>
      <c r="B467">
        <v>202</v>
      </c>
      <c r="C467" s="1" t="str">
        <f>IF(Tabela8[[#This Row],[SETOR]]="","",IF(Tabela8[[#This Row],[SETOR]]&lt;200,"GV 10",IF(Tabela8[[#This Row],[SETOR]]&lt;300,"GV 20",IF(Tabela8[[#This Row],[SETOR]]&lt;400,"GV 30","S/GV"))))</f>
        <v>GV 20</v>
      </c>
      <c r="E467" t="s">
        <v>123</v>
      </c>
      <c r="G467" t="str">
        <f>_xlfn.CONCAT(Tabela9[[#This Row],[Coluna1]],Tabela9[[#This Row],[Coluna2]])</f>
        <v>20-Rota</v>
      </c>
    </row>
    <row r="468" spans="1:7" x14ac:dyDescent="0.25">
      <c r="A468">
        <v>4435</v>
      </c>
      <c r="B468">
        <v>101</v>
      </c>
      <c r="C468" s="1" t="str">
        <f>IF(Tabela8[[#This Row],[SETOR]]="","",IF(Tabela8[[#This Row],[SETOR]]&lt;200,"GV 10",IF(Tabela8[[#This Row],[SETOR]]&lt;300,"GV 20",IF(Tabela8[[#This Row],[SETOR]]&lt;400,"GV 30","S/GV"))))</f>
        <v>GV 10</v>
      </c>
      <c r="E468" t="s">
        <v>123</v>
      </c>
      <c r="G468" t="str">
        <f>_xlfn.CONCAT(Tabela9[[#This Row],[Coluna1]],Tabela9[[#This Row],[Coluna2]])</f>
        <v>20-Rota</v>
      </c>
    </row>
    <row r="469" spans="1:7" x14ac:dyDescent="0.25">
      <c r="A469">
        <v>4438</v>
      </c>
      <c r="B469">
        <v>207</v>
      </c>
      <c r="C469" s="1" t="str">
        <f>IF(Tabela8[[#This Row],[SETOR]]="","",IF(Tabela8[[#This Row],[SETOR]]&lt;200,"GV 10",IF(Tabela8[[#This Row],[SETOR]]&lt;300,"GV 20",IF(Tabela8[[#This Row],[SETOR]]&lt;400,"GV 30","S/GV"))))</f>
        <v>GV 20</v>
      </c>
      <c r="E469" t="s">
        <v>128</v>
      </c>
      <c r="F469" t="s">
        <v>129</v>
      </c>
      <c r="G469" t="str">
        <f>_xlfn.CONCAT(Tabela9[[#This Row],[Coluna1]],Tabela9[[#This Row],[Coluna2]])</f>
        <v>15-AS(1-4)</v>
      </c>
    </row>
    <row r="470" spans="1:7" x14ac:dyDescent="0.25">
      <c r="A470">
        <v>4473</v>
      </c>
      <c r="B470">
        <v>105</v>
      </c>
      <c r="C470" s="1" t="str">
        <f>IF(Tabela8[[#This Row],[SETOR]]="","",IF(Tabela8[[#This Row],[SETOR]]&lt;200,"GV 10",IF(Tabela8[[#This Row],[SETOR]]&lt;300,"GV 20",IF(Tabela8[[#This Row],[SETOR]]&lt;400,"GV 30","S/GV"))))</f>
        <v>GV 10</v>
      </c>
      <c r="E470" t="s">
        <v>123</v>
      </c>
      <c r="G470" t="str">
        <f>_xlfn.CONCAT(Tabela9[[#This Row],[Coluna1]],Tabela9[[#This Row],[Coluna2]])</f>
        <v>20-Rota</v>
      </c>
    </row>
    <row r="471" spans="1:7" x14ac:dyDescent="0.25">
      <c r="A471">
        <v>4513</v>
      </c>
      <c r="B471">
        <v>305</v>
      </c>
      <c r="C471" s="1" t="str">
        <f>IF(Tabela8[[#This Row],[SETOR]]="","",IF(Tabela8[[#This Row],[SETOR]]&lt;200,"GV 10",IF(Tabela8[[#This Row],[SETOR]]&lt;300,"GV 20",IF(Tabela8[[#This Row],[SETOR]]&lt;400,"GV 30","S/GV"))))</f>
        <v>GV 30</v>
      </c>
      <c r="E471" t="s">
        <v>123</v>
      </c>
      <c r="G471" t="str">
        <f>_xlfn.CONCAT(Tabela9[[#This Row],[Coluna1]],Tabela9[[#This Row],[Coluna2]])</f>
        <v>20-Rota</v>
      </c>
    </row>
    <row r="472" spans="1:7" x14ac:dyDescent="0.25">
      <c r="A472">
        <v>4520</v>
      </c>
      <c r="B472">
        <v>102</v>
      </c>
      <c r="C472" s="1" t="str">
        <f>IF(Tabela8[[#This Row],[SETOR]]="","",IF(Tabela8[[#This Row],[SETOR]]&lt;200,"GV 10",IF(Tabela8[[#This Row],[SETOR]]&lt;300,"GV 20",IF(Tabela8[[#This Row],[SETOR]]&lt;400,"GV 30","S/GV"))))</f>
        <v>GV 10</v>
      </c>
      <c r="E472" t="s">
        <v>123</v>
      </c>
      <c r="G472" t="str">
        <f>_xlfn.CONCAT(Tabela9[[#This Row],[Coluna1]],Tabela9[[#This Row],[Coluna2]])</f>
        <v>20-Rota</v>
      </c>
    </row>
    <row r="473" spans="1:7" x14ac:dyDescent="0.25">
      <c r="A473">
        <v>4527</v>
      </c>
      <c r="B473">
        <v>305</v>
      </c>
      <c r="C473" s="1" t="str">
        <f>IF(Tabela8[[#This Row],[SETOR]]="","",IF(Tabela8[[#This Row],[SETOR]]&lt;200,"GV 10",IF(Tabela8[[#This Row],[SETOR]]&lt;300,"GV 20",IF(Tabela8[[#This Row],[SETOR]]&lt;400,"GV 30","S/GV"))))</f>
        <v>GV 30</v>
      </c>
      <c r="E473" t="s">
        <v>123</v>
      </c>
      <c r="G473" t="str">
        <f>_xlfn.CONCAT(Tabela9[[#This Row],[Coluna1]],Tabela9[[#This Row],[Coluna2]])</f>
        <v>20-Rota</v>
      </c>
    </row>
    <row r="474" spans="1:7" x14ac:dyDescent="0.25">
      <c r="A474">
        <v>4531</v>
      </c>
      <c r="B474">
        <v>101</v>
      </c>
      <c r="C474" s="1" t="str">
        <f>IF(Tabela8[[#This Row],[SETOR]]="","",IF(Tabela8[[#This Row],[SETOR]]&lt;200,"GV 10",IF(Tabela8[[#This Row],[SETOR]]&lt;300,"GV 20",IF(Tabela8[[#This Row],[SETOR]]&lt;400,"GV 30","S/GV"))))</f>
        <v>GV 10</v>
      </c>
      <c r="E474" t="s">
        <v>123</v>
      </c>
      <c r="G474" t="str">
        <f>_xlfn.CONCAT(Tabela9[[#This Row],[Coluna1]],Tabela9[[#This Row],[Coluna2]])</f>
        <v>20-Rota</v>
      </c>
    </row>
    <row r="475" spans="1:7" x14ac:dyDescent="0.25">
      <c r="A475">
        <v>4535</v>
      </c>
      <c r="B475">
        <v>106</v>
      </c>
      <c r="C475" s="1" t="str">
        <f>IF(Tabela8[[#This Row],[SETOR]]="","",IF(Tabela8[[#This Row],[SETOR]]&lt;200,"GV 10",IF(Tabela8[[#This Row],[SETOR]]&lt;300,"GV 20",IF(Tabela8[[#This Row],[SETOR]]&lt;400,"GV 30","S/GV"))))</f>
        <v>GV 10</v>
      </c>
      <c r="E475" t="s">
        <v>123</v>
      </c>
      <c r="G475" t="str">
        <f>_xlfn.CONCAT(Tabela9[[#This Row],[Coluna1]],Tabela9[[#This Row],[Coluna2]])</f>
        <v>20-Rota</v>
      </c>
    </row>
    <row r="476" spans="1:7" x14ac:dyDescent="0.25">
      <c r="A476">
        <v>4539</v>
      </c>
      <c r="B476">
        <v>302</v>
      </c>
      <c r="C476" s="1" t="str">
        <f>IF(Tabela8[[#This Row],[SETOR]]="","",IF(Tabela8[[#This Row],[SETOR]]&lt;200,"GV 10",IF(Tabela8[[#This Row],[SETOR]]&lt;300,"GV 20",IF(Tabela8[[#This Row],[SETOR]]&lt;400,"GV 30","S/GV"))))</f>
        <v>GV 30</v>
      </c>
      <c r="E476" t="s">
        <v>123</v>
      </c>
      <c r="G476" t="str">
        <f>_xlfn.CONCAT(Tabela9[[#This Row],[Coluna1]],Tabela9[[#This Row],[Coluna2]])</f>
        <v>20-Rota</v>
      </c>
    </row>
    <row r="477" spans="1:7" x14ac:dyDescent="0.25">
      <c r="A477">
        <v>4543</v>
      </c>
      <c r="B477">
        <v>109</v>
      </c>
      <c r="C477" s="1" t="str">
        <f>IF(Tabela8[[#This Row],[SETOR]]="","",IF(Tabela8[[#This Row],[SETOR]]&lt;200,"GV 10",IF(Tabela8[[#This Row],[SETOR]]&lt;300,"GV 20",IF(Tabela8[[#This Row],[SETOR]]&lt;400,"GV 30","S/GV"))))</f>
        <v>GV 10</v>
      </c>
      <c r="E477" t="s">
        <v>123</v>
      </c>
      <c r="G477" t="str">
        <f>_xlfn.CONCAT(Tabela9[[#This Row],[Coluna1]],Tabela9[[#This Row],[Coluna2]])</f>
        <v>20-Rota</v>
      </c>
    </row>
    <row r="478" spans="1:7" x14ac:dyDescent="0.25">
      <c r="A478">
        <v>4548</v>
      </c>
      <c r="B478">
        <v>109</v>
      </c>
      <c r="C478" s="1" t="str">
        <f>IF(Tabela8[[#This Row],[SETOR]]="","",IF(Tabela8[[#This Row],[SETOR]]&lt;200,"GV 10",IF(Tabela8[[#This Row],[SETOR]]&lt;300,"GV 20",IF(Tabela8[[#This Row],[SETOR]]&lt;400,"GV 30","S/GV"))))</f>
        <v>GV 10</v>
      </c>
      <c r="E478" t="s">
        <v>123</v>
      </c>
      <c r="G478" t="str">
        <f>_xlfn.CONCAT(Tabela9[[#This Row],[Coluna1]],Tabela9[[#This Row],[Coluna2]])</f>
        <v>20-Rota</v>
      </c>
    </row>
    <row r="479" spans="1:7" x14ac:dyDescent="0.25">
      <c r="A479">
        <v>4564</v>
      </c>
      <c r="B479">
        <v>201</v>
      </c>
      <c r="C479" s="1" t="str">
        <f>IF(Tabela8[[#This Row],[SETOR]]="","",IF(Tabela8[[#This Row],[SETOR]]&lt;200,"GV 10",IF(Tabela8[[#This Row],[SETOR]]&lt;300,"GV 20",IF(Tabela8[[#This Row],[SETOR]]&lt;400,"GV 30","S/GV"))))</f>
        <v>GV 20</v>
      </c>
      <c r="E479" t="s">
        <v>123</v>
      </c>
      <c r="G479" t="str">
        <f>_xlfn.CONCAT(Tabela9[[#This Row],[Coluna1]],Tabela9[[#This Row],[Coluna2]])</f>
        <v>20-Rota</v>
      </c>
    </row>
    <row r="480" spans="1:7" x14ac:dyDescent="0.25">
      <c r="A480">
        <v>4572</v>
      </c>
      <c r="B480">
        <v>302</v>
      </c>
      <c r="C480" s="1" t="str">
        <f>IF(Tabela8[[#This Row],[SETOR]]="","",IF(Tabela8[[#This Row],[SETOR]]&lt;200,"GV 10",IF(Tabela8[[#This Row],[SETOR]]&lt;300,"GV 20",IF(Tabela8[[#This Row],[SETOR]]&lt;400,"GV 30","S/GV"))))</f>
        <v>GV 30</v>
      </c>
      <c r="E480" t="s">
        <v>123</v>
      </c>
      <c r="G480" t="str">
        <f>_xlfn.CONCAT(Tabela9[[#This Row],[Coluna1]],Tabela9[[#This Row],[Coluna2]])</f>
        <v>20-Rota</v>
      </c>
    </row>
    <row r="481" spans="1:7" x14ac:dyDescent="0.25">
      <c r="A481">
        <v>4589</v>
      </c>
      <c r="B481">
        <v>201</v>
      </c>
      <c r="C481" s="1" t="str">
        <f>IF(Tabela8[[#This Row],[SETOR]]="","",IF(Tabela8[[#This Row],[SETOR]]&lt;200,"GV 10",IF(Tabela8[[#This Row],[SETOR]]&lt;300,"GV 20",IF(Tabela8[[#This Row],[SETOR]]&lt;400,"GV 30","S/GV"))))</f>
        <v>GV 20</v>
      </c>
      <c r="E481" t="s">
        <v>125</v>
      </c>
      <c r="G481" t="str">
        <f>_xlfn.CONCAT(Tabela9[[#This Row],[Coluna1]],Tabela9[[#This Row],[Coluna2]])</f>
        <v>18-TRAD</v>
      </c>
    </row>
    <row r="482" spans="1:7" x14ac:dyDescent="0.25">
      <c r="A482">
        <v>4595</v>
      </c>
      <c r="B482">
        <v>306</v>
      </c>
      <c r="C482" s="1" t="str">
        <f>IF(Tabela8[[#This Row],[SETOR]]="","",IF(Tabela8[[#This Row],[SETOR]]&lt;200,"GV 10",IF(Tabela8[[#This Row],[SETOR]]&lt;300,"GV 20",IF(Tabela8[[#This Row],[SETOR]]&lt;400,"GV 30","S/GV"))))</f>
        <v>GV 30</v>
      </c>
      <c r="E482" t="s">
        <v>125</v>
      </c>
      <c r="G482" t="str">
        <f>_xlfn.CONCAT(Tabela9[[#This Row],[Coluna1]],Tabela9[[#This Row],[Coluna2]])</f>
        <v>18-TRAD</v>
      </c>
    </row>
    <row r="483" spans="1:7" x14ac:dyDescent="0.25">
      <c r="A483">
        <v>4598</v>
      </c>
      <c r="B483">
        <v>106</v>
      </c>
      <c r="C483" s="1" t="str">
        <f>IF(Tabela8[[#This Row],[SETOR]]="","",IF(Tabela8[[#This Row],[SETOR]]&lt;200,"GV 10",IF(Tabela8[[#This Row],[SETOR]]&lt;300,"GV 20",IF(Tabela8[[#This Row],[SETOR]]&lt;400,"GV 30","S/GV"))))</f>
        <v>GV 10</v>
      </c>
      <c r="E483" t="s">
        <v>123</v>
      </c>
      <c r="G483" t="str">
        <f>_xlfn.CONCAT(Tabela9[[#This Row],[Coluna1]],Tabela9[[#This Row],[Coluna2]])</f>
        <v>20-Rota</v>
      </c>
    </row>
    <row r="484" spans="1:7" x14ac:dyDescent="0.25">
      <c r="A484">
        <v>4600</v>
      </c>
      <c r="B484">
        <v>102</v>
      </c>
      <c r="C484" s="1" t="str">
        <f>IF(Tabela8[[#This Row],[SETOR]]="","",IF(Tabela8[[#This Row],[SETOR]]&lt;200,"GV 10",IF(Tabela8[[#This Row],[SETOR]]&lt;300,"GV 20",IF(Tabela8[[#This Row],[SETOR]]&lt;400,"GV 30","S/GV"))))</f>
        <v>GV 10</v>
      </c>
      <c r="E484" t="s">
        <v>123</v>
      </c>
      <c r="G484" t="str">
        <f>_xlfn.CONCAT(Tabela9[[#This Row],[Coluna1]],Tabela9[[#This Row],[Coluna2]])</f>
        <v>20-Rota</v>
      </c>
    </row>
    <row r="485" spans="1:7" x14ac:dyDescent="0.25">
      <c r="A485">
        <v>4606</v>
      </c>
      <c r="B485">
        <v>907</v>
      </c>
      <c r="C485" s="1" t="str">
        <f>IF(Tabela8[[#This Row],[SETOR]]="","",IF(Tabela8[[#This Row],[SETOR]]&lt;200,"GV 10",IF(Tabela8[[#This Row],[SETOR]]&lt;300,"GV 20",IF(Tabela8[[#This Row],[SETOR]]&lt;400,"GV 30","S/GV"))))</f>
        <v>S/GV</v>
      </c>
      <c r="G485" t="str">
        <f>_xlfn.CONCAT(Tabela9[[#This Row],[Coluna1]],Tabela9[[#This Row],[Coluna2]])</f>
        <v/>
      </c>
    </row>
    <row r="486" spans="1:7" x14ac:dyDescent="0.25">
      <c r="A486">
        <v>4622</v>
      </c>
      <c r="B486">
        <v>202</v>
      </c>
      <c r="C486" s="1" t="str">
        <f>IF(Tabela8[[#This Row],[SETOR]]="","",IF(Tabela8[[#This Row],[SETOR]]&lt;200,"GV 10",IF(Tabela8[[#This Row],[SETOR]]&lt;300,"GV 20",IF(Tabela8[[#This Row],[SETOR]]&lt;400,"GV 30","S/GV"))))</f>
        <v>GV 20</v>
      </c>
      <c r="E486" t="s">
        <v>124</v>
      </c>
      <c r="G486" t="str">
        <f>_xlfn.CONCAT(Tabela9[[#This Row],[Coluna1]],Tabela9[[#This Row],[Coluna2]])</f>
        <v>19-VIP</v>
      </c>
    </row>
    <row r="487" spans="1:7" x14ac:dyDescent="0.25">
      <c r="A487">
        <v>4633</v>
      </c>
      <c r="B487">
        <v>301</v>
      </c>
      <c r="C487" s="1" t="str">
        <f>IF(Tabela8[[#This Row],[SETOR]]="","",IF(Tabela8[[#This Row],[SETOR]]&lt;200,"GV 10",IF(Tabela8[[#This Row],[SETOR]]&lt;300,"GV 20",IF(Tabela8[[#This Row],[SETOR]]&lt;400,"GV 30","S/GV"))))</f>
        <v>GV 30</v>
      </c>
      <c r="E487" t="s">
        <v>123</v>
      </c>
      <c r="G487" t="str">
        <f>_xlfn.CONCAT(Tabela9[[#This Row],[Coluna1]],Tabela9[[#This Row],[Coluna2]])</f>
        <v>20-Rota</v>
      </c>
    </row>
    <row r="488" spans="1:7" x14ac:dyDescent="0.25">
      <c r="A488">
        <v>4644</v>
      </c>
      <c r="B488">
        <v>201</v>
      </c>
      <c r="C488" s="1" t="str">
        <f>IF(Tabela8[[#This Row],[SETOR]]="","",IF(Tabela8[[#This Row],[SETOR]]&lt;200,"GV 10",IF(Tabela8[[#This Row],[SETOR]]&lt;300,"GV 20",IF(Tabela8[[#This Row],[SETOR]]&lt;400,"GV 30","S/GV"))))</f>
        <v>GV 20</v>
      </c>
      <c r="E488" t="s">
        <v>123</v>
      </c>
      <c r="G488" t="str">
        <f>_xlfn.CONCAT(Tabela9[[#This Row],[Coluna1]],Tabela9[[#This Row],[Coluna2]])</f>
        <v>20-Rota</v>
      </c>
    </row>
    <row r="489" spans="1:7" x14ac:dyDescent="0.25">
      <c r="A489">
        <v>4649</v>
      </c>
      <c r="B489">
        <v>304</v>
      </c>
      <c r="C489" s="1" t="str">
        <f>IF(Tabela8[[#This Row],[SETOR]]="","",IF(Tabela8[[#This Row],[SETOR]]&lt;200,"GV 10",IF(Tabela8[[#This Row],[SETOR]]&lt;300,"GV 20",IF(Tabela8[[#This Row],[SETOR]]&lt;400,"GV 30","S/GV"))))</f>
        <v>GV 30</v>
      </c>
      <c r="E489" t="s">
        <v>123</v>
      </c>
      <c r="G489" t="str">
        <f>_xlfn.CONCAT(Tabela9[[#This Row],[Coluna1]],Tabela9[[#This Row],[Coluna2]])</f>
        <v>20-Rota</v>
      </c>
    </row>
    <row r="490" spans="1:7" x14ac:dyDescent="0.25">
      <c r="A490">
        <v>4655</v>
      </c>
      <c r="B490">
        <v>912</v>
      </c>
      <c r="C490" s="1" t="str">
        <f>IF(Tabela8[[#This Row],[SETOR]]="","",IF(Tabela8[[#This Row],[SETOR]]&lt;200,"GV 10",IF(Tabela8[[#This Row],[SETOR]]&lt;300,"GV 20",IF(Tabela8[[#This Row],[SETOR]]&lt;400,"GV 30","S/GV"))))</f>
        <v>S/GV</v>
      </c>
      <c r="G490" t="str">
        <f>_xlfn.CONCAT(Tabela9[[#This Row],[Coluna1]],Tabela9[[#This Row],[Coluna2]])</f>
        <v/>
      </c>
    </row>
    <row r="491" spans="1:7" x14ac:dyDescent="0.25">
      <c r="A491">
        <v>4656</v>
      </c>
      <c r="B491">
        <v>304</v>
      </c>
      <c r="C491" s="1" t="str">
        <f>IF(Tabela8[[#This Row],[SETOR]]="","",IF(Tabela8[[#This Row],[SETOR]]&lt;200,"GV 10",IF(Tabela8[[#This Row],[SETOR]]&lt;300,"GV 20",IF(Tabela8[[#This Row],[SETOR]]&lt;400,"GV 30","S/GV"))))</f>
        <v>GV 30</v>
      </c>
      <c r="E491" t="s">
        <v>123</v>
      </c>
      <c r="G491" t="str">
        <f>_xlfn.CONCAT(Tabela9[[#This Row],[Coluna1]],Tabela9[[#This Row],[Coluna2]])</f>
        <v>20-Rota</v>
      </c>
    </row>
    <row r="492" spans="1:7" x14ac:dyDescent="0.25">
      <c r="A492">
        <v>4657</v>
      </c>
      <c r="B492">
        <v>109</v>
      </c>
      <c r="C492" s="1" t="str">
        <f>IF(Tabela8[[#This Row],[SETOR]]="","",IF(Tabela8[[#This Row],[SETOR]]&lt;200,"GV 10",IF(Tabela8[[#This Row],[SETOR]]&lt;300,"GV 20",IF(Tabela8[[#This Row],[SETOR]]&lt;400,"GV 30","S/GV"))))</f>
        <v>GV 10</v>
      </c>
      <c r="E492" t="s">
        <v>123</v>
      </c>
      <c r="G492" t="str">
        <f>_xlfn.CONCAT(Tabela9[[#This Row],[Coluna1]],Tabela9[[#This Row],[Coluna2]])</f>
        <v>20-Rota</v>
      </c>
    </row>
    <row r="493" spans="1:7" x14ac:dyDescent="0.25">
      <c r="A493">
        <v>4664</v>
      </c>
      <c r="B493">
        <v>309</v>
      </c>
      <c r="C493" s="1" t="str">
        <f>IF(Tabela8[[#This Row],[SETOR]]="","",IF(Tabela8[[#This Row],[SETOR]]&lt;200,"GV 10",IF(Tabela8[[#This Row],[SETOR]]&lt;300,"GV 20",IF(Tabela8[[#This Row],[SETOR]]&lt;400,"GV 30","S/GV"))))</f>
        <v>GV 30</v>
      </c>
      <c r="E493" t="s">
        <v>126</v>
      </c>
      <c r="F493" t="s">
        <v>127</v>
      </c>
      <c r="G493" t="str">
        <f>_xlfn.CONCAT(Tabela9[[#This Row],[Coluna1]],Tabela9[[#This Row],[Coluna2]])</f>
        <v>16-AS(5+)</v>
      </c>
    </row>
    <row r="494" spans="1:7" x14ac:dyDescent="0.25">
      <c r="A494">
        <v>4681</v>
      </c>
      <c r="B494">
        <v>302</v>
      </c>
      <c r="C494" s="1" t="str">
        <f>IF(Tabela8[[#This Row],[SETOR]]="","",IF(Tabela8[[#This Row],[SETOR]]&lt;200,"GV 10",IF(Tabela8[[#This Row],[SETOR]]&lt;300,"GV 20",IF(Tabela8[[#This Row],[SETOR]]&lt;400,"GV 30","S/GV"))))</f>
        <v>GV 30</v>
      </c>
      <c r="E494" t="s">
        <v>123</v>
      </c>
      <c r="G494" t="str">
        <f>_xlfn.CONCAT(Tabela9[[#This Row],[Coluna1]],Tabela9[[#This Row],[Coluna2]])</f>
        <v>20-Rota</v>
      </c>
    </row>
    <row r="495" spans="1:7" x14ac:dyDescent="0.25">
      <c r="A495">
        <v>4686</v>
      </c>
      <c r="B495">
        <v>907</v>
      </c>
      <c r="C495" s="1" t="str">
        <f>IF(Tabela8[[#This Row],[SETOR]]="","",IF(Tabela8[[#This Row],[SETOR]]&lt;200,"GV 10",IF(Tabela8[[#This Row],[SETOR]]&lt;300,"GV 20",IF(Tabela8[[#This Row],[SETOR]]&lt;400,"GV 30","S/GV"))))</f>
        <v>S/GV</v>
      </c>
      <c r="G495" t="str">
        <f>_xlfn.CONCAT(Tabela9[[#This Row],[Coluna1]],Tabela9[[#This Row],[Coluna2]])</f>
        <v/>
      </c>
    </row>
    <row r="496" spans="1:7" x14ac:dyDescent="0.25">
      <c r="A496">
        <v>4729</v>
      </c>
      <c r="B496">
        <v>308</v>
      </c>
      <c r="C496" s="1" t="str">
        <f>IF(Tabela8[[#This Row],[SETOR]]="","",IF(Tabela8[[#This Row],[SETOR]]&lt;200,"GV 10",IF(Tabela8[[#This Row],[SETOR]]&lt;300,"GV 20",IF(Tabela8[[#This Row],[SETOR]]&lt;400,"GV 30","S/GV"))))</f>
        <v>GV 30</v>
      </c>
      <c r="E496" t="s">
        <v>128</v>
      </c>
      <c r="F496" t="s">
        <v>129</v>
      </c>
      <c r="G496" t="str">
        <f>_xlfn.CONCAT(Tabela9[[#This Row],[Coluna1]],Tabela9[[#This Row],[Coluna2]])</f>
        <v>15-AS(1-4)</v>
      </c>
    </row>
    <row r="497" spans="1:7" x14ac:dyDescent="0.25">
      <c r="A497">
        <v>4743</v>
      </c>
      <c r="B497">
        <v>103</v>
      </c>
      <c r="C497" s="1" t="str">
        <f>IF(Tabela8[[#This Row],[SETOR]]="","",IF(Tabela8[[#This Row],[SETOR]]&lt;200,"GV 10",IF(Tabela8[[#This Row],[SETOR]]&lt;300,"GV 20",IF(Tabela8[[#This Row],[SETOR]]&lt;400,"GV 30","S/GV"))))</f>
        <v>GV 10</v>
      </c>
      <c r="E497" t="s">
        <v>123</v>
      </c>
      <c r="G497" t="str">
        <f>_xlfn.CONCAT(Tabela9[[#This Row],[Coluna1]],Tabela9[[#This Row],[Coluna2]])</f>
        <v>20-Rota</v>
      </c>
    </row>
    <row r="498" spans="1:7" x14ac:dyDescent="0.25">
      <c r="A498">
        <v>4748</v>
      </c>
      <c r="B498">
        <v>109</v>
      </c>
      <c r="C498" s="1" t="str">
        <f>IF(Tabela8[[#This Row],[SETOR]]="","",IF(Tabela8[[#This Row],[SETOR]]&lt;200,"GV 10",IF(Tabela8[[#This Row],[SETOR]]&lt;300,"GV 20",IF(Tabela8[[#This Row],[SETOR]]&lt;400,"GV 30","S/GV"))))</f>
        <v>GV 10</v>
      </c>
      <c r="E498" t="s">
        <v>123</v>
      </c>
      <c r="G498" t="str">
        <f>_xlfn.CONCAT(Tabela9[[#This Row],[Coluna1]],Tabela9[[#This Row],[Coluna2]])</f>
        <v>20-Rota</v>
      </c>
    </row>
    <row r="499" spans="1:7" x14ac:dyDescent="0.25">
      <c r="A499">
        <v>4756</v>
      </c>
      <c r="B499">
        <v>104</v>
      </c>
      <c r="C499" s="1" t="str">
        <f>IF(Tabela8[[#This Row],[SETOR]]="","",IF(Tabela8[[#This Row],[SETOR]]&lt;200,"GV 10",IF(Tabela8[[#This Row],[SETOR]]&lt;300,"GV 20",IF(Tabela8[[#This Row],[SETOR]]&lt;400,"GV 30","S/GV"))))</f>
        <v>GV 10</v>
      </c>
      <c r="E499" t="s">
        <v>123</v>
      </c>
      <c r="G499" t="str">
        <f>_xlfn.CONCAT(Tabela9[[#This Row],[Coluna1]],Tabela9[[#This Row],[Coluna2]])</f>
        <v>20-Rota</v>
      </c>
    </row>
    <row r="500" spans="1:7" x14ac:dyDescent="0.25">
      <c r="A500">
        <v>4757</v>
      </c>
      <c r="B500">
        <v>305</v>
      </c>
      <c r="C500" s="1" t="str">
        <f>IF(Tabela8[[#This Row],[SETOR]]="","",IF(Tabela8[[#This Row],[SETOR]]&lt;200,"GV 10",IF(Tabela8[[#This Row],[SETOR]]&lt;300,"GV 20",IF(Tabela8[[#This Row],[SETOR]]&lt;400,"GV 30","S/GV"))))</f>
        <v>GV 30</v>
      </c>
      <c r="E500" t="s">
        <v>123</v>
      </c>
      <c r="G500" t="str">
        <f>_xlfn.CONCAT(Tabela9[[#This Row],[Coluna1]],Tabela9[[#This Row],[Coluna2]])</f>
        <v>20-Rota</v>
      </c>
    </row>
    <row r="501" spans="1:7" x14ac:dyDescent="0.25">
      <c r="A501">
        <v>4759</v>
      </c>
      <c r="B501">
        <v>304</v>
      </c>
      <c r="C501" s="1" t="str">
        <f>IF(Tabela8[[#This Row],[SETOR]]="","",IF(Tabela8[[#This Row],[SETOR]]&lt;200,"GV 10",IF(Tabela8[[#This Row],[SETOR]]&lt;300,"GV 20",IF(Tabela8[[#This Row],[SETOR]]&lt;400,"GV 30","S/GV"))))</f>
        <v>GV 30</v>
      </c>
      <c r="E501" t="s">
        <v>123</v>
      </c>
      <c r="G501" t="str">
        <f>_xlfn.CONCAT(Tabela9[[#This Row],[Coluna1]],Tabela9[[#This Row],[Coluna2]])</f>
        <v>20-Rota</v>
      </c>
    </row>
    <row r="502" spans="1:7" x14ac:dyDescent="0.25">
      <c r="A502">
        <v>4764</v>
      </c>
      <c r="B502">
        <v>102</v>
      </c>
      <c r="C502" s="1" t="str">
        <f>IF(Tabela8[[#This Row],[SETOR]]="","",IF(Tabela8[[#This Row],[SETOR]]&lt;200,"GV 10",IF(Tabela8[[#This Row],[SETOR]]&lt;300,"GV 20",IF(Tabela8[[#This Row],[SETOR]]&lt;400,"GV 30","S/GV"))))</f>
        <v>GV 10</v>
      </c>
      <c r="E502" t="s">
        <v>123</v>
      </c>
      <c r="G502" t="str">
        <f>_xlfn.CONCAT(Tabela9[[#This Row],[Coluna1]],Tabela9[[#This Row],[Coluna2]])</f>
        <v>20-Rota</v>
      </c>
    </row>
    <row r="503" spans="1:7" x14ac:dyDescent="0.25">
      <c r="A503">
        <v>4783</v>
      </c>
      <c r="B503">
        <v>307</v>
      </c>
      <c r="C503" s="1" t="str">
        <f>IF(Tabela8[[#This Row],[SETOR]]="","",IF(Tabela8[[#This Row],[SETOR]]&lt;200,"GV 10",IF(Tabela8[[#This Row],[SETOR]]&lt;300,"GV 20",IF(Tabela8[[#This Row],[SETOR]]&lt;400,"GV 30","S/GV"))))</f>
        <v>GV 30</v>
      </c>
      <c r="E503" t="s">
        <v>130</v>
      </c>
      <c r="G503" t="str">
        <f>_xlfn.CONCAT(Tabela9[[#This Row],[Coluna1]],Tabela9[[#This Row],[Coluna2]])</f>
        <v>21-SUB</v>
      </c>
    </row>
    <row r="504" spans="1:7" x14ac:dyDescent="0.25">
      <c r="A504">
        <v>4790</v>
      </c>
      <c r="B504">
        <v>306</v>
      </c>
      <c r="C504" s="1" t="str">
        <f>IF(Tabela8[[#This Row],[SETOR]]="","",IF(Tabela8[[#This Row],[SETOR]]&lt;200,"GV 10",IF(Tabela8[[#This Row],[SETOR]]&lt;300,"GV 20",IF(Tabela8[[#This Row],[SETOR]]&lt;400,"GV 30","S/GV"))))</f>
        <v>GV 30</v>
      </c>
      <c r="E504" t="s">
        <v>125</v>
      </c>
      <c r="G504" t="str">
        <f>_xlfn.CONCAT(Tabela9[[#This Row],[Coluna1]],Tabela9[[#This Row],[Coluna2]])</f>
        <v>18-TRAD</v>
      </c>
    </row>
    <row r="505" spans="1:7" x14ac:dyDescent="0.25">
      <c r="A505">
        <v>4792</v>
      </c>
      <c r="B505">
        <v>306</v>
      </c>
      <c r="C505" s="1" t="str">
        <f>IF(Tabela8[[#This Row],[SETOR]]="","",IF(Tabela8[[#This Row],[SETOR]]&lt;200,"GV 10",IF(Tabela8[[#This Row],[SETOR]]&lt;300,"GV 20",IF(Tabela8[[#This Row],[SETOR]]&lt;400,"GV 30","S/GV"))))</f>
        <v>GV 30</v>
      </c>
      <c r="E505" t="s">
        <v>125</v>
      </c>
      <c r="G505" t="str">
        <f>_xlfn.CONCAT(Tabela9[[#This Row],[Coluna1]],Tabela9[[#This Row],[Coluna2]])</f>
        <v>18-TRAD</v>
      </c>
    </row>
    <row r="506" spans="1:7" x14ac:dyDescent="0.25">
      <c r="A506">
        <v>4795</v>
      </c>
      <c r="B506">
        <v>303</v>
      </c>
      <c r="C506" s="1" t="str">
        <f>IF(Tabela8[[#This Row],[SETOR]]="","",IF(Tabela8[[#This Row],[SETOR]]&lt;200,"GV 10",IF(Tabela8[[#This Row],[SETOR]]&lt;300,"GV 20",IF(Tabela8[[#This Row],[SETOR]]&lt;400,"GV 30","S/GV"))))</f>
        <v>GV 30</v>
      </c>
      <c r="E506" t="s">
        <v>123</v>
      </c>
      <c r="G506" t="str">
        <f>_xlfn.CONCAT(Tabela9[[#This Row],[Coluna1]],Tabela9[[#This Row],[Coluna2]])</f>
        <v>20-Rota</v>
      </c>
    </row>
    <row r="507" spans="1:7" x14ac:dyDescent="0.25">
      <c r="A507">
        <v>4812</v>
      </c>
      <c r="B507">
        <v>103</v>
      </c>
      <c r="C507" s="1" t="str">
        <f>IF(Tabela8[[#This Row],[SETOR]]="","",IF(Tabela8[[#This Row],[SETOR]]&lt;200,"GV 10",IF(Tabela8[[#This Row],[SETOR]]&lt;300,"GV 20",IF(Tabela8[[#This Row],[SETOR]]&lt;400,"GV 30","S/GV"))))</f>
        <v>GV 10</v>
      </c>
      <c r="E507" t="s">
        <v>123</v>
      </c>
      <c r="G507" t="str">
        <f>_xlfn.CONCAT(Tabela9[[#This Row],[Coluna1]],Tabela9[[#This Row],[Coluna2]])</f>
        <v>20-Rota</v>
      </c>
    </row>
    <row r="508" spans="1:7" x14ac:dyDescent="0.25">
      <c r="A508">
        <v>4822</v>
      </c>
      <c r="B508">
        <v>109</v>
      </c>
      <c r="C508" s="1" t="str">
        <f>IF(Tabela8[[#This Row],[SETOR]]="","",IF(Tabela8[[#This Row],[SETOR]]&lt;200,"GV 10",IF(Tabela8[[#This Row],[SETOR]]&lt;300,"GV 20",IF(Tabela8[[#This Row],[SETOR]]&lt;400,"GV 30","S/GV"))))</f>
        <v>GV 10</v>
      </c>
      <c r="E508" t="s">
        <v>123</v>
      </c>
      <c r="G508" t="str">
        <f>_xlfn.CONCAT(Tabela9[[#This Row],[Coluna1]],Tabela9[[#This Row],[Coluna2]])</f>
        <v>20-Rota</v>
      </c>
    </row>
    <row r="509" spans="1:7" x14ac:dyDescent="0.25">
      <c r="A509">
        <v>4823</v>
      </c>
      <c r="B509">
        <v>109</v>
      </c>
      <c r="C509" s="1" t="str">
        <f>IF(Tabela8[[#This Row],[SETOR]]="","",IF(Tabela8[[#This Row],[SETOR]]&lt;200,"GV 10",IF(Tabela8[[#This Row],[SETOR]]&lt;300,"GV 20",IF(Tabela8[[#This Row],[SETOR]]&lt;400,"GV 30","S/GV"))))</f>
        <v>GV 10</v>
      </c>
      <c r="E509" t="s">
        <v>125</v>
      </c>
      <c r="G509" t="str">
        <f>_xlfn.CONCAT(Tabela9[[#This Row],[Coluna1]],Tabela9[[#This Row],[Coluna2]])</f>
        <v>18-TRAD</v>
      </c>
    </row>
    <row r="510" spans="1:7" x14ac:dyDescent="0.25">
      <c r="A510">
        <v>4824</v>
      </c>
      <c r="B510">
        <v>202</v>
      </c>
      <c r="C510" s="1" t="str">
        <f>IF(Tabela8[[#This Row],[SETOR]]="","",IF(Tabela8[[#This Row],[SETOR]]&lt;200,"GV 10",IF(Tabela8[[#This Row],[SETOR]]&lt;300,"GV 20",IF(Tabela8[[#This Row],[SETOR]]&lt;400,"GV 30","S/GV"))))</f>
        <v>GV 20</v>
      </c>
      <c r="E510" t="s">
        <v>123</v>
      </c>
      <c r="G510" t="str">
        <f>_xlfn.CONCAT(Tabela9[[#This Row],[Coluna1]],Tabela9[[#This Row],[Coluna2]])</f>
        <v>20-Rota</v>
      </c>
    </row>
    <row r="511" spans="1:7" x14ac:dyDescent="0.25">
      <c r="A511">
        <v>4825</v>
      </c>
      <c r="B511">
        <v>102</v>
      </c>
      <c r="C511" s="1" t="str">
        <f>IF(Tabela8[[#This Row],[SETOR]]="","",IF(Tabela8[[#This Row],[SETOR]]&lt;200,"GV 10",IF(Tabela8[[#This Row],[SETOR]]&lt;300,"GV 20",IF(Tabela8[[#This Row],[SETOR]]&lt;400,"GV 30","S/GV"))))</f>
        <v>GV 10</v>
      </c>
      <c r="E511" t="s">
        <v>123</v>
      </c>
      <c r="G511" t="str">
        <f>_xlfn.CONCAT(Tabela9[[#This Row],[Coluna1]],Tabela9[[#This Row],[Coluna2]])</f>
        <v>20-Rota</v>
      </c>
    </row>
    <row r="512" spans="1:7" x14ac:dyDescent="0.25">
      <c r="A512">
        <v>4842</v>
      </c>
      <c r="B512">
        <v>204</v>
      </c>
      <c r="C512" s="1" t="str">
        <f>IF(Tabela8[[#This Row],[SETOR]]="","",IF(Tabela8[[#This Row],[SETOR]]&lt;200,"GV 10",IF(Tabela8[[#This Row],[SETOR]]&lt;300,"GV 20",IF(Tabela8[[#This Row],[SETOR]]&lt;400,"GV 30","S/GV"))))</f>
        <v>GV 20</v>
      </c>
      <c r="E512" t="s">
        <v>123</v>
      </c>
      <c r="G512" t="str">
        <f>_xlfn.CONCAT(Tabela9[[#This Row],[Coluna1]],Tabela9[[#This Row],[Coluna2]])</f>
        <v>20-Rota</v>
      </c>
    </row>
    <row r="513" spans="1:7" x14ac:dyDescent="0.25">
      <c r="A513">
        <v>4868</v>
      </c>
      <c r="B513">
        <v>307</v>
      </c>
      <c r="C513" s="1" t="str">
        <f>IF(Tabela8[[#This Row],[SETOR]]="","",IF(Tabela8[[#This Row],[SETOR]]&lt;200,"GV 10",IF(Tabela8[[#This Row],[SETOR]]&lt;300,"GV 20",IF(Tabela8[[#This Row],[SETOR]]&lt;400,"GV 30","S/GV"))))</f>
        <v>GV 30</v>
      </c>
      <c r="E513" t="s">
        <v>130</v>
      </c>
      <c r="G513" t="str">
        <f>_xlfn.CONCAT(Tabela9[[#This Row],[Coluna1]],Tabela9[[#This Row],[Coluna2]])</f>
        <v>21-SUB</v>
      </c>
    </row>
    <row r="514" spans="1:7" x14ac:dyDescent="0.25">
      <c r="A514">
        <v>4874</v>
      </c>
      <c r="B514">
        <v>304</v>
      </c>
      <c r="C514" s="1" t="str">
        <f>IF(Tabela8[[#This Row],[SETOR]]="","",IF(Tabela8[[#This Row],[SETOR]]&lt;200,"GV 10",IF(Tabela8[[#This Row],[SETOR]]&lt;300,"GV 20",IF(Tabela8[[#This Row],[SETOR]]&lt;400,"GV 30","S/GV"))))</f>
        <v>GV 30</v>
      </c>
      <c r="E514" t="s">
        <v>123</v>
      </c>
      <c r="G514" t="str">
        <f>_xlfn.CONCAT(Tabela9[[#This Row],[Coluna1]],Tabela9[[#This Row],[Coluna2]])</f>
        <v>20-Rota</v>
      </c>
    </row>
    <row r="515" spans="1:7" x14ac:dyDescent="0.25">
      <c r="A515">
        <v>4875</v>
      </c>
      <c r="B515">
        <v>304</v>
      </c>
      <c r="C515" s="1" t="str">
        <f>IF(Tabela8[[#This Row],[SETOR]]="","",IF(Tabela8[[#This Row],[SETOR]]&lt;200,"GV 10",IF(Tabela8[[#This Row],[SETOR]]&lt;300,"GV 20",IF(Tabela8[[#This Row],[SETOR]]&lt;400,"GV 30","S/GV"))))</f>
        <v>GV 30</v>
      </c>
      <c r="E515" t="s">
        <v>123</v>
      </c>
      <c r="G515" t="str">
        <f>_xlfn.CONCAT(Tabela9[[#This Row],[Coluna1]],Tabela9[[#This Row],[Coluna2]])</f>
        <v>20-Rota</v>
      </c>
    </row>
    <row r="516" spans="1:7" x14ac:dyDescent="0.25">
      <c r="A516">
        <v>4877</v>
      </c>
      <c r="B516">
        <v>301</v>
      </c>
      <c r="C516" s="1" t="str">
        <f>IF(Tabela8[[#This Row],[SETOR]]="","",IF(Tabela8[[#This Row],[SETOR]]&lt;200,"GV 10",IF(Tabela8[[#This Row],[SETOR]]&lt;300,"GV 20",IF(Tabela8[[#This Row],[SETOR]]&lt;400,"GV 30","S/GV"))))</f>
        <v>GV 30</v>
      </c>
      <c r="E516" t="s">
        <v>123</v>
      </c>
      <c r="G516" t="str">
        <f>_xlfn.CONCAT(Tabela9[[#This Row],[Coluna1]],Tabela9[[#This Row],[Coluna2]])</f>
        <v>20-Rota</v>
      </c>
    </row>
    <row r="517" spans="1:7" x14ac:dyDescent="0.25">
      <c r="A517">
        <v>4908</v>
      </c>
      <c r="B517">
        <v>306</v>
      </c>
      <c r="C517" s="1" t="str">
        <f>IF(Tabela8[[#This Row],[SETOR]]="","",IF(Tabela8[[#This Row],[SETOR]]&lt;200,"GV 10",IF(Tabela8[[#This Row],[SETOR]]&lt;300,"GV 20",IF(Tabela8[[#This Row],[SETOR]]&lt;400,"GV 30","S/GV"))))</f>
        <v>GV 30</v>
      </c>
      <c r="E517" t="s">
        <v>131</v>
      </c>
      <c r="F517" t="s">
        <v>132</v>
      </c>
      <c r="G517" t="str">
        <f>_xlfn.CONCAT(Tabela9[[#This Row],[Coluna1]],Tabela9[[#This Row],[Coluna2]])</f>
        <v>14-Lj.Conveniência</v>
      </c>
    </row>
    <row r="518" spans="1:7" x14ac:dyDescent="0.25">
      <c r="A518">
        <v>4930</v>
      </c>
      <c r="B518">
        <v>201</v>
      </c>
      <c r="C518" s="1" t="str">
        <f>IF(Tabela8[[#This Row],[SETOR]]="","",IF(Tabela8[[#This Row],[SETOR]]&lt;200,"GV 10",IF(Tabela8[[#This Row],[SETOR]]&lt;300,"GV 20",IF(Tabela8[[#This Row],[SETOR]]&lt;400,"GV 30","S/GV"))))</f>
        <v>GV 20</v>
      </c>
      <c r="E518" t="s">
        <v>125</v>
      </c>
      <c r="G518" t="str">
        <f>_xlfn.CONCAT(Tabela9[[#This Row],[Coluna1]],Tabela9[[#This Row],[Coluna2]])</f>
        <v>18-TRAD</v>
      </c>
    </row>
    <row r="519" spans="1:7" x14ac:dyDescent="0.25">
      <c r="A519">
        <v>4934</v>
      </c>
      <c r="B519">
        <v>307</v>
      </c>
      <c r="C519" s="1" t="str">
        <f>IF(Tabela8[[#This Row],[SETOR]]="","",IF(Tabela8[[#This Row],[SETOR]]&lt;200,"GV 10",IF(Tabela8[[#This Row],[SETOR]]&lt;300,"GV 20",IF(Tabela8[[#This Row],[SETOR]]&lt;400,"GV 30","S/GV"))))</f>
        <v>GV 30</v>
      </c>
      <c r="E519" t="s">
        <v>130</v>
      </c>
      <c r="G519" t="str">
        <f>_xlfn.CONCAT(Tabela9[[#This Row],[Coluna1]],Tabela9[[#This Row],[Coluna2]])</f>
        <v>21-SUB</v>
      </c>
    </row>
    <row r="520" spans="1:7" x14ac:dyDescent="0.25">
      <c r="A520">
        <v>4953</v>
      </c>
      <c r="B520">
        <v>306</v>
      </c>
      <c r="C520" s="1" t="str">
        <f>IF(Tabela8[[#This Row],[SETOR]]="","",IF(Tabela8[[#This Row],[SETOR]]&lt;200,"GV 10",IF(Tabela8[[#This Row],[SETOR]]&lt;300,"GV 20",IF(Tabela8[[#This Row],[SETOR]]&lt;400,"GV 30","S/GV"))))</f>
        <v>GV 30</v>
      </c>
      <c r="E520" t="s">
        <v>125</v>
      </c>
      <c r="G520" t="str">
        <f>_xlfn.CONCAT(Tabela9[[#This Row],[Coluna1]],Tabela9[[#This Row],[Coluna2]])</f>
        <v>18-TRAD</v>
      </c>
    </row>
    <row r="521" spans="1:7" x14ac:dyDescent="0.25">
      <c r="A521">
        <v>4954</v>
      </c>
      <c r="B521">
        <v>102</v>
      </c>
      <c r="C521" s="1" t="str">
        <f>IF(Tabela8[[#This Row],[SETOR]]="","",IF(Tabela8[[#This Row],[SETOR]]&lt;200,"GV 10",IF(Tabela8[[#This Row],[SETOR]]&lt;300,"GV 20",IF(Tabela8[[#This Row],[SETOR]]&lt;400,"GV 30","S/GV"))))</f>
        <v>GV 10</v>
      </c>
      <c r="E521" t="s">
        <v>123</v>
      </c>
      <c r="G521" t="str">
        <f>_xlfn.CONCAT(Tabela9[[#This Row],[Coluna1]],Tabela9[[#This Row],[Coluna2]])</f>
        <v>20-Rota</v>
      </c>
    </row>
    <row r="522" spans="1:7" x14ac:dyDescent="0.25">
      <c r="A522">
        <v>4955</v>
      </c>
      <c r="B522">
        <v>207</v>
      </c>
      <c r="C522" s="1" t="str">
        <f>IF(Tabela8[[#This Row],[SETOR]]="","",IF(Tabela8[[#This Row],[SETOR]]&lt;200,"GV 10",IF(Tabela8[[#This Row],[SETOR]]&lt;300,"GV 20",IF(Tabela8[[#This Row],[SETOR]]&lt;400,"GV 30","S/GV"))))</f>
        <v>GV 20</v>
      </c>
      <c r="E522" t="s">
        <v>126</v>
      </c>
      <c r="F522" t="s">
        <v>127</v>
      </c>
      <c r="G522" t="str">
        <f>_xlfn.CONCAT(Tabela9[[#This Row],[Coluna1]],Tabela9[[#This Row],[Coluna2]])</f>
        <v>16-AS(5+)</v>
      </c>
    </row>
    <row r="523" spans="1:7" x14ac:dyDescent="0.25">
      <c r="A523">
        <v>4957</v>
      </c>
      <c r="B523">
        <v>101</v>
      </c>
      <c r="C523" s="1" t="str">
        <f>IF(Tabela8[[#This Row],[SETOR]]="","",IF(Tabela8[[#This Row],[SETOR]]&lt;200,"GV 10",IF(Tabela8[[#This Row],[SETOR]]&lt;300,"GV 20",IF(Tabela8[[#This Row],[SETOR]]&lt;400,"GV 30","S/GV"))))</f>
        <v>GV 10</v>
      </c>
      <c r="E523" t="s">
        <v>123</v>
      </c>
      <c r="G523" t="str">
        <f>_xlfn.CONCAT(Tabela9[[#This Row],[Coluna1]],Tabela9[[#This Row],[Coluna2]])</f>
        <v>20-Rota</v>
      </c>
    </row>
    <row r="524" spans="1:7" x14ac:dyDescent="0.25">
      <c r="A524">
        <v>4965</v>
      </c>
      <c r="B524">
        <v>306</v>
      </c>
      <c r="C524" s="1" t="str">
        <f>IF(Tabela8[[#This Row],[SETOR]]="","",IF(Tabela8[[#This Row],[SETOR]]&lt;200,"GV 10",IF(Tabela8[[#This Row],[SETOR]]&lt;300,"GV 20",IF(Tabela8[[#This Row],[SETOR]]&lt;400,"GV 30","S/GV"))))</f>
        <v>GV 30</v>
      </c>
      <c r="E524" t="s">
        <v>126</v>
      </c>
      <c r="F524" t="s">
        <v>127</v>
      </c>
      <c r="G524" t="str">
        <f>_xlfn.CONCAT(Tabela9[[#This Row],[Coluna1]],Tabela9[[#This Row],[Coluna2]])</f>
        <v>16-AS(5+)</v>
      </c>
    </row>
    <row r="525" spans="1:7" x14ac:dyDescent="0.25">
      <c r="A525">
        <v>4973</v>
      </c>
      <c r="B525">
        <v>202</v>
      </c>
      <c r="C525" s="1" t="str">
        <f>IF(Tabela8[[#This Row],[SETOR]]="","",IF(Tabela8[[#This Row],[SETOR]]&lt;200,"GV 10",IF(Tabela8[[#This Row],[SETOR]]&lt;300,"GV 20",IF(Tabela8[[#This Row],[SETOR]]&lt;400,"GV 30","S/GV"))))</f>
        <v>GV 20</v>
      </c>
      <c r="E525" t="s">
        <v>123</v>
      </c>
      <c r="G525" t="str">
        <f>_xlfn.CONCAT(Tabela9[[#This Row],[Coluna1]],Tabela9[[#This Row],[Coluna2]])</f>
        <v>20-Rota</v>
      </c>
    </row>
    <row r="526" spans="1:7" x14ac:dyDescent="0.25">
      <c r="A526">
        <v>4998</v>
      </c>
      <c r="B526">
        <v>205</v>
      </c>
      <c r="C526" s="1" t="str">
        <f>IF(Tabela8[[#This Row],[SETOR]]="","",IF(Tabela8[[#This Row],[SETOR]]&lt;200,"GV 10",IF(Tabela8[[#This Row],[SETOR]]&lt;300,"GV 20",IF(Tabela8[[#This Row],[SETOR]]&lt;400,"GV 30","S/GV"))))</f>
        <v>GV 20</v>
      </c>
      <c r="E526" t="s">
        <v>130</v>
      </c>
      <c r="G526" t="str">
        <f>_xlfn.CONCAT(Tabela9[[#This Row],[Coluna1]],Tabela9[[#This Row],[Coluna2]])</f>
        <v>21-SUB</v>
      </c>
    </row>
    <row r="527" spans="1:7" x14ac:dyDescent="0.25">
      <c r="A527">
        <v>5001</v>
      </c>
      <c r="B527">
        <v>912</v>
      </c>
      <c r="C527" s="1" t="str">
        <f>IF(Tabela8[[#This Row],[SETOR]]="","",IF(Tabela8[[#This Row],[SETOR]]&lt;200,"GV 10",IF(Tabela8[[#This Row],[SETOR]]&lt;300,"GV 20",IF(Tabela8[[#This Row],[SETOR]]&lt;400,"GV 30","S/GV"))))</f>
        <v>S/GV</v>
      </c>
      <c r="G527" t="str">
        <f>_xlfn.CONCAT(Tabela9[[#This Row],[Coluna1]],Tabela9[[#This Row],[Coluna2]])</f>
        <v/>
      </c>
    </row>
    <row r="528" spans="1:7" x14ac:dyDescent="0.25">
      <c r="A528">
        <v>5007</v>
      </c>
      <c r="B528">
        <v>202</v>
      </c>
      <c r="C528" s="1" t="str">
        <f>IF(Tabela8[[#This Row],[SETOR]]="","",IF(Tabela8[[#This Row],[SETOR]]&lt;200,"GV 10",IF(Tabela8[[#This Row],[SETOR]]&lt;300,"GV 20",IF(Tabela8[[#This Row],[SETOR]]&lt;400,"GV 30","S/GV"))))</f>
        <v>GV 20</v>
      </c>
      <c r="E528" t="s">
        <v>124</v>
      </c>
      <c r="G528" t="str">
        <f>_xlfn.CONCAT(Tabela9[[#This Row],[Coluna1]],Tabela9[[#This Row],[Coluna2]])</f>
        <v>19-VIP</v>
      </c>
    </row>
    <row r="529" spans="1:7" x14ac:dyDescent="0.25">
      <c r="A529">
        <v>5016</v>
      </c>
      <c r="B529">
        <v>201</v>
      </c>
      <c r="C529" s="1" t="str">
        <f>IF(Tabela8[[#This Row],[SETOR]]="","",IF(Tabela8[[#This Row],[SETOR]]&lt;200,"GV 10",IF(Tabela8[[#This Row],[SETOR]]&lt;300,"GV 20",IF(Tabela8[[#This Row],[SETOR]]&lt;400,"GV 30","S/GV"))))</f>
        <v>GV 20</v>
      </c>
      <c r="E529" t="s">
        <v>123</v>
      </c>
      <c r="G529" t="str">
        <f>_xlfn.CONCAT(Tabela9[[#This Row],[Coluna1]],Tabela9[[#This Row],[Coluna2]])</f>
        <v>20-Rota</v>
      </c>
    </row>
    <row r="530" spans="1:7" x14ac:dyDescent="0.25">
      <c r="A530">
        <v>5023</v>
      </c>
      <c r="B530">
        <v>306</v>
      </c>
      <c r="C530" s="1" t="str">
        <f>IF(Tabela8[[#This Row],[SETOR]]="","",IF(Tabela8[[#This Row],[SETOR]]&lt;200,"GV 10",IF(Tabela8[[#This Row],[SETOR]]&lt;300,"GV 20",IF(Tabela8[[#This Row],[SETOR]]&lt;400,"GV 30","S/GV"))))</f>
        <v>GV 30</v>
      </c>
      <c r="E530" t="s">
        <v>125</v>
      </c>
      <c r="G530" t="str">
        <f>_xlfn.CONCAT(Tabela9[[#This Row],[Coluna1]],Tabela9[[#This Row],[Coluna2]])</f>
        <v>18-TRAD</v>
      </c>
    </row>
    <row r="531" spans="1:7" x14ac:dyDescent="0.25">
      <c r="A531">
        <v>5041</v>
      </c>
      <c r="B531">
        <v>107</v>
      </c>
      <c r="C531" s="1" t="str">
        <f>IF(Tabela8[[#This Row],[SETOR]]="","",IF(Tabela8[[#This Row],[SETOR]]&lt;200,"GV 10",IF(Tabela8[[#This Row],[SETOR]]&lt;300,"GV 20",IF(Tabela8[[#This Row],[SETOR]]&lt;400,"GV 30","S/GV"))))</f>
        <v>GV 10</v>
      </c>
      <c r="E531" t="s">
        <v>125</v>
      </c>
      <c r="G531" t="str">
        <f>_xlfn.CONCAT(Tabela9[[#This Row],[Coluna1]],Tabela9[[#This Row],[Coluna2]])</f>
        <v>18-TRAD</v>
      </c>
    </row>
    <row r="532" spans="1:7" x14ac:dyDescent="0.25">
      <c r="A532">
        <v>5047</v>
      </c>
      <c r="B532">
        <v>916</v>
      </c>
      <c r="C532" s="1" t="str">
        <f>IF(Tabela8[[#This Row],[SETOR]]="","",IF(Tabela8[[#This Row],[SETOR]]&lt;200,"GV 10",IF(Tabela8[[#This Row],[SETOR]]&lt;300,"GV 20",IF(Tabela8[[#This Row],[SETOR]]&lt;400,"GV 30","S/GV"))))</f>
        <v>S/GV</v>
      </c>
      <c r="G532" t="str">
        <f>_xlfn.CONCAT(Tabela9[[#This Row],[Coluna1]],Tabela9[[#This Row],[Coluna2]])</f>
        <v/>
      </c>
    </row>
    <row r="533" spans="1:7" x14ac:dyDescent="0.25">
      <c r="A533">
        <v>5050</v>
      </c>
      <c r="B533">
        <v>304</v>
      </c>
      <c r="C533" s="1" t="str">
        <f>IF(Tabela8[[#This Row],[SETOR]]="","",IF(Tabela8[[#This Row],[SETOR]]&lt;200,"GV 10",IF(Tabela8[[#This Row],[SETOR]]&lt;300,"GV 20",IF(Tabela8[[#This Row],[SETOR]]&lt;400,"GV 30","S/GV"))))</f>
        <v>GV 30</v>
      </c>
      <c r="E533" t="s">
        <v>123</v>
      </c>
      <c r="G533" t="str">
        <f>_xlfn.CONCAT(Tabela9[[#This Row],[Coluna1]],Tabela9[[#This Row],[Coluna2]])</f>
        <v>20-Rota</v>
      </c>
    </row>
    <row r="534" spans="1:7" x14ac:dyDescent="0.25">
      <c r="A534">
        <v>5082</v>
      </c>
      <c r="B534">
        <v>916</v>
      </c>
      <c r="C534" s="1" t="str">
        <f>IF(Tabela8[[#This Row],[SETOR]]="","",IF(Tabela8[[#This Row],[SETOR]]&lt;200,"GV 10",IF(Tabela8[[#This Row],[SETOR]]&lt;300,"GV 20",IF(Tabela8[[#This Row],[SETOR]]&lt;400,"GV 30","S/GV"))))</f>
        <v>S/GV</v>
      </c>
      <c r="G534" t="str">
        <f>_xlfn.CONCAT(Tabela9[[#This Row],[Coluna1]],Tabela9[[#This Row],[Coluna2]])</f>
        <v/>
      </c>
    </row>
    <row r="535" spans="1:7" x14ac:dyDescent="0.25">
      <c r="A535">
        <v>5112</v>
      </c>
      <c r="B535">
        <v>206</v>
      </c>
      <c r="C535" s="1" t="str">
        <f>IF(Tabela8[[#This Row],[SETOR]]="","",IF(Tabela8[[#This Row],[SETOR]]&lt;200,"GV 10",IF(Tabela8[[#This Row],[SETOR]]&lt;300,"GV 20",IF(Tabela8[[#This Row],[SETOR]]&lt;400,"GV 30","S/GV"))))</f>
        <v>GV 20</v>
      </c>
      <c r="E535" t="s">
        <v>123</v>
      </c>
      <c r="G535" t="str">
        <f>_xlfn.CONCAT(Tabela9[[#This Row],[Coluna1]],Tabela9[[#This Row],[Coluna2]])</f>
        <v>20-Rota</v>
      </c>
    </row>
    <row r="536" spans="1:7" x14ac:dyDescent="0.25">
      <c r="A536">
        <v>5125</v>
      </c>
      <c r="B536">
        <v>206</v>
      </c>
      <c r="C536" s="1" t="str">
        <f>IF(Tabela8[[#This Row],[SETOR]]="","",IF(Tabela8[[#This Row],[SETOR]]&lt;200,"GV 10",IF(Tabela8[[#This Row],[SETOR]]&lt;300,"GV 20",IF(Tabela8[[#This Row],[SETOR]]&lt;400,"GV 30","S/GV"))))</f>
        <v>GV 20</v>
      </c>
      <c r="E536" t="s">
        <v>123</v>
      </c>
      <c r="G536" t="str">
        <f>_xlfn.CONCAT(Tabela9[[#This Row],[Coluna1]],Tabela9[[#This Row],[Coluna2]])</f>
        <v>20-Rota</v>
      </c>
    </row>
    <row r="537" spans="1:7" x14ac:dyDescent="0.25">
      <c r="A537">
        <v>5146</v>
      </c>
      <c r="B537">
        <v>306</v>
      </c>
      <c r="C537" s="1" t="str">
        <f>IF(Tabela8[[#This Row],[SETOR]]="","",IF(Tabela8[[#This Row],[SETOR]]&lt;200,"GV 10",IF(Tabela8[[#This Row],[SETOR]]&lt;300,"GV 20",IF(Tabela8[[#This Row],[SETOR]]&lt;400,"GV 30","S/GV"))))</f>
        <v>GV 30</v>
      </c>
      <c r="E537" t="s">
        <v>128</v>
      </c>
      <c r="F537" t="s">
        <v>129</v>
      </c>
      <c r="G537" t="str">
        <f>_xlfn.CONCAT(Tabela9[[#This Row],[Coluna1]],Tabela9[[#This Row],[Coluna2]])</f>
        <v>15-AS(1-4)</v>
      </c>
    </row>
    <row r="538" spans="1:7" x14ac:dyDescent="0.25">
      <c r="A538">
        <v>5166</v>
      </c>
      <c r="B538">
        <v>307</v>
      </c>
      <c r="C538" s="1" t="str">
        <f>IF(Tabela8[[#This Row],[SETOR]]="","",IF(Tabela8[[#This Row],[SETOR]]&lt;200,"GV 10",IF(Tabela8[[#This Row],[SETOR]]&lt;300,"GV 20",IF(Tabela8[[#This Row],[SETOR]]&lt;400,"GV 30","S/GV"))))</f>
        <v>GV 30</v>
      </c>
      <c r="E538" t="s">
        <v>130</v>
      </c>
      <c r="G538" t="str">
        <f>_xlfn.CONCAT(Tabela9[[#This Row],[Coluna1]],Tabela9[[#This Row],[Coluna2]])</f>
        <v>21-SUB</v>
      </c>
    </row>
    <row r="539" spans="1:7" x14ac:dyDescent="0.25">
      <c r="A539">
        <v>5170</v>
      </c>
      <c r="B539">
        <v>201</v>
      </c>
      <c r="C539" s="1" t="str">
        <f>IF(Tabela8[[#This Row],[SETOR]]="","",IF(Tabela8[[#This Row],[SETOR]]&lt;200,"GV 10",IF(Tabela8[[#This Row],[SETOR]]&lt;300,"GV 20",IF(Tabela8[[#This Row],[SETOR]]&lt;400,"GV 30","S/GV"))))</f>
        <v>GV 20</v>
      </c>
      <c r="E539" t="s">
        <v>123</v>
      </c>
      <c r="G539" t="str">
        <f>_xlfn.CONCAT(Tabela9[[#This Row],[Coluna1]],Tabela9[[#This Row],[Coluna2]])</f>
        <v>20-Rota</v>
      </c>
    </row>
    <row r="540" spans="1:7" x14ac:dyDescent="0.25">
      <c r="A540">
        <v>5178</v>
      </c>
      <c r="B540">
        <v>206</v>
      </c>
      <c r="C540" s="1" t="str">
        <f>IF(Tabela8[[#This Row],[SETOR]]="","",IF(Tabela8[[#This Row],[SETOR]]&lt;200,"GV 10",IF(Tabela8[[#This Row],[SETOR]]&lt;300,"GV 20",IF(Tabela8[[#This Row],[SETOR]]&lt;400,"GV 30","S/GV"))))</f>
        <v>GV 20</v>
      </c>
      <c r="E540" t="s">
        <v>123</v>
      </c>
      <c r="G540" t="str">
        <f>_xlfn.CONCAT(Tabela9[[#This Row],[Coluna1]],Tabela9[[#This Row],[Coluna2]])</f>
        <v>20-Rota</v>
      </c>
    </row>
    <row r="541" spans="1:7" x14ac:dyDescent="0.25">
      <c r="A541">
        <v>5180</v>
      </c>
      <c r="B541">
        <v>308</v>
      </c>
      <c r="C541" s="1" t="str">
        <f>IF(Tabela8[[#This Row],[SETOR]]="","",IF(Tabela8[[#This Row],[SETOR]]&lt;200,"GV 10",IF(Tabela8[[#This Row],[SETOR]]&lt;300,"GV 20",IF(Tabela8[[#This Row],[SETOR]]&lt;400,"GV 30","S/GV"))))</f>
        <v>GV 30</v>
      </c>
      <c r="E541" t="s">
        <v>128</v>
      </c>
      <c r="F541" t="s">
        <v>129</v>
      </c>
      <c r="G541" t="str">
        <f>_xlfn.CONCAT(Tabela9[[#This Row],[Coluna1]],Tabela9[[#This Row],[Coluna2]])</f>
        <v>15-AS(1-4)</v>
      </c>
    </row>
    <row r="542" spans="1:7" x14ac:dyDescent="0.25">
      <c r="A542">
        <v>5181</v>
      </c>
      <c r="B542">
        <v>305</v>
      </c>
      <c r="C542" s="1" t="str">
        <f>IF(Tabela8[[#This Row],[SETOR]]="","",IF(Tabela8[[#This Row],[SETOR]]&lt;200,"GV 10",IF(Tabela8[[#This Row],[SETOR]]&lt;300,"GV 20",IF(Tabela8[[#This Row],[SETOR]]&lt;400,"GV 30","S/GV"))))</f>
        <v>GV 30</v>
      </c>
      <c r="E542" t="s">
        <v>123</v>
      </c>
      <c r="G542" t="str">
        <f>_xlfn.CONCAT(Tabela9[[#This Row],[Coluna1]],Tabela9[[#This Row],[Coluna2]])</f>
        <v>20-Rota</v>
      </c>
    </row>
    <row r="543" spans="1:7" x14ac:dyDescent="0.25">
      <c r="A543">
        <v>5182</v>
      </c>
      <c r="B543">
        <v>301</v>
      </c>
      <c r="C543" s="1" t="str">
        <f>IF(Tabela8[[#This Row],[SETOR]]="","",IF(Tabela8[[#This Row],[SETOR]]&lt;200,"GV 10",IF(Tabela8[[#This Row],[SETOR]]&lt;300,"GV 20",IF(Tabela8[[#This Row],[SETOR]]&lt;400,"GV 30","S/GV"))))</f>
        <v>GV 30</v>
      </c>
      <c r="E543" t="s">
        <v>124</v>
      </c>
      <c r="G543" t="str">
        <f>_xlfn.CONCAT(Tabela9[[#This Row],[Coluna1]],Tabela9[[#This Row],[Coluna2]])</f>
        <v>19-VIP</v>
      </c>
    </row>
    <row r="544" spans="1:7" x14ac:dyDescent="0.25">
      <c r="A544">
        <v>5188</v>
      </c>
      <c r="B544">
        <v>906</v>
      </c>
      <c r="C544" s="1" t="str">
        <f>IF(Tabela8[[#This Row],[SETOR]]="","",IF(Tabela8[[#This Row],[SETOR]]&lt;200,"GV 10",IF(Tabela8[[#This Row],[SETOR]]&lt;300,"GV 20",IF(Tabela8[[#This Row],[SETOR]]&lt;400,"GV 30","S/GV"))))</f>
        <v>S/GV</v>
      </c>
      <c r="G544" t="str">
        <f>_xlfn.CONCAT(Tabela9[[#This Row],[Coluna1]],Tabela9[[#This Row],[Coluna2]])</f>
        <v/>
      </c>
    </row>
    <row r="545" spans="1:7" x14ac:dyDescent="0.25">
      <c r="A545">
        <v>5191</v>
      </c>
      <c r="B545">
        <v>309</v>
      </c>
      <c r="C545" s="1" t="str">
        <f>IF(Tabela8[[#This Row],[SETOR]]="","",IF(Tabela8[[#This Row],[SETOR]]&lt;200,"GV 10",IF(Tabela8[[#This Row],[SETOR]]&lt;300,"GV 20",IF(Tabela8[[#This Row],[SETOR]]&lt;400,"GV 30","S/GV"))))</f>
        <v>GV 30</v>
      </c>
      <c r="E545" t="s">
        <v>126</v>
      </c>
      <c r="F545" t="s">
        <v>127</v>
      </c>
      <c r="G545" t="str">
        <f>_xlfn.CONCAT(Tabela9[[#This Row],[Coluna1]],Tabela9[[#This Row],[Coluna2]])</f>
        <v>16-AS(5+)</v>
      </c>
    </row>
    <row r="546" spans="1:7" x14ac:dyDescent="0.25">
      <c r="A546">
        <v>5205</v>
      </c>
      <c r="B546">
        <v>202</v>
      </c>
      <c r="C546" s="1" t="str">
        <f>IF(Tabela8[[#This Row],[SETOR]]="","",IF(Tabela8[[#This Row],[SETOR]]&lt;200,"GV 10",IF(Tabela8[[#This Row],[SETOR]]&lt;300,"GV 20",IF(Tabela8[[#This Row],[SETOR]]&lt;400,"GV 30","S/GV"))))</f>
        <v>GV 20</v>
      </c>
      <c r="E546" t="s">
        <v>123</v>
      </c>
      <c r="G546" t="str">
        <f>_xlfn.CONCAT(Tabela9[[#This Row],[Coluna1]],Tabela9[[#This Row],[Coluna2]])</f>
        <v>20-Rota</v>
      </c>
    </row>
    <row r="547" spans="1:7" x14ac:dyDescent="0.25">
      <c r="A547">
        <v>5210</v>
      </c>
      <c r="B547">
        <v>105</v>
      </c>
      <c r="C547" s="1" t="str">
        <f>IF(Tabela8[[#This Row],[SETOR]]="","",IF(Tabela8[[#This Row],[SETOR]]&lt;200,"GV 10",IF(Tabela8[[#This Row],[SETOR]]&lt;300,"GV 20",IF(Tabela8[[#This Row],[SETOR]]&lt;400,"GV 30","S/GV"))))</f>
        <v>GV 10</v>
      </c>
      <c r="E547" t="s">
        <v>123</v>
      </c>
      <c r="G547" t="str">
        <f>_xlfn.CONCAT(Tabela9[[#This Row],[Coluna1]],Tabela9[[#This Row],[Coluna2]])</f>
        <v>20-Rota</v>
      </c>
    </row>
    <row r="548" spans="1:7" x14ac:dyDescent="0.25">
      <c r="A548">
        <v>5230</v>
      </c>
      <c r="B548">
        <v>301</v>
      </c>
      <c r="C548" s="1" t="str">
        <f>IF(Tabela8[[#This Row],[SETOR]]="","",IF(Tabela8[[#This Row],[SETOR]]&lt;200,"GV 10",IF(Tabela8[[#This Row],[SETOR]]&lt;300,"GV 20",IF(Tabela8[[#This Row],[SETOR]]&lt;400,"GV 30","S/GV"))))</f>
        <v>GV 30</v>
      </c>
      <c r="E548" t="s">
        <v>123</v>
      </c>
      <c r="G548" t="str">
        <f>_xlfn.CONCAT(Tabela9[[#This Row],[Coluna1]],Tabela9[[#This Row],[Coluna2]])</f>
        <v>20-Rota</v>
      </c>
    </row>
    <row r="549" spans="1:7" x14ac:dyDescent="0.25">
      <c r="A549">
        <v>5233</v>
      </c>
      <c r="B549">
        <v>106</v>
      </c>
      <c r="C549" s="1" t="str">
        <f>IF(Tabela8[[#This Row],[SETOR]]="","",IF(Tabela8[[#This Row],[SETOR]]&lt;200,"GV 10",IF(Tabela8[[#This Row],[SETOR]]&lt;300,"GV 20",IF(Tabela8[[#This Row],[SETOR]]&lt;400,"GV 30","S/GV"))))</f>
        <v>GV 10</v>
      </c>
      <c r="E549" t="s">
        <v>123</v>
      </c>
      <c r="G549" t="str">
        <f>_xlfn.CONCAT(Tabela9[[#This Row],[Coluna1]],Tabela9[[#This Row],[Coluna2]])</f>
        <v>20-Rota</v>
      </c>
    </row>
    <row r="550" spans="1:7" x14ac:dyDescent="0.25">
      <c r="A550">
        <v>5242</v>
      </c>
      <c r="B550">
        <v>202</v>
      </c>
      <c r="C550" s="1" t="str">
        <f>IF(Tabela8[[#This Row],[SETOR]]="","",IF(Tabela8[[#This Row],[SETOR]]&lt;200,"GV 10",IF(Tabela8[[#This Row],[SETOR]]&lt;300,"GV 20",IF(Tabela8[[#This Row],[SETOR]]&lt;400,"GV 30","S/GV"))))</f>
        <v>GV 20</v>
      </c>
      <c r="E550" t="s">
        <v>123</v>
      </c>
      <c r="G550" t="str">
        <f>_xlfn.CONCAT(Tabela9[[#This Row],[Coluna1]],Tabela9[[#This Row],[Coluna2]])</f>
        <v>20-Rota</v>
      </c>
    </row>
    <row r="551" spans="1:7" x14ac:dyDescent="0.25">
      <c r="A551">
        <v>5243</v>
      </c>
      <c r="B551">
        <v>303</v>
      </c>
      <c r="C551" s="1" t="str">
        <f>IF(Tabela8[[#This Row],[SETOR]]="","",IF(Tabela8[[#This Row],[SETOR]]&lt;200,"GV 10",IF(Tabela8[[#This Row],[SETOR]]&lt;300,"GV 20",IF(Tabela8[[#This Row],[SETOR]]&lt;400,"GV 30","S/GV"))))</f>
        <v>GV 30</v>
      </c>
      <c r="E551" t="s">
        <v>123</v>
      </c>
      <c r="G551" t="str">
        <f>_xlfn.CONCAT(Tabela9[[#This Row],[Coluna1]],Tabela9[[#This Row],[Coluna2]])</f>
        <v>20-Rota</v>
      </c>
    </row>
    <row r="552" spans="1:7" x14ac:dyDescent="0.25">
      <c r="A552">
        <v>5255</v>
      </c>
      <c r="B552">
        <v>906</v>
      </c>
      <c r="C552" s="1" t="str">
        <f>IF(Tabela8[[#This Row],[SETOR]]="","",IF(Tabela8[[#This Row],[SETOR]]&lt;200,"GV 10",IF(Tabela8[[#This Row],[SETOR]]&lt;300,"GV 20",IF(Tabela8[[#This Row],[SETOR]]&lt;400,"GV 30","S/GV"))))</f>
        <v>S/GV</v>
      </c>
      <c r="G552" t="str">
        <f>_xlfn.CONCAT(Tabela9[[#This Row],[Coluna1]],Tabela9[[#This Row],[Coluna2]])</f>
        <v/>
      </c>
    </row>
    <row r="553" spans="1:7" x14ac:dyDescent="0.25">
      <c r="A553">
        <v>5263</v>
      </c>
      <c r="B553">
        <v>206</v>
      </c>
      <c r="C553" s="1" t="str">
        <f>IF(Tabela8[[#This Row],[SETOR]]="","",IF(Tabela8[[#This Row],[SETOR]]&lt;200,"GV 10",IF(Tabela8[[#This Row],[SETOR]]&lt;300,"GV 20",IF(Tabela8[[#This Row],[SETOR]]&lt;400,"GV 30","S/GV"))))</f>
        <v>GV 20</v>
      </c>
      <c r="E553" t="s">
        <v>123</v>
      </c>
      <c r="G553" t="str">
        <f>_xlfn.CONCAT(Tabela9[[#This Row],[Coluna1]],Tabela9[[#This Row],[Coluna2]])</f>
        <v>20-Rota</v>
      </c>
    </row>
    <row r="554" spans="1:7" x14ac:dyDescent="0.25">
      <c r="A554">
        <v>5281</v>
      </c>
      <c r="B554">
        <v>104</v>
      </c>
      <c r="C554" s="1" t="str">
        <f>IF(Tabela8[[#This Row],[SETOR]]="","",IF(Tabela8[[#This Row],[SETOR]]&lt;200,"GV 10",IF(Tabela8[[#This Row],[SETOR]]&lt;300,"GV 20",IF(Tabela8[[#This Row],[SETOR]]&lt;400,"GV 30","S/GV"))))</f>
        <v>GV 10</v>
      </c>
      <c r="E554" t="s">
        <v>123</v>
      </c>
      <c r="G554" t="str">
        <f>_xlfn.CONCAT(Tabela9[[#This Row],[Coluna1]],Tabela9[[#This Row],[Coluna2]])</f>
        <v>20-Rota</v>
      </c>
    </row>
    <row r="555" spans="1:7" x14ac:dyDescent="0.25">
      <c r="A555">
        <v>5283</v>
      </c>
      <c r="B555">
        <v>103</v>
      </c>
      <c r="C555" s="1" t="str">
        <f>IF(Tabela8[[#This Row],[SETOR]]="","",IF(Tabela8[[#This Row],[SETOR]]&lt;200,"GV 10",IF(Tabela8[[#This Row],[SETOR]]&lt;300,"GV 20",IF(Tabela8[[#This Row],[SETOR]]&lt;400,"GV 30","S/GV"))))</f>
        <v>GV 10</v>
      </c>
      <c r="E555" t="s">
        <v>123</v>
      </c>
      <c r="G555" t="str">
        <f>_xlfn.CONCAT(Tabela9[[#This Row],[Coluna1]],Tabela9[[#This Row],[Coluna2]])</f>
        <v>20-Rota</v>
      </c>
    </row>
    <row r="556" spans="1:7" x14ac:dyDescent="0.25">
      <c r="A556">
        <v>5286</v>
      </c>
      <c r="B556">
        <v>203</v>
      </c>
      <c r="C556" s="1" t="str">
        <f>IF(Tabela8[[#This Row],[SETOR]]="","",IF(Tabela8[[#This Row],[SETOR]]&lt;200,"GV 10",IF(Tabela8[[#This Row],[SETOR]]&lt;300,"GV 20",IF(Tabela8[[#This Row],[SETOR]]&lt;400,"GV 30","S/GV"))))</f>
        <v>GV 20</v>
      </c>
      <c r="E556" t="s">
        <v>123</v>
      </c>
      <c r="G556" t="str">
        <f>_xlfn.CONCAT(Tabela9[[#This Row],[Coluna1]],Tabela9[[#This Row],[Coluna2]])</f>
        <v>20-Rota</v>
      </c>
    </row>
    <row r="557" spans="1:7" x14ac:dyDescent="0.25">
      <c r="A557">
        <v>5289</v>
      </c>
      <c r="B557">
        <v>203</v>
      </c>
      <c r="C557" s="1" t="str">
        <f>IF(Tabela8[[#This Row],[SETOR]]="","",IF(Tabela8[[#This Row],[SETOR]]&lt;200,"GV 10",IF(Tabela8[[#This Row],[SETOR]]&lt;300,"GV 20",IF(Tabela8[[#This Row],[SETOR]]&lt;400,"GV 30","S/GV"))))</f>
        <v>GV 20</v>
      </c>
      <c r="E557" t="s">
        <v>123</v>
      </c>
      <c r="G557" t="str">
        <f>_xlfn.CONCAT(Tabela9[[#This Row],[Coluna1]],Tabela9[[#This Row],[Coluna2]])</f>
        <v>20-Rota</v>
      </c>
    </row>
    <row r="558" spans="1:7" x14ac:dyDescent="0.25">
      <c r="A558">
        <v>5293</v>
      </c>
      <c r="B558">
        <v>101</v>
      </c>
      <c r="C558" s="1" t="str">
        <f>IF(Tabela8[[#This Row],[SETOR]]="","",IF(Tabela8[[#This Row],[SETOR]]&lt;200,"GV 10",IF(Tabela8[[#This Row],[SETOR]]&lt;300,"GV 20",IF(Tabela8[[#This Row],[SETOR]]&lt;400,"GV 30","S/GV"))))</f>
        <v>GV 10</v>
      </c>
      <c r="E558" t="s">
        <v>123</v>
      </c>
      <c r="G558" t="str">
        <f>_xlfn.CONCAT(Tabela9[[#This Row],[Coluna1]],Tabela9[[#This Row],[Coluna2]])</f>
        <v>20-Rota</v>
      </c>
    </row>
    <row r="559" spans="1:7" x14ac:dyDescent="0.25">
      <c r="A559">
        <v>5311</v>
      </c>
      <c r="B559">
        <v>301</v>
      </c>
      <c r="C559" s="1" t="str">
        <f>IF(Tabela8[[#This Row],[SETOR]]="","",IF(Tabela8[[#This Row],[SETOR]]&lt;200,"GV 10",IF(Tabela8[[#This Row],[SETOR]]&lt;300,"GV 20",IF(Tabela8[[#This Row],[SETOR]]&lt;400,"GV 30","S/GV"))))</f>
        <v>GV 30</v>
      </c>
      <c r="E559" t="s">
        <v>123</v>
      </c>
      <c r="G559" t="str">
        <f>_xlfn.CONCAT(Tabela9[[#This Row],[Coluna1]],Tabela9[[#This Row],[Coluna2]])</f>
        <v>20-Rota</v>
      </c>
    </row>
    <row r="560" spans="1:7" x14ac:dyDescent="0.25">
      <c r="A560">
        <v>5330</v>
      </c>
      <c r="B560">
        <v>103</v>
      </c>
      <c r="C560" s="1" t="str">
        <f>IF(Tabela8[[#This Row],[SETOR]]="","",IF(Tabela8[[#This Row],[SETOR]]&lt;200,"GV 10",IF(Tabela8[[#This Row],[SETOR]]&lt;300,"GV 20",IF(Tabela8[[#This Row],[SETOR]]&lt;400,"GV 30","S/GV"))))</f>
        <v>GV 10</v>
      </c>
      <c r="E560" t="s">
        <v>123</v>
      </c>
      <c r="G560" t="str">
        <f>_xlfn.CONCAT(Tabela9[[#This Row],[Coluna1]],Tabela9[[#This Row],[Coluna2]])</f>
        <v>20-Rota</v>
      </c>
    </row>
    <row r="561" spans="1:7" x14ac:dyDescent="0.25">
      <c r="A561">
        <v>5332</v>
      </c>
      <c r="B561">
        <v>203</v>
      </c>
      <c r="C561" s="1" t="str">
        <f>IF(Tabela8[[#This Row],[SETOR]]="","",IF(Tabela8[[#This Row],[SETOR]]&lt;200,"GV 10",IF(Tabela8[[#This Row],[SETOR]]&lt;300,"GV 20",IF(Tabela8[[#This Row],[SETOR]]&lt;400,"GV 30","S/GV"))))</f>
        <v>GV 20</v>
      </c>
      <c r="E561" t="s">
        <v>123</v>
      </c>
      <c r="G561" t="str">
        <f>_xlfn.CONCAT(Tabela9[[#This Row],[Coluna1]],Tabela9[[#This Row],[Coluna2]])</f>
        <v>20-Rota</v>
      </c>
    </row>
    <row r="562" spans="1:7" x14ac:dyDescent="0.25">
      <c r="A562">
        <v>5333</v>
      </c>
      <c r="B562">
        <v>304</v>
      </c>
      <c r="C562" s="1" t="str">
        <f>IF(Tabela8[[#This Row],[SETOR]]="","",IF(Tabela8[[#This Row],[SETOR]]&lt;200,"GV 10",IF(Tabela8[[#This Row],[SETOR]]&lt;300,"GV 20",IF(Tabela8[[#This Row],[SETOR]]&lt;400,"GV 30","S/GV"))))</f>
        <v>GV 30</v>
      </c>
      <c r="E562" t="s">
        <v>123</v>
      </c>
      <c r="G562" t="str">
        <f>_xlfn.CONCAT(Tabela9[[#This Row],[Coluna1]],Tabela9[[#This Row],[Coluna2]])</f>
        <v>20-Rota</v>
      </c>
    </row>
    <row r="563" spans="1:7" x14ac:dyDescent="0.25">
      <c r="A563">
        <v>5348</v>
      </c>
      <c r="B563">
        <v>201</v>
      </c>
      <c r="C563" s="1" t="str">
        <f>IF(Tabela8[[#This Row],[SETOR]]="","",IF(Tabela8[[#This Row],[SETOR]]&lt;200,"GV 10",IF(Tabela8[[#This Row],[SETOR]]&lt;300,"GV 20",IF(Tabela8[[#This Row],[SETOR]]&lt;400,"GV 30","S/GV"))))</f>
        <v>GV 20</v>
      </c>
      <c r="E563" t="s">
        <v>123</v>
      </c>
      <c r="G563" t="str">
        <f>_xlfn.CONCAT(Tabela9[[#This Row],[Coluna1]],Tabela9[[#This Row],[Coluna2]])</f>
        <v>20-Rota</v>
      </c>
    </row>
    <row r="564" spans="1:7" x14ac:dyDescent="0.25">
      <c r="A564">
        <v>5372</v>
      </c>
      <c r="B564">
        <v>906</v>
      </c>
      <c r="C564" s="1" t="str">
        <f>IF(Tabela8[[#This Row],[SETOR]]="","",IF(Tabela8[[#This Row],[SETOR]]&lt;200,"GV 10",IF(Tabela8[[#This Row],[SETOR]]&lt;300,"GV 20",IF(Tabela8[[#This Row],[SETOR]]&lt;400,"GV 30","S/GV"))))</f>
        <v>S/GV</v>
      </c>
      <c r="G564" t="str">
        <f>_xlfn.CONCAT(Tabela9[[#This Row],[Coluna1]],Tabela9[[#This Row],[Coluna2]])</f>
        <v/>
      </c>
    </row>
    <row r="565" spans="1:7" x14ac:dyDescent="0.25">
      <c r="A565">
        <v>5374</v>
      </c>
      <c r="B565">
        <v>304</v>
      </c>
      <c r="C565" s="1" t="str">
        <f>IF(Tabela8[[#This Row],[SETOR]]="","",IF(Tabela8[[#This Row],[SETOR]]&lt;200,"GV 10",IF(Tabela8[[#This Row],[SETOR]]&lt;300,"GV 20",IF(Tabela8[[#This Row],[SETOR]]&lt;400,"GV 30","S/GV"))))</f>
        <v>GV 30</v>
      </c>
      <c r="E565" t="s">
        <v>123</v>
      </c>
      <c r="G565" t="str">
        <f>_xlfn.CONCAT(Tabela9[[#This Row],[Coluna1]],Tabela9[[#This Row],[Coluna2]])</f>
        <v>20-Rota</v>
      </c>
    </row>
    <row r="566" spans="1:7" x14ac:dyDescent="0.25">
      <c r="A566">
        <v>5381</v>
      </c>
      <c r="B566">
        <v>301</v>
      </c>
      <c r="C566" s="1" t="str">
        <f>IF(Tabela8[[#This Row],[SETOR]]="","",IF(Tabela8[[#This Row],[SETOR]]&lt;200,"GV 10",IF(Tabela8[[#This Row],[SETOR]]&lt;300,"GV 20",IF(Tabela8[[#This Row],[SETOR]]&lt;400,"GV 30","S/GV"))))</f>
        <v>GV 30</v>
      </c>
      <c r="E566" t="s">
        <v>123</v>
      </c>
      <c r="G566" t="str">
        <f>_xlfn.CONCAT(Tabela9[[#This Row],[Coluna1]],Tabela9[[#This Row],[Coluna2]])</f>
        <v>20-Rota</v>
      </c>
    </row>
    <row r="567" spans="1:7" x14ac:dyDescent="0.25">
      <c r="A567">
        <v>5385</v>
      </c>
      <c r="B567">
        <v>106</v>
      </c>
      <c r="C567" s="1" t="str">
        <f>IF(Tabela8[[#This Row],[SETOR]]="","",IF(Tabela8[[#This Row],[SETOR]]&lt;200,"GV 10",IF(Tabela8[[#This Row],[SETOR]]&lt;300,"GV 20",IF(Tabela8[[#This Row],[SETOR]]&lt;400,"GV 30","S/GV"))))</f>
        <v>GV 10</v>
      </c>
      <c r="E567" t="s">
        <v>123</v>
      </c>
      <c r="G567" t="str">
        <f>_xlfn.CONCAT(Tabela9[[#This Row],[Coluna1]],Tabela9[[#This Row],[Coluna2]])</f>
        <v>20-Rota</v>
      </c>
    </row>
    <row r="568" spans="1:7" x14ac:dyDescent="0.25">
      <c r="A568">
        <v>5387</v>
      </c>
      <c r="B568">
        <v>107</v>
      </c>
      <c r="C568" s="1" t="str">
        <f>IF(Tabela8[[#This Row],[SETOR]]="","",IF(Tabela8[[#This Row],[SETOR]]&lt;200,"GV 10",IF(Tabela8[[#This Row],[SETOR]]&lt;300,"GV 20",IF(Tabela8[[#This Row],[SETOR]]&lt;400,"GV 30","S/GV"))))</f>
        <v>GV 10</v>
      </c>
      <c r="E568" t="s">
        <v>125</v>
      </c>
      <c r="G568" t="str">
        <f>_xlfn.CONCAT(Tabela9[[#This Row],[Coluna1]],Tabela9[[#This Row],[Coluna2]])</f>
        <v>18-TRAD</v>
      </c>
    </row>
    <row r="569" spans="1:7" x14ac:dyDescent="0.25">
      <c r="A569">
        <v>5391</v>
      </c>
      <c r="B569">
        <v>906</v>
      </c>
      <c r="C569" s="1" t="str">
        <f>IF(Tabela8[[#This Row],[SETOR]]="","",IF(Tabela8[[#This Row],[SETOR]]&lt;200,"GV 10",IF(Tabela8[[#This Row],[SETOR]]&lt;300,"GV 20",IF(Tabela8[[#This Row],[SETOR]]&lt;400,"GV 30","S/GV"))))</f>
        <v>S/GV</v>
      </c>
      <c r="G569" t="str">
        <f>_xlfn.CONCAT(Tabela9[[#This Row],[Coluna1]],Tabela9[[#This Row],[Coluna2]])</f>
        <v/>
      </c>
    </row>
    <row r="570" spans="1:7" x14ac:dyDescent="0.25">
      <c r="A570">
        <v>5392</v>
      </c>
      <c r="B570">
        <v>102</v>
      </c>
      <c r="C570" s="1" t="str">
        <f>IF(Tabela8[[#This Row],[SETOR]]="","",IF(Tabela8[[#This Row],[SETOR]]&lt;200,"GV 10",IF(Tabela8[[#This Row],[SETOR]]&lt;300,"GV 20",IF(Tabela8[[#This Row],[SETOR]]&lt;400,"GV 30","S/GV"))))</f>
        <v>GV 10</v>
      </c>
      <c r="E570" t="s">
        <v>123</v>
      </c>
      <c r="G570" t="str">
        <f>_xlfn.CONCAT(Tabela9[[#This Row],[Coluna1]],Tabela9[[#This Row],[Coluna2]])</f>
        <v>20-Rota</v>
      </c>
    </row>
    <row r="571" spans="1:7" x14ac:dyDescent="0.25">
      <c r="A571">
        <v>5393</v>
      </c>
      <c r="B571">
        <v>107</v>
      </c>
      <c r="C571" s="1" t="str">
        <f>IF(Tabela8[[#This Row],[SETOR]]="","",IF(Tabela8[[#This Row],[SETOR]]&lt;200,"GV 10",IF(Tabela8[[#This Row],[SETOR]]&lt;300,"GV 20",IF(Tabela8[[#This Row],[SETOR]]&lt;400,"GV 30","S/GV"))))</f>
        <v>GV 10</v>
      </c>
      <c r="E571" t="s">
        <v>125</v>
      </c>
      <c r="G571" t="str">
        <f>_xlfn.CONCAT(Tabela9[[#This Row],[Coluna1]],Tabela9[[#This Row],[Coluna2]])</f>
        <v>18-TRAD</v>
      </c>
    </row>
    <row r="572" spans="1:7" x14ac:dyDescent="0.25">
      <c r="A572">
        <v>5396</v>
      </c>
      <c r="B572">
        <v>906</v>
      </c>
      <c r="C572" s="1" t="str">
        <f>IF(Tabela8[[#This Row],[SETOR]]="","",IF(Tabela8[[#This Row],[SETOR]]&lt;200,"GV 10",IF(Tabela8[[#This Row],[SETOR]]&lt;300,"GV 20",IF(Tabela8[[#This Row],[SETOR]]&lt;400,"GV 30","S/GV"))))</f>
        <v>S/GV</v>
      </c>
      <c r="G572" t="str">
        <f>_xlfn.CONCAT(Tabela9[[#This Row],[Coluna1]],Tabela9[[#This Row],[Coluna2]])</f>
        <v/>
      </c>
    </row>
    <row r="573" spans="1:7" x14ac:dyDescent="0.25">
      <c r="A573">
        <v>5425</v>
      </c>
      <c r="B573">
        <v>204</v>
      </c>
      <c r="C573" s="1" t="str">
        <f>IF(Tabela8[[#This Row],[SETOR]]="","",IF(Tabela8[[#This Row],[SETOR]]&lt;200,"GV 10",IF(Tabela8[[#This Row],[SETOR]]&lt;300,"GV 20",IF(Tabela8[[#This Row],[SETOR]]&lt;400,"GV 30","S/GV"))))</f>
        <v>GV 20</v>
      </c>
      <c r="E573" t="s">
        <v>125</v>
      </c>
      <c r="G573" t="str">
        <f>_xlfn.CONCAT(Tabela9[[#This Row],[Coluna1]],Tabela9[[#This Row],[Coluna2]])</f>
        <v>18-TRAD</v>
      </c>
    </row>
    <row r="574" spans="1:7" x14ac:dyDescent="0.25">
      <c r="A574">
        <v>5428</v>
      </c>
      <c r="B574">
        <v>305</v>
      </c>
      <c r="C574" s="1" t="str">
        <f>IF(Tabela8[[#This Row],[SETOR]]="","",IF(Tabela8[[#This Row],[SETOR]]&lt;200,"GV 10",IF(Tabela8[[#This Row],[SETOR]]&lt;300,"GV 20",IF(Tabela8[[#This Row],[SETOR]]&lt;400,"GV 30","S/GV"))))</f>
        <v>GV 30</v>
      </c>
      <c r="E574" t="s">
        <v>123</v>
      </c>
      <c r="G574" t="str">
        <f>_xlfn.CONCAT(Tabela9[[#This Row],[Coluna1]],Tabela9[[#This Row],[Coluna2]])</f>
        <v>20-Rota</v>
      </c>
    </row>
    <row r="575" spans="1:7" x14ac:dyDescent="0.25">
      <c r="A575">
        <v>5429</v>
      </c>
      <c r="B575">
        <v>207</v>
      </c>
      <c r="C575" s="1" t="str">
        <f>IF(Tabela8[[#This Row],[SETOR]]="","",IF(Tabela8[[#This Row],[SETOR]]&lt;200,"GV 10",IF(Tabela8[[#This Row],[SETOR]]&lt;300,"GV 20",IF(Tabela8[[#This Row],[SETOR]]&lt;400,"GV 30","S/GV"))))</f>
        <v>GV 20</v>
      </c>
      <c r="E575" t="s">
        <v>130</v>
      </c>
      <c r="G575" t="str">
        <f>_xlfn.CONCAT(Tabela9[[#This Row],[Coluna1]],Tabela9[[#This Row],[Coluna2]])</f>
        <v>21-SUB</v>
      </c>
    </row>
    <row r="576" spans="1:7" x14ac:dyDescent="0.25">
      <c r="A576">
        <v>5433</v>
      </c>
      <c r="B576">
        <v>916</v>
      </c>
      <c r="C576" s="1" t="str">
        <f>IF(Tabela8[[#This Row],[SETOR]]="","",IF(Tabela8[[#This Row],[SETOR]]&lt;200,"GV 10",IF(Tabela8[[#This Row],[SETOR]]&lt;300,"GV 20",IF(Tabela8[[#This Row],[SETOR]]&lt;400,"GV 30","S/GV"))))</f>
        <v>S/GV</v>
      </c>
      <c r="G576" t="str">
        <f>_xlfn.CONCAT(Tabela9[[#This Row],[Coluna1]],Tabela9[[#This Row],[Coluna2]])</f>
        <v/>
      </c>
    </row>
    <row r="577" spans="1:7" x14ac:dyDescent="0.25">
      <c r="A577">
        <v>5434</v>
      </c>
      <c r="B577">
        <v>906</v>
      </c>
      <c r="C577" s="1" t="str">
        <f>IF(Tabela8[[#This Row],[SETOR]]="","",IF(Tabela8[[#This Row],[SETOR]]&lt;200,"GV 10",IF(Tabela8[[#This Row],[SETOR]]&lt;300,"GV 20",IF(Tabela8[[#This Row],[SETOR]]&lt;400,"GV 30","S/GV"))))</f>
        <v>S/GV</v>
      </c>
      <c r="G577" t="str">
        <f>_xlfn.CONCAT(Tabela9[[#This Row],[Coluna1]],Tabela9[[#This Row],[Coluna2]])</f>
        <v/>
      </c>
    </row>
    <row r="578" spans="1:7" x14ac:dyDescent="0.25">
      <c r="A578">
        <v>5436</v>
      </c>
      <c r="B578">
        <v>205</v>
      </c>
      <c r="C578" s="1" t="str">
        <f>IF(Tabela8[[#This Row],[SETOR]]="","",IF(Tabela8[[#This Row],[SETOR]]&lt;200,"GV 10",IF(Tabela8[[#This Row],[SETOR]]&lt;300,"GV 20",IF(Tabela8[[#This Row],[SETOR]]&lt;400,"GV 30","S/GV"))))</f>
        <v>GV 20</v>
      </c>
      <c r="E578" t="s">
        <v>123</v>
      </c>
      <c r="G578" t="str">
        <f>_xlfn.CONCAT(Tabela9[[#This Row],[Coluna1]],Tabela9[[#This Row],[Coluna2]])</f>
        <v>20-Rota</v>
      </c>
    </row>
    <row r="579" spans="1:7" x14ac:dyDescent="0.25">
      <c r="A579">
        <v>5443</v>
      </c>
      <c r="B579">
        <v>308</v>
      </c>
      <c r="C579" s="1" t="str">
        <f>IF(Tabela8[[#This Row],[SETOR]]="","",IF(Tabela8[[#This Row],[SETOR]]&lt;200,"GV 10",IF(Tabela8[[#This Row],[SETOR]]&lt;300,"GV 20",IF(Tabela8[[#This Row],[SETOR]]&lt;400,"GV 30","S/GV"))))</f>
        <v>GV 30</v>
      </c>
      <c r="E579" t="s">
        <v>128</v>
      </c>
      <c r="F579" t="s">
        <v>129</v>
      </c>
      <c r="G579" t="str">
        <f>_xlfn.CONCAT(Tabela9[[#This Row],[Coluna1]],Tabela9[[#This Row],[Coluna2]])</f>
        <v>15-AS(1-4)</v>
      </c>
    </row>
    <row r="580" spans="1:7" x14ac:dyDescent="0.25">
      <c r="A580">
        <v>5446</v>
      </c>
      <c r="B580">
        <v>305</v>
      </c>
      <c r="C580" s="1" t="str">
        <f>IF(Tabela8[[#This Row],[SETOR]]="","",IF(Tabela8[[#This Row],[SETOR]]&lt;200,"GV 10",IF(Tabela8[[#This Row],[SETOR]]&lt;300,"GV 20",IF(Tabela8[[#This Row],[SETOR]]&lt;400,"GV 30","S/GV"))))</f>
        <v>GV 30</v>
      </c>
      <c r="E580" t="s">
        <v>123</v>
      </c>
      <c r="G580" t="str">
        <f>_xlfn.CONCAT(Tabela9[[#This Row],[Coluna1]],Tabela9[[#This Row],[Coluna2]])</f>
        <v>20-Rota</v>
      </c>
    </row>
    <row r="581" spans="1:7" x14ac:dyDescent="0.25">
      <c r="A581">
        <v>5447</v>
      </c>
      <c r="B581">
        <v>202</v>
      </c>
      <c r="C581" s="1" t="str">
        <f>IF(Tabela8[[#This Row],[SETOR]]="","",IF(Tabela8[[#This Row],[SETOR]]&lt;200,"GV 10",IF(Tabela8[[#This Row],[SETOR]]&lt;300,"GV 20",IF(Tabela8[[#This Row],[SETOR]]&lt;400,"GV 30","S/GV"))))</f>
        <v>GV 20</v>
      </c>
      <c r="E581" t="s">
        <v>125</v>
      </c>
      <c r="G581" t="str">
        <f>_xlfn.CONCAT(Tabela9[[#This Row],[Coluna1]],Tabela9[[#This Row],[Coluna2]])</f>
        <v>18-TRAD</v>
      </c>
    </row>
    <row r="582" spans="1:7" x14ac:dyDescent="0.25">
      <c r="A582">
        <v>5456</v>
      </c>
      <c r="B582">
        <v>301</v>
      </c>
      <c r="C582" s="1" t="str">
        <f>IF(Tabela8[[#This Row],[SETOR]]="","",IF(Tabela8[[#This Row],[SETOR]]&lt;200,"GV 10",IF(Tabela8[[#This Row],[SETOR]]&lt;300,"GV 20",IF(Tabela8[[#This Row],[SETOR]]&lt;400,"GV 30","S/GV"))))</f>
        <v>GV 30</v>
      </c>
      <c r="E582" t="s">
        <v>123</v>
      </c>
      <c r="G582" t="str">
        <f>_xlfn.CONCAT(Tabela9[[#This Row],[Coluna1]],Tabela9[[#This Row],[Coluna2]])</f>
        <v>20-Rota</v>
      </c>
    </row>
    <row r="583" spans="1:7" x14ac:dyDescent="0.25">
      <c r="A583">
        <v>5463</v>
      </c>
      <c r="B583">
        <v>204</v>
      </c>
      <c r="C583" s="1" t="str">
        <f>IF(Tabela8[[#This Row],[SETOR]]="","",IF(Tabela8[[#This Row],[SETOR]]&lt;200,"GV 10",IF(Tabela8[[#This Row],[SETOR]]&lt;300,"GV 20",IF(Tabela8[[#This Row],[SETOR]]&lt;400,"GV 30","S/GV"))))</f>
        <v>GV 20</v>
      </c>
      <c r="E583" t="s">
        <v>123</v>
      </c>
      <c r="G583" t="str">
        <f>_xlfn.CONCAT(Tabela9[[#This Row],[Coluna1]],Tabela9[[#This Row],[Coluna2]])</f>
        <v>20-Rota</v>
      </c>
    </row>
    <row r="584" spans="1:7" x14ac:dyDescent="0.25">
      <c r="A584">
        <v>5477</v>
      </c>
      <c r="B584">
        <v>109</v>
      </c>
      <c r="C584" s="1" t="str">
        <f>IF(Tabela8[[#This Row],[SETOR]]="","",IF(Tabela8[[#This Row],[SETOR]]&lt;200,"GV 10",IF(Tabela8[[#This Row],[SETOR]]&lt;300,"GV 20",IF(Tabela8[[#This Row],[SETOR]]&lt;400,"GV 30","S/GV"))))</f>
        <v>GV 10</v>
      </c>
      <c r="E584" t="s">
        <v>123</v>
      </c>
      <c r="G584" t="str">
        <f>_xlfn.CONCAT(Tabela9[[#This Row],[Coluna1]],Tabela9[[#This Row],[Coluna2]])</f>
        <v>20-Rota</v>
      </c>
    </row>
    <row r="585" spans="1:7" x14ac:dyDescent="0.25">
      <c r="A585">
        <v>5486</v>
      </c>
      <c r="B585">
        <v>109</v>
      </c>
      <c r="C585" s="1" t="str">
        <f>IF(Tabela8[[#This Row],[SETOR]]="","",IF(Tabela8[[#This Row],[SETOR]]&lt;200,"GV 10",IF(Tabela8[[#This Row],[SETOR]]&lt;300,"GV 20",IF(Tabela8[[#This Row],[SETOR]]&lt;400,"GV 30","S/GV"))))</f>
        <v>GV 10</v>
      </c>
      <c r="E585" t="s">
        <v>123</v>
      </c>
      <c r="G585" t="str">
        <f>_xlfn.CONCAT(Tabela9[[#This Row],[Coluna1]],Tabela9[[#This Row],[Coluna2]])</f>
        <v>20-Rota</v>
      </c>
    </row>
    <row r="586" spans="1:7" x14ac:dyDescent="0.25">
      <c r="A586">
        <v>5489</v>
      </c>
      <c r="B586">
        <v>104</v>
      </c>
      <c r="C586" s="1" t="str">
        <f>IF(Tabela8[[#This Row],[SETOR]]="","",IF(Tabela8[[#This Row],[SETOR]]&lt;200,"GV 10",IF(Tabela8[[#This Row],[SETOR]]&lt;300,"GV 20",IF(Tabela8[[#This Row],[SETOR]]&lt;400,"GV 30","S/GV"))))</f>
        <v>GV 10</v>
      </c>
      <c r="E586" t="s">
        <v>123</v>
      </c>
      <c r="G586" t="str">
        <f>_xlfn.CONCAT(Tabela9[[#This Row],[Coluna1]],Tabela9[[#This Row],[Coluna2]])</f>
        <v>20-Rota</v>
      </c>
    </row>
    <row r="587" spans="1:7" x14ac:dyDescent="0.25">
      <c r="A587">
        <v>5491</v>
      </c>
      <c r="B587">
        <v>102</v>
      </c>
      <c r="C587" s="1" t="str">
        <f>IF(Tabela8[[#This Row],[SETOR]]="","",IF(Tabela8[[#This Row],[SETOR]]&lt;200,"GV 10",IF(Tabela8[[#This Row],[SETOR]]&lt;300,"GV 20",IF(Tabela8[[#This Row],[SETOR]]&lt;400,"GV 30","S/GV"))))</f>
        <v>GV 10</v>
      </c>
      <c r="E587" t="s">
        <v>123</v>
      </c>
      <c r="G587" t="str">
        <f>_xlfn.CONCAT(Tabela9[[#This Row],[Coluna1]],Tabela9[[#This Row],[Coluna2]])</f>
        <v>20-Rota</v>
      </c>
    </row>
    <row r="588" spans="1:7" x14ac:dyDescent="0.25">
      <c r="A588">
        <v>5505</v>
      </c>
      <c r="B588">
        <v>208</v>
      </c>
      <c r="C588" s="1" t="str">
        <f>IF(Tabela8[[#This Row],[SETOR]]="","",IF(Tabela8[[#This Row],[SETOR]]&lt;200,"GV 10",IF(Tabela8[[#This Row],[SETOR]]&lt;300,"GV 20",IF(Tabela8[[#This Row],[SETOR]]&lt;400,"GV 30","S/GV"))))</f>
        <v>GV 20</v>
      </c>
      <c r="E588" t="s">
        <v>126</v>
      </c>
      <c r="F588" t="s">
        <v>127</v>
      </c>
      <c r="G588" t="str">
        <f>_xlfn.CONCAT(Tabela9[[#This Row],[Coluna1]],Tabela9[[#This Row],[Coluna2]])</f>
        <v>16-AS(5+)</v>
      </c>
    </row>
    <row r="589" spans="1:7" x14ac:dyDescent="0.25">
      <c r="A589">
        <v>5510</v>
      </c>
      <c r="B589">
        <v>305</v>
      </c>
      <c r="C589" s="1" t="str">
        <f>IF(Tabela8[[#This Row],[SETOR]]="","",IF(Tabela8[[#This Row],[SETOR]]&lt;200,"GV 10",IF(Tabela8[[#This Row],[SETOR]]&lt;300,"GV 20",IF(Tabela8[[#This Row],[SETOR]]&lt;400,"GV 30","S/GV"))))</f>
        <v>GV 30</v>
      </c>
      <c r="E589" t="s">
        <v>123</v>
      </c>
      <c r="G589" t="str">
        <f>_xlfn.CONCAT(Tabela9[[#This Row],[Coluna1]],Tabela9[[#This Row],[Coluna2]])</f>
        <v>20-Rota</v>
      </c>
    </row>
    <row r="590" spans="1:7" x14ac:dyDescent="0.25">
      <c r="A590">
        <v>5514</v>
      </c>
      <c r="B590">
        <v>916</v>
      </c>
      <c r="C590" s="1" t="str">
        <f>IF(Tabela8[[#This Row],[SETOR]]="","",IF(Tabela8[[#This Row],[SETOR]]&lt;200,"GV 10",IF(Tabela8[[#This Row],[SETOR]]&lt;300,"GV 20",IF(Tabela8[[#This Row],[SETOR]]&lt;400,"GV 30","S/GV"))))</f>
        <v>S/GV</v>
      </c>
      <c r="G590" t="str">
        <f>_xlfn.CONCAT(Tabela9[[#This Row],[Coluna1]],Tabela9[[#This Row],[Coluna2]])</f>
        <v/>
      </c>
    </row>
    <row r="591" spans="1:7" x14ac:dyDescent="0.25">
      <c r="A591">
        <v>5520</v>
      </c>
      <c r="B591">
        <v>103</v>
      </c>
      <c r="C591" s="1" t="str">
        <f>IF(Tabela8[[#This Row],[SETOR]]="","",IF(Tabela8[[#This Row],[SETOR]]&lt;200,"GV 10",IF(Tabela8[[#This Row],[SETOR]]&lt;300,"GV 20",IF(Tabela8[[#This Row],[SETOR]]&lt;400,"GV 30","S/GV"))))</f>
        <v>GV 10</v>
      </c>
      <c r="E591" t="s">
        <v>123</v>
      </c>
      <c r="G591" t="str">
        <f>_xlfn.CONCAT(Tabela9[[#This Row],[Coluna1]],Tabela9[[#This Row],[Coluna2]])</f>
        <v>20-Rota</v>
      </c>
    </row>
    <row r="592" spans="1:7" x14ac:dyDescent="0.25">
      <c r="A592">
        <v>5523</v>
      </c>
      <c r="B592">
        <v>201</v>
      </c>
      <c r="C592" s="1" t="str">
        <f>IF(Tabela8[[#This Row],[SETOR]]="","",IF(Tabela8[[#This Row],[SETOR]]&lt;200,"GV 10",IF(Tabela8[[#This Row],[SETOR]]&lt;300,"GV 20",IF(Tabela8[[#This Row],[SETOR]]&lt;400,"GV 30","S/GV"))))</f>
        <v>GV 20</v>
      </c>
      <c r="E592" t="s">
        <v>123</v>
      </c>
      <c r="G592" t="str">
        <f>_xlfn.CONCAT(Tabela9[[#This Row],[Coluna1]],Tabela9[[#This Row],[Coluna2]])</f>
        <v>20-Rota</v>
      </c>
    </row>
    <row r="593" spans="1:7" x14ac:dyDescent="0.25">
      <c r="A593">
        <v>5524</v>
      </c>
      <c r="B593">
        <v>913</v>
      </c>
      <c r="C593" s="1" t="str">
        <f>IF(Tabela8[[#This Row],[SETOR]]="","",IF(Tabela8[[#This Row],[SETOR]]&lt;200,"GV 10",IF(Tabela8[[#This Row],[SETOR]]&lt;300,"GV 20",IF(Tabela8[[#This Row],[SETOR]]&lt;400,"GV 30","S/GV"))))</f>
        <v>S/GV</v>
      </c>
      <c r="G593" t="str">
        <f>_xlfn.CONCAT(Tabela9[[#This Row],[Coluna1]],Tabela9[[#This Row],[Coluna2]])</f>
        <v/>
      </c>
    </row>
    <row r="594" spans="1:7" x14ac:dyDescent="0.25">
      <c r="A594">
        <v>5537</v>
      </c>
      <c r="B594">
        <v>101</v>
      </c>
      <c r="C594" s="1" t="str">
        <f>IF(Tabela8[[#This Row],[SETOR]]="","",IF(Tabela8[[#This Row],[SETOR]]&lt;200,"GV 10",IF(Tabela8[[#This Row],[SETOR]]&lt;300,"GV 20",IF(Tabela8[[#This Row],[SETOR]]&lt;400,"GV 30","S/GV"))))</f>
        <v>GV 10</v>
      </c>
      <c r="E594" t="s">
        <v>123</v>
      </c>
      <c r="G594" t="str">
        <f>_xlfn.CONCAT(Tabela9[[#This Row],[Coluna1]],Tabela9[[#This Row],[Coluna2]])</f>
        <v>20-Rota</v>
      </c>
    </row>
    <row r="595" spans="1:7" x14ac:dyDescent="0.25">
      <c r="A595">
        <v>5550</v>
      </c>
      <c r="B595">
        <v>104</v>
      </c>
      <c r="C595" s="1" t="str">
        <f>IF(Tabela8[[#This Row],[SETOR]]="","",IF(Tabela8[[#This Row],[SETOR]]&lt;200,"GV 10",IF(Tabela8[[#This Row],[SETOR]]&lt;300,"GV 20",IF(Tabela8[[#This Row],[SETOR]]&lt;400,"GV 30","S/GV"))))</f>
        <v>GV 10</v>
      </c>
      <c r="E595" t="s">
        <v>123</v>
      </c>
      <c r="G595" t="str">
        <f>_xlfn.CONCAT(Tabela9[[#This Row],[Coluna1]],Tabela9[[#This Row],[Coluna2]])</f>
        <v>20-Rota</v>
      </c>
    </row>
    <row r="596" spans="1:7" x14ac:dyDescent="0.25">
      <c r="A596">
        <v>5563</v>
      </c>
      <c r="B596">
        <v>203</v>
      </c>
      <c r="C596" s="1" t="str">
        <f>IF(Tabela8[[#This Row],[SETOR]]="","",IF(Tabela8[[#This Row],[SETOR]]&lt;200,"GV 10",IF(Tabela8[[#This Row],[SETOR]]&lt;300,"GV 20",IF(Tabela8[[#This Row],[SETOR]]&lt;400,"GV 30","S/GV"))))</f>
        <v>GV 20</v>
      </c>
      <c r="E596" t="s">
        <v>126</v>
      </c>
      <c r="F596" t="s">
        <v>127</v>
      </c>
      <c r="G596" t="str">
        <f>_xlfn.CONCAT(Tabela9[[#This Row],[Coluna1]],Tabela9[[#This Row],[Coluna2]])</f>
        <v>16-AS(5+)</v>
      </c>
    </row>
    <row r="597" spans="1:7" x14ac:dyDescent="0.25">
      <c r="A597">
        <v>5564</v>
      </c>
      <c r="B597">
        <v>303</v>
      </c>
      <c r="C597" s="1" t="str">
        <f>IF(Tabela8[[#This Row],[SETOR]]="","",IF(Tabela8[[#This Row],[SETOR]]&lt;200,"GV 10",IF(Tabela8[[#This Row],[SETOR]]&lt;300,"GV 20",IF(Tabela8[[#This Row],[SETOR]]&lt;400,"GV 30","S/GV"))))</f>
        <v>GV 30</v>
      </c>
      <c r="E597" t="s">
        <v>123</v>
      </c>
      <c r="G597" t="str">
        <f>_xlfn.CONCAT(Tabela9[[#This Row],[Coluna1]],Tabela9[[#This Row],[Coluna2]])</f>
        <v>20-Rota</v>
      </c>
    </row>
    <row r="598" spans="1:7" x14ac:dyDescent="0.25">
      <c r="A598">
        <v>5566</v>
      </c>
      <c r="B598">
        <v>304</v>
      </c>
      <c r="C598" s="1" t="str">
        <f>IF(Tabela8[[#This Row],[SETOR]]="","",IF(Tabela8[[#This Row],[SETOR]]&lt;200,"GV 10",IF(Tabela8[[#This Row],[SETOR]]&lt;300,"GV 20",IF(Tabela8[[#This Row],[SETOR]]&lt;400,"GV 30","S/GV"))))</f>
        <v>GV 30</v>
      </c>
      <c r="E598" t="s">
        <v>125</v>
      </c>
      <c r="G598" t="str">
        <f>_xlfn.CONCAT(Tabela9[[#This Row],[Coluna1]],Tabela9[[#This Row],[Coluna2]])</f>
        <v>18-TRAD</v>
      </c>
    </row>
    <row r="599" spans="1:7" x14ac:dyDescent="0.25">
      <c r="A599">
        <v>5577</v>
      </c>
      <c r="B599">
        <v>204</v>
      </c>
      <c r="C599" s="1" t="str">
        <f>IF(Tabela8[[#This Row],[SETOR]]="","",IF(Tabela8[[#This Row],[SETOR]]&lt;200,"GV 10",IF(Tabela8[[#This Row],[SETOR]]&lt;300,"GV 20",IF(Tabela8[[#This Row],[SETOR]]&lt;400,"GV 30","S/GV"))))</f>
        <v>GV 20</v>
      </c>
      <c r="E599" t="s">
        <v>123</v>
      </c>
      <c r="G599" t="str">
        <f>_xlfn.CONCAT(Tabela9[[#This Row],[Coluna1]],Tabela9[[#This Row],[Coluna2]])</f>
        <v>20-Rota</v>
      </c>
    </row>
    <row r="600" spans="1:7" x14ac:dyDescent="0.25">
      <c r="A600">
        <v>5585</v>
      </c>
      <c r="B600">
        <v>101</v>
      </c>
      <c r="C600" s="1" t="str">
        <f>IF(Tabela8[[#This Row],[SETOR]]="","",IF(Tabela8[[#This Row],[SETOR]]&lt;200,"GV 10",IF(Tabela8[[#This Row],[SETOR]]&lt;300,"GV 20",IF(Tabela8[[#This Row],[SETOR]]&lt;400,"GV 30","S/GV"))))</f>
        <v>GV 10</v>
      </c>
      <c r="E600" t="s">
        <v>123</v>
      </c>
      <c r="G600" t="str">
        <f>_xlfn.CONCAT(Tabela9[[#This Row],[Coluna1]],Tabela9[[#This Row],[Coluna2]])</f>
        <v>20-Rota</v>
      </c>
    </row>
    <row r="601" spans="1:7" x14ac:dyDescent="0.25">
      <c r="A601">
        <v>5588</v>
      </c>
      <c r="B601">
        <v>103</v>
      </c>
      <c r="C601" s="1" t="str">
        <f>IF(Tabela8[[#This Row],[SETOR]]="","",IF(Tabela8[[#This Row],[SETOR]]&lt;200,"GV 10",IF(Tabela8[[#This Row],[SETOR]]&lt;300,"GV 20",IF(Tabela8[[#This Row],[SETOR]]&lt;400,"GV 30","S/GV"))))</f>
        <v>GV 10</v>
      </c>
      <c r="E601" t="s">
        <v>123</v>
      </c>
      <c r="G601" t="str">
        <f>_xlfn.CONCAT(Tabela9[[#This Row],[Coluna1]],Tabela9[[#This Row],[Coluna2]])</f>
        <v>20-Rota</v>
      </c>
    </row>
    <row r="602" spans="1:7" x14ac:dyDescent="0.25">
      <c r="A602">
        <v>5596</v>
      </c>
      <c r="B602">
        <v>103</v>
      </c>
      <c r="C602" s="1" t="str">
        <f>IF(Tabela8[[#This Row],[SETOR]]="","",IF(Tabela8[[#This Row],[SETOR]]&lt;200,"GV 10",IF(Tabela8[[#This Row],[SETOR]]&lt;300,"GV 20",IF(Tabela8[[#This Row],[SETOR]]&lt;400,"GV 30","S/GV"))))</f>
        <v>GV 10</v>
      </c>
      <c r="E602" t="s">
        <v>123</v>
      </c>
      <c r="G602" t="str">
        <f>_xlfn.CONCAT(Tabela9[[#This Row],[Coluna1]],Tabela9[[#This Row],[Coluna2]])</f>
        <v>20-Rota</v>
      </c>
    </row>
    <row r="603" spans="1:7" x14ac:dyDescent="0.25">
      <c r="A603">
        <v>5607</v>
      </c>
      <c r="B603">
        <v>101</v>
      </c>
      <c r="C603" s="1" t="str">
        <f>IF(Tabela8[[#This Row],[SETOR]]="","",IF(Tabela8[[#This Row],[SETOR]]&lt;200,"GV 10",IF(Tabela8[[#This Row],[SETOR]]&lt;300,"GV 20",IF(Tabela8[[#This Row],[SETOR]]&lt;400,"GV 30","S/GV"))))</f>
        <v>GV 10</v>
      </c>
      <c r="E603" t="s">
        <v>123</v>
      </c>
      <c r="G603" t="str">
        <f>_xlfn.CONCAT(Tabela9[[#This Row],[Coluna1]],Tabela9[[#This Row],[Coluna2]])</f>
        <v>20-Rota</v>
      </c>
    </row>
    <row r="604" spans="1:7" x14ac:dyDescent="0.25">
      <c r="A604">
        <v>5610</v>
      </c>
      <c r="B604">
        <v>101</v>
      </c>
      <c r="C604" s="1" t="str">
        <f>IF(Tabela8[[#This Row],[SETOR]]="","",IF(Tabela8[[#This Row],[SETOR]]&lt;200,"GV 10",IF(Tabela8[[#This Row],[SETOR]]&lt;300,"GV 20",IF(Tabela8[[#This Row],[SETOR]]&lt;400,"GV 30","S/GV"))))</f>
        <v>GV 10</v>
      </c>
      <c r="E604" t="s">
        <v>123</v>
      </c>
      <c r="G604" t="str">
        <f>_xlfn.CONCAT(Tabela9[[#This Row],[Coluna1]],Tabela9[[#This Row],[Coluna2]])</f>
        <v>20-Rota</v>
      </c>
    </row>
    <row r="605" spans="1:7" x14ac:dyDescent="0.25">
      <c r="A605">
        <v>5611</v>
      </c>
      <c r="B605">
        <v>102</v>
      </c>
      <c r="C605" s="1" t="str">
        <f>IF(Tabela8[[#This Row],[SETOR]]="","",IF(Tabela8[[#This Row],[SETOR]]&lt;200,"GV 10",IF(Tabela8[[#This Row],[SETOR]]&lt;300,"GV 20",IF(Tabela8[[#This Row],[SETOR]]&lt;400,"GV 30","S/GV"))))</f>
        <v>GV 10</v>
      </c>
      <c r="E605" t="s">
        <v>123</v>
      </c>
      <c r="G605" t="str">
        <f>_xlfn.CONCAT(Tabela9[[#This Row],[Coluna1]],Tabela9[[#This Row],[Coluna2]])</f>
        <v>20-Rota</v>
      </c>
    </row>
    <row r="606" spans="1:7" x14ac:dyDescent="0.25">
      <c r="A606">
        <v>5617</v>
      </c>
      <c r="B606">
        <v>109</v>
      </c>
      <c r="C606" s="1" t="str">
        <f>IF(Tabela8[[#This Row],[SETOR]]="","",IF(Tabela8[[#This Row],[SETOR]]&lt;200,"GV 10",IF(Tabela8[[#This Row],[SETOR]]&lt;300,"GV 20",IF(Tabela8[[#This Row],[SETOR]]&lt;400,"GV 30","S/GV"))))</f>
        <v>GV 10</v>
      </c>
      <c r="E606" t="s">
        <v>123</v>
      </c>
      <c r="G606" t="str">
        <f>_xlfn.CONCAT(Tabela9[[#This Row],[Coluna1]],Tabela9[[#This Row],[Coluna2]])</f>
        <v>20-Rota</v>
      </c>
    </row>
    <row r="607" spans="1:7" x14ac:dyDescent="0.25">
      <c r="A607">
        <v>5624</v>
      </c>
      <c r="B607">
        <v>307</v>
      </c>
      <c r="C607" s="1" t="str">
        <f>IF(Tabela8[[#This Row],[SETOR]]="","",IF(Tabela8[[#This Row],[SETOR]]&lt;200,"GV 10",IF(Tabela8[[#This Row],[SETOR]]&lt;300,"GV 20",IF(Tabela8[[#This Row],[SETOR]]&lt;400,"GV 30","S/GV"))))</f>
        <v>GV 30</v>
      </c>
      <c r="E607" t="s">
        <v>123</v>
      </c>
      <c r="G607" t="str">
        <f>_xlfn.CONCAT(Tabela9[[#This Row],[Coluna1]],Tabela9[[#This Row],[Coluna2]])</f>
        <v>20-Rota</v>
      </c>
    </row>
    <row r="608" spans="1:7" x14ac:dyDescent="0.25">
      <c r="A608">
        <v>5631</v>
      </c>
      <c r="B608">
        <v>306</v>
      </c>
      <c r="C608" s="1" t="str">
        <f>IF(Tabela8[[#This Row],[SETOR]]="","",IF(Tabela8[[#This Row],[SETOR]]&lt;200,"GV 10",IF(Tabela8[[#This Row],[SETOR]]&lt;300,"GV 20",IF(Tabela8[[#This Row],[SETOR]]&lt;400,"GV 30","S/GV"))))</f>
        <v>GV 30</v>
      </c>
      <c r="E608" t="s">
        <v>125</v>
      </c>
      <c r="G608" t="str">
        <f>_xlfn.CONCAT(Tabela9[[#This Row],[Coluna1]],Tabela9[[#This Row],[Coluna2]])</f>
        <v>18-TRAD</v>
      </c>
    </row>
    <row r="609" spans="1:7" x14ac:dyDescent="0.25">
      <c r="A609">
        <v>5632</v>
      </c>
      <c r="B609">
        <v>108</v>
      </c>
      <c r="C609" s="1" t="str">
        <f>IF(Tabela8[[#This Row],[SETOR]]="","",IF(Tabela8[[#This Row],[SETOR]]&lt;200,"GV 10",IF(Tabela8[[#This Row],[SETOR]]&lt;300,"GV 20",IF(Tabela8[[#This Row],[SETOR]]&lt;400,"GV 30","S/GV"))))</f>
        <v>GV 10</v>
      </c>
      <c r="E609" t="s">
        <v>125</v>
      </c>
      <c r="G609" t="str">
        <f>_xlfn.CONCAT(Tabela9[[#This Row],[Coluna1]],Tabela9[[#This Row],[Coluna2]])</f>
        <v>18-TRAD</v>
      </c>
    </row>
    <row r="610" spans="1:7" x14ac:dyDescent="0.25">
      <c r="A610">
        <v>5636</v>
      </c>
      <c r="B610">
        <v>106</v>
      </c>
      <c r="C610" s="1" t="str">
        <f>IF(Tabela8[[#This Row],[SETOR]]="","",IF(Tabela8[[#This Row],[SETOR]]&lt;200,"GV 10",IF(Tabela8[[#This Row],[SETOR]]&lt;300,"GV 20",IF(Tabela8[[#This Row],[SETOR]]&lt;400,"GV 30","S/GV"))))</f>
        <v>GV 10</v>
      </c>
      <c r="E610" t="s">
        <v>123</v>
      </c>
      <c r="G610" t="str">
        <f>_xlfn.CONCAT(Tabela9[[#This Row],[Coluna1]],Tabela9[[#This Row],[Coluna2]])</f>
        <v>20-Rota</v>
      </c>
    </row>
    <row r="611" spans="1:7" x14ac:dyDescent="0.25">
      <c r="A611">
        <v>5654</v>
      </c>
      <c r="B611">
        <v>109</v>
      </c>
      <c r="C611" s="1" t="str">
        <f>IF(Tabela8[[#This Row],[SETOR]]="","",IF(Tabela8[[#This Row],[SETOR]]&lt;200,"GV 10",IF(Tabela8[[#This Row],[SETOR]]&lt;300,"GV 20",IF(Tabela8[[#This Row],[SETOR]]&lt;400,"GV 30","S/GV"))))</f>
        <v>GV 10</v>
      </c>
      <c r="E611" t="s">
        <v>123</v>
      </c>
      <c r="G611" t="str">
        <f>_xlfn.CONCAT(Tabela9[[#This Row],[Coluna1]],Tabela9[[#This Row],[Coluna2]])</f>
        <v>20-Rota</v>
      </c>
    </row>
    <row r="612" spans="1:7" x14ac:dyDescent="0.25">
      <c r="A612">
        <v>5666</v>
      </c>
      <c r="B612">
        <v>201</v>
      </c>
      <c r="C612" s="1" t="str">
        <f>IF(Tabela8[[#This Row],[SETOR]]="","",IF(Tabela8[[#This Row],[SETOR]]&lt;200,"GV 10",IF(Tabela8[[#This Row],[SETOR]]&lt;300,"GV 20",IF(Tabela8[[#This Row],[SETOR]]&lt;400,"GV 30","S/GV"))))</f>
        <v>GV 20</v>
      </c>
      <c r="E612" t="s">
        <v>125</v>
      </c>
      <c r="G612" t="str">
        <f>_xlfn.CONCAT(Tabela9[[#This Row],[Coluna1]],Tabela9[[#This Row],[Coluna2]])</f>
        <v>18-TRAD</v>
      </c>
    </row>
    <row r="613" spans="1:7" x14ac:dyDescent="0.25">
      <c r="A613">
        <v>5683</v>
      </c>
      <c r="B613">
        <v>205</v>
      </c>
      <c r="C613" s="1" t="str">
        <f>IF(Tabela8[[#This Row],[SETOR]]="","",IF(Tabela8[[#This Row],[SETOR]]&lt;200,"GV 10",IF(Tabela8[[#This Row],[SETOR]]&lt;300,"GV 20",IF(Tabela8[[#This Row],[SETOR]]&lt;400,"GV 30","S/GV"))))</f>
        <v>GV 20</v>
      </c>
      <c r="E613" t="s">
        <v>123</v>
      </c>
      <c r="G613" t="str">
        <f>_xlfn.CONCAT(Tabela9[[#This Row],[Coluna1]],Tabela9[[#This Row],[Coluna2]])</f>
        <v>20-Rota</v>
      </c>
    </row>
    <row r="614" spans="1:7" x14ac:dyDescent="0.25">
      <c r="A614">
        <v>5689</v>
      </c>
      <c r="B614">
        <v>302</v>
      </c>
      <c r="C614" s="1" t="str">
        <f>IF(Tabela8[[#This Row],[SETOR]]="","",IF(Tabela8[[#This Row],[SETOR]]&lt;200,"GV 10",IF(Tabela8[[#This Row],[SETOR]]&lt;300,"GV 20",IF(Tabela8[[#This Row],[SETOR]]&lt;400,"GV 30","S/GV"))))</f>
        <v>GV 30</v>
      </c>
      <c r="E614" t="s">
        <v>123</v>
      </c>
      <c r="G614" t="str">
        <f>_xlfn.CONCAT(Tabela9[[#This Row],[Coluna1]],Tabela9[[#This Row],[Coluna2]])</f>
        <v>20-Rota</v>
      </c>
    </row>
    <row r="615" spans="1:7" x14ac:dyDescent="0.25">
      <c r="A615">
        <v>5696</v>
      </c>
      <c r="B615">
        <v>108</v>
      </c>
      <c r="C615" s="1" t="str">
        <f>IF(Tabela8[[#This Row],[SETOR]]="","",IF(Tabela8[[#This Row],[SETOR]]&lt;200,"GV 10",IF(Tabela8[[#This Row],[SETOR]]&lt;300,"GV 20",IF(Tabela8[[#This Row],[SETOR]]&lt;400,"GV 30","S/GV"))))</f>
        <v>GV 10</v>
      </c>
      <c r="E615" t="s">
        <v>126</v>
      </c>
      <c r="F615" t="s">
        <v>127</v>
      </c>
      <c r="G615" t="str">
        <f>_xlfn.CONCAT(Tabela9[[#This Row],[Coluna1]],Tabela9[[#This Row],[Coluna2]])</f>
        <v>16-AS(5+)</v>
      </c>
    </row>
    <row r="616" spans="1:7" x14ac:dyDescent="0.25">
      <c r="A616">
        <v>5701</v>
      </c>
      <c r="B616">
        <v>916</v>
      </c>
      <c r="C616" s="1" t="str">
        <f>IF(Tabela8[[#This Row],[SETOR]]="","",IF(Tabela8[[#This Row],[SETOR]]&lt;200,"GV 10",IF(Tabela8[[#This Row],[SETOR]]&lt;300,"GV 20",IF(Tabela8[[#This Row],[SETOR]]&lt;400,"GV 30","S/GV"))))</f>
        <v>S/GV</v>
      </c>
      <c r="G616" t="str">
        <f>_xlfn.CONCAT(Tabela9[[#This Row],[Coluna1]],Tabela9[[#This Row],[Coluna2]])</f>
        <v/>
      </c>
    </row>
    <row r="617" spans="1:7" x14ac:dyDescent="0.25">
      <c r="A617">
        <v>5720</v>
      </c>
      <c r="B617">
        <v>202</v>
      </c>
      <c r="C617" s="1" t="str">
        <f>IF(Tabela8[[#This Row],[SETOR]]="","",IF(Tabela8[[#This Row],[SETOR]]&lt;200,"GV 10",IF(Tabela8[[#This Row],[SETOR]]&lt;300,"GV 20",IF(Tabela8[[#This Row],[SETOR]]&lt;400,"GV 30","S/GV"))))</f>
        <v>GV 20</v>
      </c>
      <c r="E617" t="s">
        <v>124</v>
      </c>
      <c r="G617" t="str">
        <f>_xlfn.CONCAT(Tabela9[[#This Row],[Coluna1]],Tabela9[[#This Row],[Coluna2]])</f>
        <v>19-VIP</v>
      </c>
    </row>
    <row r="618" spans="1:7" x14ac:dyDescent="0.25">
      <c r="A618">
        <v>5722</v>
      </c>
      <c r="B618">
        <v>109</v>
      </c>
      <c r="C618" s="1" t="str">
        <f>IF(Tabela8[[#This Row],[SETOR]]="","",IF(Tabela8[[#This Row],[SETOR]]&lt;200,"GV 10",IF(Tabela8[[#This Row],[SETOR]]&lt;300,"GV 20",IF(Tabela8[[#This Row],[SETOR]]&lt;400,"GV 30","S/GV"))))</f>
        <v>GV 10</v>
      </c>
      <c r="E618" t="s">
        <v>123</v>
      </c>
      <c r="G618" t="str">
        <f>_xlfn.CONCAT(Tabela9[[#This Row],[Coluna1]],Tabela9[[#This Row],[Coluna2]])</f>
        <v>20-Rota</v>
      </c>
    </row>
    <row r="619" spans="1:7" x14ac:dyDescent="0.25">
      <c r="A619">
        <v>5729</v>
      </c>
      <c r="B619">
        <v>306</v>
      </c>
      <c r="C619" s="1" t="str">
        <f>IF(Tabela8[[#This Row],[SETOR]]="","",IF(Tabela8[[#This Row],[SETOR]]&lt;200,"GV 10",IF(Tabela8[[#This Row],[SETOR]]&lt;300,"GV 20",IF(Tabela8[[#This Row],[SETOR]]&lt;400,"GV 30","S/GV"))))</f>
        <v>GV 30</v>
      </c>
      <c r="E619" t="s">
        <v>125</v>
      </c>
      <c r="G619" t="str">
        <f>_xlfn.CONCAT(Tabela9[[#This Row],[Coluna1]],Tabela9[[#This Row],[Coluna2]])</f>
        <v>18-TRAD</v>
      </c>
    </row>
    <row r="620" spans="1:7" x14ac:dyDescent="0.25">
      <c r="A620">
        <v>5733</v>
      </c>
      <c r="B620">
        <v>304</v>
      </c>
      <c r="C620" s="1" t="str">
        <f>IF(Tabela8[[#This Row],[SETOR]]="","",IF(Tabela8[[#This Row],[SETOR]]&lt;200,"GV 10",IF(Tabela8[[#This Row],[SETOR]]&lt;300,"GV 20",IF(Tabela8[[#This Row],[SETOR]]&lt;400,"GV 30","S/GV"))))</f>
        <v>GV 30</v>
      </c>
      <c r="E620" t="s">
        <v>123</v>
      </c>
      <c r="G620" t="str">
        <f>_xlfn.CONCAT(Tabela9[[#This Row],[Coluna1]],Tabela9[[#This Row],[Coluna2]])</f>
        <v>20-Rota</v>
      </c>
    </row>
    <row r="621" spans="1:7" x14ac:dyDescent="0.25">
      <c r="A621">
        <v>5739</v>
      </c>
      <c r="B621">
        <v>203</v>
      </c>
      <c r="C621" s="1" t="str">
        <f>IF(Tabela8[[#This Row],[SETOR]]="","",IF(Tabela8[[#This Row],[SETOR]]&lt;200,"GV 10",IF(Tabela8[[#This Row],[SETOR]]&lt;300,"GV 20",IF(Tabela8[[#This Row],[SETOR]]&lt;400,"GV 30","S/GV"))))</f>
        <v>GV 20</v>
      </c>
      <c r="E621" t="s">
        <v>123</v>
      </c>
      <c r="G621" t="str">
        <f>_xlfn.CONCAT(Tabela9[[#This Row],[Coluna1]],Tabela9[[#This Row],[Coluna2]])</f>
        <v>20-Rota</v>
      </c>
    </row>
    <row r="622" spans="1:7" x14ac:dyDescent="0.25">
      <c r="A622">
        <v>5741</v>
      </c>
      <c r="B622">
        <v>107</v>
      </c>
      <c r="C622" s="1" t="str">
        <f>IF(Tabela8[[#This Row],[SETOR]]="","",IF(Tabela8[[#This Row],[SETOR]]&lt;200,"GV 10",IF(Tabela8[[#This Row],[SETOR]]&lt;300,"GV 20",IF(Tabela8[[#This Row],[SETOR]]&lt;400,"GV 30","S/GV"))))</f>
        <v>GV 10</v>
      </c>
      <c r="E622" t="s">
        <v>125</v>
      </c>
      <c r="G622" t="str">
        <f>_xlfn.CONCAT(Tabela9[[#This Row],[Coluna1]],Tabela9[[#This Row],[Coluna2]])</f>
        <v>18-TRAD</v>
      </c>
    </row>
    <row r="623" spans="1:7" x14ac:dyDescent="0.25">
      <c r="A623">
        <v>5745</v>
      </c>
      <c r="B623">
        <v>202</v>
      </c>
      <c r="C623" s="1" t="str">
        <f>IF(Tabela8[[#This Row],[SETOR]]="","",IF(Tabela8[[#This Row],[SETOR]]&lt;200,"GV 10",IF(Tabela8[[#This Row],[SETOR]]&lt;300,"GV 20",IF(Tabela8[[#This Row],[SETOR]]&lt;400,"GV 30","S/GV"))))</f>
        <v>GV 20</v>
      </c>
      <c r="E623" t="s">
        <v>123</v>
      </c>
      <c r="G623" t="str">
        <f>_xlfn.CONCAT(Tabela9[[#This Row],[Coluna1]],Tabela9[[#This Row],[Coluna2]])</f>
        <v>20-Rota</v>
      </c>
    </row>
    <row r="624" spans="1:7" x14ac:dyDescent="0.25">
      <c r="A624">
        <v>5757</v>
      </c>
      <c r="B624">
        <v>201</v>
      </c>
      <c r="C624" s="1" t="str">
        <f>IF(Tabela8[[#This Row],[SETOR]]="","",IF(Tabela8[[#This Row],[SETOR]]&lt;200,"GV 10",IF(Tabela8[[#This Row],[SETOR]]&lt;300,"GV 20",IF(Tabela8[[#This Row],[SETOR]]&lt;400,"GV 30","S/GV"))))</f>
        <v>GV 20</v>
      </c>
      <c r="E624" t="s">
        <v>123</v>
      </c>
      <c r="G624" t="str">
        <f>_xlfn.CONCAT(Tabela9[[#This Row],[Coluna1]],Tabela9[[#This Row],[Coluna2]])</f>
        <v>20-Rota</v>
      </c>
    </row>
    <row r="625" spans="1:7" x14ac:dyDescent="0.25">
      <c r="A625">
        <v>5771</v>
      </c>
      <c r="B625">
        <v>304</v>
      </c>
      <c r="C625" s="1" t="str">
        <f>IF(Tabela8[[#This Row],[SETOR]]="","",IF(Tabela8[[#This Row],[SETOR]]&lt;200,"GV 10",IF(Tabela8[[#This Row],[SETOR]]&lt;300,"GV 20",IF(Tabela8[[#This Row],[SETOR]]&lt;400,"GV 30","S/GV"))))</f>
        <v>GV 30</v>
      </c>
      <c r="E625" t="s">
        <v>123</v>
      </c>
      <c r="G625" t="str">
        <f>_xlfn.CONCAT(Tabela9[[#This Row],[Coluna1]],Tabela9[[#This Row],[Coluna2]])</f>
        <v>20-Rota</v>
      </c>
    </row>
    <row r="626" spans="1:7" x14ac:dyDescent="0.25">
      <c r="A626">
        <v>5785</v>
      </c>
      <c r="B626">
        <v>101</v>
      </c>
      <c r="C626" s="1" t="str">
        <f>IF(Tabela8[[#This Row],[SETOR]]="","",IF(Tabela8[[#This Row],[SETOR]]&lt;200,"GV 10",IF(Tabela8[[#This Row],[SETOR]]&lt;300,"GV 20",IF(Tabela8[[#This Row],[SETOR]]&lt;400,"GV 30","S/GV"))))</f>
        <v>GV 10</v>
      </c>
      <c r="E626" t="s">
        <v>123</v>
      </c>
      <c r="G626" t="str">
        <f>_xlfn.CONCAT(Tabela9[[#This Row],[Coluna1]],Tabela9[[#This Row],[Coluna2]])</f>
        <v>20-Rota</v>
      </c>
    </row>
    <row r="627" spans="1:7" x14ac:dyDescent="0.25">
      <c r="A627">
        <v>5794</v>
      </c>
      <c r="B627">
        <v>204</v>
      </c>
      <c r="C627" s="1" t="str">
        <f>IF(Tabela8[[#This Row],[SETOR]]="","",IF(Tabela8[[#This Row],[SETOR]]&lt;200,"GV 10",IF(Tabela8[[#This Row],[SETOR]]&lt;300,"GV 20",IF(Tabela8[[#This Row],[SETOR]]&lt;400,"GV 30","S/GV"))))</f>
        <v>GV 20</v>
      </c>
      <c r="E627" t="s">
        <v>123</v>
      </c>
      <c r="G627" t="str">
        <f>_xlfn.CONCAT(Tabela9[[#This Row],[Coluna1]],Tabela9[[#This Row],[Coluna2]])</f>
        <v>20-Rota</v>
      </c>
    </row>
    <row r="628" spans="1:7" x14ac:dyDescent="0.25">
      <c r="A628">
        <v>5807</v>
      </c>
      <c r="B628">
        <v>105</v>
      </c>
      <c r="C628" s="1" t="str">
        <f>IF(Tabela8[[#This Row],[SETOR]]="","",IF(Tabela8[[#This Row],[SETOR]]&lt;200,"GV 10",IF(Tabela8[[#This Row],[SETOR]]&lt;300,"GV 20",IF(Tabela8[[#This Row],[SETOR]]&lt;400,"GV 30","S/GV"))))</f>
        <v>GV 10</v>
      </c>
      <c r="E628" t="s">
        <v>123</v>
      </c>
      <c r="G628" t="str">
        <f>_xlfn.CONCAT(Tabela9[[#This Row],[Coluna1]],Tabela9[[#This Row],[Coluna2]])</f>
        <v>20-Rota</v>
      </c>
    </row>
    <row r="629" spans="1:7" x14ac:dyDescent="0.25">
      <c r="A629">
        <v>5813</v>
      </c>
      <c r="B629">
        <v>303</v>
      </c>
      <c r="C629" s="1" t="str">
        <f>IF(Tabela8[[#This Row],[SETOR]]="","",IF(Tabela8[[#This Row],[SETOR]]&lt;200,"GV 10",IF(Tabela8[[#This Row],[SETOR]]&lt;300,"GV 20",IF(Tabela8[[#This Row],[SETOR]]&lt;400,"GV 30","S/GV"))))</f>
        <v>GV 30</v>
      </c>
      <c r="E629" t="s">
        <v>123</v>
      </c>
      <c r="G629" t="str">
        <f>_xlfn.CONCAT(Tabela9[[#This Row],[Coluna1]],Tabela9[[#This Row],[Coluna2]])</f>
        <v>20-Rota</v>
      </c>
    </row>
    <row r="630" spans="1:7" x14ac:dyDescent="0.25">
      <c r="A630">
        <v>5814</v>
      </c>
      <c r="B630">
        <v>303</v>
      </c>
      <c r="C630" s="1" t="str">
        <f>IF(Tabela8[[#This Row],[SETOR]]="","",IF(Tabela8[[#This Row],[SETOR]]&lt;200,"GV 10",IF(Tabela8[[#This Row],[SETOR]]&lt;300,"GV 20",IF(Tabela8[[#This Row],[SETOR]]&lt;400,"GV 30","S/GV"))))</f>
        <v>GV 30</v>
      </c>
      <c r="E630" t="s">
        <v>125</v>
      </c>
      <c r="G630" t="str">
        <f>_xlfn.CONCAT(Tabela9[[#This Row],[Coluna1]],Tabela9[[#This Row],[Coluna2]])</f>
        <v>18-TRAD</v>
      </c>
    </row>
    <row r="631" spans="1:7" x14ac:dyDescent="0.25">
      <c r="A631">
        <v>5816</v>
      </c>
      <c r="B631">
        <v>304</v>
      </c>
      <c r="C631" s="1" t="str">
        <f>IF(Tabela8[[#This Row],[SETOR]]="","",IF(Tabela8[[#This Row],[SETOR]]&lt;200,"GV 10",IF(Tabela8[[#This Row],[SETOR]]&lt;300,"GV 20",IF(Tabela8[[#This Row],[SETOR]]&lt;400,"GV 30","S/GV"))))</f>
        <v>GV 30</v>
      </c>
      <c r="E631" t="s">
        <v>123</v>
      </c>
      <c r="G631" t="str">
        <f>_xlfn.CONCAT(Tabela9[[#This Row],[Coluna1]],Tabela9[[#This Row],[Coluna2]])</f>
        <v>20-Rota</v>
      </c>
    </row>
    <row r="632" spans="1:7" x14ac:dyDescent="0.25">
      <c r="A632">
        <v>5829</v>
      </c>
      <c r="B632">
        <v>303</v>
      </c>
      <c r="C632" s="1" t="str">
        <f>IF(Tabela8[[#This Row],[SETOR]]="","",IF(Tabela8[[#This Row],[SETOR]]&lt;200,"GV 10",IF(Tabela8[[#This Row],[SETOR]]&lt;300,"GV 20",IF(Tabela8[[#This Row],[SETOR]]&lt;400,"GV 30","S/GV"))))</f>
        <v>GV 30</v>
      </c>
      <c r="E632" t="s">
        <v>123</v>
      </c>
      <c r="G632" t="str">
        <f>_xlfn.CONCAT(Tabela9[[#This Row],[Coluna1]],Tabela9[[#This Row],[Coluna2]])</f>
        <v>20-Rota</v>
      </c>
    </row>
    <row r="633" spans="1:7" x14ac:dyDescent="0.25">
      <c r="A633">
        <v>5832</v>
      </c>
      <c r="B633">
        <v>208</v>
      </c>
      <c r="C633" s="1" t="str">
        <f>IF(Tabela8[[#This Row],[SETOR]]="","",IF(Tabela8[[#This Row],[SETOR]]&lt;200,"GV 10",IF(Tabela8[[#This Row],[SETOR]]&lt;300,"GV 20",IF(Tabela8[[#This Row],[SETOR]]&lt;400,"GV 30","S/GV"))))</f>
        <v>GV 20</v>
      </c>
      <c r="E633" t="s">
        <v>130</v>
      </c>
      <c r="G633" t="str">
        <f>_xlfn.CONCAT(Tabela9[[#This Row],[Coluna1]],Tabela9[[#This Row],[Coluna2]])</f>
        <v>21-SUB</v>
      </c>
    </row>
    <row r="634" spans="1:7" x14ac:dyDescent="0.25">
      <c r="A634">
        <v>5833</v>
      </c>
      <c r="B634">
        <v>203</v>
      </c>
      <c r="C634" s="1" t="str">
        <f>IF(Tabela8[[#This Row],[SETOR]]="","",IF(Tabela8[[#This Row],[SETOR]]&lt;200,"GV 10",IF(Tabela8[[#This Row],[SETOR]]&lt;300,"GV 20",IF(Tabela8[[#This Row],[SETOR]]&lt;400,"GV 30","S/GV"))))</f>
        <v>GV 20</v>
      </c>
      <c r="E634" t="s">
        <v>123</v>
      </c>
      <c r="G634" t="str">
        <f>_xlfn.CONCAT(Tabela9[[#This Row],[Coluna1]],Tabela9[[#This Row],[Coluna2]])</f>
        <v>20-Rota</v>
      </c>
    </row>
    <row r="635" spans="1:7" x14ac:dyDescent="0.25">
      <c r="A635">
        <v>5838</v>
      </c>
      <c r="B635">
        <v>109</v>
      </c>
      <c r="C635" s="1" t="str">
        <f>IF(Tabela8[[#This Row],[SETOR]]="","",IF(Tabela8[[#This Row],[SETOR]]&lt;200,"GV 10",IF(Tabela8[[#This Row],[SETOR]]&lt;300,"GV 20",IF(Tabela8[[#This Row],[SETOR]]&lt;400,"GV 30","S/GV"))))</f>
        <v>GV 10</v>
      </c>
      <c r="E635" t="s">
        <v>123</v>
      </c>
      <c r="G635" t="str">
        <f>_xlfn.CONCAT(Tabela9[[#This Row],[Coluna1]],Tabela9[[#This Row],[Coluna2]])</f>
        <v>20-Rota</v>
      </c>
    </row>
    <row r="636" spans="1:7" x14ac:dyDescent="0.25">
      <c r="A636">
        <v>5846</v>
      </c>
      <c r="B636">
        <v>304</v>
      </c>
      <c r="C636" s="1" t="str">
        <f>IF(Tabela8[[#This Row],[SETOR]]="","",IF(Tabela8[[#This Row],[SETOR]]&lt;200,"GV 10",IF(Tabela8[[#This Row],[SETOR]]&lt;300,"GV 20",IF(Tabela8[[#This Row],[SETOR]]&lt;400,"GV 30","S/GV"))))</f>
        <v>GV 30</v>
      </c>
      <c r="E636" t="s">
        <v>123</v>
      </c>
      <c r="G636" t="str">
        <f>_xlfn.CONCAT(Tabela9[[#This Row],[Coluna1]],Tabela9[[#This Row],[Coluna2]])</f>
        <v>20-Rota</v>
      </c>
    </row>
    <row r="637" spans="1:7" x14ac:dyDescent="0.25">
      <c r="A637">
        <v>5847</v>
      </c>
      <c r="B637">
        <v>306</v>
      </c>
      <c r="C637" s="1" t="str">
        <f>IF(Tabela8[[#This Row],[SETOR]]="","",IF(Tabela8[[#This Row],[SETOR]]&lt;200,"GV 10",IF(Tabela8[[#This Row],[SETOR]]&lt;300,"GV 20",IF(Tabela8[[#This Row],[SETOR]]&lt;400,"GV 30","S/GV"))))</f>
        <v>GV 30</v>
      </c>
      <c r="E637" t="s">
        <v>125</v>
      </c>
      <c r="G637" t="str">
        <f>_xlfn.CONCAT(Tabela9[[#This Row],[Coluna1]],Tabela9[[#This Row],[Coluna2]])</f>
        <v>18-TRAD</v>
      </c>
    </row>
    <row r="638" spans="1:7" x14ac:dyDescent="0.25">
      <c r="A638">
        <v>5849</v>
      </c>
      <c r="B638">
        <v>916</v>
      </c>
      <c r="C638" s="1" t="str">
        <f>IF(Tabela8[[#This Row],[SETOR]]="","",IF(Tabela8[[#This Row],[SETOR]]&lt;200,"GV 10",IF(Tabela8[[#This Row],[SETOR]]&lt;300,"GV 20",IF(Tabela8[[#This Row],[SETOR]]&lt;400,"GV 30","S/GV"))))</f>
        <v>S/GV</v>
      </c>
      <c r="G638" t="str">
        <f>_xlfn.CONCAT(Tabela9[[#This Row],[Coluna1]],Tabela9[[#This Row],[Coluna2]])</f>
        <v/>
      </c>
    </row>
    <row r="639" spans="1:7" x14ac:dyDescent="0.25">
      <c r="A639">
        <v>5852</v>
      </c>
      <c r="B639">
        <v>301</v>
      </c>
      <c r="C639" s="1" t="str">
        <f>IF(Tabela8[[#This Row],[SETOR]]="","",IF(Tabela8[[#This Row],[SETOR]]&lt;200,"GV 10",IF(Tabela8[[#This Row],[SETOR]]&lt;300,"GV 20",IF(Tabela8[[#This Row],[SETOR]]&lt;400,"GV 30","S/GV"))))</f>
        <v>GV 30</v>
      </c>
      <c r="E639" t="s">
        <v>123</v>
      </c>
      <c r="G639" t="str">
        <f>_xlfn.CONCAT(Tabela9[[#This Row],[Coluna1]],Tabela9[[#This Row],[Coluna2]])</f>
        <v>20-Rota</v>
      </c>
    </row>
    <row r="640" spans="1:7" x14ac:dyDescent="0.25">
      <c r="A640">
        <v>5862</v>
      </c>
      <c r="B640">
        <v>207</v>
      </c>
      <c r="C640" s="1" t="str">
        <f>IF(Tabela8[[#This Row],[SETOR]]="","",IF(Tabela8[[#This Row],[SETOR]]&lt;200,"GV 10",IF(Tabela8[[#This Row],[SETOR]]&lt;300,"GV 20",IF(Tabela8[[#This Row],[SETOR]]&lt;400,"GV 30","S/GV"))))</f>
        <v>GV 20</v>
      </c>
      <c r="E640" t="s">
        <v>125</v>
      </c>
      <c r="G640" t="str">
        <f>_xlfn.CONCAT(Tabela9[[#This Row],[Coluna1]],Tabela9[[#This Row],[Coluna2]])</f>
        <v>18-TRAD</v>
      </c>
    </row>
    <row r="641" spans="1:7" x14ac:dyDescent="0.25">
      <c r="A641">
        <v>5869</v>
      </c>
      <c r="B641">
        <v>104</v>
      </c>
      <c r="C641" s="1" t="str">
        <f>IF(Tabela8[[#This Row],[SETOR]]="","",IF(Tabela8[[#This Row],[SETOR]]&lt;200,"GV 10",IF(Tabela8[[#This Row],[SETOR]]&lt;300,"GV 20",IF(Tabela8[[#This Row],[SETOR]]&lt;400,"GV 30","S/GV"))))</f>
        <v>GV 10</v>
      </c>
      <c r="E641" t="s">
        <v>123</v>
      </c>
      <c r="G641" t="str">
        <f>_xlfn.CONCAT(Tabela9[[#This Row],[Coluna1]],Tabela9[[#This Row],[Coluna2]])</f>
        <v>20-Rota</v>
      </c>
    </row>
    <row r="642" spans="1:7" x14ac:dyDescent="0.25">
      <c r="A642">
        <v>5873</v>
      </c>
      <c r="B642">
        <v>109</v>
      </c>
      <c r="C642" s="1" t="str">
        <f>IF(Tabela8[[#This Row],[SETOR]]="","",IF(Tabela8[[#This Row],[SETOR]]&lt;200,"GV 10",IF(Tabela8[[#This Row],[SETOR]]&lt;300,"GV 20",IF(Tabela8[[#This Row],[SETOR]]&lt;400,"GV 30","S/GV"))))</f>
        <v>GV 10</v>
      </c>
      <c r="E642" t="s">
        <v>123</v>
      </c>
      <c r="G642" t="str">
        <f>_xlfn.CONCAT(Tabela9[[#This Row],[Coluna1]],Tabela9[[#This Row],[Coluna2]])</f>
        <v>20-Rota</v>
      </c>
    </row>
    <row r="643" spans="1:7" x14ac:dyDescent="0.25">
      <c r="A643">
        <v>5886</v>
      </c>
      <c r="B643">
        <v>208</v>
      </c>
      <c r="C643" s="1" t="str">
        <f>IF(Tabela8[[#This Row],[SETOR]]="","",IF(Tabela8[[#This Row],[SETOR]]&lt;200,"GV 10",IF(Tabela8[[#This Row],[SETOR]]&lt;300,"GV 20",IF(Tabela8[[#This Row],[SETOR]]&lt;400,"GV 30","S/GV"))))</f>
        <v>GV 20</v>
      </c>
      <c r="E643" t="s">
        <v>126</v>
      </c>
      <c r="F643" t="s">
        <v>127</v>
      </c>
      <c r="G643" t="str">
        <f>_xlfn.CONCAT(Tabela9[[#This Row],[Coluna1]],Tabela9[[#This Row],[Coluna2]])</f>
        <v>16-AS(5+)</v>
      </c>
    </row>
    <row r="644" spans="1:7" x14ac:dyDescent="0.25">
      <c r="A644">
        <v>5888</v>
      </c>
      <c r="B644">
        <v>305</v>
      </c>
      <c r="C644" s="1" t="str">
        <f>IF(Tabela8[[#This Row],[SETOR]]="","",IF(Tabela8[[#This Row],[SETOR]]&lt;200,"GV 10",IF(Tabela8[[#This Row],[SETOR]]&lt;300,"GV 20",IF(Tabela8[[#This Row],[SETOR]]&lt;400,"GV 30","S/GV"))))</f>
        <v>GV 30</v>
      </c>
      <c r="E644" t="s">
        <v>123</v>
      </c>
      <c r="G644" t="str">
        <f>_xlfn.CONCAT(Tabela9[[#This Row],[Coluna1]],Tabela9[[#This Row],[Coluna2]])</f>
        <v>20-Rota</v>
      </c>
    </row>
    <row r="645" spans="1:7" x14ac:dyDescent="0.25">
      <c r="A645">
        <v>5893</v>
      </c>
      <c r="B645">
        <v>912</v>
      </c>
      <c r="C645" s="1" t="str">
        <f>IF(Tabela8[[#This Row],[SETOR]]="","",IF(Tabela8[[#This Row],[SETOR]]&lt;200,"GV 10",IF(Tabela8[[#This Row],[SETOR]]&lt;300,"GV 20",IF(Tabela8[[#This Row],[SETOR]]&lt;400,"GV 30","S/GV"))))</f>
        <v>S/GV</v>
      </c>
      <c r="G645" t="str">
        <f>_xlfn.CONCAT(Tabela9[[#This Row],[Coluna1]],Tabela9[[#This Row],[Coluna2]])</f>
        <v/>
      </c>
    </row>
    <row r="646" spans="1:7" x14ac:dyDescent="0.25">
      <c r="A646">
        <v>5895</v>
      </c>
      <c r="B646">
        <v>109</v>
      </c>
      <c r="C646" s="1" t="str">
        <f>IF(Tabela8[[#This Row],[SETOR]]="","",IF(Tabela8[[#This Row],[SETOR]]&lt;200,"GV 10",IF(Tabela8[[#This Row],[SETOR]]&lt;300,"GV 20",IF(Tabela8[[#This Row],[SETOR]]&lt;400,"GV 30","S/GV"))))</f>
        <v>GV 10</v>
      </c>
      <c r="E646" t="s">
        <v>123</v>
      </c>
      <c r="G646" t="str">
        <f>_xlfn.CONCAT(Tabela9[[#This Row],[Coluna1]],Tabela9[[#This Row],[Coluna2]])</f>
        <v>20-Rota</v>
      </c>
    </row>
    <row r="647" spans="1:7" x14ac:dyDescent="0.25">
      <c r="A647">
        <v>5897</v>
      </c>
      <c r="B647">
        <v>206</v>
      </c>
      <c r="C647" s="1" t="str">
        <f>IF(Tabela8[[#This Row],[SETOR]]="","",IF(Tabela8[[#This Row],[SETOR]]&lt;200,"GV 10",IF(Tabela8[[#This Row],[SETOR]]&lt;300,"GV 20",IF(Tabela8[[#This Row],[SETOR]]&lt;400,"GV 30","S/GV"))))</f>
        <v>GV 20</v>
      </c>
      <c r="E647" t="s">
        <v>123</v>
      </c>
      <c r="G647" t="str">
        <f>_xlfn.CONCAT(Tabela9[[#This Row],[Coluna1]],Tabela9[[#This Row],[Coluna2]])</f>
        <v>20-Rota</v>
      </c>
    </row>
    <row r="648" spans="1:7" x14ac:dyDescent="0.25">
      <c r="A648">
        <v>5918</v>
      </c>
      <c r="B648">
        <v>203</v>
      </c>
      <c r="C648" s="1" t="str">
        <f>IF(Tabela8[[#This Row],[SETOR]]="","",IF(Tabela8[[#This Row],[SETOR]]&lt;200,"GV 10",IF(Tabela8[[#This Row],[SETOR]]&lt;300,"GV 20",IF(Tabela8[[#This Row],[SETOR]]&lt;400,"GV 30","S/GV"))))</f>
        <v>GV 20</v>
      </c>
      <c r="E648" t="s">
        <v>123</v>
      </c>
      <c r="G648" t="str">
        <f>_xlfn.CONCAT(Tabela9[[#This Row],[Coluna1]],Tabela9[[#This Row],[Coluna2]])</f>
        <v>20-Rota</v>
      </c>
    </row>
    <row r="649" spans="1:7" x14ac:dyDescent="0.25">
      <c r="A649">
        <v>5934</v>
      </c>
      <c r="B649">
        <v>309</v>
      </c>
      <c r="C649" s="1" t="str">
        <f>IF(Tabela8[[#This Row],[SETOR]]="","",IF(Tabela8[[#This Row],[SETOR]]&lt;200,"GV 10",IF(Tabela8[[#This Row],[SETOR]]&lt;300,"GV 20",IF(Tabela8[[#This Row],[SETOR]]&lt;400,"GV 30","S/GV"))))</f>
        <v>GV 30</v>
      </c>
      <c r="E649" t="s">
        <v>128</v>
      </c>
      <c r="F649" t="s">
        <v>129</v>
      </c>
      <c r="G649" t="str">
        <f>_xlfn.CONCAT(Tabela9[[#This Row],[Coluna1]],Tabela9[[#This Row],[Coluna2]])</f>
        <v>15-AS(1-4)</v>
      </c>
    </row>
    <row r="650" spans="1:7" x14ac:dyDescent="0.25">
      <c r="A650">
        <v>5940</v>
      </c>
      <c r="B650">
        <v>105</v>
      </c>
      <c r="C650" s="1" t="str">
        <f>IF(Tabela8[[#This Row],[SETOR]]="","",IF(Tabela8[[#This Row],[SETOR]]&lt;200,"GV 10",IF(Tabela8[[#This Row],[SETOR]]&lt;300,"GV 20",IF(Tabela8[[#This Row],[SETOR]]&lt;400,"GV 30","S/GV"))))</f>
        <v>GV 10</v>
      </c>
      <c r="E650" t="s">
        <v>125</v>
      </c>
      <c r="G650" t="str">
        <f>_xlfn.CONCAT(Tabela9[[#This Row],[Coluna1]],Tabela9[[#This Row],[Coluna2]])</f>
        <v>18-TRAD</v>
      </c>
    </row>
    <row r="651" spans="1:7" x14ac:dyDescent="0.25">
      <c r="A651">
        <v>5941</v>
      </c>
      <c r="B651">
        <v>109</v>
      </c>
      <c r="C651" s="1" t="str">
        <f>IF(Tabela8[[#This Row],[SETOR]]="","",IF(Tabela8[[#This Row],[SETOR]]&lt;200,"GV 10",IF(Tabela8[[#This Row],[SETOR]]&lt;300,"GV 20",IF(Tabela8[[#This Row],[SETOR]]&lt;400,"GV 30","S/GV"))))</f>
        <v>GV 10</v>
      </c>
      <c r="E651" t="s">
        <v>123</v>
      </c>
      <c r="G651" t="str">
        <f>_xlfn.CONCAT(Tabela9[[#This Row],[Coluna1]],Tabela9[[#This Row],[Coluna2]])</f>
        <v>20-Rota</v>
      </c>
    </row>
    <row r="652" spans="1:7" x14ac:dyDescent="0.25">
      <c r="A652">
        <v>5944</v>
      </c>
      <c r="B652">
        <v>105</v>
      </c>
      <c r="C652" s="1" t="str">
        <f>IF(Tabela8[[#This Row],[SETOR]]="","",IF(Tabela8[[#This Row],[SETOR]]&lt;200,"GV 10",IF(Tabela8[[#This Row],[SETOR]]&lt;300,"GV 20",IF(Tabela8[[#This Row],[SETOR]]&lt;400,"GV 30","S/GV"))))</f>
        <v>GV 10</v>
      </c>
      <c r="E652" t="s">
        <v>123</v>
      </c>
      <c r="G652" t="str">
        <f>_xlfn.CONCAT(Tabela9[[#This Row],[Coluna1]],Tabela9[[#This Row],[Coluna2]])</f>
        <v>20-Rota</v>
      </c>
    </row>
    <row r="653" spans="1:7" x14ac:dyDescent="0.25">
      <c r="A653">
        <v>5948</v>
      </c>
      <c r="B653">
        <v>102</v>
      </c>
      <c r="C653" s="1" t="str">
        <f>IF(Tabela8[[#This Row],[SETOR]]="","",IF(Tabela8[[#This Row],[SETOR]]&lt;200,"GV 10",IF(Tabela8[[#This Row],[SETOR]]&lt;300,"GV 20",IF(Tabela8[[#This Row],[SETOR]]&lt;400,"GV 30","S/GV"))))</f>
        <v>GV 10</v>
      </c>
      <c r="E653" t="s">
        <v>123</v>
      </c>
      <c r="G653" t="str">
        <f>_xlfn.CONCAT(Tabela9[[#This Row],[Coluna1]],Tabela9[[#This Row],[Coluna2]])</f>
        <v>20-Rota</v>
      </c>
    </row>
    <row r="654" spans="1:7" x14ac:dyDescent="0.25">
      <c r="A654">
        <v>5949</v>
      </c>
      <c r="B654">
        <v>106</v>
      </c>
      <c r="C654" s="1" t="str">
        <f>IF(Tabela8[[#This Row],[SETOR]]="","",IF(Tabela8[[#This Row],[SETOR]]&lt;200,"GV 10",IF(Tabela8[[#This Row],[SETOR]]&lt;300,"GV 20",IF(Tabela8[[#This Row],[SETOR]]&lt;400,"GV 30","S/GV"))))</f>
        <v>GV 10</v>
      </c>
      <c r="E654" t="s">
        <v>126</v>
      </c>
      <c r="F654" t="s">
        <v>127</v>
      </c>
      <c r="G654" t="str">
        <f>_xlfn.CONCAT(Tabela9[[#This Row],[Coluna1]],Tabela9[[#This Row],[Coluna2]])</f>
        <v>16-AS(5+)</v>
      </c>
    </row>
    <row r="655" spans="1:7" x14ac:dyDescent="0.25">
      <c r="A655">
        <v>5950</v>
      </c>
      <c r="B655">
        <v>106</v>
      </c>
      <c r="C655" s="1" t="str">
        <f>IF(Tabela8[[#This Row],[SETOR]]="","",IF(Tabela8[[#This Row],[SETOR]]&lt;200,"GV 10",IF(Tabela8[[#This Row],[SETOR]]&lt;300,"GV 20",IF(Tabela8[[#This Row],[SETOR]]&lt;400,"GV 30","S/GV"))))</f>
        <v>GV 10</v>
      </c>
      <c r="E655" t="s">
        <v>126</v>
      </c>
      <c r="F655" t="s">
        <v>127</v>
      </c>
      <c r="G655" t="str">
        <f>_xlfn.CONCAT(Tabela9[[#This Row],[Coluna1]],Tabela9[[#This Row],[Coluna2]])</f>
        <v>16-AS(5+)</v>
      </c>
    </row>
    <row r="656" spans="1:7" x14ac:dyDescent="0.25">
      <c r="A656">
        <v>5955</v>
      </c>
      <c r="B656">
        <v>306</v>
      </c>
      <c r="C656" s="1" t="str">
        <f>IF(Tabela8[[#This Row],[SETOR]]="","",IF(Tabela8[[#This Row],[SETOR]]&lt;200,"GV 10",IF(Tabela8[[#This Row],[SETOR]]&lt;300,"GV 20",IF(Tabela8[[#This Row],[SETOR]]&lt;400,"GV 30","S/GV"))))</f>
        <v>GV 30</v>
      </c>
      <c r="E656" t="s">
        <v>125</v>
      </c>
      <c r="G656" t="str">
        <f>_xlfn.CONCAT(Tabela9[[#This Row],[Coluna1]],Tabela9[[#This Row],[Coluna2]])</f>
        <v>18-TRAD</v>
      </c>
    </row>
    <row r="657" spans="1:7" x14ac:dyDescent="0.25">
      <c r="A657">
        <v>5961</v>
      </c>
      <c r="B657">
        <v>916</v>
      </c>
      <c r="C657" s="1" t="str">
        <f>IF(Tabela8[[#This Row],[SETOR]]="","",IF(Tabela8[[#This Row],[SETOR]]&lt;200,"GV 10",IF(Tabela8[[#This Row],[SETOR]]&lt;300,"GV 20",IF(Tabela8[[#This Row],[SETOR]]&lt;400,"GV 30","S/GV"))))</f>
        <v>S/GV</v>
      </c>
      <c r="G657" t="str">
        <f>_xlfn.CONCAT(Tabela9[[#This Row],[Coluna1]],Tabela9[[#This Row],[Coluna2]])</f>
        <v/>
      </c>
    </row>
    <row r="658" spans="1:7" x14ac:dyDescent="0.25">
      <c r="A658">
        <v>5974</v>
      </c>
      <c r="B658">
        <v>309</v>
      </c>
      <c r="C658" s="1" t="str">
        <f>IF(Tabela8[[#This Row],[SETOR]]="","",IF(Tabela8[[#This Row],[SETOR]]&lt;200,"GV 10",IF(Tabela8[[#This Row],[SETOR]]&lt;300,"GV 20",IF(Tabela8[[#This Row],[SETOR]]&lt;400,"GV 30","S/GV"))))</f>
        <v>GV 30</v>
      </c>
      <c r="E658" t="s">
        <v>126</v>
      </c>
      <c r="F658" t="s">
        <v>127</v>
      </c>
      <c r="G658" t="str">
        <f>_xlfn.CONCAT(Tabela9[[#This Row],[Coluna1]],Tabela9[[#This Row],[Coluna2]])</f>
        <v>16-AS(5+)</v>
      </c>
    </row>
    <row r="659" spans="1:7" x14ac:dyDescent="0.25">
      <c r="A659">
        <v>5975</v>
      </c>
      <c r="B659">
        <v>107</v>
      </c>
      <c r="C659" s="1" t="str">
        <f>IF(Tabela8[[#This Row],[SETOR]]="","",IF(Tabela8[[#This Row],[SETOR]]&lt;200,"GV 10",IF(Tabela8[[#This Row],[SETOR]]&lt;300,"GV 20",IF(Tabela8[[#This Row],[SETOR]]&lt;400,"GV 30","S/GV"))))</f>
        <v>GV 10</v>
      </c>
      <c r="E659" t="s">
        <v>130</v>
      </c>
      <c r="G659" t="str">
        <f>_xlfn.CONCAT(Tabela9[[#This Row],[Coluna1]],Tabela9[[#This Row],[Coluna2]])</f>
        <v>21-SUB</v>
      </c>
    </row>
    <row r="660" spans="1:7" x14ac:dyDescent="0.25">
      <c r="A660">
        <v>5984</v>
      </c>
      <c r="B660">
        <v>306</v>
      </c>
      <c r="C660" s="1" t="str">
        <f>IF(Tabela8[[#This Row],[SETOR]]="","",IF(Tabela8[[#This Row],[SETOR]]&lt;200,"GV 10",IF(Tabela8[[#This Row],[SETOR]]&lt;300,"GV 20",IF(Tabela8[[#This Row],[SETOR]]&lt;400,"GV 30","S/GV"))))</f>
        <v>GV 30</v>
      </c>
      <c r="E660" t="s">
        <v>125</v>
      </c>
      <c r="G660" t="str">
        <f>_xlfn.CONCAT(Tabela9[[#This Row],[Coluna1]],Tabela9[[#This Row],[Coluna2]])</f>
        <v>18-TRAD</v>
      </c>
    </row>
    <row r="661" spans="1:7" x14ac:dyDescent="0.25">
      <c r="A661">
        <v>5995</v>
      </c>
      <c r="B661">
        <v>303</v>
      </c>
      <c r="C661" s="1" t="str">
        <f>IF(Tabela8[[#This Row],[SETOR]]="","",IF(Tabela8[[#This Row],[SETOR]]&lt;200,"GV 10",IF(Tabela8[[#This Row],[SETOR]]&lt;300,"GV 20",IF(Tabela8[[#This Row],[SETOR]]&lt;400,"GV 30","S/GV"))))</f>
        <v>GV 30</v>
      </c>
      <c r="E661" t="s">
        <v>123</v>
      </c>
      <c r="G661" t="str">
        <f>_xlfn.CONCAT(Tabela9[[#This Row],[Coluna1]],Tabela9[[#This Row],[Coluna2]])</f>
        <v>20-Rota</v>
      </c>
    </row>
    <row r="662" spans="1:7" x14ac:dyDescent="0.25">
      <c r="A662">
        <v>6002</v>
      </c>
      <c r="B662">
        <v>906</v>
      </c>
      <c r="C662" s="1" t="str">
        <f>IF(Tabela8[[#This Row],[SETOR]]="","",IF(Tabela8[[#This Row],[SETOR]]&lt;200,"GV 10",IF(Tabela8[[#This Row],[SETOR]]&lt;300,"GV 20",IF(Tabela8[[#This Row],[SETOR]]&lt;400,"GV 30","S/GV"))))</f>
        <v>S/GV</v>
      </c>
      <c r="E662" t="s">
        <v>123</v>
      </c>
      <c r="G662" t="str">
        <f>_xlfn.CONCAT(Tabela9[[#This Row],[Coluna1]],Tabela9[[#This Row],[Coluna2]])</f>
        <v>20-Rota</v>
      </c>
    </row>
    <row r="663" spans="1:7" x14ac:dyDescent="0.25">
      <c r="A663">
        <v>6026</v>
      </c>
      <c r="B663">
        <v>108</v>
      </c>
      <c r="C663" s="1" t="str">
        <f>IF(Tabela8[[#This Row],[SETOR]]="","",IF(Tabela8[[#This Row],[SETOR]]&lt;200,"GV 10",IF(Tabela8[[#This Row],[SETOR]]&lt;300,"GV 20",IF(Tabela8[[#This Row],[SETOR]]&lt;400,"GV 30","S/GV"))))</f>
        <v>GV 10</v>
      </c>
      <c r="E663" t="s">
        <v>128</v>
      </c>
      <c r="F663" t="s">
        <v>129</v>
      </c>
      <c r="G663" t="str">
        <f>_xlfn.CONCAT(Tabela9[[#This Row],[Coluna1]],Tabela9[[#This Row],[Coluna2]])</f>
        <v>15-AS(1-4)</v>
      </c>
    </row>
    <row r="664" spans="1:7" x14ac:dyDescent="0.25">
      <c r="A664">
        <v>6047</v>
      </c>
      <c r="B664">
        <v>204</v>
      </c>
      <c r="C664" s="1" t="str">
        <f>IF(Tabela8[[#This Row],[SETOR]]="","",IF(Tabela8[[#This Row],[SETOR]]&lt;200,"GV 10",IF(Tabela8[[#This Row],[SETOR]]&lt;300,"GV 20",IF(Tabela8[[#This Row],[SETOR]]&lt;400,"GV 30","S/GV"))))</f>
        <v>GV 20</v>
      </c>
      <c r="E664" t="s">
        <v>123</v>
      </c>
      <c r="G664" t="str">
        <f>_xlfn.CONCAT(Tabela9[[#This Row],[Coluna1]],Tabela9[[#This Row],[Coluna2]])</f>
        <v>20-Rota</v>
      </c>
    </row>
    <row r="665" spans="1:7" x14ac:dyDescent="0.25">
      <c r="A665">
        <v>6051</v>
      </c>
      <c r="B665">
        <v>916</v>
      </c>
      <c r="C665" s="1" t="str">
        <f>IF(Tabela8[[#This Row],[SETOR]]="","",IF(Tabela8[[#This Row],[SETOR]]&lt;200,"GV 10",IF(Tabela8[[#This Row],[SETOR]]&lt;300,"GV 20",IF(Tabela8[[#This Row],[SETOR]]&lt;400,"GV 30","S/GV"))))</f>
        <v>S/GV</v>
      </c>
      <c r="G665" t="str">
        <f>_xlfn.CONCAT(Tabela9[[#This Row],[Coluna1]],Tabela9[[#This Row],[Coluna2]])</f>
        <v/>
      </c>
    </row>
    <row r="666" spans="1:7" x14ac:dyDescent="0.25">
      <c r="A666">
        <v>6057</v>
      </c>
      <c r="B666">
        <v>306</v>
      </c>
      <c r="C666" s="1" t="str">
        <f>IF(Tabela8[[#This Row],[SETOR]]="","",IF(Tabela8[[#This Row],[SETOR]]&lt;200,"GV 10",IF(Tabela8[[#This Row],[SETOR]]&lt;300,"GV 20",IF(Tabela8[[#This Row],[SETOR]]&lt;400,"GV 30","S/GV"))))</f>
        <v>GV 30</v>
      </c>
      <c r="E666" t="s">
        <v>131</v>
      </c>
      <c r="F666" t="s">
        <v>132</v>
      </c>
      <c r="G666" t="str">
        <f>_xlfn.CONCAT(Tabela9[[#This Row],[Coluna1]],Tabela9[[#This Row],[Coluna2]])</f>
        <v>14-Lj.Conveniência</v>
      </c>
    </row>
    <row r="667" spans="1:7" x14ac:dyDescent="0.25">
      <c r="A667">
        <v>6060</v>
      </c>
      <c r="B667">
        <v>308</v>
      </c>
      <c r="C667" s="1" t="str">
        <f>IF(Tabela8[[#This Row],[SETOR]]="","",IF(Tabela8[[#This Row],[SETOR]]&lt;200,"GV 10",IF(Tabela8[[#This Row],[SETOR]]&lt;300,"GV 20",IF(Tabela8[[#This Row],[SETOR]]&lt;400,"GV 30","S/GV"))))</f>
        <v>GV 30</v>
      </c>
      <c r="E667" t="s">
        <v>128</v>
      </c>
      <c r="F667" t="s">
        <v>129</v>
      </c>
      <c r="G667" t="str">
        <f>_xlfn.CONCAT(Tabela9[[#This Row],[Coluna1]],Tabela9[[#This Row],[Coluna2]])</f>
        <v>15-AS(1-4)</v>
      </c>
    </row>
    <row r="668" spans="1:7" x14ac:dyDescent="0.25">
      <c r="A668">
        <v>6064</v>
      </c>
      <c r="B668">
        <v>102</v>
      </c>
      <c r="C668" s="1" t="str">
        <f>IF(Tabela8[[#This Row],[SETOR]]="","",IF(Tabela8[[#This Row],[SETOR]]&lt;200,"GV 10",IF(Tabela8[[#This Row],[SETOR]]&lt;300,"GV 20",IF(Tabela8[[#This Row],[SETOR]]&lt;400,"GV 30","S/GV"))))</f>
        <v>GV 10</v>
      </c>
      <c r="E668" t="s">
        <v>123</v>
      </c>
      <c r="G668" t="str">
        <f>_xlfn.CONCAT(Tabela9[[#This Row],[Coluna1]],Tabela9[[#This Row],[Coluna2]])</f>
        <v>20-Rota</v>
      </c>
    </row>
    <row r="669" spans="1:7" x14ac:dyDescent="0.25">
      <c r="A669">
        <v>6071</v>
      </c>
      <c r="B669">
        <v>308</v>
      </c>
      <c r="C669" s="1" t="str">
        <f>IF(Tabela8[[#This Row],[SETOR]]="","",IF(Tabela8[[#This Row],[SETOR]]&lt;200,"GV 10",IF(Tabela8[[#This Row],[SETOR]]&lt;300,"GV 20",IF(Tabela8[[#This Row],[SETOR]]&lt;400,"GV 30","S/GV"))))</f>
        <v>GV 30</v>
      </c>
      <c r="E669" t="s">
        <v>128</v>
      </c>
      <c r="F669" t="s">
        <v>129</v>
      </c>
      <c r="G669" t="str">
        <f>_xlfn.CONCAT(Tabela9[[#This Row],[Coluna1]],Tabela9[[#This Row],[Coluna2]])</f>
        <v>15-AS(1-4)</v>
      </c>
    </row>
    <row r="670" spans="1:7" x14ac:dyDescent="0.25">
      <c r="A670">
        <v>6082</v>
      </c>
      <c r="B670">
        <v>101</v>
      </c>
      <c r="C670" s="1" t="str">
        <f>IF(Tabela8[[#This Row],[SETOR]]="","",IF(Tabela8[[#This Row],[SETOR]]&lt;200,"GV 10",IF(Tabela8[[#This Row],[SETOR]]&lt;300,"GV 20",IF(Tabela8[[#This Row],[SETOR]]&lt;400,"GV 30","S/GV"))))</f>
        <v>GV 10</v>
      </c>
      <c r="E670" t="s">
        <v>123</v>
      </c>
      <c r="G670" t="str">
        <f>_xlfn.CONCAT(Tabela9[[#This Row],[Coluna1]],Tabela9[[#This Row],[Coluna2]])</f>
        <v>20-Rota</v>
      </c>
    </row>
    <row r="671" spans="1:7" x14ac:dyDescent="0.25">
      <c r="A671">
        <v>6083</v>
      </c>
      <c r="B671">
        <v>305</v>
      </c>
      <c r="C671" s="1" t="str">
        <f>IF(Tabela8[[#This Row],[SETOR]]="","",IF(Tabela8[[#This Row],[SETOR]]&lt;200,"GV 10",IF(Tabela8[[#This Row],[SETOR]]&lt;300,"GV 20",IF(Tabela8[[#This Row],[SETOR]]&lt;400,"GV 30","S/GV"))))</f>
        <v>GV 30</v>
      </c>
      <c r="E671" t="s">
        <v>123</v>
      </c>
      <c r="G671" t="str">
        <f>_xlfn.CONCAT(Tabela9[[#This Row],[Coluna1]],Tabela9[[#This Row],[Coluna2]])</f>
        <v>20-Rota</v>
      </c>
    </row>
    <row r="672" spans="1:7" x14ac:dyDescent="0.25">
      <c r="A672">
        <v>6090</v>
      </c>
      <c r="B672">
        <v>102</v>
      </c>
      <c r="C672" s="1" t="str">
        <f>IF(Tabela8[[#This Row],[SETOR]]="","",IF(Tabela8[[#This Row],[SETOR]]&lt;200,"GV 10",IF(Tabela8[[#This Row],[SETOR]]&lt;300,"GV 20",IF(Tabela8[[#This Row],[SETOR]]&lt;400,"GV 30","S/GV"))))</f>
        <v>GV 10</v>
      </c>
      <c r="E672" t="s">
        <v>123</v>
      </c>
      <c r="G672" t="str">
        <f>_xlfn.CONCAT(Tabela9[[#This Row],[Coluna1]],Tabela9[[#This Row],[Coluna2]])</f>
        <v>20-Rota</v>
      </c>
    </row>
    <row r="673" spans="1:7" x14ac:dyDescent="0.25">
      <c r="A673">
        <v>6091</v>
      </c>
      <c r="B673">
        <v>103</v>
      </c>
      <c r="C673" s="1" t="str">
        <f>IF(Tabela8[[#This Row],[SETOR]]="","",IF(Tabela8[[#This Row],[SETOR]]&lt;200,"GV 10",IF(Tabela8[[#This Row],[SETOR]]&lt;300,"GV 20",IF(Tabela8[[#This Row],[SETOR]]&lt;400,"GV 30","S/GV"))))</f>
        <v>GV 10</v>
      </c>
      <c r="E673" t="s">
        <v>123</v>
      </c>
      <c r="G673" t="str">
        <f>_xlfn.CONCAT(Tabela9[[#This Row],[Coluna1]],Tabela9[[#This Row],[Coluna2]])</f>
        <v>20-Rota</v>
      </c>
    </row>
    <row r="674" spans="1:7" x14ac:dyDescent="0.25">
      <c r="A674">
        <v>6104</v>
      </c>
      <c r="B674">
        <v>907</v>
      </c>
      <c r="C674" s="1" t="str">
        <f>IF(Tabela8[[#This Row],[SETOR]]="","",IF(Tabela8[[#This Row],[SETOR]]&lt;200,"GV 10",IF(Tabela8[[#This Row],[SETOR]]&lt;300,"GV 20",IF(Tabela8[[#This Row],[SETOR]]&lt;400,"GV 30","S/GV"))))</f>
        <v>S/GV</v>
      </c>
      <c r="G674" t="str">
        <f>_xlfn.CONCAT(Tabela9[[#This Row],[Coluna1]],Tabela9[[#This Row],[Coluna2]])</f>
        <v/>
      </c>
    </row>
    <row r="675" spans="1:7" x14ac:dyDescent="0.25">
      <c r="A675">
        <v>6105</v>
      </c>
      <c r="B675">
        <v>306</v>
      </c>
      <c r="C675" s="1" t="str">
        <f>IF(Tabela8[[#This Row],[SETOR]]="","",IF(Tabela8[[#This Row],[SETOR]]&lt;200,"GV 10",IF(Tabela8[[#This Row],[SETOR]]&lt;300,"GV 20",IF(Tabela8[[#This Row],[SETOR]]&lt;400,"GV 30","S/GV"))))</f>
        <v>GV 30</v>
      </c>
      <c r="E675" t="s">
        <v>123</v>
      </c>
      <c r="G675" t="str">
        <f>_xlfn.CONCAT(Tabela9[[#This Row],[Coluna1]],Tabela9[[#This Row],[Coluna2]])</f>
        <v>20-Rota</v>
      </c>
    </row>
    <row r="676" spans="1:7" x14ac:dyDescent="0.25">
      <c r="A676">
        <v>6119</v>
      </c>
      <c r="B676">
        <v>201</v>
      </c>
      <c r="C676" s="1" t="str">
        <f>IF(Tabela8[[#This Row],[SETOR]]="","",IF(Tabela8[[#This Row],[SETOR]]&lt;200,"GV 10",IF(Tabela8[[#This Row],[SETOR]]&lt;300,"GV 20",IF(Tabela8[[#This Row],[SETOR]]&lt;400,"GV 30","S/GV"))))</f>
        <v>GV 20</v>
      </c>
      <c r="E676" t="s">
        <v>123</v>
      </c>
      <c r="G676" t="str">
        <f>_xlfn.CONCAT(Tabela9[[#This Row],[Coluna1]],Tabela9[[#This Row],[Coluna2]])</f>
        <v>20-Rota</v>
      </c>
    </row>
    <row r="677" spans="1:7" x14ac:dyDescent="0.25">
      <c r="A677">
        <v>6129</v>
      </c>
      <c r="B677">
        <v>306</v>
      </c>
      <c r="C677" s="1" t="str">
        <f>IF(Tabela8[[#This Row],[SETOR]]="","",IF(Tabela8[[#This Row],[SETOR]]&lt;200,"GV 10",IF(Tabela8[[#This Row],[SETOR]]&lt;300,"GV 20",IF(Tabela8[[#This Row],[SETOR]]&lt;400,"GV 30","S/GV"))))</f>
        <v>GV 30</v>
      </c>
      <c r="E677" t="s">
        <v>125</v>
      </c>
      <c r="G677" t="str">
        <f>_xlfn.CONCAT(Tabela9[[#This Row],[Coluna1]],Tabela9[[#This Row],[Coluna2]])</f>
        <v>18-TRAD</v>
      </c>
    </row>
    <row r="678" spans="1:7" x14ac:dyDescent="0.25">
      <c r="A678">
        <v>6130</v>
      </c>
      <c r="B678">
        <v>102</v>
      </c>
      <c r="C678" s="1" t="str">
        <f>IF(Tabela8[[#This Row],[SETOR]]="","",IF(Tabela8[[#This Row],[SETOR]]&lt;200,"GV 10",IF(Tabela8[[#This Row],[SETOR]]&lt;300,"GV 20",IF(Tabela8[[#This Row],[SETOR]]&lt;400,"GV 30","S/GV"))))</f>
        <v>GV 10</v>
      </c>
      <c r="E678" t="s">
        <v>125</v>
      </c>
      <c r="G678" t="str">
        <f>_xlfn.CONCAT(Tabela9[[#This Row],[Coluna1]],Tabela9[[#This Row],[Coluna2]])</f>
        <v>18-TRAD</v>
      </c>
    </row>
    <row r="679" spans="1:7" x14ac:dyDescent="0.25">
      <c r="A679">
        <v>6139</v>
      </c>
      <c r="B679">
        <v>304</v>
      </c>
      <c r="C679" s="1" t="str">
        <f>IF(Tabela8[[#This Row],[SETOR]]="","",IF(Tabela8[[#This Row],[SETOR]]&lt;200,"GV 10",IF(Tabela8[[#This Row],[SETOR]]&lt;300,"GV 20",IF(Tabela8[[#This Row],[SETOR]]&lt;400,"GV 30","S/GV"))))</f>
        <v>GV 30</v>
      </c>
      <c r="E679" t="s">
        <v>123</v>
      </c>
      <c r="G679" t="str">
        <f>_xlfn.CONCAT(Tabela9[[#This Row],[Coluna1]],Tabela9[[#This Row],[Coluna2]])</f>
        <v>20-Rota</v>
      </c>
    </row>
    <row r="680" spans="1:7" x14ac:dyDescent="0.25">
      <c r="A680">
        <v>6142</v>
      </c>
      <c r="B680">
        <v>304</v>
      </c>
      <c r="C680" s="1" t="str">
        <f>IF(Tabela8[[#This Row],[SETOR]]="","",IF(Tabela8[[#This Row],[SETOR]]&lt;200,"GV 10",IF(Tabela8[[#This Row],[SETOR]]&lt;300,"GV 20",IF(Tabela8[[#This Row],[SETOR]]&lt;400,"GV 30","S/GV"))))</f>
        <v>GV 30</v>
      </c>
      <c r="E680" t="s">
        <v>123</v>
      </c>
      <c r="G680" t="str">
        <f>_xlfn.CONCAT(Tabela9[[#This Row],[Coluna1]],Tabela9[[#This Row],[Coluna2]])</f>
        <v>20-Rota</v>
      </c>
    </row>
    <row r="681" spans="1:7" x14ac:dyDescent="0.25">
      <c r="A681">
        <v>6147</v>
      </c>
      <c r="B681">
        <v>202</v>
      </c>
      <c r="C681" s="1" t="str">
        <f>IF(Tabela8[[#This Row],[SETOR]]="","",IF(Tabela8[[#This Row],[SETOR]]&lt;200,"GV 10",IF(Tabela8[[#This Row],[SETOR]]&lt;300,"GV 20",IF(Tabela8[[#This Row],[SETOR]]&lt;400,"GV 30","S/GV"))))</f>
        <v>GV 20</v>
      </c>
      <c r="E681" t="s">
        <v>124</v>
      </c>
      <c r="G681" t="str">
        <f>_xlfn.CONCAT(Tabela9[[#This Row],[Coluna1]],Tabela9[[#This Row],[Coluna2]])</f>
        <v>19-VIP</v>
      </c>
    </row>
    <row r="682" spans="1:7" x14ac:dyDescent="0.25">
      <c r="A682">
        <v>6151</v>
      </c>
      <c r="B682">
        <v>302</v>
      </c>
      <c r="C682" s="1" t="str">
        <f>IF(Tabela8[[#This Row],[SETOR]]="","",IF(Tabela8[[#This Row],[SETOR]]&lt;200,"GV 10",IF(Tabela8[[#This Row],[SETOR]]&lt;300,"GV 20",IF(Tabela8[[#This Row],[SETOR]]&lt;400,"GV 30","S/GV"))))</f>
        <v>GV 30</v>
      </c>
      <c r="E682" t="s">
        <v>123</v>
      </c>
      <c r="G682" t="str">
        <f>_xlfn.CONCAT(Tabela9[[#This Row],[Coluna1]],Tabela9[[#This Row],[Coluna2]])</f>
        <v>20-Rota</v>
      </c>
    </row>
    <row r="683" spans="1:7" x14ac:dyDescent="0.25">
      <c r="A683">
        <v>6156</v>
      </c>
      <c r="B683">
        <v>913</v>
      </c>
      <c r="C683" s="1" t="str">
        <f>IF(Tabela8[[#This Row],[SETOR]]="","",IF(Tabela8[[#This Row],[SETOR]]&lt;200,"GV 10",IF(Tabela8[[#This Row],[SETOR]]&lt;300,"GV 20",IF(Tabela8[[#This Row],[SETOR]]&lt;400,"GV 30","S/GV"))))</f>
        <v>S/GV</v>
      </c>
      <c r="E683" t="s">
        <v>123</v>
      </c>
      <c r="G683" t="str">
        <f>_xlfn.CONCAT(Tabela9[[#This Row],[Coluna1]],Tabela9[[#This Row],[Coluna2]])</f>
        <v>20-Rota</v>
      </c>
    </row>
    <row r="684" spans="1:7" x14ac:dyDescent="0.25">
      <c r="A684">
        <v>6158</v>
      </c>
      <c r="B684">
        <v>204</v>
      </c>
      <c r="C684" s="1" t="str">
        <f>IF(Tabela8[[#This Row],[SETOR]]="","",IF(Tabela8[[#This Row],[SETOR]]&lt;200,"GV 10",IF(Tabela8[[#This Row],[SETOR]]&lt;300,"GV 20",IF(Tabela8[[#This Row],[SETOR]]&lt;400,"GV 30","S/GV"))))</f>
        <v>GV 20</v>
      </c>
      <c r="E684" t="s">
        <v>123</v>
      </c>
      <c r="G684" t="str">
        <f>_xlfn.CONCAT(Tabela9[[#This Row],[Coluna1]],Tabela9[[#This Row],[Coluna2]])</f>
        <v>20-Rota</v>
      </c>
    </row>
    <row r="685" spans="1:7" x14ac:dyDescent="0.25">
      <c r="A685">
        <v>6160</v>
      </c>
      <c r="B685">
        <v>303</v>
      </c>
      <c r="C685" s="1" t="str">
        <f>IF(Tabela8[[#This Row],[SETOR]]="","",IF(Tabela8[[#This Row],[SETOR]]&lt;200,"GV 10",IF(Tabela8[[#This Row],[SETOR]]&lt;300,"GV 20",IF(Tabela8[[#This Row],[SETOR]]&lt;400,"GV 30","S/GV"))))</f>
        <v>GV 30</v>
      </c>
      <c r="E685" t="s">
        <v>123</v>
      </c>
      <c r="G685" t="str">
        <f>_xlfn.CONCAT(Tabela9[[#This Row],[Coluna1]],Tabela9[[#This Row],[Coluna2]])</f>
        <v>20-Rota</v>
      </c>
    </row>
    <row r="686" spans="1:7" x14ac:dyDescent="0.25">
      <c r="A686">
        <v>6161</v>
      </c>
      <c r="B686">
        <v>305</v>
      </c>
      <c r="C686" s="1" t="str">
        <f>IF(Tabela8[[#This Row],[SETOR]]="","",IF(Tabela8[[#This Row],[SETOR]]&lt;200,"GV 10",IF(Tabela8[[#This Row],[SETOR]]&lt;300,"GV 20",IF(Tabela8[[#This Row],[SETOR]]&lt;400,"GV 30","S/GV"))))</f>
        <v>GV 30</v>
      </c>
      <c r="E686" t="s">
        <v>123</v>
      </c>
      <c r="G686" t="str">
        <f>_xlfn.CONCAT(Tabela9[[#This Row],[Coluna1]],Tabela9[[#This Row],[Coluna2]])</f>
        <v>20-Rota</v>
      </c>
    </row>
    <row r="687" spans="1:7" x14ac:dyDescent="0.25">
      <c r="A687">
        <v>6169</v>
      </c>
      <c r="B687">
        <v>204</v>
      </c>
      <c r="C687" s="1" t="str">
        <f>IF(Tabela8[[#This Row],[SETOR]]="","",IF(Tabela8[[#This Row],[SETOR]]&lt;200,"GV 10",IF(Tabela8[[#This Row],[SETOR]]&lt;300,"GV 20",IF(Tabela8[[#This Row],[SETOR]]&lt;400,"GV 30","S/GV"))))</f>
        <v>GV 20</v>
      </c>
      <c r="E687" t="s">
        <v>123</v>
      </c>
      <c r="G687" t="str">
        <f>_xlfn.CONCAT(Tabela9[[#This Row],[Coluna1]],Tabela9[[#This Row],[Coluna2]])</f>
        <v>20-Rota</v>
      </c>
    </row>
    <row r="688" spans="1:7" x14ac:dyDescent="0.25">
      <c r="A688">
        <v>6172</v>
      </c>
      <c r="B688">
        <v>306</v>
      </c>
      <c r="C688" s="1" t="str">
        <f>IF(Tabela8[[#This Row],[SETOR]]="","",IF(Tabela8[[#This Row],[SETOR]]&lt;200,"GV 10",IF(Tabela8[[#This Row],[SETOR]]&lt;300,"GV 20",IF(Tabela8[[#This Row],[SETOR]]&lt;400,"GV 30","S/GV"))))</f>
        <v>GV 30</v>
      </c>
      <c r="E688" t="s">
        <v>125</v>
      </c>
      <c r="G688" t="str">
        <f>_xlfn.CONCAT(Tabela9[[#This Row],[Coluna1]],Tabela9[[#This Row],[Coluna2]])</f>
        <v>18-TRAD</v>
      </c>
    </row>
    <row r="689" spans="1:7" x14ac:dyDescent="0.25">
      <c r="A689">
        <v>6173</v>
      </c>
      <c r="B689">
        <v>307</v>
      </c>
      <c r="C689" s="1" t="str">
        <f>IF(Tabela8[[#This Row],[SETOR]]="","",IF(Tabela8[[#This Row],[SETOR]]&lt;200,"GV 10",IF(Tabela8[[#This Row],[SETOR]]&lt;300,"GV 20",IF(Tabela8[[#This Row],[SETOR]]&lt;400,"GV 30","S/GV"))))</f>
        <v>GV 30</v>
      </c>
      <c r="E689" t="s">
        <v>130</v>
      </c>
      <c r="G689" t="str">
        <f>_xlfn.CONCAT(Tabela9[[#This Row],[Coluna1]],Tabela9[[#This Row],[Coluna2]])</f>
        <v>21-SUB</v>
      </c>
    </row>
    <row r="690" spans="1:7" x14ac:dyDescent="0.25">
      <c r="A690">
        <v>6174</v>
      </c>
      <c r="B690">
        <v>305</v>
      </c>
      <c r="C690" s="1" t="str">
        <f>IF(Tabela8[[#This Row],[SETOR]]="","",IF(Tabela8[[#This Row],[SETOR]]&lt;200,"GV 10",IF(Tabela8[[#This Row],[SETOR]]&lt;300,"GV 20",IF(Tabela8[[#This Row],[SETOR]]&lt;400,"GV 30","S/GV"))))</f>
        <v>GV 30</v>
      </c>
      <c r="E690" t="s">
        <v>123</v>
      </c>
      <c r="G690" t="str">
        <f>_xlfn.CONCAT(Tabela9[[#This Row],[Coluna1]],Tabela9[[#This Row],[Coluna2]])</f>
        <v>20-Rota</v>
      </c>
    </row>
    <row r="691" spans="1:7" x14ac:dyDescent="0.25">
      <c r="A691">
        <v>6176</v>
      </c>
      <c r="B691">
        <v>109</v>
      </c>
      <c r="C691" s="1" t="str">
        <f>IF(Tabela8[[#This Row],[SETOR]]="","",IF(Tabela8[[#This Row],[SETOR]]&lt;200,"GV 10",IF(Tabela8[[#This Row],[SETOR]]&lt;300,"GV 20",IF(Tabela8[[#This Row],[SETOR]]&lt;400,"GV 30","S/GV"))))</f>
        <v>GV 10</v>
      </c>
      <c r="E691" t="s">
        <v>123</v>
      </c>
      <c r="G691" t="str">
        <f>_xlfn.CONCAT(Tabela9[[#This Row],[Coluna1]],Tabela9[[#This Row],[Coluna2]])</f>
        <v>20-Rota</v>
      </c>
    </row>
    <row r="692" spans="1:7" x14ac:dyDescent="0.25">
      <c r="A692">
        <v>6184</v>
      </c>
      <c r="B692">
        <v>303</v>
      </c>
      <c r="C692" s="1" t="str">
        <f>IF(Tabela8[[#This Row],[SETOR]]="","",IF(Tabela8[[#This Row],[SETOR]]&lt;200,"GV 10",IF(Tabela8[[#This Row],[SETOR]]&lt;300,"GV 20",IF(Tabela8[[#This Row],[SETOR]]&lt;400,"GV 30","S/GV"))))</f>
        <v>GV 30</v>
      </c>
      <c r="E692" t="s">
        <v>123</v>
      </c>
      <c r="G692" t="str">
        <f>_xlfn.CONCAT(Tabela9[[#This Row],[Coluna1]],Tabela9[[#This Row],[Coluna2]])</f>
        <v>20-Rota</v>
      </c>
    </row>
    <row r="693" spans="1:7" x14ac:dyDescent="0.25">
      <c r="A693">
        <v>6187</v>
      </c>
      <c r="B693">
        <v>102</v>
      </c>
      <c r="C693" s="1" t="str">
        <f>IF(Tabela8[[#This Row],[SETOR]]="","",IF(Tabela8[[#This Row],[SETOR]]&lt;200,"GV 10",IF(Tabela8[[#This Row],[SETOR]]&lt;300,"GV 20",IF(Tabela8[[#This Row],[SETOR]]&lt;400,"GV 30","S/GV"))))</f>
        <v>GV 10</v>
      </c>
      <c r="E693" t="s">
        <v>123</v>
      </c>
      <c r="G693" t="str">
        <f>_xlfn.CONCAT(Tabela9[[#This Row],[Coluna1]],Tabela9[[#This Row],[Coluna2]])</f>
        <v>20-Rota</v>
      </c>
    </row>
    <row r="694" spans="1:7" x14ac:dyDescent="0.25">
      <c r="A694">
        <v>6191</v>
      </c>
      <c r="B694">
        <v>308</v>
      </c>
      <c r="C694" s="1" t="str">
        <f>IF(Tabela8[[#This Row],[SETOR]]="","",IF(Tabela8[[#This Row],[SETOR]]&lt;200,"GV 10",IF(Tabela8[[#This Row],[SETOR]]&lt;300,"GV 20",IF(Tabela8[[#This Row],[SETOR]]&lt;400,"GV 30","S/GV"))))</f>
        <v>GV 30</v>
      </c>
      <c r="E694" t="s">
        <v>128</v>
      </c>
      <c r="F694" t="s">
        <v>129</v>
      </c>
      <c r="G694" t="str">
        <f>_xlfn.CONCAT(Tabela9[[#This Row],[Coluna1]],Tabela9[[#This Row],[Coluna2]])</f>
        <v>15-AS(1-4)</v>
      </c>
    </row>
    <row r="695" spans="1:7" x14ac:dyDescent="0.25">
      <c r="A695">
        <v>6194</v>
      </c>
      <c r="B695">
        <v>103</v>
      </c>
      <c r="C695" s="1" t="str">
        <f>IF(Tabela8[[#This Row],[SETOR]]="","",IF(Tabela8[[#This Row],[SETOR]]&lt;200,"GV 10",IF(Tabela8[[#This Row],[SETOR]]&lt;300,"GV 20",IF(Tabela8[[#This Row],[SETOR]]&lt;400,"GV 30","S/GV"))))</f>
        <v>GV 10</v>
      </c>
      <c r="E695" t="s">
        <v>123</v>
      </c>
      <c r="G695" t="str">
        <f>_xlfn.CONCAT(Tabela9[[#This Row],[Coluna1]],Tabela9[[#This Row],[Coluna2]])</f>
        <v>20-Rota</v>
      </c>
    </row>
    <row r="696" spans="1:7" x14ac:dyDescent="0.25">
      <c r="A696">
        <v>6195</v>
      </c>
      <c r="B696">
        <v>907</v>
      </c>
      <c r="C696" s="1" t="str">
        <f>IF(Tabela8[[#This Row],[SETOR]]="","",IF(Tabela8[[#This Row],[SETOR]]&lt;200,"GV 10",IF(Tabela8[[#This Row],[SETOR]]&lt;300,"GV 20",IF(Tabela8[[#This Row],[SETOR]]&lt;400,"GV 30","S/GV"))))</f>
        <v>S/GV</v>
      </c>
      <c r="G696" t="str">
        <f>_xlfn.CONCAT(Tabela9[[#This Row],[Coluna1]],Tabela9[[#This Row],[Coluna2]])</f>
        <v/>
      </c>
    </row>
    <row r="697" spans="1:7" x14ac:dyDescent="0.25">
      <c r="A697">
        <v>6201</v>
      </c>
      <c r="B697">
        <v>106</v>
      </c>
      <c r="C697" s="1" t="str">
        <f>IF(Tabela8[[#This Row],[SETOR]]="","",IF(Tabela8[[#This Row],[SETOR]]&lt;200,"GV 10",IF(Tabela8[[#This Row],[SETOR]]&lt;300,"GV 20",IF(Tabela8[[#This Row],[SETOR]]&lt;400,"GV 30","S/GV"))))</f>
        <v>GV 10</v>
      </c>
      <c r="E697" t="s">
        <v>123</v>
      </c>
      <c r="G697" t="str">
        <f>_xlfn.CONCAT(Tabela9[[#This Row],[Coluna1]],Tabela9[[#This Row],[Coluna2]])</f>
        <v>20-Rota</v>
      </c>
    </row>
    <row r="698" spans="1:7" x14ac:dyDescent="0.25">
      <c r="A698">
        <v>6203</v>
      </c>
      <c r="B698">
        <v>106</v>
      </c>
      <c r="C698" s="1" t="str">
        <f>IF(Tabela8[[#This Row],[SETOR]]="","",IF(Tabela8[[#This Row],[SETOR]]&lt;200,"GV 10",IF(Tabela8[[#This Row],[SETOR]]&lt;300,"GV 20",IF(Tabela8[[#This Row],[SETOR]]&lt;400,"GV 30","S/GV"))))</f>
        <v>GV 10</v>
      </c>
      <c r="E698" t="s">
        <v>123</v>
      </c>
      <c r="G698" t="str">
        <f>_xlfn.CONCAT(Tabela9[[#This Row],[Coluna1]],Tabela9[[#This Row],[Coluna2]])</f>
        <v>20-Rota</v>
      </c>
    </row>
    <row r="699" spans="1:7" x14ac:dyDescent="0.25">
      <c r="A699">
        <v>6213</v>
      </c>
      <c r="B699">
        <v>109</v>
      </c>
      <c r="C699" s="1" t="str">
        <f>IF(Tabela8[[#This Row],[SETOR]]="","",IF(Tabela8[[#This Row],[SETOR]]&lt;200,"GV 10",IF(Tabela8[[#This Row],[SETOR]]&lt;300,"GV 20",IF(Tabela8[[#This Row],[SETOR]]&lt;400,"GV 30","S/GV"))))</f>
        <v>GV 10</v>
      </c>
      <c r="E699" t="s">
        <v>123</v>
      </c>
      <c r="G699" t="str">
        <f>_xlfn.CONCAT(Tabela9[[#This Row],[Coluna1]],Tabela9[[#This Row],[Coluna2]])</f>
        <v>20-Rota</v>
      </c>
    </row>
    <row r="700" spans="1:7" x14ac:dyDescent="0.25">
      <c r="A700">
        <v>6215</v>
      </c>
      <c r="B700">
        <v>103</v>
      </c>
      <c r="C700" s="1" t="str">
        <f>IF(Tabela8[[#This Row],[SETOR]]="","",IF(Tabela8[[#This Row],[SETOR]]&lt;200,"GV 10",IF(Tabela8[[#This Row],[SETOR]]&lt;300,"GV 20",IF(Tabela8[[#This Row],[SETOR]]&lt;400,"GV 30","S/GV"))))</f>
        <v>GV 10</v>
      </c>
      <c r="E700" t="s">
        <v>123</v>
      </c>
      <c r="G700" t="str">
        <f>_xlfn.CONCAT(Tabela9[[#This Row],[Coluna1]],Tabela9[[#This Row],[Coluna2]])</f>
        <v>20-Rota</v>
      </c>
    </row>
    <row r="701" spans="1:7" x14ac:dyDescent="0.25">
      <c r="A701">
        <v>6217</v>
      </c>
      <c r="B701">
        <v>102</v>
      </c>
      <c r="C701" s="1" t="str">
        <f>IF(Tabela8[[#This Row],[SETOR]]="","",IF(Tabela8[[#This Row],[SETOR]]&lt;200,"GV 10",IF(Tabela8[[#This Row],[SETOR]]&lt;300,"GV 20",IF(Tabela8[[#This Row],[SETOR]]&lt;400,"GV 30","S/GV"))))</f>
        <v>GV 10</v>
      </c>
      <c r="E701" t="s">
        <v>123</v>
      </c>
      <c r="G701" t="str">
        <f>_xlfn.CONCAT(Tabela9[[#This Row],[Coluna1]],Tabela9[[#This Row],[Coluna2]])</f>
        <v>20-Rota</v>
      </c>
    </row>
    <row r="702" spans="1:7" x14ac:dyDescent="0.25">
      <c r="A702">
        <v>6226</v>
      </c>
      <c r="B702">
        <v>108</v>
      </c>
      <c r="C702" s="1" t="str">
        <f>IF(Tabela8[[#This Row],[SETOR]]="","",IF(Tabela8[[#This Row],[SETOR]]&lt;200,"GV 10",IF(Tabela8[[#This Row],[SETOR]]&lt;300,"GV 20",IF(Tabela8[[#This Row],[SETOR]]&lt;400,"GV 30","S/GV"))))</f>
        <v>GV 10</v>
      </c>
      <c r="E702" t="s">
        <v>131</v>
      </c>
      <c r="F702" t="s">
        <v>132</v>
      </c>
      <c r="G702" t="str">
        <f>_xlfn.CONCAT(Tabela9[[#This Row],[Coluna1]],Tabela9[[#This Row],[Coluna2]])</f>
        <v>14-Lj.Conveniência</v>
      </c>
    </row>
    <row r="703" spans="1:7" x14ac:dyDescent="0.25">
      <c r="A703">
        <v>6237</v>
      </c>
      <c r="B703">
        <v>302</v>
      </c>
      <c r="C703" s="1" t="str">
        <f>IF(Tabela8[[#This Row],[SETOR]]="","",IF(Tabela8[[#This Row],[SETOR]]&lt;200,"GV 10",IF(Tabela8[[#This Row],[SETOR]]&lt;300,"GV 20",IF(Tabela8[[#This Row],[SETOR]]&lt;400,"GV 30","S/GV"))))</f>
        <v>GV 30</v>
      </c>
      <c r="E703" t="s">
        <v>124</v>
      </c>
      <c r="G703" t="str">
        <f>_xlfn.CONCAT(Tabela9[[#This Row],[Coluna1]],Tabela9[[#This Row],[Coluna2]])</f>
        <v>19-VIP</v>
      </c>
    </row>
    <row r="704" spans="1:7" x14ac:dyDescent="0.25">
      <c r="A704">
        <v>6238</v>
      </c>
      <c r="B704">
        <v>203</v>
      </c>
      <c r="C704" s="1" t="str">
        <f>IF(Tabela8[[#This Row],[SETOR]]="","",IF(Tabela8[[#This Row],[SETOR]]&lt;200,"GV 10",IF(Tabela8[[#This Row],[SETOR]]&lt;300,"GV 20",IF(Tabela8[[#This Row],[SETOR]]&lt;400,"GV 30","S/GV"))))</f>
        <v>GV 20</v>
      </c>
      <c r="E704" t="s">
        <v>123</v>
      </c>
      <c r="G704" t="str">
        <f>_xlfn.CONCAT(Tabela9[[#This Row],[Coluna1]],Tabela9[[#This Row],[Coluna2]])</f>
        <v>20-Rota</v>
      </c>
    </row>
    <row r="705" spans="1:7" x14ac:dyDescent="0.25">
      <c r="A705">
        <v>6239</v>
      </c>
      <c r="B705">
        <v>303</v>
      </c>
      <c r="C705" s="1" t="str">
        <f>IF(Tabela8[[#This Row],[SETOR]]="","",IF(Tabela8[[#This Row],[SETOR]]&lt;200,"GV 10",IF(Tabela8[[#This Row],[SETOR]]&lt;300,"GV 20",IF(Tabela8[[#This Row],[SETOR]]&lt;400,"GV 30","S/GV"))))</f>
        <v>GV 30</v>
      </c>
      <c r="E705" t="s">
        <v>123</v>
      </c>
      <c r="G705" t="str">
        <f>_xlfn.CONCAT(Tabela9[[#This Row],[Coluna1]],Tabela9[[#This Row],[Coluna2]])</f>
        <v>20-Rota</v>
      </c>
    </row>
    <row r="706" spans="1:7" x14ac:dyDescent="0.25">
      <c r="A706">
        <v>6248</v>
      </c>
      <c r="B706">
        <v>303</v>
      </c>
      <c r="C706" s="1" t="str">
        <f>IF(Tabela8[[#This Row],[SETOR]]="","",IF(Tabela8[[#This Row],[SETOR]]&lt;200,"GV 10",IF(Tabela8[[#This Row],[SETOR]]&lt;300,"GV 20",IF(Tabela8[[#This Row],[SETOR]]&lt;400,"GV 30","S/GV"))))</f>
        <v>GV 30</v>
      </c>
      <c r="E706" t="s">
        <v>125</v>
      </c>
      <c r="G706" t="str">
        <f>_xlfn.CONCAT(Tabela9[[#This Row],[Coluna1]],Tabela9[[#This Row],[Coluna2]])</f>
        <v>18-TRAD</v>
      </c>
    </row>
    <row r="707" spans="1:7" x14ac:dyDescent="0.25">
      <c r="A707">
        <v>6255</v>
      </c>
      <c r="B707">
        <v>109</v>
      </c>
      <c r="C707" s="1" t="str">
        <f>IF(Tabela8[[#This Row],[SETOR]]="","",IF(Tabela8[[#This Row],[SETOR]]&lt;200,"GV 10",IF(Tabela8[[#This Row],[SETOR]]&lt;300,"GV 20",IF(Tabela8[[#This Row],[SETOR]]&lt;400,"GV 30","S/GV"))))</f>
        <v>GV 10</v>
      </c>
      <c r="E707" t="s">
        <v>123</v>
      </c>
      <c r="G707" t="str">
        <f>_xlfn.CONCAT(Tabela9[[#This Row],[Coluna1]],Tabela9[[#This Row],[Coluna2]])</f>
        <v>20-Rota</v>
      </c>
    </row>
    <row r="708" spans="1:7" x14ac:dyDescent="0.25">
      <c r="A708">
        <v>6256</v>
      </c>
      <c r="B708">
        <v>202</v>
      </c>
      <c r="C708" s="1" t="str">
        <f>IF(Tabela8[[#This Row],[SETOR]]="","",IF(Tabela8[[#This Row],[SETOR]]&lt;200,"GV 10",IF(Tabela8[[#This Row],[SETOR]]&lt;300,"GV 20",IF(Tabela8[[#This Row],[SETOR]]&lt;400,"GV 30","S/GV"))))</f>
        <v>GV 20</v>
      </c>
      <c r="E708" t="s">
        <v>123</v>
      </c>
      <c r="G708" t="str">
        <f>_xlfn.CONCAT(Tabela9[[#This Row],[Coluna1]],Tabela9[[#This Row],[Coluna2]])</f>
        <v>20-Rota</v>
      </c>
    </row>
    <row r="709" spans="1:7" x14ac:dyDescent="0.25">
      <c r="A709">
        <v>6263</v>
      </c>
      <c r="B709">
        <v>204</v>
      </c>
      <c r="C709" s="1" t="str">
        <f>IF(Tabela8[[#This Row],[SETOR]]="","",IF(Tabela8[[#This Row],[SETOR]]&lt;200,"GV 10",IF(Tabela8[[#This Row],[SETOR]]&lt;300,"GV 20",IF(Tabela8[[#This Row],[SETOR]]&lt;400,"GV 30","S/GV"))))</f>
        <v>GV 20</v>
      </c>
      <c r="E709" t="s">
        <v>123</v>
      </c>
      <c r="G709" t="str">
        <f>_xlfn.CONCAT(Tabela9[[#This Row],[Coluna1]],Tabela9[[#This Row],[Coluna2]])</f>
        <v>20-Rota</v>
      </c>
    </row>
    <row r="710" spans="1:7" x14ac:dyDescent="0.25">
      <c r="A710">
        <v>6265</v>
      </c>
      <c r="B710">
        <v>302</v>
      </c>
      <c r="C710" s="1" t="str">
        <f>IF(Tabela8[[#This Row],[SETOR]]="","",IF(Tabela8[[#This Row],[SETOR]]&lt;200,"GV 10",IF(Tabela8[[#This Row],[SETOR]]&lt;300,"GV 20",IF(Tabela8[[#This Row],[SETOR]]&lt;400,"GV 30","S/GV"))))</f>
        <v>GV 30</v>
      </c>
      <c r="E710" t="s">
        <v>125</v>
      </c>
      <c r="G710" t="str">
        <f>_xlfn.CONCAT(Tabela9[[#This Row],[Coluna1]],Tabela9[[#This Row],[Coluna2]])</f>
        <v>18-TRAD</v>
      </c>
    </row>
    <row r="711" spans="1:7" x14ac:dyDescent="0.25">
      <c r="A711">
        <v>6283</v>
      </c>
      <c r="B711">
        <v>205</v>
      </c>
      <c r="C711" s="1" t="str">
        <f>IF(Tabela8[[#This Row],[SETOR]]="","",IF(Tabela8[[#This Row],[SETOR]]&lt;200,"GV 10",IF(Tabela8[[#This Row],[SETOR]]&lt;300,"GV 20",IF(Tabela8[[#This Row],[SETOR]]&lt;400,"GV 30","S/GV"))))</f>
        <v>GV 20</v>
      </c>
      <c r="E711" t="s">
        <v>123</v>
      </c>
      <c r="G711" t="str">
        <f>_xlfn.CONCAT(Tabela9[[#This Row],[Coluna1]],Tabela9[[#This Row],[Coluna2]])</f>
        <v>20-Rota</v>
      </c>
    </row>
    <row r="712" spans="1:7" x14ac:dyDescent="0.25">
      <c r="A712">
        <v>6293</v>
      </c>
      <c r="B712">
        <v>206</v>
      </c>
      <c r="C712" s="1" t="str">
        <f>IF(Tabela8[[#This Row],[SETOR]]="","",IF(Tabela8[[#This Row],[SETOR]]&lt;200,"GV 10",IF(Tabela8[[#This Row],[SETOR]]&lt;300,"GV 20",IF(Tabela8[[#This Row],[SETOR]]&lt;400,"GV 30","S/GV"))))</f>
        <v>GV 20</v>
      </c>
      <c r="E712" t="s">
        <v>123</v>
      </c>
      <c r="G712" t="str">
        <f>_xlfn.CONCAT(Tabela9[[#This Row],[Coluna1]],Tabela9[[#This Row],[Coluna2]])</f>
        <v>20-Rota</v>
      </c>
    </row>
    <row r="713" spans="1:7" x14ac:dyDescent="0.25">
      <c r="A713">
        <v>6300</v>
      </c>
      <c r="B713">
        <v>208</v>
      </c>
      <c r="C713" s="1" t="str">
        <f>IF(Tabela8[[#This Row],[SETOR]]="","",IF(Tabela8[[#This Row],[SETOR]]&lt;200,"GV 10",IF(Tabela8[[#This Row],[SETOR]]&lt;300,"GV 20",IF(Tabela8[[#This Row],[SETOR]]&lt;400,"GV 30","S/GV"))))</f>
        <v>GV 20</v>
      </c>
      <c r="E713" t="s">
        <v>126</v>
      </c>
      <c r="F713" t="s">
        <v>127</v>
      </c>
      <c r="G713" t="str">
        <f>_xlfn.CONCAT(Tabela9[[#This Row],[Coluna1]],Tabela9[[#This Row],[Coluna2]])</f>
        <v>16-AS(5+)</v>
      </c>
    </row>
    <row r="714" spans="1:7" x14ac:dyDescent="0.25">
      <c r="A714">
        <v>6314</v>
      </c>
      <c r="B714">
        <v>102</v>
      </c>
      <c r="C714" s="1" t="str">
        <f>IF(Tabela8[[#This Row],[SETOR]]="","",IF(Tabela8[[#This Row],[SETOR]]&lt;200,"GV 10",IF(Tabela8[[#This Row],[SETOR]]&lt;300,"GV 20",IF(Tabela8[[#This Row],[SETOR]]&lt;400,"GV 30","S/GV"))))</f>
        <v>GV 10</v>
      </c>
      <c r="E714" t="s">
        <v>123</v>
      </c>
      <c r="G714" t="str">
        <f>_xlfn.CONCAT(Tabela9[[#This Row],[Coluna1]],Tabela9[[#This Row],[Coluna2]])</f>
        <v>20-Rota</v>
      </c>
    </row>
    <row r="715" spans="1:7" x14ac:dyDescent="0.25">
      <c r="A715">
        <v>6315</v>
      </c>
      <c r="B715">
        <v>102</v>
      </c>
      <c r="C715" s="1" t="str">
        <f>IF(Tabela8[[#This Row],[SETOR]]="","",IF(Tabela8[[#This Row],[SETOR]]&lt;200,"GV 10",IF(Tabela8[[#This Row],[SETOR]]&lt;300,"GV 20",IF(Tabela8[[#This Row],[SETOR]]&lt;400,"GV 30","S/GV"))))</f>
        <v>GV 10</v>
      </c>
      <c r="E715" t="s">
        <v>123</v>
      </c>
      <c r="G715" t="str">
        <f>_xlfn.CONCAT(Tabela9[[#This Row],[Coluna1]],Tabela9[[#This Row],[Coluna2]])</f>
        <v>20-Rota</v>
      </c>
    </row>
    <row r="716" spans="1:7" x14ac:dyDescent="0.25">
      <c r="A716">
        <v>6322</v>
      </c>
      <c r="B716">
        <v>205</v>
      </c>
      <c r="C716" s="1" t="str">
        <f>IF(Tabela8[[#This Row],[SETOR]]="","",IF(Tabela8[[#This Row],[SETOR]]&lt;200,"GV 10",IF(Tabela8[[#This Row],[SETOR]]&lt;300,"GV 20",IF(Tabela8[[#This Row],[SETOR]]&lt;400,"GV 30","S/GV"))))</f>
        <v>GV 20</v>
      </c>
      <c r="E716" t="s">
        <v>125</v>
      </c>
      <c r="G716" t="str">
        <f>_xlfn.CONCAT(Tabela9[[#This Row],[Coluna1]],Tabela9[[#This Row],[Coluna2]])</f>
        <v>18-TRAD</v>
      </c>
    </row>
    <row r="717" spans="1:7" x14ac:dyDescent="0.25">
      <c r="A717">
        <v>6328</v>
      </c>
      <c r="B717">
        <v>205</v>
      </c>
      <c r="C717" s="1" t="str">
        <f>IF(Tabela8[[#This Row],[SETOR]]="","",IF(Tabela8[[#This Row],[SETOR]]&lt;200,"GV 10",IF(Tabela8[[#This Row],[SETOR]]&lt;300,"GV 20",IF(Tabela8[[#This Row],[SETOR]]&lt;400,"GV 30","S/GV"))))</f>
        <v>GV 20</v>
      </c>
      <c r="E717" t="s">
        <v>123</v>
      </c>
      <c r="G717" t="str">
        <f>_xlfn.CONCAT(Tabela9[[#This Row],[Coluna1]],Tabela9[[#This Row],[Coluna2]])</f>
        <v>20-Rota</v>
      </c>
    </row>
    <row r="718" spans="1:7" x14ac:dyDescent="0.25">
      <c r="A718">
        <v>6336</v>
      </c>
      <c r="B718">
        <v>205</v>
      </c>
      <c r="C718" s="1" t="str">
        <f>IF(Tabela8[[#This Row],[SETOR]]="","",IF(Tabela8[[#This Row],[SETOR]]&lt;200,"GV 10",IF(Tabela8[[#This Row],[SETOR]]&lt;300,"GV 20",IF(Tabela8[[#This Row],[SETOR]]&lt;400,"GV 30","S/GV"))))</f>
        <v>GV 20</v>
      </c>
      <c r="E718" t="s">
        <v>123</v>
      </c>
      <c r="G718" t="str">
        <f>_xlfn.CONCAT(Tabela9[[#This Row],[Coluna1]],Tabela9[[#This Row],[Coluna2]])</f>
        <v>20-Rota</v>
      </c>
    </row>
    <row r="719" spans="1:7" x14ac:dyDescent="0.25">
      <c r="A719">
        <v>6349</v>
      </c>
      <c r="B719">
        <v>102</v>
      </c>
      <c r="C719" s="1" t="str">
        <f>IF(Tabela8[[#This Row],[SETOR]]="","",IF(Tabela8[[#This Row],[SETOR]]&lt;200,"GV 10",IF(Tabela8[[#This Row],[SETOR]]&lt;300,"GV 20",IF(Tabela8[[#This Row],[SETOR]]&lt;400,"GV 30","S/GV"))))</f>
        <v>GV 10</v>
      </c>
      <c r="E719" t="s">
        <v>123</v>
      </c>
      <c r="G719" t="str">
        <f>_xlfn.CONCAT(Tabela9[[#This Row],[Coluna1]],Tabela9[[#This Row],[Coluna2]])</f>
        <v>20-Rota</v>
      </c>
    </row>
    <row r="720" spans="1:7" x14ac:dyDescent="0.25">
      <c r="A720">
        <v>6353</v>
      </c>
      <c r="B720">
        <v>206</v>
      </c>
      <c r="C720" s="1" t="str">
        <f>IF(Tabela8[[#This Row],[SETOR]]="","",IF(Tabela8[[#This Row],[SETOR]]&lt;200,"GV 10",IF(Tabela8[[#This Row],[SETOR]]&lt;300,"GV 20",IF(Tabela8[[#This Row],[SETOR]]&lt;400,"GV 30","S/GV"))))</f>
        <v>GV 20</v>
      </c>
      <c r="E720" t="s">
        <v>123</v>
      </c>
      <c r="G720" t="str">
        <f>_xlfn.CONCAT(Tabela9[[#This Row],[Coluna1]],Tabela9[[#This Row],[Coluna2]])</f>
        <v>20-Rota</v>
      </c>
    </row>
    <row r="721" spans="1:7" x14ac:dyDescent="0.25">
      <c r="A721">
        <v>6354</v>
      </c>
      <c r="B721">
        <v>202</v>
      </c>
      <c r="C721" s="1" t="str">
        <f>IF(Tabela8[[#This Row],[SETOR]]="","",IF(Tabela8[[#This Row],[SETOR]]&lt;200,"GV 10",IF(Tabela8[[#This Row],[SETOR]]&lt;300,"GV 20",IF(Tabela8[[#This Row],[SETOR]]&lt;400,"GV 30","S/GV"))))</f>
        <v>GV 20</v>
      </c>
      <c r="E721" t="s">
        <v>123</v>
      </c>
      <c r="G721" t="str">
        <f>_xlfn.CONCAT(Tabela9[[#This Row],[Coluna1]],Tabela9[[#This Row],[Coluna2]])</f>
        <v>20-Rota</v>
      </c>
    </row>
    <row r="722" spans="1:7" x14ac:dyDescent="0.25">
      <c r="A722">
        <v>6363</v>
      </c>
      <c r="B722">
        <v>205</v>
      </c>
      <c r="C722" s="1" t="str">
        <f>IF(Tabela8[[#This Row],[SETOR]]="","",IF(Tabela8[[#This Row],[SETOR]]&lt;200,"GV 10",IF(Tabela8[[#This Row],[SETOR]]&lt;300,"GV 20",IF(Tabela8[[#This Row],[SETOR]]&lt;400,"GV 30","S/GV"))))</f>
        <v>GV 20</v>
      </c>
      <c r="E722" t="s">
        <v>125</v>
      </c>
      <c r="G722" t="str">
        <f>_xlfn.CONCAT(Tabela9[[#This Row],[Coluna1]],Tabela9[[#This Row],[Coluna2]])</f>
        <v>18-TRAD</v>
      </c>
    </row>
    <row r="723" spans="1:7" x14ac:dyDescent="0.25">
      <c r="A723">
        <v>6371</v>
      </c>
      <c r="B723">
        <v>204</v>
      </c>
      <c r="C723" s="1" t="str">
        <f>IF(Tabela8[[#This Row],[SETOR]]="","",IF(Tabela8[[#This Row],[SETOR]]&lt;200,"GV 10",IF(Tabela8[[#This Row],[SETOR]]&lt;300,"GV 20",IF(Tabela8[[#This Row],[SETOR]]&lt;400,"GV 30","S/GV"))))</f>
        <v>GV 20</v>
      </c>
      <c r="E723" t="s">
        <v>123</v>
      </c>
      <c r="G723" t="str">
        <f>_xlfn.CONCAT(Tabela9[[#This Row],[Coluna1]],Tabela9[[#This Row],[Coluna2]])</f>
        <v>20-Rota</v>
      </c>
    </row>
    <row r="724" spans="1:7" x14ac:dyDescent="0.25">
      <c r="A724">
        <v>6372</v>
      </c>
      <c r="B724">
        <v>203</v>
      </c>
      <c r="C724" s="1" t="str">
        <f>IF(Tabela8[[#This Row],[SETOR]]="","",IF(Tabela8[[#This Row],[SETOR]]&lt;200,"GV 10",IF(Tabela8[[#This Row],[SETOR]]&lt;300,"GV 20",IF(Tabela8[[#This Row],[SETOR]]&lt;400,"GV 30","S/GV"))))</f>
        <v>GV 20</v>
      </c>
      <c r="E724" t="s">
        <v>123</v>
      </c>
      <c r="G724" t="str">
        <f>_xlfn.CONCAT(Tabela9[[#This Row],[Coluna1]],Tabela9[[#This Row],[Coluna2]])</f>
        <v>20-Rota</v>
      </c>
    </row>
    <row r="725" spans="1:7" x14ac:dyDescent="0.25">
      <c r="A725">
        <v>6380</v>
      </c>
      <c r="B725">
        <v>205</v>
      </c>
      <c r="C725" s="1" t="str">
        <f>IF(Tabela8[[#This Row],[SETOR]]="","",IF(Tabela8[[#This Row],[SETOR]]&lt;200,"GV 10",IF(Tabela8[[#This Row],[SETOR]]&lt;300,"GV 20",IF(Tabela8[[#This Row],[SETOR]]&lt;400,"GV 30","S/GV"))))</f>
        <v>GV 20</v>
      </c>
      <c r="E725" t="s">
        <v>123</v>
      </c>
      <c r="G725" t="str">
        <f>_xlfn.CONCAT(Tabela9[[#This Row],[Coluna1]],Tabela9[[#This Row],[Coluna2]])</f>
        <v>20-Rota</v>
      </c>
    </row>
    <row r="726" spans="1:7" x14ac:dyDescent="0.25">
      <c r="A726">
        <v>6385</v>
      </c>
      <c r="B726">
        <v>303</v>
      </c>
      <c r="C726" s="1" t="str">
        <f>IF(Tabela8[[#This Row],[SETOR]]="","",IF(Tabela8[[#This Row],[SETOR]]&lt;200,"GV 10",IF(Tabela8[[#This Row],[SETOR]]&lt;300,"GV 20",IF(Tabela8[[#This Row],[SETOR]]&lt;400,"GV 30","S/GV"))))</f>
        <v>GV 30</v>
      </c>
      <c r="E726" t="s">
        <v>123</v>
      </c>
      <c r="G726" t="str">
        <f>_xlfn.CONCAT(Tabela9[[#This Row],[Coluna1]],Tabela9[[#This Row],[Coluna2]])</f>
        <v>20-Rota</v>
      </c>
    </row>
    <row r="727" spans="1:7" x14ac:dyDescent="0.25">
      <c r="A727">
        <v>6388</v>
      </c>
      <c r="B727">
        <v>305</v>
      </c>
      <c r="C727" s="1" t="str">
        <f>IF(Tabela8[[#This Row],[SETOR]]="","",IF(Tabela8[[#This Row],[SETOR]]&lt;200,"GV 10",IF(Tabela8[[#This Row],[SETOR]]&lt;300,"GV 20",IF(Tabela8[[#This Row],[SETOR]]&lt;400,"GV 30","S/GV"))))</f>
        <v>GV 30</v>
      </c>
      <c r="E727" t="s">
        <v>123</v>
      </c>
      <c r="G727" t="str">
        <f>_xlfn.CONCAT(Tabela9[[#This Row],[Coluna1]],Tabela9[[#This Row],[Coluna2]])</f>
        <v>20-Rota</v>
      </c>
    </row>
    <row r="728" spans="1:7" x14ac:dyDescent="0.25">
      <c r="A728">
        <v>6409</v>
      </c>
      <c r="B728">
        <v>206</v>
      </c>
      <c r="C728" s="1" t="str">
        <f>IF(Tabela8[[#This Row],[SETOR]]="","",IF(Tabela8[[#This Row],[SETOR]]&lt;200,"GV 10",IF(Tabela8[[#This Row],[SETOR]]&lt;300,"GV 20",IF(Tabela8[[#This Row],[SETOR]]&lt;400,"GV 30","S/GV"))))</f>
        <v>GV 20</v>
      </c>
      <c r="E728" t="s">
        <v>123</v>
      </c>
      <c r="G728" t="str">
        <f>_xlfn.CONCAT(Tabela9[[#This Row],[Coluna1]],Tabela9[[#This Row],[Coluna2]])</f>
        <v>20-Rota</v>
      </c>
    </row>
    <row r="729" spans="1:7" x14ac:dyDescent="0.25">
      <c r="A729">
        <v>6413</v>
      </c>
      <c r="B729">
        <v>103</v>
      </c>
      <c r="C729" s="1" t="str">
        <f>IF(Tabela8[[#This Row],[SETOR]]="","",IF(Tabela8[[#This Row],[SETOR]]&lt;200,"GV 10",IF(Tabela8[[#This Row],[SETOR]]&lt;300,"GV 20",IF(Tabela8[[#This Row],[SETOR]]&lt;400,"GV 30","S/GV"))))</f>
        <v>GV 10</v>
      </c>
      <c r="E729" t="s">
        <v>123</v>
      </c>
      <c r="G729" t="str">
        <f>_xlfn.CONCAT(Tabela9[[#This Row],[Coluna1]],Tabela9[[#This Row],[Coluna2]])</f>
        <v>20-Rota</v>
      </c>
    </row>
    <row r="730" spans="1:7" x14ac:dyDescent="0.25">
      <c r="A730">
        <v>6414</v>
      </c>
      <c r="B730">
        <v>102</v>
      </c>
      <c r="C730" s="1" t="str">
        <f>IF(Tabela8[[#This Row],[SETOR]]="","",IF(Tabela8[[#This Row],[SETOR]]&lt;200,"GV 10",IF(Tabela8[[#This Row],[SETOR]]&lt;300,"GV 20",IF(Tabela8[[#This Row],[SETOR]]&lt;400,"GV 30","S/GV"))))</f>
        <v>GV 10</v>
      </c>
      <c r="E730" t="s">
        <v>123</v>
      </c>
      <c r="G730" t="str">
        <f>_xlfn.CONCAT(Tabela9[[#This Row],[Coluna1]],Tabela9[[#This Row],[Coluna2]])</f>
        <v>20-Rota</v>
      </c>
    </row>
    <row r="731" spans="1:7" x14ac:dyDescent="0.25">
      <c r="A731">
        <v>6431</v>
      </c>
      <c r="B731">
        <v>102</v>
      </c>
      <c r="C731" s="1" t="str">
        <f>IF(Tabela8[[#This Row],[SETOR]]="","",IF(Tabela8[[#This Row],[SETOR]]&lt;200,"GV 10",IF(Tabela8[[#This Row],[SETOR]]&lt;300,"GV 20",IF(Tabela8[[#This Row],[SETOR]]&lt;400,"GV 30","S/GV"))))</f>
        <v>GV 10</v>
      </c>
      <c r="E731" t="s">
        <v>123</v>
      </c>
      <c r="G731" t="str">
        <f>_xlfn.CONCAT(Tabela9[[#This Row],[Coluna1]],Tabela9[[#This Row],[Coluna2]])</f>
        <v>20-Rota</v>
      </c>
    </row>
    <row r="732" spans="1:7" x14ac:dyDescent="0.25">
      <c r="A732">
        <v>6434</v>
      </c>
      <c r="B732">
        <v>301</v>
      </c>
      <c r="C732" s="1" t="str">
        <f>IF(Tabela8[[#This Row],[SETOR]]="","",IF(Tabela8[[#This Row],[SETOR]]&lt;200,"GV 10",IF(Tabela8[[#This Row],[SETOR]]&lt;300,"GV 20",IF(Tabela8[[#This Row],[SETOR]]&lt;400,"GV 30","S/GV"))))</f>
        <v>GV 30</v>
      </c>
      <c r="E732" t="s">
        <v>123</v>
      </c>
      <c r="G732" t="str">
        <f>_xlfn.CONCAT(Tabela9[[#This Row],[Coluna1]],Tabela9[[#This Row],[Coluna2]])</f>
        <v>20-Rota</v>
      </c>
    </row>
    <row r="733" spans="1:7" x14ac:dyDescent="0.25">
      <c r="A733">
        <v>6436</v>
      </c>
      <c r="B733">
        <v>107</v>
      </c>
      <c r="C733" s="1" t="str">
        <f>IF(Tabela8[[#This Row],[SETOR]]="","",IF(Tabela8[[#This Row],[SETOR]]&lt;200,"GV 10",IF(Tabela8[[#This Row],[SETOR]]&lt;300,"GV 20",IF(Tabela8[[#This Row],[SETOR]]&lt;400,"GV 30","S/GV"))))</f>
        <v>GV 10</v>
      </c>
      <c r="E733" t="s">
        <v>125</v>
      </c>
      <c r="G733" t="str">
        <f>_xlfn.CONCAT(Tabela9[[#This Row],[Coluna1]],Tabela9[[#This Row],[Coluna2]])</f>
        <v>18-TRAD</v>
      </c>
    </row>
    <row r="734" spans="1:7" x14ac:dyDescent="0.25">
      <c r="A734">
        <v>6438</v>
      </c>
      <c r="B734">
        <v>106</v>
      </c>
      <c r="C734" s="1" t="str">
        <f>IF(Tabela8[[#This Row],[SETOR]]="","",IF(Tabela8[[#This Row],[SETOR]]&lt;200,"GV 10",IF(Tabela8[[#This Row],[SETOR]]&lt;300,"GV 20",IF(Tabela8[[#This Row],[SETOR]]&lt;400,"GV 30","S/GV"))))</f>
        <v>GV 10</v>
      </c>
      <c r="E734" t="s">
        <v>123</v>
      </c>
      <c r="G734" t="str">
        <f>_xlfn.CONCAT(Tabela9[[#This Row],[Coluna1]],Tabela9[[#This Row],[Coluna2]])</f>
        <v>20-Rota</v>
      </c>
    </row>
    <row r="735" spans="1:7" x14ac:dyDescent="0.25">
      <c r="A735">
        <v>6443</v>
      </c>
      <c r="B735">
        <v>104</v>
      </c>
      <c r="C735" s="1" t="str">
        <f>IF(Tabela8[[#This Row],[SETOR]]="","",IF(Tabela8[[#This Row],[SETOR]]&lt;200,"GV 10",IF(Tabela8[[#This Row],[SETOR]]&lt;300,"GV 20",IF(Tabela8[[#This Row],[SETOR]]&lt;400,"GV 30","S/GV"))))</f>
        <v>GV 10</v>
      </c>
      <c r="E735" t="s">
        <v>123</v>
      </c>
      <c r="G735" t="str">
        <f>_xlfn.CONCAT(Tabela9[[#This Row],[Coluna1]],Tabela9[[#This Row],[Coluna2]])</f>
        <v>20-Rota</v>
      </c>
    </row>
    <row r="736" spans="1:7" x14ac:dyDescent="0.25">
      <c r="A736">
        <v>6449</v>
      </c>
      <c r="B736">
        <v>106</v>
      </c>
      <c r="C736" s="1" t="str">
        <f>IF(Tabela8[[#This Row],[SETOR]]="","",IF(Tabela8[[#This Row],[SETOR]]&lt;200,"GV 10",IF(Tabela8[[#This Row],[SETOR]]&lt;300,"GV 20",IF(Tabela8[[#This Row],[SETOR]]&lt;400,"GV 30","S/GV"))))</f>
        <v>GV 10</v>
      </c>
      <c r="E736" t="s">
        <v>123</v>
      </c>
      <c r="G736" t="str">
        <f>_xlfn.CONCAT(Tabela9[[#This Row],[Coluna1]],Tabela9[[#This Row],[Coluna2]])</f>
        <v>20-Rota</v>
      </c>
    </row>
    <row r="737" spans="1:7" x14ac:dyDescent="0.25">
      <c r="A737">
        <v>6451</v>
      </c>
      <c r="B737">
        <v>304</v>
      </c>
      <c r="C737" s="1" t="str">
        <f>IF(Tabela8[[#This Row],[SETOR]]="","",IF(Tabela8[[#This Row],[SETOR]]&lt;200,"GV 10",IF(Tabela8[[#This Row],[SETOR]]&lt;300,"GV 20",IF(Tabela8[[#This Row],[SETOR]]&lt;400,"GV 30","S/GV"))))</f>
        <v>GV 30</v>
      </c>
      <c r="E737" t="s">
        <v>123</v>
      </c>
      <c r="G737" t="str">
        <f>_xlfn.CONCAT(Tabela9[[#This Row],[Coluna1]],Tabela9[[#This Row],[Coluna2]])</f>
        <v>20-Rota</v>
      </c>
    </row>
    <row r="738" spans="1:7" x14ac:dyDescent="0.25">
      <c r="A738">
        <v>6452</v>
      </c>
      <c r="B738">
        <v>304</v>
      </c>
      <c r="C738" s="1" t="str">
        <f>IF(Tabela8[[#This Row],[SETOR]]="","",IF(Tabela8[[#This Row],[SETOR]]&lt;200,"GV 10",IF(Tabela8[[#This Row],[SETOR]]&lt;300,"GV 20",IF(Tabela8[[#This Row],[SETOR]]&lt;400,"GV 30","S/GV"))))</f>
        <v>GV 30</v>
      </c>
      <c r="E738" t="s">
        <v>123</v>
      </c>
      <c r="G738" t="str">
        <f>_xlfn.CONCAT(Tabela9[[#This Row],[Coluna1]],Tabela9[[#This Row],[Coluna2]])</f>
        <v>20-Rota</v>
      </c>
    </row>
    <row r="739" spans="1:7" x14ac:dyDescent="0.25">
      <c r="A739">
        <v>6455</v>
      </c>
      <c r="B739">
        <v>306</v>
      </c>
      <c r="C739" s="1" t="str">
        <f>IF(Tabela8[[#This Row],[SETOR]]="","",IF(Tabela8[[#This Row],[SETOR]]&lt;200,"GV 10",IF(Tabela8[[#This Row],[SETOR]]&lt;300,"GV 20",IF(Tabela8[[#This Row],[SETOR]]&lt;400,"GV 30","S/GV"))))</f>
        <v>GV 30</v>
      </c>
      <c r="E739" t="s">
        <v>125</v>
      </c>
      <c r="G739" t="str">
        <f>_xlfn.CONCAT(Tabela9[[#This Row],[Coluna1]],Tabela9[[#This Row],[Coluna2]])</f>
        <v>18-TRAD</v>
      </c>
    </row>
    <row r="740" spans="1:7" x14ac:dyDescent="0.25">
      <c r="A740">
        <v>6456</v>
      </c>
      <c r="B740">
        <v>303</v>
      </c>
      <c r="C740" s="1" t="str">
        <f>IF(Tabela8[[#This Row],[SETOR]]="","",IF(Tabela8[[#This Row],[SETOR]]&lt;200,"GV 10",IF(Tabela8[[#This Row],[SETOR]]&lt;300,"GV 20",IF(Tabela8[[#This Row],[SETOR]]&lt;400,"GV 30","S/GV"))))</f>
        <v>GV 30</v>
      </c>
      <c r="E740" t="s">
        <v>123</v>
      </c>
      <c r="G740" t="str">
        <f>_xlfn.CONCAT(Tabela9[[#This Row],[Coluna1]],Tabela9[[#This Row],[Coluna2]])</f>
        <v>20-Rota</v>
      </c>
    </row>
    <row r="741" spans="1:7" x14ac:dyDescent="0.25">
      <c r="A741">
        <v>6459</v>
      </c>
      <c r="B741">
        <v>308</v>
      </c>
      <c r="C741" s="1" t="str">
        <f>IF(Tabela8[[#This Row],[SETOR]]="","",IF(Tabela8[[#This Row],[SETOR]]&lt;200,"GV 10",IF(Tabela8[[#This Row],[SETOR]]&lt;300,"GV 20",IF(Tabela8[[#This Row],[SETOR]]&lt;400,"GV 30","S/GV"))))</f>
        <v>GV 30</v>
      </c>
      <c r="E741" t="s">
        <v>128</v>
      </c>
      <c r="F741" t="s">
        <v>129</v>
      </c>
      <c r="G741" t="str">
        <f>_xlfn.CONCAT(Tabela9[[#This Row],[Coluna1]],Tabela9[[#This Row],[Coluna2]])</f>
        <v>15-AS(1-4)</v>
      </c>
    </row>
    <row r="742" spans="1:7" x14ac:dyDescent="0.25">
      <c r="A742">
        <v>6460</v>
      </c>
      <c r="B742">
        <v>205</v>
      </c>
      <c r="C742" s="1" t="str">
        <f>IF(Tabela8[[#This Row],[SETOR]]="","",IF(Tabela8[[#This Row],[SETOR]]&lt;200,"GV 10",IF(Tabela8[[#This Row],[SETOR]]&lt;300,"GV 20",IF(Tabela8[[#This Row],[SETOR]]&lt;400,"GV 30","S/GV"))))</f>
        <v>GV 20</v>
      </c>
      <c r="E742" t="s">
        <v>123</v>
      </c>
      <c r="G742" t="str">
        <f>_xlfn.CONCAT(Tabela9[[#This Row],[Coluna1]],Tabela9[[#This Row],[Coluna2]])</f>
        <v>20-Rota</v>
      </c>
    </row>
    <row r="743" spans="1:7" x14ac:dyDescent="0.25">
      <c r="A743">
        <v>6480</v>
      </c>
      <c r="B743">
        <v>104</v>
      </c>
      <c r="C743" s="1" t="str">
        <f>IF(Tabela8[[#This Row],[SETOR]]="","",IF(Tabela8[[#This Row],[SETOR]]&lt;200,"GV 10",IF(Tabela8[[#This Row],[SETOR]]&lt;300,"GV 20",IF(Tabela8[[#This Row],[SETOR]]&lt;400,"GV 30","S/GV"))))</f>
        <v>GV 10</v>
      </c>
      <c r="E743" t="s">
        <v>123</v>
      </c>
      <c r="G743" t="str">
        <f>_xlfn.CONCAT(Tabela9[[#This Row],[Coluna1]],Tabela9[[#This Row],[Coluna2]])</f>
        <v>20-Rota</v>
      </c>
    </row>
    <row r="744" spans="1:7" x14ac:dyDescent="0.25">
      <c r="A744">
        <v>6484</v>
      </c>
      <c r="B744">
        <v>305</v>
      </c>
      <c r="C744" s="1" t="str">
        <f>IF(Tabela8[[#This Row],[SETOR]]="","",IF(Tabela8[[#This Row],[SETOR]]&lt;200,"GV 10",IF(Tabela8[[#This Row],[SETOR]]&lt;300,"GV 20",IF(Tabela8[[#This Row],[SETOR]]&lt;400,"GV 30","S/GV"))))</f>
        <v>GV 30</v>
      </c>
      <c r="E744" t="s">
        <v>123</v>
      </c>
      <c r="G744" t="str">
        <f>_xlfn.CONCAT(Tabela9[[#This Row],[Coluna1]],Tabela9[[#This Row],[Coluna2]])</f>
        <v>20-Rota</v>
      </c>
    </row>
    <row r="745" spans="1:7" x14ac:dyDescent="0.25">
      <c r="A745">
        <v>6489</v>
      </c>
      <c r="B745">
        <v>301</v>
      </c>
      <c r="C745" s="1" t="str">
        <f>IF(Tabela8[[#This Row],[SETOR]]="","",IF(Tabela8[[#This Row],[SETOR]]&lt;200,"GV 10",IF(Tabela8[[#This Row],[SETOR]]&lt;300,"GV 20",IF(Tabela8[[#This Row],[SETOR]]&lt;400,"GV 30","S/GV"))))</f>
        <v>GV 30</v>
      </c>
      <c r="E745" t="s">
        <v>123</v>
      </c>
      <c r="G745" t="str">
        <f>_xlfn.CONCAT(Tabela9[[#This Row],[Coluna1]],Tabela9[[#This Row],[Coluna2]])</f>
        <v>20-Rota</v>
      </c>
    </row>
    <row r="746" spans="1:7" x14ac:dyDescent="0.25">
      <c r="A746">
        <v>6503</v>
      </c>
      <c r="B746">
        <v>109</v>
      </c>
      <c r="C746" s="1" t="str">
        <f>IF(Tabela8[[#This Row],[SETOR]]="","",IF(Tabela8[[#This Row],[SETOR]]&lt;200,"GV 10",IF(Tabela8[[#This Row],[SETOR]]&lt;300,"GV 20",IF(Tabela8[[#This Row],[SETOR]]&lt;400,"GV 30","S/GV"))))</f>
        <v>GV 10</v>
      </c>
      <c r="E746" t="s">
        <v>123</v>
      </c>
      <c r="G746" t="str">
        <f>_xlfn.CONCAT(Tabela9[[#This Row],[Coluna1]],Tabela9[[#This Row],[Coluna2]])</f>
        <v>20-Rota</v>
      </c>
    </row>
    <row r="747" spans="1:7" x14ac:dyDescent="0.25">
      <c r="A747">
        <v>6514</v>
      </c>
      <c r="B747">
        <v>207</v>
      </c>
      <c r="C747" s="1" t="str">
        <f>IF(Tabela8[[#This Row],[SETOR]]="","",IF(Tabela8[[#This Row],[SETOR]]&lt;200,"GV 10",IF(Tabela8[[#This Row],[SETOR]]&lt;300,"GV 20",IF(Tabela8[[#This Row],[SETOR]]&lt;400,"GV 30","S/GV"))))</f>
        <v>GV 20</v>
      </c>
      <c r="E747" t="s">
        <v>130</v>
      </c>
      <c r="G747" t="str">
        <f>_xlfn.CONCAT(Tabela9[[#This Row],[Coluna1]],Tabela9[[#This Row],[Coluna2]])</f>
        <v>21-SUB</v>
      </c>
    </row>
    <row r="748" spans="1:7" x14ac:dyDescent="0.25">
      <c r="A748">
        <v>6521</v>
      </c>
      <c r="B748">
        <v>203</v>
      </c>
      <c r="C748" s="1" t="str">
        <f>IF(Tabela8[[#This Row],[SETOR]]="","",IF(Tabela8[[#This Row],[SETOR]]&lt;200,"GV 10",IF(Tabela8[[#This Row],[SETOR]]&lt;300,"GV 20",IF(Tabela8[[#This Row],[SETOR]]&lt;400,"GV 30","S/GV"))))</f>
        <v>GV 20</v>
      </c>
      <c r="E748" t="s">
        <v>123</v>
      </c>
      <c r="G748" t="str">
        <f>_xlfn.CONCAT(Tabela9[[#This Row],[Coluna1]],Tabela9[[#This Row],[Coluna2]])</f>
        <v>20-Rota</v>
      </c>
    </row>
    <row r="749" spans="1:7" x14ac:dyDescent="0.25">
      <c r="A749">
        <v>6547</v>
      </c>
      <c r="B749">
        <v>102</v>
      </c>
      <c r="C749" s="1" t="str">
        <f>IF(Tabela8[[#This Row],[SETOR]]="","",IF(Tabela8[[#This Row],[SETOR]]&lt;200,"GV 10",IF(Tabela8[[#This Row],[SETOR]]&lt;300,"GV 20",IF(Tabela8[[#This Row],[SETOR]]&lt;400,"GV 30","S/GV"))))</f>
        <v>GV 10</v>
      </c>
      <c r="E749" t="s">
        <v>123</v>
      </c>
      <c r="G749" t="str">
        <f>_xlfn.CONCAT(Tabela9[[#This Row],[Coluna1]],Tabela9[[#This Row],[Coluna2]])</f>
        <v>20-Rota</v>
      </c>
    </row>
    <row r="750" spans="1:7" x14ac:dyDescent="0.25">
      <c r="A750">
        <v>6549</v>
      </c>
      <c r="B750">
        <v>105</v>
      </c>
      <c r="C750" s="1" t="str">
        <f>IF(Tabela8[[#This Row],[SETOR]]="","",IF(Tabela8[[#This Row],[SETOR]]&lt;200,"GV 10",IF(Tabela8[[#This Row],[SETOR]]&lt;300,"GV 20",IF(Tabela8[[#This Row],[SETOR]]&lt;400,"GV 30","S/GV"))))</f>
        <v>GV 10</v>
      </c>
      <c r="E750" t="s">
        <v>123</v>
      </c>
      <c r="G750" t="str">
        <f>_xlfn.CONCAT(Tabela9[[#This Row],[Coluna1]],Tabela9[[#This Row],[Coluna2]])</f>
        <v>20-Rota</v>
      </c>
    </row>
    <row r="751" spans="1:7" x14ac:dyDescent="0.25">
      <c r="A751">
        <v>6552</v>
      </c>
      <c r="B751">
        <v>108</v>
      </c>
      <c r="C751" s="1" t="str">
        <f>IF(Tabela8[[#This Row],[SETOR]]="","",IF(Tabela8[[#This Row],[SETOR]]&lt;200,"GV 10",IF(Tabela8[[#This Row],[SETOR]]&lt;300,"GV 20",IF(Tabela8[[#This Row],[SETOR]]&lt;400,"GV 30","S/GV"))))</f>
        <v>GV 10</v>
      </c>
      <c r="E751" t="s">
        <v>126</v>
      </c>
      <c r="F751" t="s">
        <v>127</v>
      </c>
      <c r="G751" t="str">
        <f>_xlfn.CONCAT(Tabela9[[#This Row],[Coluna1]],Tabela9[[#This Row],[Coluna2]])</f>
        <v>16-AS(5+)</v>
      </c>
    </row>
    <row r="752" spans="1:7" x14ac:dyDescent="0.25">
      <c r="A752">
        <v>6555</v>
      </c>
      <c r="B752">
        <v>101</v>
      </c>
      <c r="C752" s="1" t="str">
        <f>IF(Tabela8[[#This Row],[SETOR]]="","",IF(Tabela8[[#This Row],[SETOR]]&lt;200,"GV 10",IF(Tabela8[[#This Row],[SETOR]]&lt;300,"GV 20",IF(Tabela8[[#This Row],[SETOR]]&lt;400,"GV 30","S/GV"))))</f>
        <v>GV 10</v>
      </c>
      <c r="E752" t="s">
        <v>123</v>
      </c>
      <c r="G752" t="str">
        <f>_xlfn.CONCAT(Tabela9[[#This Row],[Coluna1]],Tabela9[[#This Row],[Coluna2]])</f>
        <v>20-Rota</v>
      </c>
    </row>
    <row r="753" spans="1:7" x14ac:dyDescent="0.25">
      <c r="A753">
        <v>6559</v>
      </c>
      <c r="B753">
        <v>203</v>
      </c>
      <c r="C753" s="1" t="str">
        <f>IF(Tabela8[[#This Row],[SETOR]]="","",IF(Tabela8[[#This Row],[SETOR]]&lt;200,"GV 10",IF(Tabela8[[#This Row],[SETOR]]&lt;300,"GV 20",IF(Tabela8[[#This Row],[SETOR]]&lt;400,"GV 30","S/GV"))))</f>
        <v>GV 20</v>
      </c>
      <c r="E753" t="s">
        <v>123</v>
      </c>
      <c r="G753" t="str">
        <f>_xlfn.CONCAT(Tabela9[[#This Row],[Coluna1]],Tabela9[[#This Row],[Coluna2]])</f>
        <v>20-Rota</v>
      </c>
    </row>
    <row r="754" spans="1:7" x14ac:dyDescent="0.25">
      <c r="A754">
        <v>6562</v>
      </c>
      <c r="B754">
        <v>304</v>
      </c>
      <c r="C754" s="1" t="str">
        <f>IF(Tabela8[[#This Row],[SETOR]]="","",IF(Tabela8[[#This Row],[SETOR]]&lt;200,"GV 10",IF(Tabela8[[#This Row],[SETOR]]&lt;300,"GV 20",IF(Tabela8[[#This Row],[SETOR]]&lt;400,"GV 30","S/GV"))))</f>
        <v>GV 30</v>
      </c>
      <c r="E754" t="s">
        <v>123</v>
      </c>
      <c r="G754" t="str">
        <f>_xlfn.CONCAT(Tabela9[[#This Row],[Coluna1]],Tabela9[[#This Row],[Coluna2]])</f>
        <v>20-Rota</v>
      </c>
    </row>
    <row r="755" spans="1:7" x14ac:dyDescent="0.25">
      <c r="A755">
        <v>6563</v>
      </c>
      <c r="B755">
        <v>308</v>
      </c>
      <c r="C755" s="1" t="str">
        <f>IF(Tabela8[[#This Row],[SETOR]]="","",IF(Tabela8[[#This Row],[SETOR]]&lt;200,"GV 10",IF(Tabela8[[#This Row],[SETOR]]&lt;300,"GV 20",IF(Tabela8[[#This Row],[SETOR]]&lt;400,"GV 30","S/GV"))))</f>
        <v>GV 30</v>
      </c>
      <c r="E755" t="s">
        <v>128</v>
      </c>
      <c r="F755" t="s">
        <v>129</v>
      </c>
      <c r="G755" t="str">
        <f>_xlfn.CONCAT(Tabela9[[#This Row],[Coluna1]],Tabela9[[#This Row],[Coluna2]])</f>
        <v>15-AS(1-4)</v>
      </c>
    </row>
    <row r="756" spans="1:7" x14ac:dyDescent="0.25">
      <c r="A756">
        <v>6580</v>
      </c>
      <c r="B756">
        <v>107</v>
      </c>
      <c r="C756" s="1" t="str">
        <f>IF(Tabela8[[#This Row],[SETOR]]="","",IF(Tabela8[[#This Row],[SETOR]]&lt;200,"GV 10",IF(Tabela8[[#This Row],[SETOR]]&lt;300,"GV 20",IF(Tabela8[[#This Row],[SETOR]]&lt;400,"GV 30","S/GV"))))</f>
        <v>GV 10</v>
      </c>
      <c r="E756" t="s">
        <v>125</v>
      </c>
      <c r="G756" t="str">
        <f>_xlfn.CONCAT(Tabela9[[#This Row],[Coluna1]],Tabela9[[#This Row],[Coluna2]])</f>
        <v>18-TRAD</v>
      </c>
    </row>
    <row r="757" spans="1:7" x14ac:dyDescent="0.25">
      <c r="A757">
        <v>6586</v>
      </c>
      <c r="B757">
        <v>304</v>
      </c>
      <c r="C757" s="1" t="str">
        <f>IF(Tabela8[[#This Row],[SETOR]]="","",IF(Tabela8[[#This Row],[SETOR]]&lt;200,"GV 10",IF(Tabela8[[#This Row],[SETOR]]&lt;300,"GV 20",IF(Tabela8[[#This Row],[SETOR]]&lt;400,"GV 30","S/GV"))))</f>
        <v>GV 30</v>
      </c>
      <c r="E757" t="s">
        <v>123</v>
      </c>
      <c r="G757" t="str">
        <f>_xlfn.CONCAT(Tabela9[[#This Row],[Coluna1]],Tabela9[[#This Row],[Coluna2]])</f>
        <v>20-Rota</v>
      </c>
    </row>
    <row r="758" spans="1:7" x14ac:dyDescent="0.25">
      <c r="A758">
        <v>6588</v>
      </c>
      <c r="B758">
        <v>907</v>
      </c>
      <c r="C758" s="1" t="str">
        <f>IF(Tabela8[[#This Row],[SETOR]]="","",IF(Tabela8[[#This Row],[SETOR]]&lt;200,"GV 10",IF(Tabela8[[#This Row],[SETOR]]&lt;300,"GV 20",IF(Tabela8[[#This Row],[SETOR]]&lt;400,"GV 30","S/GV"))))</f>
        <v>S/GV</v>
      </c>
      <c r="G758" t="str">
        <f>_xlfn.CONCAT(Tabela9[[#This Row],[Coluna1]],Tabela9[[#This Row],[Coluna2]])</f>
        <v/>
      </c>
    </row>
    <row r="759" spans="1:7" x14ac:dyDescent="0.25">
      <c r="A759">
        <v>6595</v>
      </c>
      <c r="B759">
        <v>206</v>
      </c>
      <c r="C759" s="1" t="str">
        <f>IF(Tabela8[[#This Row],[SETOR]]="","",IF(Tabela8[[#This Row],[SETOR]]&lt;200,"GV 10",IF(Tabela8[[#This Row],[SETOR]]&lt;300,"GV 20",IF(Tabela8[[#This Row],[SETOR]]&lt;400,"GV 30","S/GV"))))</f>
        <v>GV 20</v>
      </c>
      <c r="E759" t="s">
        <v>123</v>
      </c>
      <c r="G759" t="str">
        <f>_xlfn.CONCAT(Tabela9[[#This Row],[Coluna1]],Tabela9[[#This Row],[Coluna2]])</f>
        <v>20-Rota</v>
      </c>
    </row>
    <row r="760" spans="1:7" x14ac:dyDescent="0.25">
      <c r="A760">
        <v>6599</v>
      </c>
      <c r="B760">
        <v>202</v>
      </c>
      <c r="C760" s="1" t="str">
        <f>IF(Tabela8[[#This Row],[SETOR]]="","",IF(Tabela8[[#This Row],[SETOR]]&lt;200,"GV 10",IF(Tabela8[[#This Row],[SETOR]]&lt;300,"GV 20",IF(Tabela8[[#This Row],[SETOR]]&lt;400,"GV 30","S/GV"))))</f>
        <v>GV 20</v>
      </c>
      <c r="E760" t="s">
        <v>123</v>
      </c>
      <c r="G760" t="str">
        <f>_xlfn.CONCAT(Tabela9[[#This Row],[Coluna1]],Tabela9[[#This Row],[Coluna2]])</f>
        <v>20-Rota</v>
      </c>
    </row>
    <row r="761" spans="1:7" x14ac:dyDescent="0.25">
      <c r="A761">
        <v>6609</v>
      </c>
      <c r="B761">
        <v>201</v>
      </c>
      <c r="C761" s="1" t="str">
        <f>IF(Tabela8[[#This Row],[SETOR]]="","",IF(Tabela8[[#This Row],[SETOR]]&lt;200,"GV 10",IF(Tabela8[[#This Row],[SETOR]]&lt;300,"GV 20",IF(Tabela8[[#This Row],[SETOR]]&lt;400,"GV 30","S/GV"))))</f>
        <v>GV 20</v>
      </c>
      <c r="E761" t="s">
        <v>123</v>
      </c>
      <c r="G761" t="str">
        <f>_xlfn.CONCAT(Tabela9[[#This Row],[Coluna1]],Tabela9[[#This Row],[Coluna2]])</f>
        <v>20-Rota</v>
      </c>
    </row>
    <row r="762" spans="1:7" x14ac:dyDescent="0.25">
      <c r="A762">
        <v>6615</v>
      </c>
      <c r="B762">
        <v>103</v>
      </c>
      <c r="C762" s="1" t="str">
        <f>IF(Tabela8[[#This Row],[SETOR]]="","",IF(Tabela8[[#This Row],[SETOR]]&lt;200,"GV 10",IF(Tabela8[[#This Row],[SETOR]]&lt;300,"GV 20",IF(Tabela8[[#This Row],[SETOR]]&lt;400,"GV 30","S/GV"))))</f>
        <v>GV 10</v>
      </c>
      <c r="E762" t="s">
        <v>123</v>
      </c>
      <c r="G762" t="str">
        <f>_xlfn.CONCAT(Tabela9[[#This Row],[Coluna1]],Tabela9[[#This Row],[Coluna2]])</f>
        <v>20-Rota</v>
      </c>
    </row>
    <row r="763" spans="1:7" x14ac:dyDescent="0.25">
      <c r="A763">
        <v>6616</v>
      </c>
      <c r="B763">
        <v>103</v>
      </c>
      <c r="C763" s="1" t="str">
        <f>IF(Tabela8[[#This Row],[SETOR]]="","",IF(Tabela8[[#This Row],[SETOR]]&lt;200,"GV 10",IF(Tabela8[[#This Row],[SETOR]]&lt;300,"GV 20",IF(Tabela8[[#This Row],[SETOR]]&lt;400,"GV 30","S/GV"))))</f>
        <v>GV 10</v>
      </c>
      <c r="E763" t="s">
        <v>123</v>
      </c>
      <c r="G763" t="str">
        <f>_xlfn.CONCAT(Tabela9[[#This Row],[Coluna1]],Tabela9[[#This Row],[Coluna2]])</f>
        <v>20-Rota</v>
      </c>
    </row>
    <row r="764" spans="1:7" x14ac:dyDescent="0.25">
      <c r="A764">
        <v>6619</v>
      </c>
      <c r="B764">
        <v>106</v>
      </c>
      <c r="C764" s="1" t="str">
        <f>IF(Tabela8[[#This Row],[SETOR]]="","",IF(Tabela8[[#This Row],[SETOR]]&lt;200,"GV 10",IF(Tabela8[[#This Row],[SETOR]]&lt;300,"GV 20",IF(Tabela8[[#This Row],[SETOR]]&lt;400,"GV 30","S/GV"))))</f>
        <v>GV 10</v>
      </c>
      <c r="E764" t="s">
        <v>123</v>
      </c>
      <c r="G764" t="str">
        <f>_xlfn.CONCAT(Tabela9[[#This Row],[Coluna1]],Tabela9[[#This Row],[Coluna2]])</f>
        <v>20-Rota</v>
      </c>
    </row>
    <row r="765" spans="1:7" x14ac:dyDescent="0.25">
      <c r="A765">
        <v>6620</v>
      </c>
      <c r="B765">
        <v>102</v>
      </c>
      <c r="C765" s="1" t="str">
        <f>IF(Tabela8[[#This Row],[SETOR]]="","",IF(Tabela8[[#This Row],[SETOR]]&lt;200,"GV 10",IF(Tabela8[[#This Row],[SETOR]]&lt;300,"GV 20",IF(Tabela8[[#This Row],[SETOR]]&lt;400,"GV 30","S/GV"))))</f>
        <v>GV 10</v>
      </c>
      <c r="E765" t="s">
        <v>123</v>
      </c>
      <c r="G765" t="str">
        <f>_xlfn.CONCAT(Tabela9[[#This Row],[Coluna1]],Tabela9[[#This Row],[Coluna2]])</f>
        <v>20-Rota</v>
      </c>
    </row>
    <row r="766" spans="1:7" x14ac:dyDescent="0.25">
      <c r="A766">
        <v>6632</v>
      </c>
      <c r="B766">
        <v>913</v>
      </c>
      <c r="C766" s="1" t="str">
        <f>IF(Tabela8[[#This Row],[SETOR]]="","",IF(Tabela8[[#This Row],[SETOR]]&lt;200,"GV 10",IF(Tabela8[[#This Row],[SETOR]]&lt;300,"GV 20",IF(Tabela8[[#This Row],[SETOR]]&lt;400,"GV 30","S/GV"))))</f>
        <v>S/GV</v>
      </c>
      <c r="E766" t="s">
        <v>123</v>
      </c>
      <c r="G766" t="str">
        <f>_xlfn.CONCAT(Tabela9[[#This Row],[Coluna1]],Tabela9[[#This Row],[Coluna2]])</f>
        <v>20-Rota</v>
      </c>
    </row>
    <row r="767" spans="1:7" x14ac:dyDescent="0.25">
      <c r="A767">
        <v>6636</v>
      </c>
      <c r="B767">
        <v>916</v>
      </c>
      <c r="C767" s="1" t="str">
        <f>IF(Tabela8[[#This Row],[SETOR]]="","",IF(Tabela8[[#This Row],[SETOR]]&lt;200,"GV 10",IF(Tabela8[[#This Row],[SETOR]]&lt;300,"GV 20",IF(Tabela8[[#This Row],[SETOR]]&lt;400,"GV 30","S/GV"))))</f>
        <v>S/GV</v>
      </c>
      <c r="E767" t="s">
        <v>123</v>
      </c>
      <c r="G767" t="str">
        <f>_xlfn.CONCAT(Tabela9[[#This Row],[Coluna1]],Tabela9[[#This Row],[Coluna2]])</f>
        <v>20-Rota</v>
      </c>
    </row>
    <row r="768" spans="1:7" x14ac:dyDescent="0.25">
      <c r="A768">
        <v>6637</v>
      </c>
      <c r="B768">
        <v>102</v>
      </c>
      <c r="C768" s="1" t="str">
        <f>IF(Tabela8[[#This Row],[SETOR]]="","",IF(Tabela8[[#This Row],[SETOR]]&lt;200,"GV 10",IF(Tabela8[[#This Row],[SETOR]]&lt;300,"GV 20",IF(Tabela8[[#This Row],[SETOR]]&lt;400,"GV 30","S/GV"))))</f>
        <v>GV 10</v>
      </c>
      <c r="E768" t="s">
        <v>123</v>
      </c>
      <c r="G768" t="str">
        <f>_xlfn.CONCAT(Tabela9[[#This Row],[Coluna1]],Tabela9[[#This Row],[Coluna2]])</f>
        <v>20-Rota</v>
      </c>
    </row>
    <row r="769" spans="1:7" x14ac:dyDescent="0.25">
      <c r="A769">
        <v>6643</v>
      </c>
      <c r="B769">
        <v>304</v>
      </c>
      <c r="C769" s="1" t="str">
        <f>IF(Tabela8[[#This Row],[SETOR]]="","",IF(Tabela8[[#This Row],[SETOR]]&lt;200,"GV 10",IF(Tabela8[[#This Row],[SETOR]]&lt;300,"GV 20",IF(Tabela8[[#This Row],[SETOR]]&lt;400,"GV 30","S/GV"))))</f>
        <v>GV 30</v>
      </c>
      <c r="E769" t="s">
        <v>123</v>
      </c>
      <c r="G769" t="str">
        <f>_xlfn.CONCAT(Tabela9[[#This Row],[Coluna1]],Tabela9[[#This Row],[Coluna2]])</f>
        <v>20-Rota</v>
      </c>
    </row>
    <row r="770" spans="1:7" x14ac:dyDescent="0.25">
      <c r="A770">
        <v>6644</v>
      </c>
      <c r="B770">
        <v>306</v>
      </c>
      <c r="C770" s="1" t="str">
        <f>IF(Tabela8[[#This Row],[SETOR]]="","",IF(Tabela8[[#This Row],[SETOR]]&lt;200,"GV 10",IF(Tabela8[[#This Row],[SETOR]]&lt;300,"GV 20",IF(Tabela8[[#This Row],[SETOR]]&lt;400,"GV 30","S/GV"))))</f>
        <v>GV 30</v>
      </c>
      <c r="E770" t="s">
        <v>125</v>
      </c>
      <c r="G770" t="str">
        <f>_xlfn.CONCAT(Tabela9[[#This Row],[Coluna1]],Tabela9[[#This Row],[Coluna2]])</f>
        <v>18-TRAD</v>
      </c>
    </row>
    <row r="771" spans="1:7" x14ac:dyDescent="0.25">
      <c r="A771">
        <v>6656</v>
      </c>
      <c r="B771">
        <v>202</v>
      </c>
      <c r="C771" s="1" t="str">
        <f>IF(Tabela8[[#This Row],[SETOR]]="","",IF(Tabela8[[#This Row],[SETOR]]&lt;200,"GV 10",IF(Tabela8[[#This Row],[SETOR]]&lt;300,"GV 20",IF(Tabela8[[#This Row],[SETOR]]&lt;400,"GV 30","S/GV"))))</f>
        <v>GV 20</v>
      </c>
      <c r="E771" t="s">
        <v>123</v>
      </c>
      <c r="G771" t="str">
        <f>_xlfn.CONCAT(Tabela9[[#This Row],[Coluna1]],Tabela9[[#This Row],[Coluna2]])</f>
        <v>20-Rota</v>
      </c>
    </row>
    <row r="772" spans="1:7" x14ac:dyDescent="0.25">
      <c r="A772">
        <v>6673</v>
      </c>
      <c r="B772">
        <v>303</v>
      </c>
      <c r="C772" s="1" t="str">
        <f>IF(Tabela8[[#This Row],[SETOR]]="","",IF(Tabela8[[#This Row],[SETOR]]&lt;200,"GV 10",IF(Tabela8[[#This Row],[SETOR]]&lt;300,"GV 20",IF(Tabela8[[#This Row],[SETOR]]&lt;400,"GV 30","S/GV"))))</f>
        <v>GV 30</v>
      </c>
      <c r="E772" t="s">
        <v>123</v>
      </c>
      <c r="G772" t="str">
        <f>_xlfn.CONCAT(Tabela9[[#This Row],[Coluna1]],Tabela9[[#This Row],[Coluna2]])</f>
        <v>20-Rota</v>
      </c>
    </row>
    <row r="773" spans="1:7" x14ac:dyDescent="0.25">
      <c r="A773">
        <v>6674</v>
      </c>
      <c r="B773">
        <v>303</v>
      </c>
      <c r="C773" s="1" t="str">
        <f>IF(Tabela8[[#This Row],[SETOR]]="","",IF(Tabela8[[#This Row],[SETOR]]&lt;200,"GV 10",IF(Tabela8[[#This Row],[SETOR]]&lt;300,"GV 20",IF(Tabela8[[#This Row],[SETOR]]&lt;400,"GV 30","S/GV"))))</f>
        <v>GV 30</v>
      </c>
      <c r="E773" t="s">
        <v>123</v>
      </c>
      <c r="G773" t="str">
        <f>_xlfn.CONCAT(Tabela9[[#This Row],[Coluna1]],Tabela9[[#This Row],[Coluna2]])</f>
        <v>20-Rota</v>
      </c>
    </row>
    <row r="774" spans="1:7" x14ac:dyDescent="0.25">
      <c r="A774">
        <v>6675</v>
      </c>
      <c r="B774">
        <v>105</v>
      </c>
      <c r="C774" s="1" t="str">
        <f>IF(Tabela8[[#This Row],[SETOR]]="","",IF(Tabela8[[#This Row],[SETOR]]&lt;200,"GV 10",IF(Tabela8[[#This Row],[SETOR]]&lt;300,"GV 20",IF(Tabela8[[#This Row],[SETOR]]&lt;400,"GV 30","S/GV"))))</f>
        <v>GV 10</v>
      </c>
      <c r="E774" t="s">
        <v>123</v>
      </c>
      <c r="G774" t="str">
        <f>_xlfn.CONCAT(Tabela9[[#This Row],[Coluna1]],Tabela9[[#This Row],[Coluna2]])</f>
        <v>20-Rota</v>
      </c>
    </row>
    <row r="775" spans="1:7" x14ac:dyDescent="0.25">
      <c r="A775">
        <v>6676</v>
      </c>
      <c r="B775">
        <v>106</v>
      </c>
      <c r="C775" s="1" t="str">
        <f>IF(Tabela8[[#This Row],[SETOR]]="","",IF(Tabela8[[#This Row],[SETOR]]&lt;200,"GV 10",IF(Tabela8[[#This Row],[SETOR]]&lt;300,"GV 20",IF(Tabela8[[#This Row],[SETOR]]&lt;400,"GV 30","S/GV"))))</f>
        <v>GV 10</v>
      </c>
      <c r="E775" t="s">
        <v>123</v>
      </c>
      <c r="G775" t="str">
        <f>_xlfn.CONCAT(Tabela9[[#This Row],[Coluna1]],Tabela9[[#This Row],[Coluna2]])</f>
        <v>20-Rota</v>
      </c>
    </row>
    <row r="776" spans="1:7" x14ac:dyDescent="0.25">
      <c r="A776">
        <v>6680</v>
      </c>
      <c r="B776">
        <v>107</v>
      </c>
      <c r="C776" s="1" t="str">
        <f>IF(Tabela8[[#This Row],[SETOR]]="","",IF(Tabela8[[#This Row],[SETOR]]&lt;200,"GV 10",IF(Tabela8[[#This Row],[SETOR]]&lt;300,"GV 20",IF(Tabela8[[#This Row],[SETOR]]&lt;400,"GV 30","S/GV"))))</f>
        <v>GV 10</v>
      </c>
      <c r="E776" t="s">
        <v>130</v>
      </c>
      <c r="G776" t="str">
        <f>_xlfn.CONCAT(Tabela9[[#This Row],[Coluna1]],Tabela9[[#This Row],[Coluna2]])</f>
        <v>21-SUB</v>
      </c>
    </row>
    <row r="777" spans="1:7" x14ac:dyDescent="0.25">
      <c r="A777">
        <v>6686</v>
      </c>
      <c r="B777">
        <v>303</v>
      </c>
      <c r="C777" s="1" t="str">
        <f>IF(Tabela8[[#This Row],[SETOR]]="","",IF(Tabela8[[#This Row],[SETOR]]&lt;200,"GV 10",IF(Tabela8[[#This Row],[SETOR]]&lt;300,"GV 20",IF(Tabela8[[#This Row],[SETOR]]&lt;400,"GV 30","S/GV"))))</f>
        <v>GV 30</v>
      </c>
      <c r="E777" t="s">
        <v>123</v>
      </c>
      <c r="G777" t="str">
        <f>_xlfn.CONCAT(Tabela9[[#This Row],[Coluna1]],Tabela9[[#This Row],[Coluna2]])</f>
        <v>20-Rota</v>
      </c>
    </row>
    <row r="778" spans="1:7" x14ac:dyDescent="0.25">
      <c r="A778">
        <v>6691</v>
      </c>
      <c r="B778">
        <v>104</v>
      </c>
      <c r="C778" s="1" t="str">
        <f>IF(Tabela8[[#This Row],[SETOR]]="","",IF(Tabela8[[#This Row],[SETOR]]&lt;200,"GV 10",IF(Tabela8[[#This Row],[SETOR]]&lt;300,"GV 20",IF(Tabela8[[#This Row],[SETOR]]&lt;400,"GV 30","S/GV"))))</f>
        <v>GV 10</v>
      </c>
      <c r="E778" t="s">
        <v>123</v>
      </c>
      <c r="G778" t="str">
        <f>_xlfn.CONCAT(Tabela9[[#This Row],[Coluna1]],Tabela9[[#This Row],[Coluna2]])</f>
        <v>20-Rota</v>
      </c>
    </row>
    <row r="779" spans="1:7" x14ac:dyDescent="0.25">
      <c r="A779">
        <v>6696</v>
      </c>
      <c r="B779">
        <v>305</v>
      </c>
      <c r="C779" s="1" t="str">
        <f>IF(Tabela8[[#This Row],[SETOR]]="","",IF(Tabela8[[#This Row],[SETOR]]&lt;200,"GV 10",IF(Tabela8[[#This Row],[SETOR]]&lt;300,"GV 20",IF(Tabela8[[#This Row],[SETOR]]&lt;400,"GV 30","S/GV"))))</f>
        <v>GV 30</v>
      </c>
      <c r="E779" t="s">
        <v>123</v>
      </c>
      <c r="G779" t="str">
        <f>_xlfn.CONCAT(Tabela9[[#This Row],[Coluna1]],Tabela9[[#This Row],[Coluna2]])</f>
        <v>20-Rota</v>
      </c>
    </row>
    <row r="780" spans="1:7" x14ac:dyDescent="0.25">
      <c r="A780">
        <v>6701</v>
      </c>
      <c r="B780">
        <v>302</v>
      </c>
      <c r="C780" s="1" t="str">
        <f>IF(Tabela8[[#This Row],[SETOR]]="","",IF(Tabela8[[#This Row],[SETOR]]&lt;200,"GV 10",IF(Tabela8[[#This Row],[SETOR]]&lt;300,"GV 20",IF(Tabela8[[#This Row],[SETOR]]&lt;400,"GV 30","S/GV"))))</f>
        <v>GV 30</v>
      </c>
      <c r="E780" t="s">
        <v>123</v>
      </c>
      <c r="G780" t="str">
        <f>_xlfn.CONCAT(Tabela9[[#This Row],[Coluna1]],Tabela9[[#This Row],[Coluna2]])</f>
        <v>20-Rota</v>
      </c>
    </row>
    <row r="781" spans="1:7" x14ac:dyDescent="0.25">
      <c r="A781">
        <v>6704</v>
      </c>
      <c r="B781">
        <v>206</v>
      </c>
      <c r="C781" s="1" t="str">
        <f>IF(Tabela8[[#This Row],[SETOR]]="","",IF(Tabela8[[#This Row],[SETOR]]&lt;200,"GV 10",IF(Tabela8[[#This Row],[SETOR]]&lt;300,"GV 20",IF(Tabela8[[#This Row],[SETOR]]&lt;400,"GV 30","S/GV"))))</f>
        <v>GV 20</v>
      </c>
      <c r="E781" t="s">
        <v>123</v>
      </c>
      <c r="G781" t="str">
        <f>_xlfn.CONCAT(Tabela9[[#This Row],[Coluna1]],Tabela9[[#This Row],[Coluna2]])</f>
        <v>20-Rota</v>
      </c>
    </row>
    <row r="782" spans="1:7" x14ac:dyDescent="0.25">
      <c r="A782">
        <v>6707</v>
      </c>
      <c r="B782">
        <v>301</v>
      </c>
      <c r="C782" s="1" t="str">
        <f>IF(Tabela8[[#This Row],[SETOR]]="","",IF(Tabela8[[#This Row],[SETOR]]&lt;200,"GV 10",IF(Tabela8[[#This Row],[SETOR]]&lt;300,"GV 20",IF(Tabela8[[#This Row],[SETOR]]&lt;400,"GV 30","S/GV"))))</f>
        <v>GV 30</v>
      </c>
      <c r="E782" t="s">
        <v>123</v>
      </c>
      <c r="G782" t="str">
        <f>_xlfn.CONCAT(Tabela9[[#This Row],[Coluna1]],Tabela9[[#This Row],[Coluna2]])</f>
        <v>20-Rota</v>
      </c>
    </row>
    <row r="783" spans="1:7" x14ac:dyDescent="0.25">
      <c r="A783">
        <v>6711</v>
      </c>
      <c r="B783">
        <v>106</v>
      </c>
      <c r="C783" s="1" t="str">
        <f>IF(Tabela8[[#This Row],[SETOR]]="","",IF(Tabela8[[#This Row],[SETOR]]&lt;200,"GV 10",IF(Tabela8[[#This Row],[SETOR]]&lt;300,"GV 20",IF(Tabela8[[#This Row],[SETOR]]&lt;400,"GV 30","S/GV"))))</f>
        <v>GV 10</v>
      </c>
      <c r="E783" t="s">
        <v>123</v>
      </c>
      <c r="G783" t="str">
        <f>_xlfn.CONCAT(Tabela9[[#This Row],[Coluna1]],Tabela9[[#This Row],[Coluna2]])</f>
        <v>20-Rota</v>
      </c>
    </row>
    <row r="784" spans="1:7" x14ac:dyDescent="0.25">
      <c r="A784">
        <v>6737</v>
      </c>
      <c r="B784">
        <v>201</v>
      </c>
      <c r="C784" s="1" t="str">
        <f>IF(Tabela8[[#This Row],[SETOR]]="","",IF(Tabela8[[#This Row],[SETOR]]&lt;200,"GV 10",IF(Tabela8[[#This Row],[SETOR]]&lt;300,"GV 20",IF(Tabela8[[#This Row],[SETOR]]&lt;400,"GV 30","S/GV"))))</f>
        <v>GV 20</v>
      </c>
      <c r="E784" t="s">
        <v>123</v>
      </c>
      <c r="G784" t="str">
        <f>_xlfn.CONCAT(Tabela9[[#This Row],[Coluna1]],Tabela9[[#This Row],[Coluna2]])</f>
        <v>20-Rota</v>
      </c>
    </row>
    <row r="785" spans="1:7" x14ac:dyDescent="0.25">
      <c r="A785">
        <v>6738</v>
      </c>
      <c r="B785">
        <v>907</v>
      </c>
      <c r="C785" s="1" t="str">
        <f>IF(Tabela8[[#This Row],[SETOR]]="","",IF(Tabela8[[#This Row],[SETOR]]&lt;200,"GV 10",IF(Tabela8[[#This Row],[SETOR]]&lt;300,"GV 20",IF(Tabela8[[#This Row],[SETOR]]&lt;400,"GV 30","S/GV"))))</f>
        <v>S/GV</v>
      </c>
      <c r="G785" t="str">
        <f>_xlfn.CONCAT(Tabela9[[#This Row],[Coluna1]],Tabela9[[#This Row],[Coluna2]])</f>
        <v/>
      </c>
    </row>
    <row r="786" spans="1:7" x14ac:dyDescent="0.25">
      <c r="A786">
        <v>6748</v>
      </c>
      <c r="B786">
        <v>109</v>
      </c>
      <c r="C786" s="1" t="str">
        <f>IF(Tabela8[[#This Row],[SETOR]]="","",IF(Tabela8[[#This Row],[SETOR]]&lt;200,"GV 10",IF(Tabela8[[#This Row],[SETOR]]&lt;300,"GV 20",IF(Tabela8[[#This Row],[SETOR]]&lt;400,"GV 30","S/GV"))))</f>
        <v>GV 10</v>
      </c>
      <c r="E786" t="s">
        <v>123</v>
      </c>
      <c r="G786" t="str">
        <f>_xlfn.CONCAT(Tabela9[[#This Row],[Coluna1]],Tabela9[[#This Row],[Coluna2]])</f>
        <v>20-Rota</v>
      </c>
    </row>
    <row r="787" spans="1:7" x14ac:dyDescent="0.25">
      <c r="A787">
        <v>6750</v>
      </c>
      <c r="B787">
        <v>103</v>
      </c>
      <c r="C787" s="1" t="str">
        <f>IF(Tabela8[[#This Row],[SETOR]]="","",IF(Tabela8[[#This Row],[SETOR]]&lt;200,"GV 10",IF(Tabela8[[#This Row],[SETOR]]&lt;300,"GV 20",IF(Tabela8[[#This Row],[SETOR]]&lt;400,"GV 30","S/GV"))))</f>
        <v>GV 10</v>
      </c>
      <c r="E787" t="s">
        <v>123</v>
      </c>
      <c r="G787" t="str">
        <f>_xlfn.CONCAT(Tabela9[[#This Row],[Coluna1]],Tabela9[[#This Row],[Coluna2]])</f>
        <v>20-Rota</v>
      </c>
    </row>
    <row r="788" spans="1:7" x14ac:dyDescent="0.25">
      <c r="A788">
        <v>6751</v>
      </c>
      <c r="B788">
        <v>304</v>
      </c>
      <c r="C788" s="1" t="str">
        <f>IF(Tabela8[[#This Row],[SETOR]]="","",IF(Tabela8[[#This Row],[SETOR]]&lt;200,"GV 10",IF(Tabela8[[#This Row],[SETOR]]&lt;300,"GV 20",IF(Tabela8[[#This Row],[SETOR]]&lt;400,"GV 30","S/GV"))))</f>
        <v>GV 30</v>
      </c>
      <c r="E788" t="s">
        <v>123</v>
      </c>
      <c r="G788" t="str">
        <f>_xlfn.CONCAT(Tabela9[[#This Row],[Coluna1]],Tabela9[[#This Row],[Coluna2]])</f>
        <v>20-Rota</v>
      </c>
    </row>
    <row r="789" spans="1:7" x14ac:dyDescent="0.25">
      <c r="A789">
        <v>6753</v>
      </c>
      <c r="B789">
        <v>201</v>
      </c>
      <c r="C789" s="1" t="str">
        <f>IF(Tabela8[[#This Row],[SETOR]]="","",IF(Tabela8[[#This Row],[SETOR]]&lt;200,"GV 10",IF(Tabela8[[#This Row],[SETOR]]&lt;300,"GV 20",IF(Tabela8[[#This Row],[SETOR]]&lt;400,"GV 30","S/GV"))))</f>
        <v>GV 20</v>
      </c>
      <c r="E789" t="s">
        <v>128</v>
      </c>
      <c r="F789" t="s">
        <v>129</v>
      </c>
      <c r="G789" t="str">
        <f>_xlfn.CONCAT(Tabela9[[#This Row],[Coluna1]],Tabela9[[#This Row],[Coluna2]])</f>
        <v>15-AS(1-4)</v>
      </c>
    </row>
    <row r="790" spans="1:7" x14ac:dyDescent="0.25">
      <c r="A790">
        <v>6759</v>
      </c>
      <c r="B790">
        <v>304</v>
      </c>
      <c r="C790" s="1" t="str">
        <f>IF(Tabela8[[#This Row],[SETOR]]="","",IF(Tabela8[[#This Row],[SETOR]]&lt;200,"GV 10",IF(Tabela8[[#This Row],[SETOR]]&lt;300,"GV 20",IF(Tabela8[[#This Row],[SETOR]]&lt;400,"GV 30","S/GV"))))</f>
        <v>GV 30</v>
      </c>
      <c r="E790" t="s">
        <v>123</v>
      </c>
      <c r="G790" t="str">
        <f>_xlfn.CONCAT(Tabela9[[#This Row],[Coluna1]],Tabela9[[#This Row],[Coluna2]])</f>
        <v>20-Rota</v>
      </c>
    </row>
    <row r="791" spans="1:7" x14ac:dyDescent="0.25">
      <c r="A791">
        <v>6761</v>
      </c>
      <c r="B791">
        <v>203</v>
      </c>
      <c r="C791" s="1" t="str">
        <f>IF(Tabela8[[#This Row],[SETOR]]="","",IF(Tabela8[[#This Row],[SETOR]]&lt;200,"GV 10",IF(Tabela8[[#This Row],[SETOR]]&lt;300,"GV 20",IF(Tabela8[[#This Row],[SETOR]]&lt;400,"GV 30","S/GV"))))</f>
        <v>GV 20</v>
      </c>
      <c r="E791" t="s">
        <v>123</v>
      </c>
      <c r="G791" t="str">
        <f>_xlfn.CONCAT(Tabela9[[#This Row],[Coluna1]],Tabela9[[#This Row],[Coluna2]])</f>
        <v>20-Rota</v>
      </c>
    </row>
    <row r="792" spans="1:7" x14ac:dyDescent="0.25">
      <c r="A792">
        <v>6783</v>
      </c>
      <c r="B792">
        <v>103</v>
      </c>
      <c r="C792" s="1" t="str">
        <f>IF(Tabela8[[#This Row],[SETOR]]="","",IF(Tabela8[[#This Row],[SETOR]]&lt;200,"GV 10",IF(Tabela8[[#This Row],[SETOR]]&lt;300,"GV 20",IF(Tabela8[[#This Row],[SETOR]]&lt;400,"GV 30","S/GV"))))</f>
        <v>GV 10</v>
      </c>
      <c r="E792" t="s">
        <v>123</v>
      </c>
      <c r="G792" t="str">
        <f>_xlfn.CONCAT(Tabela9[[#This Row],[Coluna1]],Tabela9[[#This Row],[Coluna2]])</f>
        <v>20-Rota</v>
      </c>
    </row>
    <row r="793" spans="1:7" x14ac:dyDescent="0.25">
      <c r="A793">
        <v>6797</v>
      </c>
      <c r="B793">
        <v>109</v>
      </c>
      <c r="C793" s="1" t="str">
        <f>IF(Tabela8[[#This Row],[SETOR]]="","",IF(Tabela8[[#This Row],[SETOR]]&lt;200,"GV 10",IF(Tabela8[[#This Row],[SETOR]]&lt;300,"GV 20",IF(Tabela8[[#This Row],[SETOR]]&lt;400,"GV 30","S/GV"))))</f>
        <v>GV 10</v>
      </c>
      <c r="E793" t="s">
        <v>125</v>
      </c>
      <c r="G793" t="str">
        <f>_xlfn.CONCAT(Tabela9[[#This Row],[Coluna1]],Tabela9[[#This Row],[Coluna2]])</f>
        <v>18-TRAD</v>
      </c>
    </row>
    <row r="794" spans="1:7" x14ac:dyDescent="0.25">
      <c r="A794">
        <v>6809</v>
      </c>
      <c r="B794">
        <v>304</v>
      </c>
      <c r="C794" s="1" t="str">
        <f>IF(Tabela8[[#This Row],[SETOR]]="","",IF(Tabela8[[#This Row],[SETOR]]&lt;200,"GV 10",IF(Tabela8[[#This Row],[SETOR]]&lt;300,"GV 20",IF(Tabela8[[#This Row],[SETOR]]&lt;400,"GV 30","S/GV"))))</f>
        <v>GV 30</v>
      </c>
      <c r="E794" t="s">
        <v>123</v>
      </c>
      <c r="G794" t="str">
        <f>_xlfn.CONCAT(Tabela9[[#This Row],[Coluna1]],Tabela9[[#This Row],[Coluna2]])</f>
        <v>20-Rota</v>
      </c>
    </row>
    <row r="795" spans="1:7" x14ac:dyDescent="0.25">
      <c r="A795">
        <v>6811</v>
      </c>
      <c r="B795">
        <v>916</v>
      </c>
      <c r="C795" s="1" t="str">
        <f>IF(Tabela8[[#This Row],[SETOR]]="","",IF(Tabela8[[#This Row],[SETOR]]&lt;200,"GV 10",IF(Tabela8[[#This Row],[SETOR]]&lt;300,"GV 20",IF(Tabela8[[#This Row],[SETOR]]&lt;400,"GV 30","S/GV"))))</f>
        <v>S/GV</v>
      </c>
      <c r="G795" t="str">
        <f>_xlfn.CONCAT(Tabela9[[#This Row],[Coluna1]],Tabela9[[#This Row],[Coluna2]])</f>
        <v/>
      </c>
    </row>
    <row r="796" spans="1:7" x14ac:dyDescent="0.25">
      <c r="A796">
        <v>6815</v>
      </c>
      <c r="B796">
        <v>907</v>
      </c>
      <c r="C796" s="1" t="str">
        <f>IF(Tabela8[[#This Row],[SETOR]]="","",IF(Tabela8[[#This Row],[SETOR]]&lt;200,"GV 10",IF(Tabela8[[#This Row],[SETOR]]&lt;300,"GV 20",IF(Tabela8[[#This Row],[SETOR]]&lt;400,"GV 30","S/GV"))))</f>
        <v>S/GV</v>
      </c>
      <c r="E796" t="s">
        <v>123</v>
      </c>
      <c r="G796" t="str">
        <f>_xlfn.CONCAT(Tabela9[[#This Row],[Coluna1]],Tabela9[[#This Row],[Coluna2]])</f>
        <v>20-Rota</v>
      </c>
    </row>
    <row r="797" spans="1:7" x14ac:dyDescent="0.25">
      <c r="A797">
        <v>6823</v>
      </c>
      <c r="B797">
        <v>907</v>
      </c>
      <c r="C797" s="1" t="str">
        <f>IF(Tabela8[[#This Row],[SETOR]]="","",IF(Tabela8[[#This Row],[SETOR]]&lt;200,"GV 10",IF(Tabela8[[#This Row],[SETOR]]&lt;300,"GV 20",IF(Tabela8[[#This Row],[SETOR]]&lt;400,"GV 30","S/GV"))))</f>
        <v>S/GV</v>
      </c>
      <c r="G797" t="str">
        <f>_xlfn.CONCAT(Tabela9[[#This Row],[Coluna1]],Tabela9[[#This Row],[Coluna2]])</f>
        <v/>
      </c>
    </row>
    <row r="798" spans="1:7" x14ac:dyDescent="0.25">
      <c r="A798">
        <v>6831</v>
      </c>
      <c r="B798">
        <v>302</v>
      </c>
      <c r="C798" s="1" t="str">
        <f>IF(Tabela8[[#This Row],[SETOR]]="","",IF(Tabela8[[#This Row],[SETOR]]&lt;200,"GV 10",IF(Tabela8[[#This Row],[SETOR]]&lt;300,"GV 20",IF(Tabela8[[#This Row],[SETOR]]&lt;400,"GV 30","S/GV"))))</f>
        <v>GV 30</v>
      </c>
      <c r="E798" t="s">
        <v>123</v>
      </c>
      <c r="G798" t="str">
        <f>_xlfn.CONCAT(Tabela9[[#This Row],[Coluna1]],Tabela9[[#This Row],[Coluna2]])</f>
        <v>20-Rota</v>
      </c>
    </row>
    <row r="799" spans="1:7" x14ac:dyDescent="0.25">
      <c r="A799">
        <v>6899</v>
      </c>
      <c r="B799">
        <v>204</v>
      </c>
      <c r="C799" s="1" t="str">
        <f>IF(Tabela8[[#This Row],[SETOR]]="","",IF(Tabela8[[#This Row],[SETOR]]&lt;200,"GV 10",IF(Tabela8[[#This Row],[SETOR]]&lt;300,"GV 20",IF(Tabela8[[#This Row],[SETOR]]&lt;400,"GV 30","S/GV"))))</f>
        <v>GV 20</v>
      </c>
      <c r="E799" t="s">
        <v>125</v>
      </c>
      <c r="G799" t="str">
        <f>_xlfn.CONCAT(Tabela9[[#This Row],[Coluna1]],Tabela9[[#This Row],[Coluna2]])</f>
        <v>18-TRAD</v>
      </c>
    </row>
    <row r="800" spans="1:7" x14ac:dyDescent="0.25">
      <c r="A800">
        <v>6919</v>
      </c>
      <c r="B800">
        <v>202</v>
      </c>
      <c r="C800" s="1" t="str">
        <f>IF(Tabela8[[#This Row],[SETOR]]="","",IF(Tabela8[[#This Row],[SETOR]]&lt;200,"GV 10",IF(Tabela8[[#This Row],[SETOR]]&lt;300,"GV 20",IF(Tabela8[[#This Row],[SETOR]]&lt;400,"GV 30","S/GV"))))</f>
        <v>GV 20</v>
      </c>
      <c r="E800" t="s">
        <v>123</v>
      </c>
      <c r="G800" t="str">
        <f>_xlfn.CONCAT(Tabela9[[#This Row],[Coluna1]],Tabela9[[#This Row],[Coluna2]])</f>
        <v>20-Rota</v>
      </c>
    </row>
    <row r="801" spans="1:7" x14ac:dyDescent="0.25">
      <c r="A801">
        <v>6920</v>
      </c>
      <c r="B801">
        <v>204</v>
      </c>
      <c r="C801" s="1" t="str">
        <f>IF(Tabela8[[#This Row],[SETOR]]="","",IF(Tabela8[[#This Row],[SETOR]]&lt;200,"GV 10",IF(Tabela8[[#This Row],[SETOR]]&lt;300,"GV 20",IF(Tabela8[[#This Row],[SETOR]]&lt;400,"GV 30","S/GV"))))</f>
        <v>GV 20</v>
      </c>
      <c r="E801" t="s">
        <v>123</v>
      </c>
      <c r="G801" t="str">
        <f>_xlfn.CONCAT(Tabela9[[#This Row],[Coluna1]],Tabela9[[#This Row],[Coluna2]])</f>
        <v>20-Rota</v>
      </c>
    </row>
    <row r="802" spans="1:7" x14ac:dyDescent="0.25">
      <c r="A802">
        <v>6921</v>
      </c>
      <c r="B802">
        <v>204</v>
      </c>
      <c r="C802" s="1" t="str">
        <f>IF(Tabela8[[#This Row],[SETOR]]="","",IF(Tabela8[[#This Row],[SETOR]]&lt;200,"GV 10",IF(Tabela8[[#This Row],[SETOR]]&lt;300,"GV 20",IF(Tabela8[[#This Row],[SETOR]]&lt;400,"GV 30","S/GV"))))</f>
        <v>GV 20</v>
      </c>
      <c r="E802" t="s">
        <v>123</v>
      </c>
      <c r="G802" t="str">
        <f>_xlfn.CONCAT(Tabela9[[#This Row],[Coluna1]],Tabela9[[#This Row],[Coluna2]])</f>
        <v>20-Rota</v>
      </c>
    </row>
    <row r="803" spans="1:7" x14ac:dyDescent="0.25">
      <c r="A803">
        <v>6930</v>
      </c>
      <c r="B803">
        <v>201</v>
      </c>
      <c r="C803" s="1" t="str">
        <f>IF(Tabela8[[#This Row],[SETOR]]="","",IF(Tabela8[[#This Row],[SETOR]]&lt;200,"GV 10",IF(Tabela8[[#This Row],[SETOR]]&lt;300,"GV 20",IF(Tabela8[[#This Row],[SETOR]]&lt;400,"GV 30","S/GV"))))</f>
        <v>GV 20</v>
      </c>
      <c r="E803" t="s">
        <v>123</v>
      </c>
      <c r="G803" t="str">
        <f>_xlfn.CONCAT(Tabela9[[#This Row],[Coluna1]],Tabela9[[#This Row],[Coluna2]])</f>
        <v>20-Rota</v>
      </c>
    </row>
    <row r="804" spans="1:7" x14ac:dyDescent="0.25">
      <c r="A804">
        <v>6936</v>
      </c>
      <c r="B804">
        <v>101</v>
      </c>
      <c r="C804" s="1" t="str">
        <f>IF(Tabela8[[#This Row],[SETOR]]="","",IF(Tabela8[[#This Row],[SETOR]]&lt;200,"GV 10",IF(Tabela8[[#This Row],[SETOR]]&lt;300,"GV 20",IF(Tabela8[[#This Row],[SETOR]]&lt;400,"GV 30","S/GV"))))</f>
        <v>GV 10</v>
      </c>
      <c r="E804" t="s">
        <v>123</v>
      </c>
      <c r="G804" t="str">
        <f>_xlfn.CONCAT(Tabela9[[#This Row],[Coluna1]],Tabela9[[#This Row],[Coluna2]])</f>
        <v>20-Rota</v>
      </c>
    </row>
    <row r="805" spans="1:7" x14ac:dyDescent="0.25">
      <c r="A805">
        <v>6939</v>
      </c>
      <c r="B805">
        <v>202</v>
      </c>
      <c r="C805" s="1" t="str">
        <f>IF(Tabela8[[#This Row],[SETOR]]="","",IF(Tabela8[[#This Row],[SETOR]]&lt;200,"GV 10",IF(Tabela8[[#This Row],[SETOR]]&lt;300,"GV 20",IF(Tabela8[[#This Row],[SETOR]]&lt;400,"GV 30","S/GV"))))</f>
        <v>GV 20</v>
      </c>
      <c r="E805" t="s">
        <v>123</v>
      </c>
      <c r="G805" t="str">
        <f>_xlfn.CONCAT(Tabela9[[#This Row],[Coluna1]],Tabela9[[#This Row],[Coluna2]])</f>
        <v>20-Rota</v>
      </c>
    </row>
    <row r="806" spans="1:7" x14ac:dyDescent="0.25">
      <c r="A806">
        <v>6949</v>
      </c>
      <c r="B806">
        <v>106</v>
      </c>
      <c r="C806" s="1" t="str">
        <f>IF(Tabela8[[#This Row],[SETOR]]="","",IF(Tabela8[[#This Row],[SETOR]]&lt;200,"GV 10",IF(Tabela8[[#This Row],[SETOR]]&lt;300,"GV 20",IF(Tabela8[[#This Row],[SETOR]]&lt;400,"GV 30","S/GV"))))</f>
        <v>GV 10</v>
      </c>
      <c r="E806" t="s">
        <v>123</v>
      </c>
      <c r="G806" t="str">
        <f>_xlfn.CONCAT(Tabela9[[#This Row],[Coluna1]],Tabela9[[#This Row],[Coluna2]])</f>
        <v>20-Rota</v>
      </c>
    </row>
    <row r="807" spans="1:7" x14ac:dyDescent="0.25">
      <c r="A807">
        <v>6952</v>
      </c>
      <c r="B807">
        <v>308</v>
      </c>
      <c r="C807" s="1" t="str">
        <f>IF(Tabela8[[#This Row],[SETOR]]="","",IF(Tabela8[[#This Row],[SETOR]]&lt;200,"GV 10",IF(Tabela8[[#This Row],[SETOR]]&lt;300,"GV 20",IF(Tabela8[[#This Row],[SETOR]]&lt;400,"GV 30","S/GV"))))</f>
        <v>GV 30</v>
      </c>
      <c r="E807" t="s">
        <v>128</v>
      </c>
      <c r="F807" t="s">
        <v>129</v>
      </c>
      <c r="G807" t="str">
        <f>_xlfn.CONCAT(Tabela9[[#This Row],[Coluna1]],Tabela9[[#This Row],[Coluna2]])</f>
        <v>15-AS(1-4)</v>
      </c>
    </row>
    <row r="808" spans="1:7" x14ac:dyDescent="0.25">
      <c r="A808">
        <v>6954</v>
      </c>
      <c r="B808">
        <v>913</v>
      </c>
      <c r="C808" s="1" t="str">
        <f>IF(Tabela8[[#This Row],[SETOR]]="","",IF(Tabela8[[#This Row],[SETOR]]&lt;200,"GV 10",IF(Tabela8[[#This Row],[SETOR]]&lt;300,"GV 20",IF(Tabela8[[#This Row],[SETOR]]&lt;400,"GV 30","S/GV"))))</f>
        <v>S/GV</v>
      </c>
      <c r="E808" t="s">
        <v>123</v>
      </c>
      <c r="G808" t="str">
        <f>_xlfn.CONCAT(Tabela9[[#This Row],[Coluna1]],Tabela9[[#This Row],[Coluna2]])</f>
        <v>20-Rota</v>
      </c>
    </row>
    <row r="809" spans="1:7" x14ac:dyDescent="0.25">
      <c r="A809">
        <v>6960</v>
      </c>
      <c r="B809">
        <v>305</v>
      </c>
      <c r="C809" s="1" t="str">
        <f>IF(Tabela8[[#This Row],[SETOR]]="","",IF(Tabela8[[#This Row],[SETOR]]&lt;200,"GV 10",IF(Tabela8[[#This Row],[SETOR]]&lt;300,"GV 20",IF(Tabela8[[#This Row],[SETOR]]&lt;400,"GV 30","S/GV"))))</f>
        <v>GV 30</v>
      </c>
      <c r="E809" t="s">
        <v>123</v>
      </c>
      <c r="G809" t="str">
        <f>_xlfn.CONCAT(Tabela9[[#This Row],[Coluna1]],Tabela9[[#This Row],[Coluna2]])</f>
        <v>20-Rota</v>
      </c>
    </row>
    <row r="810" spans="1:7" x14ac:dyDescent="0.25">
      <c r="A810">
        <v>6989</v>
      </c>
      <c r="B810">
        <v>305</v>
      </c>
      <c r="C810" s="1" t="str">
        <f>IF(Tabela8[[#This Row],[SETOR]]="","",IF(Tabela8[[#This Row],[SETOR]]&lt;200,"GV 10",IF(Tabela8[[#This Row],[SETOR]]&lt;300,"GV 20",IF(Tabela8[[#This Row],[SETOR]]&lt;400,"GV 30","S/GV"))))</f>
        <v>GV 30</v>
      </c>
      <c r="E810" t="s">
        <v>123</v>
      </c>
      <c r="G810" t="str">
        <f>_xlfn.CONCAT(Tabela9[[#This Row],[Coluna1]],Tabela9[[#This Row],[Coluna2]])</f>
        <v>20-Rota</v>
      </c>
    </row>
    <row r="811" spans="1:7" x14ac:dyDescent="0.25">
      <c r="A811">
        <v>6997</v>
      </c>
      <c r="B811">
        <v>305</v>
      </c>
      <c r="C811" s="1" t="str">
        <f>IF(Tabela8[[#This Row],[SETOR]]="","",IF(Tabela8[[#This Row],[SETOR]]&lt;200,"GV 10",IF(Tabela8[[#This Row],[SETOR]]&lt;300,"GV 20",IF(Tabela8[[#This Row],[SETOR]]&lt;400,"GV 30","S/GV"))))</f>
        <v>GV 30</v>
      </c>
      <c r="E811" t="s">
        <v>123</v>
      </c>
      <c r="G811" t="str">
        <f>_xlfn.CONCAT(Tabela9[[#This Row],[Coluna1]],Tabela9[[#This Row],[Coluna2]])</f>
        <v>20-Rota</v>
      </c>
    </row>
    <row r="812" spans="1:7" x14ac:dyDescent="0.25">
      <c r="A812">
        <v>6999</v>
      </c>
      <c r="B812">
        <v>304</v>
      </c>
      <c r="C812" s="1" t="str">
        <f>IF(Tabela8[[#This Row],[SETOR]]="","",IF(Tabela8[[#This Row],[SETOR]]&lt;200,"GV 10",IF(Tabela8[[#This Row],[SETOR]]&lt;300,"GV 20",IF(Tabela8[[#This Row],[SETOR]]&lt;400,"GV 30","S/GV"))))</f>
        <v>GV 30</v>
      </c>
      <c r="E812" t="s">
        <v>123</v>
      </c>
      <c r="G812" t="str">
        <f>_xlfn.CONCAT(Tabela9[[#This Row],[Coluna1]],Tabela9[[#This Row],[Coluna2]])</f>
        <v>20-Rota</v>
      </c>
    </row>
    <row r="813" spans="1:7" x14ac:dyDescent="0.25">
      <c r="A813">
        <v>7003</v>
      </c>
      <c r="B813">
        <v>302</v>
      </c>
      <c r="C813" s="1" t="str">
        <f>IF(Tabela8[[#This Row],[SETOR]]="","",IF(Tabela8[[#This Row],[SETOR]]&lt;200,"GV 10",IF(Tabela8[[#This Row],[SETOR]]&lt;300,"GV 20",IF(Tabela8[[#This Row],[SETOR]]&lt;400,"GV 30","S/GV"))))</f>
        <v>GV 30</v>
      </c>
      <c r="E813" t="s">
        <v>123</v>
      </c>
      <c r="G813" t="str">
        <f>_xlfn.CONCAT(Tabela9[[#This Row],[Coluna1]],Tabela9[[#This Row],[Coluna2]])</f>
        <v>20-Rota</v>
      </c>
    </row>
    <row r="814" spans="1:7" x14ac:dyDescent="0.25">
      <c r="A814">
        <v>7006</v>
      </c>
      <c r="B814">
        <v>303</v>
      </c>
      <c r="C814" s="1" t="str">
        <f>IF(Tabela8[[#This Row],[SETOR]]="","",IF(Tabela8[[#This Row],[SETOR]]&lt;200,"GV 10",IF(Tabela8[[#This Row],[SETOR]]&lt;300,"GV 20",IF(Tabela8[[#This Row],[SETOR]]&lt;400,"GV 30","S/GV"))))</f>
        <v>GV 30</v>
      </c>
      <c r="E814" t="s">
        <v>123</v>
      </c>
      <c r="G814" t="str">
        <f>_xlfn.CONCAT(Tabela9[[#This Row],[Coluna1]],Tabela9[[#This Row],[Coluna2]])</f>
        <v>20-Rota</v>
      </c>
    </row>
    <row r="815" spans="1:7" x14ac:dyDescent="0.25">
      <c r="A815">
        <v>7011</v>
      </c>
      <c r="B815">
        <v>205</v>
      </c>
      <c r="C815" s="1" t="str">
        <f>IF(Tabela8[[#This Row],[SETOR]]="","",IF(Tabela8[[#This Row],[SETOR]]&lt;200,"GV 10",IF(Tabela8[[#This Row],[SETOR]]&lt;300,"GV 20",IF(Tabela8[[#This Row],[SETOR]]&lt;400,"GV 30","S/GV"))))</f>
        <v>GV 20</v>
      </c>
      <c r="E815" t="s">
        <v>123</v>
      </c>
      <c r="G815" t="str">
        <f>_xlfn.CONCAT(Tabela9[[#This Row],[Coluna1]],Tabela9[[#This Row],[Coluna2]])</f>
        <v>20-Rota</v>
      </c>
    </row>
    <row r="816" spans="1:7" x14ac:dyDescent="0.25">
      <c r="A816">
        <v>7012</v>
      </c>
      <c r="B816">
        <v>205</v>
      </c>
      <c r="C816" s="1" t="str">
        <f>IF(Tabela8[[#This Row],[SETOR]]="","",IF(Tabela8[[#This Row],[SETOR]]&lt;200,"GV 10",IF(Tabela8[[#This Row],[SETOR]]&lt;300,"GV 20",IF(Tabela8[[#This Row],[SETOR]]&lt;400,"GV 30","S/GV"))))</f>
        <v>GV 20</v>
      </c>
      <c r="E816" t="s">
        <v>123</v>
      </c>
      <c r="G816" t="str">
        <f>_xlfn.CONCAT(Tabela9[[#This Row],[Coluna1]],Tabela9[[#This Row],[Coluna2]])</f>
        <v>20-Rota</v>
      </c>
    </row>
    <row r="817" spans="1:7" x14ac:dyDescent="0.25">
      <c r="A817">
        <v>7014</v>
      </c>
      <c r="B817">
        <v>303</v>
      </c>
      <c r="C817" s="1" t="str">
        <f>IF(Tabela8[[#This Row],[SETOR]]="","",IF(Tabela8[[#This Row],[SETOR]]&lt;200,"GV 10",IF(Tabela8[[#This Row],[SETOR]]&lt;300,"GV 20",IF(Tabela8[[#This Row],[SETOR]]&lt;400,"GV 30","S/GV"))))</f>
        <v>GV 30</v>
      </c>
      <c r="E817" t="s">
        <v>123</v>
      </c>
      <c r="G817" t="str">
        <f>_xlfn.CONCAT(Tabela9[[#This Row],[Coluna1]],Tabela9[[#This Row],[Coluna2]])</f>
        <v>20-Rota</v>
      </c>
    </row>
    <row r="818" spans="1:7" x14ac:dyDescent="0.25">
      <c r="A818">
        <v>7017</v>
      </c>
      <c r="B818">
        <v>304</v>
      </c>
      <c r="C818" s="1" t="str">
        <f>IF(Tabela8[[#This Row],[SETOR]]="","",IF(Tabela8[[#This Row],[SETOR]]&lt;200,"GV 10",IF(Tabela8[[#This Row],[SETOR]]&lt;300,"GV 20",IF(Tabela8[[#This Row],[SETOR]]&lt;400,"GV 30","S/GV"))))</f>
        <v>GV 30</v>
      </c>
      <c r="E818" t="s">
        <v>123</v>
      </c>
      <c r="G818" t="str">
        <f>_xlfn.CONCAT(Tabela9[[#This Row],[Coluna1]],Tabela9[[#This Row],[Coluna2]])</f>
        <v>20-Rota</v>
      </c>
    </row>
    <row r="819" spans="1:7" x14ac:dyDescent="0.25">
      <c r="A819">
        <v>7019</v>
      </c>
      <c r="B819">
        <v>205</v>
      </c>
      <c r="C819" s="1" t="str">
        <f>IF(Tabela8[[#This Row],[SETOR]]="","",IF(Tabela8[[#This Row],[SETOR]]&lt;200,"GV 10",IF(Tabela8[[#This Row],[SETOR]]&lt;300,"GV 20",IF(Tabela8[[#This Row],[SETOR]]&lt;400,"GV 30","S/GV"))))</f>
        <v>GV 20</v>
      </c>
      <c r="E819" t="s">
        <v>125</v>
      </c>
      <c r="G819" t="str">
        <f>_xlfn.CONCAT(Tabela9[[#This Row],[Coluna1]],Tabela9[[#This Row],[Coluna2]])</f>
        <v>18-TRAD</v>
      </c>
    </row>
    <row r="820" spans="1:7" x14ac:dyDescent="0.25">
      <c r="A820">
        <v>7029</v>
      </c>
      <c r="B820">
        <v>104</v>
      </c>
      <c r="C820" s="1" t="str">
        <f>IF(Tabela8[[#This Row],[SETOR]]="","",IF(Tabela8[[#This Row],[SETOR]]&lt;200,"GV 10",IF(Tabela8[[#This Row],[SETOR]]&lt;300,"GV 20",IF(Tabela8[[#This Row],[SETOR]]&lt;400,"GV 30","S/GV"))))</f>
        <v>GV 10</v>
      </c>
      <c r="E820" t="s">
        <v>123</v>
      </c>
      <c r="G820" t="str">
        <f>_xlfn.CONCAT(Tabela9[[#This Row],[Coluna1]],Tabela9[[#This Row],[Coluna2]])</f>
        <v>20-Rota</v>
      </c>
    </row>
    <row r="821" spans="1:7" x14ac:dyDescent="0.25">
      <c r="A821">
        <v>7030</v>
      </c>
      <c r="B821">
        <v>105</v>
      </c>
      <c r="C821" s="1" t="str">
        <f>IF(Tabela8[[#This Row],[SETOR]]="","",IF(Tabela8[[#This Row],[SETOR]]&lt;200,"GV 10",IF(Tabela8[[#This Row],[SETOR]]&lt;300,"GV 20",IF(Tabela8[[#This Row],[SETOR]]&lt;400,"GV 30","S/GV"))))</f>
        <v>GV 10</v>
      </c>
      <c r="E821" t="s">
        <v>125</v>
      </c>
      <c r="G821" t="str">
        <f>_xlfn.CONCAT(Tabela9[[#This Row],[Coluna1]],Tabela9[[#This Row],[Coluna2]])</f>
        <v>18-TRAD</v>
      </c>
    </row>
    <row r="822" spans="1:7" x14ac:dyDescent="0.25">
      <c r="A822">
        <v>7032</v>
      </c>
      <c r="B822">
        <v>104</v>
      </c>
      <c r="C822" s="1" t="str">
        <f>IF(Tabela8[[#This Row],[SETOR]]="","",IF(Tabela8[[#This Row],[SETOR]]&lt;200,"GV 10",IF(Tabela8[[#This Row],[SETOR]]&lt;300,"GV 20",IF(Tabela8[[#This Row],[SETOR]]&lt;400,"GV 30","S/GV"))))</f>
        <v>GV 10</v>
      </c>
      <c r="E822" t="s">
        <v>123</v>
      </c>
      <c r="G822" t="str">
        <f>_xlfn.CONCAT(Tabela9[[#This Row],[Coluna1]],Tabela9[[#This Row],[Coluna2]])</f>
        <v>20-Rota</v>
      </c>
    </row>
    <row r="823" spans="1:7" x14ac:dyDescent="0.25">
      <c r="A823">
        <v>7058</v>
      </c>
      <c r="B823">
        <v>302</v>
      </c>
      <c r="C823" s="1" t="str">
        <f>IF(Tabela8[[#This Row],[SETOR]]="","",IF(Tabela8[[#This Row],[SETOR]]&lt;200,"GV 10",IF(Tabela8[[#This Row],[SETOR]]&lt;300,"GV 20",IF(Tabela8[[#This Row],[SETOR]]&lt;400,"GV 30","S/GV"))))</f>
        <v>GV 30</v>
      </c>
      <c r="E823" t="s">
        <v>123</v>
      </c>
      <c r="G823" t="str">
        <f>_xlfn.CONCAT(Tabela9[[#This Row],[Coluna1]],Tabela9[[#This Row],[Coluna2]])</f>
        <v>20-Rota</v>
      </c>
    </row>
    <row r="824" spans="1:7" x14ac:dyDescent="0.25">
      <c r="A824">
        <v>7067</v>
      </c>
      <c r="B824">
        <v>104</v>
      </c>
      <c r="C824" s="1" t="str">
        <f>IF(Tabela8[[#This Row],[SETOR]]="","",IF(Tabela8[[#This Row],[SETOR]]&lt;200,"GV 10",IF(Tabela8[[#This Row],[SETOR]]&lt;300,"GV 20",IF(Tabela8[[#This Row],[SETOR]]&lt;400,"GV 30","S/GV"))))</f>
        <v>GV 10</v>
      </c>
      <c r="E824" t="s">
        <v>123</v>
      </c>
      <c r="G824" t="str">
        <f>_xlfn.CONCAT(Tabela9[[#This Row],[Coluna1]],Tabela9[[#This Row],[Coluna2]])</f>
        <v>20-Rota</v>
      </c>
    </row>
    <row r="825" spans="1:7" x14ac:dyDescent="0.25">
      <c r="A825">
        <v>7069</v>
      </c>
      <c r="B825">
        <v>206</v>
      </c>
      <c r="C825" s="1" t="str">
        <f>IF(Tabela8[[#This Row],[SETOR]]="","",IF(Tabela8[[#This Row],[SETOR]]&lt;200,"GV 10",IF(Tabela8[[#This Row],[SETOR]]&lt;300,"GV 20",IF(Tabela8[[#This Row],[SETOR]]&lt;400,"GV 30","S/GV"))))</f>
        <v>GV 20</v>
      </c>
      <c r="E825" t="s">
        <v>125</v>
      </c>
      <c r="G825" t="str">
        <f>_xlfn.CONCAT(Tabela9[[#This Row],[Coluna1]],Tabela9[[#This Row],[Coluna2]])</f>
        <v>18-TRAD</v>
      </c>
    </row>
    <row r="826" spans="1:7" x14ac:dyDescent="0.25">
      <c r="A826">
        <v>7071</v>
      </c>
      <c r="B826">
        <v>107</v>
      </c>
      <c r="C826" s="1" t="str">
        <f>IF(Tabela8[[#This Row],[SETOR]]="","",IF(Tabela8[[#This Row],[SETOR]]&lt;200,"GV 10",IF(Tabela8[[#This Row],[SETOR]]&lt;300,"GV 20",IF(Tabela8[[#This Row],[SETOR]]&lt;400,"GV 30","S/GV"))))</f>
        <v>GV 10</v>
      </c>
      <c r="E826" t="s">
        <v>125</v>
      </c>
      <c r="G826" t="str">
        <f>_xlfn.CONCAT(Tabela9[[#This Row],[Coluna1]],Tabela9[[#This Row],[Coluna2]])</f>
        <v>18-TRAD</v>
      </c>
    </row>
    <row r="827" spans="1:7" x14ac:dyDescent="0.25">
      <c r="A827">
        <v>7080</v>
      </c>
      <c r="B827">
        <v>913</v>
      </c>
      <c r="C827" s="1" t="str">
        <f>IF(Tabela8[[#This Row],[SETOR]]="","",IF(Tabela8[[#This Row],[SETOR]]&lt;200,"GV 10",IF(Tabela8[[#This Row],[SETOR]]&lt;300,"GV 20",IF(Tabela8[[#This Row],[SETOR]]&lt;400,"GV 30","S/GV"))))</f>
        <v>S/GV</v>
      </c>
      <c r="E827" t="s">
        <v>123</v>
      </c>
      <c r="G827" t="str">
        <f>_xlfn.CONCAT(Tabela9[[#This Row],[Coluna1]],Tabela9[[#This Row],[Coluna2]])</f>
        <v>20-Rota</v>
      </c>
    </row>
    <row r="828" spans="1:7" x14ac:dyDescent="0.25">
      <c r="A828">
        <v>7082</v>
      </c>
      <c r="B828">
        <v>206</v>
      </c>
      <c r="C828" s="1" t="str">
        <f>IF(Tabela8[[#This Row],[SETOR]]="","",IF(Tabela8[[#This Row],[SETOR]]&lt;200,"GV 10",IF(Tabela8[[#This Row],[SETOR]]&lt;300,"GV 20",IF(Tabela8[[#This Row],[SETOR]]&lt;400,"GV 30","S/GV"))))</f>
        <v>GV 20</v>
      </c>
      <c r="E828" t="s">
        <v>128</v>
      </c>
      <c r="F828" t="s">
        <v>129</v>
      </c>
      <c r="G828" t="str">
        <f>_xlfn.CONCAT(Tabela9[[#This Row],[Coluna1]],Tabela9[[#This Row],[Coluna2]])</f>
        <v>15-AS(1-4)</v>
      </c>
    </row>
    <row r="829" spans="1:7" x14ac:dyDescent="0.25">
      <c r="A829">
        <v>7092</v>
      </c>
      <c r="B829">
        <v>208</v>
      </c>
      <c r="C829" s="1" t="str">
        <f>IF(Tabela8[[#This Row],[SETOR]]="","",IF(Tabela8[[#This Row],[SETOR]]&lt;200,"GV 10",IF(Tabela8[[#This Row],[SETOR]]&lt;300,"GV 20",IF(Tabela8[[#This Row],[SETOR]]&lt;400,"GV 30","S/GV"))))</f>
        <v>GV 20</v>
      </c>
      <c r="E829" t="s">
        <v>128</v>
      </c>
      <c r="F829" t="s">
        <v>129</v>
      </c>
      <c r="G829" t="str">
        <f>_xlfn.CONCAT(Tabela9[[#This Row],[Coluna1]],Tabela9[[#This Row],[Coluna2]])</f>
        <v>15-AS(1-4)</v>
      </c>
    </row>
    <row r="830" spans="1:7" x14ac:dyDescent="0.25">
      <c r="A830">
        <v>7093</v>
      </c>
      <c r="B830">
        <v>305</v>
      </c>
      <c r="C830" s="1" t="str">
        <f>IF(Tabela8[[#This Row],[SETOR]]="","",IF(Tabela8[[#This Row],[SETOR]]&lt;200,"GV 10",IF(Tabela8[[#This Row],[SETOR]]&lt;300,"GV 20",IF(Tabela8[[#This Row],[SETOR]]&lt;400,"GV 30","S/GV"))))</f>
        <v>GV 30</v>
      </c>
      <c r="E830" t="s">
        <v>123</v>
      </c>
      <c r="G830" t="str">
        <f>_xlfn.CONCAT(Tabela9[[#This Row],[Coluna1]],Tabela9[[#This Row],[Coluna2]])</f>
        <v>20-Rota</v>
      </c>
    </row>
    <row r="831" spans="1:7" x14ac:dyDescent="0.25">
      <c r="A831">
        <v>7111</v>
      </c>
      <c r="B831">
        <v>303</v>
      </c>
      <c r="C831" s="1" t="str">
        <f>IF(Tabela8[[#This Row],[SETOR]]="","",IF(Tabela8[[#This Row],[SETOR]]&lt;200,"GV 10",IF(Tabela8[[#This Row],[SETOR]]&lt;300,"GV 20",IF(Tabela8[[#This Row],[SETOR]]&lt;400,"GV 30","S/GV"))))</f>
        <v>GV 30</v>
      </c>
      <c r="E831" t="s">
        <v>123</v>
      </c>
      <c r="G831" t="str">
        <f>_xlfn.CONCAT(Tabela9[[#This Row],[Coluna1]],Tabela9[[#This Row],[Coluna2]])</f>
        <v>20-Rota</v>
      </c>
    </row>
    <row r="832" spans="1:7" x14ac:dyDescent="0.25">
      <c r="A832">
        <v>7122</v>
      </c>
      <c r="B832">
        <v>303</v>
      </c>
      <c r="C832" s="1" t="str">
        <f>IF(Tabela8[[#This Row],[SETOR]]="","",IF(Tabela8[[#This Row],[SETOR]]&lt;200,"GV 10",IF(Tabela8[[#This Row],[SETOR]]&lt;300,"GV 20",IF(Tabela8[[#This Row],[SETOR]]&lt;400,"GV 30","S/GV"))))</f>
        <v>GV 30</v>
      </c>
      <c r="E832" t="s">
        <v>123</v>
      </c>
      <c r="G832" t="str">
        <f>_xlfn.CONCAT(Tabela9[[#This Row],[Coluna1]],Tabela9[[#This Row],[Coluna2]])</f>
        <v>20-Rota</v>
      </c>
    </row>
    <row r="833" spans="1:7" x14ac:dyDescent="0.25">
      <c r="A833">
        <v>7129</v>
      </c>
      <c r="B833">
        <v>301</v>
      </c>
      <c r="C833" s="1" t="str">
        <f>IF(Tabela8[[#This Row],[SETOR]]="","",IF(Tabela8[[#This Row],[SETOR]]&lt;200,"GV 10",IF(Tabela8[[#This Row],[SETOR]]&lt;300,"GV 20",IF(Tabela8[[#This Row],[SETOR]]&lt;400,"GV 30","S/GV"))))</f>
        <v>GV 30</v>
      </c>
      <c r="E833" t="s">
        <v>123</v>
      </c>
      <c r="G833" t="str">
        <f>_xlfn.CONCAT(Tabela9[[#This Row],[Coluna1]],Tabela9[[#This Row],[Coluna2]])</f>
        <v>20-Rota</v>
      </c>
    </row>
    <row r="834" spans="1:7" x14ac:dyDescent="0.25">
      <c r="A834">
        <v>7130</v>
      </c>
      <c r="B834">
        <v>109</v>
      </c>
      <c r="C834" s="1" t="str">
        <f>IF(Tabela8[[#This Row],[SETOR]]="","",IF(Tabela8[[#This Row],[SETOR]]&lt;200,"GV 10",IF(Tabela8[[#This Row],[SETOR]]&lt;300,"GV 20",IF(Tabela8[[#This Row],[SETOR]]&lt;400,"GV 30","S/GV"))))</f>
        <v>GV 10</v>
      </c>
      <c r="E834" t="s">
        <v>123</v>
      </c>
      <c r="G834" t="str">
        <f>_xlfn.CONCAT(Tabela9[[#This Row],[Coluna1]],Tabela9[[#This Row],[Coluna2]])</f>
        <v>20-Rota</v>
      </c>
    </row>
    <row r="835" spans="1:7" x14ac:dyDescent="0.25">
      <c r="A835">
        <v>7142</v>
      </c>
      <c r="B835">
        <v>305</v>
      </c>
      <c r="C835" s="1" t="str">
        <f>IF(Tabela8[[#This Row],[SETOR]]="","",IF(Tabela8[[#This Row],[SETOR]]&lt;200,"GV 10",IF(Tabela8[[#This Row],[SETOR]]&lt;300,"GV 20",IF(Tabela8[[#This Row],[SETOR]]&lt;400,"GV 30","S/GV"))))</f>
        <v>GV 30</v>
      </c>
      <c r="E835" t="s">
        <v>123</v>
      </c>
      <c r="G835" t="str">
        <f>_xlfn.CONCAT(Tabela9[[#This Row],[Coluna1]],Tabela9[[#This Row],[Coluna2]])</f>
        <v>20-Rota</v>
      </c>
    </row>
    <row r="836" spans="1:7" x14ac:dyDescent="0.25">
      <c r="A836">
        <v>7156</v>
      </c>
      <c r="B836">
        <v>206</v>
      </c>
      <c r="C836" s="1" t="str">
        <f>IF(Tabela8[[#This Row],[SETOR]]="","",IF(Tabela8[[#This Row],[SETOR]]&lt;200,"GV 10",IF(Tabela8[[#This Row],[SETOR]]&lt;300,"GV 20",IF(Tabela8[[#This Row],[SETOR]]&lt;400,"GV 30","S/GV"))))</f>
        <v>GV 20</v>
      </c>
      <c r="E836" t="s">
        <v>128</v>
      </c>
      <c r="F836" t="s">
        <v>129</v>
      </c>
      <c r="G836" t="str">
        <f>_xlfn.CONCAT(Tabela9[[#This Row],[Coluna1]],Tabela9[[#This Row],[Coluna2]])</f>
        <v>15-AS(1-4)</v>
      </c>
    </row>
    <row r="837" spans="1:7" x14ac:dyDescent="0.25">
      <c r="A837">
        <v>7157</v>
      </c>
      <c r="B837">
        <v>206</v>
      </c>
      <c r="C837" s="1" t="str">
        <f>IF(Tabela8[[#This Row],[SETOR]]="","",IF(Tabela8[[#This Row],[SETOR]]&lt;200,"GV 10",IF(Tabela8[[#This Row],[SETOR]]&lt;300,"GV 20",IF(Tabela8[[#This Row],[SETOR]]&lt;400,"GV 30","S/GV"))))</f>
        <v>GV 20</v>
      </c>
      <c r="E837" t="s">
        <v>123</v>
      </c>
      <c r="G837" t="str">
        <f>_xlfn.CONCAT(Tabela9[[#This Row],[Coluna1]],Tabela9[[#This Row],[Coluna2]])</f>
        <v>20-Rota</v>
      </c>
    </row>
    <row r="838" spans="1:7" x14ac:dyDescent="0.25">
      <c r="A838">
        <v>7158</v>
      </c>
      <c r="B838">
        <v>206</v>
      </c>
      <c r="C838" s="1" t="str">
        <f>IF(Tabela8[[#This Row],[SETOR]]="","",IF(Tabela8[[#This Row],[SETOR]]&lt;200,"GV 10",IF(Tabela8[[#This Row],[SETOR]]&lt;300,"GV 20",IF(Tabela8[[#This Row],[SETOR]]&lt;400,"GV 30","S/GV"))))</f>
        <v>GV 20</v>
      </c>
      <c r="E838" t="s">
        <v>123</v>
      </c>
      <c r="G838" t="str">
        <f>_xlfn.CONCAT(Tabela9[[#This Row],[Coluna1]],Tabela9[[#This Row],[Coluna2]])</f>
        <v>20-Rota</v>
      </c>
    </row>
    <row r="839" spans="1:7" x14ac:dyDescent="0.25">
      <c r="A839">
        <v>7162</v>
      </c>
      <c r="B839">
        <v>206</v>
      </c>
      <c r="C839" s="1" t="str">
        <f>IF(Tabela8[[#This Row],[SETOR]]="","",IF(Tabela8[[#This Row],[SETOR]]&lt;200,"GV 10",IF(Tabela8[[#This Row],[SETOR]]&lt;300,"GV 20",IF(Tabela8[[#This Row],[SETOR]]&lt;400,"GV 30","S/GV"))))</f>
        <v>GV 20</v>
      </c>
      <c r="E839" t="s">
        <v>123</v>
      </c>
      <c r="G839" t="str">
        <f>_xlfn.CONCAT(Tabela9[[#This Row],[Coluna1]],Tabela9[[#This Row],[Coluna2]])</f>
        <v>20-Rota</v>
      </c>
    </row>
    <row r="840" spans="1:7" x14ac:dyDescent="0.25">
      <c r="A840">
        <v>7173</v>
      </c>
      <c r="B840">
        <v>912</v>
      </c>
      <c r="C840" s="1" t="str">
        <f>IF(Tabela8[[#This Row],[SETOR]]="","",IF(Tabela8[[#This Row],[SETOR]]&lt;200,"GV 10",IF(Tabela8[[#This Row],[SETOR]]&lt;300,"GV 20",IF(Tabela8[[#This Row],[SETOR]]&lt;400,"GV 30","S/GV"))))</f>
        <v>S/GV</v>
      </c>
      <c r="E840" t="s">
        <v>123</v>
      </c>
      <c r="G840" t="str">
        <f>_xlfn.CONCAT(Tabela9[[#This Row],[Coluna1]],Tabela9[[#This Row],[Coluna2]])</f>
        <v>20-Rota</v>
      </c>
    </row>
    <row r="841" spans="1:7" x14ac:dyDescent="0.25">
      <c r="A841">
        <v>7199</v>
      </c>
      <c r="B841">
        <v>302</v>
      </c>
      <c r="C841" s="1" t="str">
        <f>IF(Tabela8[[#This Row],[SETOR]]="","",IF(Tabela8[[#This Row],[SETOR]]&lt;200,"GV 10",IF(Tabela8[[#This Row],[SETOR]]&lt;300,"GV 20",IF(Tabela8[[#This Row],[SETOR]]&lt;400,"GV 30","S/GV"))))</f>
        <v>GV 30</v>
      </c>
      <c r="E841" t="s">
        <v>123</v>
      </c>
      <c r="G841" t="str">
        <f>_xlfn.CONCAT(Tabela9[[#This Row],[Coluna1]],Tabela9[[#This Row],[Coluna2]])</f>
        <v>20-Rota</v>
      </c>
    </row>
    <row r="842" spans="1:7" x14ac:dyDescent="0.25">
      <c r="A842">
        <v>7203</v>
      </c>
      <c r="B842">
        <v>205</v>
      </c>
      <c r="C842" s="1" t="str">
        <f>IF(Tabela8[[#This Row],[SETOR]]="","",IF(Tabela8[[#This Row],[SETOR]]&lt;200,"GV 10",IF(Tabela8[[#This Row],[SETOR]]&lt;300,"GV 20",IF(Tabela8[[#This Row],[SETOR]]&lt;400,"GV 30","S/GV"))))</f>
        <v>GV 20</v>
      </c>
      <c r="E842" t="s">
        <v>123</v>
      </c>
      <c r="G842" t="str">
        <f>_xlfn.CONCAT(Tabela9[[#This Row],[Coluna1]],Tabela9[[#This Row],[Coluna2]])</f>
        <v>20-Rota</v>
      </c>
    </row>
    <row r="843" spans="1:7" x14ac:dyDescent="0.25">
      <c r="A843">
        <v>7207</v>
      </c>
      <c r="B843">
        <v>205</v>
      </c>
      <c r="C843" s="1" t="str">
        <f>IF(Tabela8[[#This Row],[SETOR]]="","",IF(Tabela8[[#This Row],[SETOR]]&lt;200,"GV 10",IF(Tabela8[[#This Row],[SETOR]]&lt;300,"GV 20",IF(Tabela8[[#This Row],[SETOR]]&lt;400,"GV 30","S/GV"))))</f>
        <v>GV 20</v>
      </c>
      <c r="E843" t="s">
        <v>123</v>
      </c>
      <c r="G843" t="str">
        <f>_xlfn.CONCAT(Tabela9[[#This Row],[Coluna1]],Tabela9[[#This Row],[Coluna2]])</f>
        <v>20-Rota</v>
      </c>
    </row>
    <row r="844" spans="1:7" x14ac:dyDescent="0.25">
      <c r="A844">
        <v>7208</v>
      </c>
      <c r="B844">
        <v>205</v>
      </c>
      <c r="C844" s="1" t="str">
        <f>IF(Tabela8[[#This Row],[SETOR]]="","",IF(Tabela8[[#This Row],[SETOR]]&lt;200,"GV 10",IF(Tabela8[[#This Row],[SETOR]]&lt;300,"GV 20",IF(Tabela8[[#This Row],[SETOR]]&lt;400,"GV 30","S/GV"))))</f>
        <v>GV 20</v>
      </c>
      <c r="E844" t="s">
        <v>123</v>
      </c>
      <c r="G844" t="str">
        <f>_xlfn.CONCAT(Tabela9[[#This Row],[Coluna1]],Tabela9[[#This Row],[Coluna2]])</f>
        <v>20-Rota</v>
      </c>
    </row>
    <row r="845" spans="1:7" x14ac:dyDescent="0.25">
      <c r="A845">
        <v>7215</v>
      </c>
      <c r="B845">
        <v>103</v>
      </c>
      <c r="C845" s="1" t="str">
        <f>IF(Tabela8[[#This Row],[SETOR]]="","",IF(Tabela8[[#This Row],[SETOR]]&lt;200,"GV 10",IF(Tabela8[[#This Row],[SETOR]]&lt;300,"GV 20",IF(Tabela8[[#This Row],[SETOR]]&lt;400,"GV 30","S/GV"))))</f>
        <v>GV 10</v>
      </c>
      <c r="E845" t="s">
        <v>123</v>
      </c>
      <c r="G845" t="str">
        <f>_xlfn.CONCAT(Tabela9[[#This Row],[Coluna1]],Tabela9[[#This Row],[Coluna2]])</f>
        <v>20-Rota</v>
      </c>
    </row>
    <row r="846" spans="1:7" x14ac:dyDescent="0.25">
      <c r="A846">
        <v>7242</v>
      </c>
      <c r="B846">
        <v>208</v>
      </c>
      <c r="C846" s="1" t="str">
        <f>IF(Tabela8[[#This Row],[SETOR]]="","",IF(Tabela8[[#This Row],[SETOR]]&lt;200,"GV 10",IF(Tabela8[[#This Row],[SETOR]]&lt;300,"GV 20",IF(Tabela8[[#This Row],[SETOR]]&lt;400,"GV 30","S/GV"))))</f>
        <v>GV 20</v>
      </c>
      <c r="E846" t="s">
        <v>126</v>
      </c>
      <c r="F846" t="s">
        <v>127</v>
      </c>
      <c r="G846" t="str">
        <f>_xlfn.CONCAT(Tabela9[[#This Row],[Coluna1]],Tabela9[[#This Row],[Coluna2]])</f>
        <v>16-AS(5+)</v>
      </c>
    </row>
    <row r="847" spans="1:7" x14ac:dyDescent="0.25">
      <c r="A847">
        <v>7245</v>
      </c>
      <c r="B847">
        <v>207</v>
      </c>
      <c r="C847" s="1" t="str">
        <f>IF(Tabela8[[#This Row],[SETOR]]="","",IF(Tabela8[[#This Row],[SETOR]]&lt;200,"GV 10",IF(Tabela8[[#This Row],[SETOR]]&lt;300,"GV 20",IF(Tabela8[[#This Row],[SETOR]]&lt;400,"GV 30","S/GV"))))</f>
        <v>GV 20</v>
      </c>
      <c r="E847" t="s">
        <v>130</v>
      </c>
      <c r="G847" t="str">
        <f>_xlfn.CONCAT(Tabela9[[#This Row],[Coluna1]],Tabela9[[#This Row],[Coluna2]])</f>
        <v>21-SUB</v>
      </c>
    </row>
    <row r="848" spans="1:7" x14ac:dyDescent="0.25">
      <c r="A848">
        <v>7260</v>
      </c>
      <c r="B848">
        <v>302</v>
      </c>
      <c r="C848" s="1" t="str">
        <f>IF(Tabela8[[#This Row],[SETOR]]="","",IF(Tabela8[[#This Row],[SETOR]]&lt;200,"GV 10",IF(Tabela8[[#This Row],[SETOR]]&lt;300,"GV 20",IF(Tabela8[[#This Row],[SETOR]]&lt;400,"GV 30","S/GV"))))</f>
        <v>GV 30</v>
      </c>
      <c r="E848" t="s">
        <v>123</v>
      </c>
      <c r="G848" t="str">
        <f>_xlfn.CONCAT(Tabela9[[#This Row],[Coluna1]],Tabela9[[#This Row],[Coluna2]])</f>
        <v>20-Rota</v>
      </c>
    </row>
    <row r="849" spans="1:7" x14ac:dyDescent="0.25">
      <c r="A849">
        <v>7277</v>
      </c>
      <c r="B849">
        <v>206</v>
      </c>
      <c r="C849" s="1" t="str">
        <f>IF(Tabela8[[#This Row],[SETOR]]="","",IF(Tabela8[[#This Row],[SETOR]]&lt;200,"GV 10",IF(Tabela8[[#This Row],[SETOR]]&lt;300,"GV 20",IF(Tabela8[[#This Row],[SETOR]]&lt;400,"GV 30","S/GV"))))</f>
        <v>GV 20</v>
      </c>
      <c r="E849" t="s">
        <v>125</v>
      </c>
      <c r="G849" t="str">
        <f>_xlfn.CONCAT(Tabela9[[#This Row],[Coluna1]],Tabela9[[#This Row],[Coluna2]])</f>
        <v>18-TRAD</v>
      </c>
    </row>
    <row r="850" spans="1:7" x14ac:dyDescent="0.25">
      <c r="A850">
        <v>7278</v>
      </c>
      <c r="B850">
        <v>207</v>
      </c>
      <c r="C850" s="1" t="str">
        <f>IF(Tabela8[[#This Row],[SETOR]]="","",IF(Tabela8[[#This Row],[SETOR]]&lt;200,"GV 10",IF(Tabela8[[#This Row],[SETOR]]&lt;300,"GV 20",IF(Tabela8[[#This Row],[SETOR]]&lt;400,"GV 30","S/GV"))))</f>
        <v>GV 20</v>
      </c>
      <c r="E850" t="s">
        <v>125</v>
      </c>
      <c r="G850" t="str">
        <f>_xlfn.CONCAT(Tabela9[[#This Row],[Coluna1]],Tabela9[[#This Row],[Coluna2]])</f>
        <v>18-TRAD</v>
      </c>
    </row>
    <row r="851" spans="1:7" x14ac:dyDescent="0.25">
      <c r="A851">
        <v>7294</v>
      </c>
      <c r="B851">
        <v>107</v>
      </c>
      <c r="C851" s="1" t="str">
        <f>IF(Tabela8[[#This Row],[SETOR]]="","",IF(Tabela8[[#This Row],[SETOR]]&lt;200,"GV 10",IF(Tabela8[[#This Row],[SETOR]]&lt;300,"GV 20",IF(Tabela8[[#This Row],[SETOR]]&lt;400,"GV 30","S/GV"))))</f>
        <v>GV 10</v>
      </c>
      <c r="E851" t="s">
        <v>125</v>
      </c>
      <c r="G851" t="str">
        <f>_xlfn.CONCAT(Tabela9[[#This Row],[Coluna1]],Tabela9[[#This Row],[Coluna2]])</f>
        <v>18-TRAD</v>
      </c>
    </row>
    <row r="852" spans="1:7" x14ac:dyDescent="0.25">
      <c r="A852">
        <v>7297</v>
      </c>
      <c r="B852">
        <v>304</v>
      </c>
      <c r="C852" s="1" t="str">
        <f>IF(Tabela8[[#This Row],[SETOR]]="","",IF(Tabela8[[#This Row],[SETOR]]&lt;200,"GV 10",IF(Tabela8[[#This Row],[SETOR]]&lt;300,"GV 20",IF(Tabela8[[#This Row],[SETOR]]&lt;400,"GV 30","S/GV"))))</f>
        <v>GV 30</v>
      </c>
      <c r="E852" t="s">
        <v>123</v>
      </c>
      <c r="G852" t="str">
        <f>_xlfn.CONCAT(Tabela9[[#This Row],[Coluna1]],Tabela9[[#This Row],[Coluna2]])</f>
        <v>20-Rota</v>
      </c>
    </row>
    <row r="853" spans="1:7" x14ac:dyDescent="0.25">
      <c r="A853">
        <v>7311</v>
      </c>
      <c r="B853">
        <v>108</v>
      </c>
      <c r="C853" s="1" t="str">
        <f>IF(Tabela8[[#This Row],[SETOR]]="","",IF(Tabela8[[#This Row],[SETOR]]&lt;200,"GV 10",IF(Tabela8[[#This Row],[SETOR]]&lt;300,"GV 20",IF(Tabela8[[#This Row],[SETOR]]&lt;400,"GV 30","S/GV"))))</f>
        <v>GV 10</v>
      </c>
      <c r="E853" t="s">
        <v>128</v>
      </c>
      <c r="F853" t="s">
        <v>129</v>
      </c>
      <c r="G853" t="str">
        <f>_xlfn.CONCAT(Tabela9[[#This Row],[Coluna1]],Tabela9[[#This Row],[Coluna2]])</f>
        <v>15-AS(1-4)</v>
      </c>
    </row>
    <row r="854" spans="1:7" x14ac:dyDescent="0.25">
      <c r="A854">
        <v>7335</v>
      </c>
      <c r="B854">
        <v>916</v>
      </c>
      <c r="C854" s="1" t="str">
        <f>IF(Tabela8[[#This Row],[SETOR]]="","",IF(Tabela8[[#This Row],[SETOR]]&lt;200,"GV 10",IF(Tabela8[[#This Row],[SETOR]]&lt;300,"GV 20",IF(Tabela8[[#This Row],[SETOR]]&lt;400,"GV 30","S/GV"))))</f>
        <v>S/GV</v>
      </c>
      <c r="G854" t="str">
        <f>_xlfn.CONCAT(Tabela9[[#This Row],[Coluna1]],Tabela9[[#This Row],[Coluna2]])</f>
        <v/>
      </c>
    </row>
    <row r="855" spans="1:7" x14ac:dyDescent="0.25">
      <c r="A855">
        <v>7341</v>
      </c>
      <c r="B855">
        <v>206</v>
      </c>
      <c r="C855" s="1" t="str">
        <f>IF(Tabela8[[#This Row],[SETOR]]="","",IF(Tabela8[[#This Row],[SETOR]]&lt;200,"GV 10",IF(Tabela8[[#This Row],[SETOR]]&lt;300,"GV 20",IF(Tabela8[[#This Row],[SETOR]]&lt;400,"GV 30","S/GV"))))</f>
        <v>GV 20</v>
      </c>
      <c r="E855" t="s">
        <v>123</v>
      </c>
      <c r="G855" t="str">
        <f>_xlfn.CONCAT(Tabela9[[#This Row],[Coluna1]],Tabela9[[#This Row],[Coluna2]])</f>
        <v>20-Rota</v>
      </c>
    </row>
    <row r="856" spans="1:7" x14ac:dyDescent="0.25">
      <c r="A856">
        <v>7345</v>
      </c>
      <c r="B856">
        <v>208</v>
      </c>
      <c r="C856" s="1" t="str">
        <f>IF(Tabela8[[#This Row],[SETOR]]="","",IF(Tabela8[[#This Row],[SETOR]]&lt;200,"GV 10",IF(Tabela8[[#This Row],[SETOR]]&lt;300,"GV 20",IF(Tabela8[[#This Row],[SETOR]]&lt;400,"GV 30","S/GV"))))</f>
        <v>GV 20</v>
      </c>
      <c r="E856" t="s">
        <v>128</v>
      </c>
      <c r="F856" t="s">
        <v>129</v>
      </c>
      <c r="G856" t="str">
        <f>_xlfn.CONCAT(Tabela9[[#This Row],[Coluna1]],Tabela9[[#This Row],[Coluna2]])</f>
        <v>15-AS(1-4)</v>
      </c>
    </row>
    <row r="857" spans="1:7" x14ac:dyDescent="0.25">
      <c r="A857">
        <v>7348</v>
      </c>
      <c r="B857">
        <v>208</v>
      </c>
      <c r="C857" s="1" t="str">
        <f>IF(Tabela8[[#This Row],[SETOR]]="","",IF(Tabela8[[#This Row],[SETOR]]&lt;200,"GV 10",IF(Tabela8[[#This Row],[SETOR]]&lt;300,"GV 20",IF(Tabela8[[#This Row],[SETOR]]&lt;400,"GV 30","S/GV"))))</f>
        <v>GV 20</v>
      </c>
      <c r="E857" t="s">
        <v>128</v>
      </c>
      <c r="F857" t="s">
        <v>129</v>
      </c>
      <c r="G857" t="str">
        <f>_xlfn.CONCAT(Tabela9[[#This Row],[Coluna1]],Tabela9[[#This Row],[Coluna2]])</f>
        <v>15-AS(1-4)</v>
      </c>
    </row>
    <row r="858" spans="1:7" x14ac:dyDescent="0.25">
      <c r="A858">
        <v>7349</v>
      </c>
      <c r="B858">
        <v>203</v>
      </c>
      <c r="C858" s="1" t="str">
        <f>IF(Tabela8[[#This Row],[SETOR]]="","",IF(Tabela8[[#This Row],[SETOR]]&lt;200,"GV 10",IF(Tabela8[[#This Row],[SETOR]]&lt;300,"GV 20",IF(Tabela8[[#This Row],[SETOR]]&lt;400,"GV 30","S/GV"))))</f>
        <v>GV 20</v>
      </c>
      <c r="E858" t="s">
        <v>123</v>
      </c>
      <c r="G858" t="str">
        <f>_xlfn.CONCAT(Tabela9[[#This Row],[Coluna1]],Tabela9[[#This Row],[Coluna2]])</f>
        <v>20-Rota</v>
      </c>
    </row>
    <row r="859" spans="1:7" x14ac:dyDescent="0.25">
      <c r="A859">
        <v>7369</v>
      </c>
      <c r="B859">
        <v>202</v>
      </c>
      <c r="C859" s="1" t="str">
        <f>IF(Tabela8[[#This Row],[SETOR]]="","",IF(Tabela8[[#This Row],[SETOR]]&lt;200,"GV 10",IF(Tabela8[[#This Row],[SETOR]]&lt;300,"GV 20",IF(Tabela8[[#This Row],[SETOR]]&lt;400,"GV 30","S/GV"))))</f>
        <v>GV 20</v>
      </c>
      <c r="E859" t="s">
        <v>123</v>
      </c>
      <c r="G859" t="str">
        <f>_xlfn.CONCAT(Tabela9[[#This Row],[Coluna1]],Tabela9[[#This Row],[Coluna2]])</f>
        <v>20-Rota</v>
      </c>
    </row>
    <row r="860" spans="1:7" x14ac:dyDescent="0.25">
      <c r="A860">
        <v>7376</v>
      </c>
      <c r="B860">
        <v>916</v>
      </c>
      <c r="C860" s="1" t="str">
        <f>IF(Tabela8[[#This Row],[SETOR]]="","",IF(Tabela8[[#This Row],[SETOR]]&lt;200,"GV 10",IF(Tabela8[[#This Row],[SETOR]]&lt;300,"GV 20",IF(Tabela8[[#This Row],[SETOR]]&lt;400,"GV 30","S/GV"))))</f>
        <v>S/GV</v>
      </c>
      <c r="G860" t="str">
        <f>_xlfn.CONCAT(Tabela9[[#This Row],[Coluna1]],Tabela9[[#This Row],[Coluna2]])</f>
        <v/>
      </c>
    </row>
    <row r="861" spans="1:7" x14ac:dyDescent="0.25">
      <c r="A861">
        <v>7380</v>
      </c>
      <c r="B861">
        <v>916</v>
      </c>
      <c r="C861" s="1" t="str">
        <f>IF(Tabela8[[#This Row],[SETOR]]="","",IF(Tabela8[[#This Row],[SETOR]]&lt;200,"GV 10",IF(Tabela8[[#This Row],[SETOR]]&lt;300,"GV 20",IF(Tabela8[[#This Row],[SETOR]]&lt;400,"GV 30","S/GV"))))</f>
        <v>S/GV</v>
      </c>
      <c r="G861" t="str">
        <f>_xlfn.CONCAT(Tabela9[[#This Row],[Coluna1]],Tabela9[[#This Row],[Coluna2]])</f>
        <v/>
      </c>
    </row>
    <row r="862" spans="1:7" x14ac:dyDescent="0.25">
      <c r="A862">
        <v>7384</v>
      </c>
      <c r="B862">
        <v>307</v>
      </c>
      <c r="C862" s="1" t="str">
        <f>IF(Tabela8[[#This Row],[SETOR]]="","",IF(Tabela8[[#This Row],[SETOR]]&lt;200,"GV 10",IF(Tabela8[[#This Row],[SETOR]]&lt;300,"GV 20",IF(Tabela8[[#This Row],[SETOR]]&lt;400,"GV 30","S/GV"))))</f>
        <v>GV 30</v>
      </c>
      <c r="E862" t="s">
        <v>130</v>
      </c>
      <c r="G862" t="str">
        <f>_xlfn.CONCAT(Tabela9[[#This Row],[Coluna1]],Tabela9[[#This Row],[Coluna2]])</f>
        <v>21-SUB</v>
      </c>
    </row>
    <row r="863" spans="1:7" x14ac:dyDescent="0.25">
      <c r="A863">
        <v>7386</v>
      </c>
      <c r="B863">
        <v>105</v>
      </c>
      <c r="C863" s="1" t="str">
        <f>IF(Tabela8[[#This Row],[SETOR]]="","",IF(Tabela8[[#This Row],[SETOR]]&lt;200,"GV 10",IF(Tabela8[[#This Row],[SETOR]]&lt;300,"GV 20",IF(Tabela8[[#This Row],[SETOR]]&lt;400,"GV 30","S/GV"))))</f>
        <v>GV 10</v>
      </c>
      <c r="E863" t="s">
        <v>125</v>
      </c>
      <c r="G863" t="str">
        <f>_xlfn.CONCAT(Tabela9[[#This Row],[Coluna1]],Tabela9[[#This Row],[Coluna2]])</f>
        <v>18-TRAD</v>
      </c>
    </row>
    <row r="864" spans="1:7" x14ac:dyDescent="0.25">
      <c r="A864">
        <v>7390</v>
      </c>
      <c r="B864">
        <v>102</v>
      </c>
      <c r="C864" s="1" t="str">
        <f>IF(Tabela8[[#This Row],[SETOR]]="","",IF(Tabela8[[#This Row],[SETOR]]&lt;200,"GV 10",IF(Tabela8[[#This Row],[SETOR]]&lt;300,"GV 20",IF(Tabela8[[#This Row],[SETOR]]&lt;400,"GV 30","S/GV"))))</f>
        <v>GV 10</v>
      </c>
      <c r="E864" t="s">
        <v>123</v>
      </c>
      <c r="G864" t="str">
        <f>_xlfn.CONCAT(Tabela9[[#This Row],[Coluna1]],Tabela9[[#This Row],[Coluna2]])</f>
        <v>20-Rota</v>
      </c>
    </row>
    <row r="865" spans="1:7" x14ac:dyDescent="0.25">
      <c r="A865">
        <v>7413</v>
      </c>
      <c r="B865">
        <v>201</v>
      </c>
      <c r="C865" s="1" t="str">
        <f>IF(Tabela8[[#This Row],[SETOR]]="","",IF(Tabela8[[#This Row],[SETOR]]&lt;200,"GV 10",IF(Tabela8[[#This Row],[SETOR]]&lt;300,"GV 20",IF(Tabela8[[#This Row],[SETOR]]&lt;400,"GV 30","S/GV"))))</f>
        <v>GV 20</v>
      </c>
      <c r="E865" t="s">
        <v>123</v>
      </c>
      <c r="G865" t="str">
        <f>_xlfn.CONCAT(Tabela9[[#This Row],[Coluna1]],Tabela9[[#This Row],[Coluna2]])</f>
        <v>20-Rota</v>
      </c>
    </row>
    <row r="866" spans="1:7" x14ac:dyDescent="0.25">
      <c r="A866">
        <v>7416</v>
      </c>
      <c r="B866">
        <v>106</v>
      </c>
      <c r="C866" s="1" t="str">
        <f>IF(Tabela8[[#This Row],[SETOR]]="","",IF(Tabela8[[#This Row],[SETOR]]&lt;200,"GV 10",IF(Tabela8[[#This Row],[SETOR]]&lt;300,"GV 20",IF(Tabela8[[#This Row],[SETOR]]&lt;400,"GV 30","S/GV"))))</f>
        <v>GV 10</v>
      </c>
      <c r="E866" t="s">
        <v>123</v>
      </c>
      <c r="G866" t="str">
        <f>_xlfn.CONCAT(Tabela9[[#This Row],[Coluna1]],Tabela9[[#This Row],[Coluna2]])</f>
        <v>20-Rota</v>
      </c>
    </row>
    <row r="867" spans="1:7" x14ac:dyDescent="0.25">
      <c r="A867">
        <v>7420</v>
      </c>
      <c r="B867">
        <v>303</v>
      </c>
      <c r="C867" s="1" t="str">
        <f>IF(Tabela8[[#This Row],[SETOR]]="","",IF(Tabela8[[#This Row],[SETOR]]&lt;200,"GV 10",IF(Tabela8[[#This Row],[SETOR]]&lt;300,"GV 20",IF(Tabela8[[#This Row],[SETOR]]&lt;400,"GV 30","S/GV"))))</f>
        <v>GV 30</v>
      </c>
      <c r="E867" t="s">
        <v>123</v>
      </c>
      <c r="G867" t="str">
        <f>_xlfn.CONCAT(Tabela9[[#This Row],[Coluna1]],Tabela9[[#This Row],[Coluna2]])</f>
        <v>20-Rota</v>
      </c>
    </row>
    <row r="868" spans="1:7" x14ac:dyDescent="0.25">
      <c r="A868">
        <v>7421</v>
      </c>
      <c r="B868">
        <v>302</v>
      </c>
      <c r="C868" s="1" t="str">
        <f>IF(Tabela8[[#This Row],[SETOR]]="","",IF(Tabela8[[#This Row],[SETOR]]&lt;200,"GV 10",IF(Tabela8[[#This Row],[SETOR]]&lt;300,"GV 20",IF(Tabela8[[#This Row],[SETOR]]&lt;400,"GV 30","S/GV"))))</f>
        <v>GV 30</v>
      </c>
      <c r="E868" t="s">
        <v>123</v>
      </c>
      <c r="G868" t="str">
        <f>_xlfn.CONCAT(Tabela9[[#This Row],[Coluna1]],Tabela9[[#This Row],[Coluna2]])</f>
        <v>20-Rota</v>
      </c>
    </row>
    <row r="869" spans="1:7" x14ac:dyDescent="0.25">
      <c r="A869">
        <v>7426</v>
      </c>
      <c r="B869">
        <v>105</v>
      </c>
      <c r="C869" s="1" t="str">
        <f>IF(Tabela8[[#This Row],[SETOR]]="","",IF(Tabela8[[#This Row],[SETOR]]&lt;200,"GV 10",IF(Tabela8[[#This Row],[SETOR]]&lt;300,"GV 20",IF(Tabela8[[#This Row],[SETOR]]&lt;400,"GV 30","S/GV"))))</f>
        <v>GV 10</v>
      </c>
      <c r="E869" t="s">
        <v>123</v>
      </c>
      <c r="G869" t="str">
        <f>_xlfn.CONCAT(Tabela9[[#This Row],[Coluna1]],Tabela9[[#This Row],[Coluna2]])</f>
        <v>20-Rota</v>
      </c>
    </row>
    <row r="870" spans="1:7" x14ac:dyDescent="0.25">
      <c r="A870">
        <v>7428</v>
      </c>
      <c r="B870">
        <v>306</v>
      </c>
      <c r="C870" s="1" t="str">
        <f>IF(Tabela8[[#This Row],[SETOR]]="","",IF(Tabela8[[#This Row],[SETOR]]&lt;200,"GV 10",IF(Tabela8[[#This Row],[SETOR]]&lt;300,"GV 20",IF(Tabela8[[#This Row],[SETOR]]&lt;400,"GV 30","S/GV"))))</f>
        <v>GV 30</v>
      </c>
      <c r="E870" t="s">
        <v>125</v>
      </c>
      <c r="G870" t="str">
        <f>_xlfn.CONCAT(Tabela9[[#This Row],[Coluna1]],Tabela9[[#This Row],[Coluna2]])</f>
        <v>18-TRAD</v>
      </c>
    </row>
    <row r="871" spans="1:7" x14ac:dyDescent="0.25">
      <c r="A871">
        <v>7433</v>
      </c>
      <c r="B871">
        <v>101</v>
      </c>
      <c r="C871" s="1" t="str">
        <f>IF(Tabela8[[#This Row],[SETOR]]="","",IF(Tabela8[[#This Row],[SETOR]]&lt;200,"GV 10",IF(Tabela8[[#This Row],[SETOR]]&lt;300,"GV 20",IF(Tabela8[[#This Row],[SETOR]]&lt;400,"GV 30","S/GV"))))</f>
        <v>GV 10</v>
      </c>
      <c r="E871" t="s">
        <v>123</v>
      </c>
      <c r="G871" t="str">
        <f>_xlfn.CONCAT(Tabela9[[#This Row],[Coluna1]],Tabela9[[#This Row],[Coluna2]])</f>
        <v>20-Rota</v>
      </c>
    </row>
    <row r="872" spans="1:7" x14ac:dyDescent="0.25">
      <c r="A872">
        <v>7449</v>
      </c>
      <c r="B872">
        <v>306</v>
      </c>
      <c r="C872" s="1" t="str">
        <f>IF(Tabela8[[#This Row],[SETOR]]="","",IF(Tabela8[[#This Row],[SETOR]]&lt;200,"GV 10",IF(Tabela8[[#This Row],[SETOR]]&lt;300,"GV 20",IF(Tabela8[[#This Row],[SETOR]]&lt;400,"GV 30","S/GV"))))</f>
        <v>GV 30</v>
      </c>
      <c r="E872" t="s">
        <v>125</v>
      </c>
      <c r="G872" t="str">
        <f>_xlfn.CONCAT(Tabela9[[#This Row],[Coluna1]],Tabela9[[#This Row],[Coluna2]])</f>
        <v>18-TRAD</v>
      </c>
    </row>
    <row r="873" spans="1:7" x14ac:dyDescent="0.25">
      <c r="A873">
        <v>7452</v>
      </c>
      <c r="B873">
        <v>108</v>
      </c>
      <c r="C873" s="1" t="str">
        <f>IF(Tabela8[[#This Row],[SETOR]]="","",IF(Tabela8[[#This Row],[SETOR]]&lt;200,"GV 10",IF(Tabela8[[#This Row],[SETOR]]&lt;300,"GV 20",IF(Tabela8[[#This Row],[SETOR]]&lt;400,"GV 30","S/GV"))))</f>
        <v>GV 10</v>
      </c>
      <c r="E873" t="s">
        <v>126</v>
      </c>
      <c r="F873" t="s">
        <v>127</v>
      </c>
      <c r="G873" t="str">
        <f>_xlfn.CONCAT(Tabela9[[#This Row],[Coluna1]],Tabela9[[#This Row],[Coluna2]])</f>
        <v>16-AS(5+)</v>
      </c>
    </row>
    <row r="874" spans="1:7" x14ac:dyDescent="0.25">
      <c r="A874">
        <v>7454</v>
      </c>
      <c r="B874">
        <v>303</v>
      </c>
      <c r="C874" s="1" t="str">
        <f>IF(Tabela8[[#This Row],[SETOR]]="","",IF(Tabela8[[#This Row],[SETOR]]&lt;200,"GV 10",IF(Tabela8[[#This Row],[SETOR]]&lt;300,"GV 20",IF(Tabela8[[#This Row],[SETOR]]&lt;400,"GV 30","S/GV"))))</f>
        <v>GV 30</v>
      </c>
      <c r="E874" t="s">
        <v>123</v>
      </c>
      <c r="G874" t="str">
        <f>_xlfn.CONCAT(Tabela9[[#This Row],[Coluna1]],Tabela9[[#This Row],[Coluna2]])</f>
        <v>20-Rota</v>
      </c>
    </row>
    <row r="875" spans="1:7" x14ac:dyDescent="0.25">
      <c r="A875">
        <v>7458</v>
      </c>
      <c r="B875">
        <v>205</v>
      </c>
      <c r="C875" s="1" t="str">
        <f>IF(Tabela8[[#This Row],[SETOR]]="","",IF(Tabela8[[#This Row],[SETOR]]&lt;200,"GV 10",IF(Tabela8[[#This Row],[SETOR]]&lt;300,"GV 20",IF(Tabela8[[#This Row],[SETOR]]&lt;400,"GV 30","S/GV"))))</f>
        <v>GV 20</v>
      </c>
      <c r="E875" t="s">
        <v>123</v>
      </c>
      <c r="G875" t="str">
        <f>_xlfn.CONCAT(Tabela9[[#This Row],[Coluna1]],Tabela9[[#This Row],[Coluna2]])</f>
        <v>20-Rota</v>
      </c>
    </row>
    <row r="876" spans="1:7" x14ac:dyDescent="0.25">
      <c r="A876">
        <v>7464</v>
      </c>
      <c r="B876">
        <v>206</v>
      </c>
      <c r="C876" s="1" t="str">
        <f>IF(Tabela8[[#This Row],[SETOR]]="","",IF(Tabela8[[#This Row],[SETOR]]&lt;200,"GV 10",IF(Tabela8[[#This Row],[SETOR]]&lt;300,"GV 20",IF(Tabela8[[#This Row],[SETOR]]&lt;400,"GV 30","S/GV"))))</f>
        <v>GV 20</v>
      </c>
      <c r="E876" t="s">
        <v>123</v>
      </c>
      <c r="G876" t="str">
        <f>_xlfn.CONCAT(Tabela9[[#This Row],[Coluna1]],Tabela9[[#This Row],[Coluna2]])</f>
        <v>20-Rota</v>
      </c>
    </row>
    <row r="877" spans="1:7" x14ac:dyDescent="0.25">
      <c r="A877">
        <v>7469</v>
      </c>
      <c r="B877">
        <v>916</v>
      </c>
      <c r="C877" s="1" t="str">
        <f>IF(Tabela8[[#This Row],[SETOR]]="","",IF(Tabela8[[#This Row],[SETOR]]&lt;200,"GV 10",IF(Tabela8[[#This Row],[SETOR]]&lt;300,"GV 20",IF(Tabela8[[#This Row],[SETOR]]&lt;400,"GV 30","S/GV"))))</f>
        <v>S/GV</v>
      </c>
      <c r="G877" t="str">
        <f>_xlfn.CONCAT(Tabela9[[#This Row],[Coluna1]],Tabela9[[#This Row],[Coluna2]])</f>
        <v/>
      </c>
    </row>
    <row r="878" spans="1:7" x14ac:dyDescent="0.25">
      <c r="A878">
        <v>7473</v>
      </c>
      <c r="B878">
        <v>304</v>
      </c>
      <c r="C878" s="1" t="str">
        <f>IF(Tabela8[[#This Row],[SETOR]]="","",IF(Tabela8[[#This Row],[SETOR]]&lt;200,"GV 10",IF(Tabela8[[#This Row],[SETOR]]&lt;300,"GV 20",IF(Tabela8[[#This Row],[SETOR]]&lt;400,"GV 30","S/GV"))))</f>
        <v>GV 30</v>
      </c>
      <c r="E878" t="s">
        <v>123</v>
      </c>
      <c r="G878" t="str">
        <f>_xlfn.CONCAT(Tabela9[[#This Row],[Coluna1]],Tabela9[[#This Row],[Coluna2]])</f>
        <v>20-Rota</v>
      </c>
    </row>
    <row r="879" spans="1:7" x14ac:dyDescent="0.25">
      <c r="A879">
        <v>7476</v>
      </c>
      <c r="B879">
        <v>201</v>
      </c>
      <c r="C879" s="1" t="str">
        <f>IF(Tabela8[[#This Row],[SETOR]]="","",IF(Tabela8[[#This Row],[SETOR]]&lt;200,"GV 10",IF(Tabela8[[#This Row],[SETOR]]&lt;300,"GV 20",IF(Tabela8[[#This Row],[SETOR]]&lt;400,"GV 30","S/GV"))))</f>
        <v>GV 20</v>
      </c>
      <c r="E879" t="s">
        <v>125</v>
      </c>
      <c r="G879" t="str">
        <f>_xlfn.CONCAT(Tabela9[[#This Row],[Coluna1]],Tabela9[[#This Row],[Coluna2]])</f>
        <v>18-TRAD</v>
      </c>
    </row>
    <row r="880" spans="1:7" x14ac:dyDescent="0.25">
      <c r="A880">
        <v>7485</v>
      </c>
      <c r="B880">
        <v>102</v>
      </c>
      <c r="C880" s="1" t="str">
        <f>IF(Tabela8[[#This Row],[SETOR]]="","",IF(Tabela8[[#This Row],[SETOR]]&lt;200,"GV 10",IF(Tabela8[[#This Row],[SETOR]]&lt;300,"GV 20",IF(Tabela8[[#This Row],[SETOR]]&lt;400,"GV 30","S/GV"))))</f>
        <v>GV 10</v>
      </c>
      <c r="E880" t="s">
        <v>123</v>
      </c>
      <c r="G880" t="str">
        <f>_xlfn.CONCAT(Tabela9[[#This Row],[Coluna1]],Tabela9[[#This Row],[Coluna2]])</f>
        <v>20-Rota</v>
      </c>
    </row>
    <row r="881" spans="1:7" x14ac:dyDescent="0.25">
      <c r="A881">
        <v>7487</v>
      </c>
      <c r="B881">
        <v>912</v>
      </c>
      <c r="C881" s="1" t="str">
        <f>IF(Tabela8[[#This Row],[SETOR]]="","",IF(Tabela8[[#This Row],[SETOR]]&lt;200,"GV 10",IF(Tabela8[[#This Row],[SETOR]]&lt;300,"GV 20",IF(Tabela8[[#This Row],[SETOR]]&lt;400,"GV 30","S/GV"))))</f>
        <v>S/GV</v>
      </c>
      <c r="E881" t="s">
        <v>128</v>
      </c>
      <c r="F881" t="s">
        <v>129</v>
      </c>
      <c r="G881" t="str">
        <f>_xlfn.CONCAT(Tabela9[[#This Row],[Coluna1]],Tabela9[[#This Row],[Coluna2]])</f>
        <v>15-AS(1-4)</v>
      </c>
    </row>
    <row r="882" spans="1:7" x14ac:dyDescent="0.25">
      <c r="A882">
        <v>7516</v>
      </c>
      <c r="B882">
        <v>307</v>
      </c>
      <c r="C882" s="1" t="str">
        <f>IF(Tabela8[[#This Row],[SETOR]]="","",IF(Tabela8[[#This Row],[SETOR]]&lt;200,"GV 10",IF(Tabela8[[#This Row],[SETOR]]&lt;300,"GV 20",IF(Tabela8[[#This Row],[SETOR]]&lt;400,"GV 30","S/GV"))))</f>
        <v>GV 30</v>
      </c>
      <c r="E882" t="s">
        <v>130</v>
      </c>
      <c r="G882" t="str">
        <f>_xlfn.CONCAT(Tabela9[[#This Row],[Coluna1]],Tabela9[[#This Row],[Coluna2]])</f>
        <v>21-SUB</v>
      </c>
    </row>
    <row r="883" spans="1:7" x14ac:dyDescent="0.25">
      <c r="A883">
        <v>7520</v>
      </c>
      <c r="B883">
        <v>104</v>
      </c>
      <c r="C883" s="1" t="str">
        <f>IF(Tabela8[[#This Row],[SETOR]]="","",IF(Tabela8[[#This Row],[SETOR]]&lt;200,"GV 10",IF(Tabela8[[#This Row],[SETOR]]&lt;300,"GV 20",IF(Tabela8[[#This Row],[SETOR]]&lt;400,"GV 30","S/GV"))))</f>
        <v>GV 10</v>
      </c>
      <c r="E883" t="s">
        <v>123</v>
      </c>
      <c r="G883" t="str">
        <f>_xlfn.CONCAT(Tabela9[[#This Row],[Coluna1]],Tabela9[[#This Row],[Coluna2]])</f>
        <v>20-Rota</v>
      </c>
    </row>
    <row r="884" spans="1:7" x14ac:dyDescent="0.25">
      <c r="A884">
        <v>7521</v>
      </c>
      <c r="B884">
        <v>306</v>
      </c>
      <c r="C884" s="1" t="str">
        <f>IF(Tabela8[[#This Row],[SETOR]]="","",IF(Tabela8[[#This Row],[SETOR]]&lt;200,"GV 10",IF(Tabela8[[#This Row],[SETOR]]&lt;300,"GV 20",IF(Tabela8[[#This Row],[SETOR]]&lt;400,"GV 30","S/GV"))))</f>
        <v>GV 30</v>
      </c>
      <c r="E884" t="s">
        <v>125</v>
      </c>
      <c r="G884" t="str">
        <f>_xlfn.CONCAT(Tabela9[[#This Row],[Coluna1]],Tabela9[[#This Row],[Coluna2]])</f>
        <v>18-TRAD</v>
      </c>
    </row>
    <row r="885" spans="1:7" x14ac:dyDescent="0.25">
      <c r="A885">
        <v>7552</v>
      </c>
      <c r="B885">
        <v>906</v>
      </c>
      <c r="C885" s="1" t="str">
        <f>IF(Tabela8[[#This Row],[SETOR]]="","",IF(Tabela8[[#This Row],[SETOR]]&lt;200,"GV 10",IF(Tabela8[[#This Row],[SETOR]]&lt;300,"GV 20",IF(Tabela8[[#This Row],[SETOR]]&lt;400,"GV 30","S/GV"))))</f>
        <v>S/GV</v>
      </c>
      <c r="E885" t="s">
        <v>123</v>
      </c>
      <c r="G885" t="str">
        <f>_xlfn.CONCAT(Tabela9[[#This Row],[Coluna1]],Tabela9[[#This Row],[Coluna2]])</f>
        <v>20-Rota</v>
      </c>
    </row>
    <row r="886" spans="1:7" x14ac:dyDescent="0.25">
      <c r="A886">
        <v>7554</v>
      </c>
      <c r="B886">
        <v>202</v>
      </c>
      <c r="C886" s="1" t="str">
        <f>IF(Tabela8[[#This Row],[SETOR]]="","",IF(Tabela8[[#This Row],[SETOR]]&lt;200,"GV 10",IF(Tabela8[[#This Row],[SETOR]]&lt;300,"GV 20",IF(Tabela8[[#This Row],[SETOR]]&lt;400,"GV 30","S/GV"))))</f>
        <v>GV 20</v>
      </c>
      <c r="E886" t="s">
        <v>123</v>
      </c>
      <c r="G886" t="str">
        <f>_xlfn.CONCAT(Tabela9[[#This Row],[Coluna1]],Tabela9[[#This Row],[Coluna2]])</f>
        <v>20-Rota</v>
      </c>
    </row>
    <row r="887" spans="1:7" x14ac:dyDescent="0.25">
      <c r="A887">
        <v>7556</v>
      </c>
      <c r="B887">
        <v>204</v>
      </c>
      <c r="C887" s="1" t="str">
        <f>IF(Tabela8[[#This Row],[SETOR]]="","",IF(Tabela8[[#This Row],[SETOR]]&lt;200,"GV 10",IF(Tabela8[[#This Row],[SETOR]]&lt;300,"GV 20",IF(Tabela8[[#This Row],[SETOR]]&lt;400,"GV 30","S/GV"))))</f>
        <v>GV 20</v>
      </c>
      <c r="E887" t="s">
        <v>125</v>
      </c>
      <c r="G887" t="str">
        <f>_xlfn.CONCAT(Tabela9[[#This Row],[Coluna1]],Tabela9[[#This Row],[Coluna2]])</f>
        <v>18-TRAD</v>
      </c>
    </row>
    <row r="888" spans="1:7" x14ac:dyDescent="0.25">
      <c r="A888">
        <v>7560</v>
      </c>
      <c r="B888">
        <v>205</v>
      </c>
      <c r="C888" s="1" t="str">
        <f>IF(Tabela8[[#This Row],[SETOR]]="","",IF(Tabela8[[#This Row],[SETOR]]&lt;200,"GV 10",IF(Tabela8[[#This Row],[SETOR]]&lt;300,"GV 20",IF(Tabela8[[#This Row],[SETOR]]&lt;400,"GV 30","S/GV"))))</f>
        <v>GV 20</v>
      </c>
      <c r="E888" t="s">
        <v>123</v>
      </c>
      <c r="G888" t="str">
        <f>_xlfn.CONCAT(Tabela9[[#This Row],[Coluna1]],Tabela9[[#This Row],[Coluna2]])</f>
        <v>20-Rota</v>
      </c>
    </row>
    <row r="889" spans="1:7" x14ac:dyDescent="0.25">
      <c r="A889">
        <v>7561</v>
      </c>
      <c r="B889">
        <v>208</v>
      </c>
      <c r="C889" s="1" t="str">
        <f>IF(Tabela8[[#This Row],[SETOR]]="","",IF(Tabela8[[#This Row],[SETOR]]&lt;200,"GV 10",IF(Tabela8[[#This Row],[SETOR]]&lt;300,"GV 20",IF(Tabela8[[#This Row],[SETOR]]&lt;400,"GV 30","S/GV"))))</f>
        <v>GV 20</v>
      </c>
      <c r="E889" t="s">
        <v>126</v>
      </c>
      <c r="F889" t="s">
        <v>127</v>
      </c>
      <c r="G889" t="str">
        <f>_xlfn.CONCAT(Tabela9[[#This Row],[Coluna1]],Tabela9[[#This Row],[Coluna2]])</f>
        <v>16-AS(5+)</v>
      </c>
    </row>
    <row r="890" spans="1:7" x14ac:dyDescent="0.25">
      <c r="A890">
        <v>7565</v>
      </c>
      <c r="B890">
        <v>206</v>
      </c>
      <c r="C890" s="1" t="str">
        <f>IF(Tabela8[[#This Row],[SETOR]]="","",IF(Tabela8[[#This Row],[SETOR]]&lt;200,"GV 10",IF(Tabela8[[#This Row],[SETOR]]&lt;300,"GV 20",IF(Tabela8[[#This Row],[SETOR]]&lt;400,"GV 30","S/GV"))))</f>
        <v>GV 20</v>
      </c>
      <c r="E890" t="s">
        <v>125</v>
      </c>
      <c r="G890" t="str">
        <f>_xlfn.CONCAT(Tabela9[[#This Row],[Coluna1]],Tabela9[[#This Row],[Coluna2]])</f>
        <v>18-TRAD</v>
      </c>
    </row>
    <row r="891" spans="1:7" x14ac:dyDescent="0.25">
      <c r="A891">
        <v>7588</v>
      </c>
      <c r="B891">
        <v>107</v>
      </c>
      <c r="C891" s="1" t="str">
        <f>IF(Tabela8[[#This Row],[SETOR]]="","",IF(Tabela8[[#This Row],[SETOR]]&lt;200,"GV 10",IF(Tabela8[[#This Row],[SETOR]]&lt;300,"GV 20",IF(Tabela8[[#This Row],[SETOR]]&lt;400,"GV 30","S/GV"))))</f>
        <v>GV 10</v>
      </c>
      <c r="E891" t="s">
        <v>130</v>
      </c>
      <c r="G891" t="str">
        <f>_xlfn.CONCAT(Tabela9[[#This Row],[Coluna1]],Tabela9[[#This Row],[Coluna2]])</f>
        <v>21-SUB</v>
      </c>
    </row>
    <row r="892" spans="1:7" x14ac:dyDescent="0.25">
      <c r="A892">
        <v>7593</v>
      </c>
      <c r="B892">
        <v>104</v>
      </c>
      <c r="C892" s="1" t="str">
        <f>IF(Tabela8[[#This Row],[SETOR]]="","",IF(Tabela8[[#This Row],[SETOR]]&lt;200,"GV 10",IF(Tabela8[[#This Row],[SETOR]]&lt;300,"GV 20",IF(Tabela8[[#This Row],[SETOR]]&lt;400,"GV 30","S/GV"))))</f>
        <v>GV 10</v>
      </c>
      <c r="E892" t="s">
        <v>123</v>
      </c>
      <c r="G892" t="str">
        <f>_xlfn.CONCAT(Tabela9[[#This Row],[Coluna1]],Tabela9[[#This Row],[Coluna2]])</f>
        <v>20-Rota</v>
      </c>
    </row>
    <row r="893" spans="1:7" x14ac:dyDescent="0.25">
      <c r="A893">
        <v>7601</v>
      </c>
      <c r="B893">
        <v>201</v>
      </c>
      <c r="C893" s="1" t="str">
        <f>IF(Tabela8[[#This Row],[SETOR]]="","",IF(Tabela8[[#This Row],[SETOR]]&lt;200,"GV 10",IF(Tabela8[[#This Row],[SETOR]]&lt;300,"GV 20",IF(Tabela8[[#This Row],[SETOR]]&lt;400,"GV 30","S/GV"))))</f>
        <v>GV 20</v>
      </c>
      <c r="E893" t="s">
        <v>123</v>
      </c>
      <c r="G893" t="str">
        <f>_xlfn.CONCAT(Tabela9[[#This Row],[Coluna1]],Tabela9[[#This Row],[Coluna2]])</f>
        <v>20-Rota</v>
      </c>
    </row>
    <row r="894" spans="1:7" x14ac:dyDescent="0.25">
      <c r="A894">
        <v>7602</v>
      </c>
      <c r="B894">
        <v>204</v>
      </c>
      <c r="C894" s="1" t="str">
        <f>IF(Tabela8[[#This Row],[SETOR]]="","",IF(Tabela8[[#This Row],[SETOR]]&lt;200,"GV 10",IF(Tabela8[[#This Row],[SETOR]]&lt;300,"GV 20",IF(Tabela8[[#This Row],[SETOR]]&lt;400,"GV 30","S/GV"))))</f>
        <v>GV 20</v>
      </c>
      <c r="E894" t="s">
        <v>123</v>
      </c>
      <c r="G894" t="str">
        <f>_xlfn.CONCAT(Tabela9[[#This Row],[Coluna1]],Tabela9[[#This Row],[Coluna2]])</f>
        <v>20-Rota</v>
      </c>
    </row>
    <row r="895" spans="1:7" x14ac:dyDescent="0.25">
      <c r="A895">
        <v>7604</v>
      </c>
      <c r="B895">
        <v>301</v>
      </c>
      <c r="C895" s="1" t="str">
        <f>IF(Tabela8[[#This Row],[SETOR]]="","",IF(Tabela8[[#This Row],[SETOR]]&lt;200,"GV 10",IF(Tabela8[[#This Row],[SETOR]]&lt;300,"GV 20",IF(Tabela8[[#This Row],[SETOR]]&lt;400,"GV 30","S/GV"))))</f>
        <v>GV 30</v>
      </c>
      <c r="E895" t="s">
        <v>123</v>
      </c>
      <c r="G895" t="str">
        <f>_xlfn.CONCAT(Tabela9[[#This Row],[Coluna1]],Tabela9[[#This Row],[Coluna2]])</f>
        <v>20-Rota</v>
      </c>
    </row>
    <row r="896" spans="1:7" x14ac:dyDescent="0.25">
      <c r="A896">
        <v>7615</v>
      </c>
      <c r="B896">
        <v>307</v>
      </c>
      <c r="C896" s="1" t="str">
        <f>IF(Tabela8[[#This Row],[SETOR]]="","",IF(Tabela8[[#This Row],[SETOR]]&lt;200,"GV 10",IF(Tabela8[[#This Row],[SETOR]]&lt;300,"GV 20",IF(Tabela8[[#This Row],[SETOR]]&lt;400,"GV 30","S/GV"))))</f>
        <v>GV 30</v>
      </c>
      <c r="E896" t="s">
        <v>130</v>
      </c>
      <c r="G896" t="str">
        <f>_xlfn.CONCAT(Tabela9[[#This Row],[Coluna1]],Tabela9[[#This Row],[Coluna2]])</f>
        <v>21-SUB</v>
      </c>
    </row>
    <row r="897" spans="1:7" x14ac:dyDescent="0.25">
      <c r="A897">
        <v>7619</v>
      </c>
      <c r="B897">
        <v>206</v>
      </c>
      <c r="C897" s="1" t="str">
        <f>IF(Tabela8[[#This Row],[SETOR]]="","",IF(Tabela8[[#This Row],[SETOR]]&lt;200,"GV 10",IF(Tabela8[[#This Row],[SETOR]]&lt;300,"GV 20",IF(Tabela8[[#This Row],[SETOR]]&lt;400,"GV 30","S/GV"))))</f>
        <v>GV 20</v>
      </c>
      <c r="E897" t="s">
        <v>123</v>
      </c>
      <c r="G897" t="str">
        <f>_xlfn.CONCAT(Tabela9[[#This Row],[Coluna1]],Tabela9[[#This Row],[Coluna2]])</f>
        <v>20-Rota</v>
      </c>
    </row>
    <row r="898" spans="1:7" x14ac:dyDescent="0.25">
      <c r="A898">
        <v>7629</v>
      </c>
      <c r="B898">
        <v>301</v>
      </c>
      <c r="C898" s="1" t="str">
        <f>IF(Tabela8[[#This Row],[SETOR]]="","",IF(Tabela8[[#This Row],[SETOR]]&lt;200,"GV 10",IF(Tabela8[[#This Row],[SETOR]]&lt;300,"GV 20",IF(Tabela8[[#This Row],[SETOR]]&lt;400,"GV 30","S/GV"))))</f>
        <v>GV 30</v>
      </c>
      <c r="E898" t="s">
        <v>123</v>
      </c>
      <c r="G898" t="str">
        <f>_xlfn.CONCAT(Tabela9[[#This Row],[Coluna1]],Tabela9[[#This Row],[Coluna2]])</f>
        <v>20-Rota</v>
      </c>
    </row>
    <row r="899" spans="1:7" x14ac:dyDescent="0.25">
      <c r="A899">
        <v>7633</v>
      </c>
      <c r="B899">
        <v>109</v>
      </c>
      <c r="C899" s="1" t="str">
        <f>IF(Tabela8[[#This Row],[SETOR]]="","",IF(Tabela8[[#This Row],[SETOR]]&lt;200,"GV 10",IF(Tabela8[[#This Row],[SETOR]]&lt;300,"GV 20",IF(Tabela8[[#This Row],[SETOR]]&lt;400,"GV 30","S/GV"))))</f>
        <v>GV 10</v>
      </c>
      <c r="E899" t="s">
        <v>123</v>
      </c>
      <c r="G899" t="str">
        <f>_xlfn.CONCAT(Tabela9[[#This Row],[Coluna1]],Tabela9[[#This Row],[Coluna2]])</f>
        <v>20-Rota</v>
      </c>
    </row>
    <row r="900" spans="1:7" x14ac:dyDescent="0.25">
      <c r="A900">
        <v>7635</v>
      </c>
      <c r="B900">
        <v>204</v>
      </c>
      <c r="C900" s="1" t="str">
        <f>IF(Tabela8[[#This Row],[SETOR]]="","",IF(Tabela8[[#This Row],[SETOR]]&lt;200,"GV 10",IF(Tabela8[[#This Row],[SETOR]]&lt;300,"GV 20",IF(Tabela8[[#This Row],[SETOR]]&lt;400,"GV 30","S/GV"))))</f>
        <v>GV 20</v>
      </c>
      <c r="E900" t="s">
        <v>123</v>
      </c>
      <c r="G900" t="str">
        <f>_xlfn.CONCAT(Tabela9[[#This Row],[Coluna1]],Tabela9[[#This Row],[Coluna2]])</f>
        <v>20-Rota</v>
      </c>
    </row>
    <row r="901" spans="1:7" x14ac:dyDescent="0.25">
      <c r="A901">
        <v>7636</v>
      </c>
      <c r="B901">
        <v>303</v>
      </c>
      <c r="C901" s="1" t="str">
        <f>IF(Tabela8[[#This Row],[SETOR]]="","",IF(Tabela8[[#This Row],[SETOR]]&lt;200,"GV 10",IF(Tabela8[[#This Row],[SETOR]]&lt;300,"GV 20",IF(Tabela8[[#This Row],[SETOR]]&lt;400,"GV 30","S/GV"))))</f>
        <v>GV 30</v>
      </c>
      <c r="E901" t="s">
        <v>123</v>
      </c>
      <c r="G901" t="str">
        <f>_xlfn.CONCAT(Tabela9[[#This Row],[Coluna1]],Tabela9[[#This Row],[Coluna2]])</f>
        <v>20-Rota</v>
      </c>
    </row>
    <row r="902" spans="1:7" x14ac:dyDescent="0.25">
      <c r="A902">
        <v>7642</v>
      </c>
      <c r="B902">
        <v>101</v>
      </c>
      <c r="C902" s="1" t="str">
        <f>IF(Tabela8[[#This Row],[SETOR]]="","",IF(Tabela8[[#This Row],[SETOR]]&lt;200,"GV 10",IF(Tabela8[[#This Row],[SETOR]]&lt;300,"GV 20",IF(Tabela8[[#This Row],[SETOR]]&lt;400,"GV 30","S/GV"))))</f>
        <v>GV 10</v>
      </c>
      <c r="E902" t="s">
        <v>123</v>
      </c>
      <c r="G902" t="str">
        <f>_xlfn.CONCAT(Tabela9[[#This Row],[Coluna1]],Tabela9[[#This Row],[Coluna2]])</f>
        <v>20-Rota</v>
      </c>
    </row>
    <row r="903" spans="1:7" x14ac:dyDescent="0.25">
      <c r="A903">
        <v>7645</v>
      </c>
      <c r="B903">
        <v>107</v>
      </c>
      <c r="C903" s="1" t="str">
        <f>IF(Tabela8[[#This Row],[SETOR]]="","",IF(Tabela8[[#This Row],[SETOR]]&lt;200,"GV 10",IF(Tabela8[[#This Row],[SETOR]]&lt;300,"GV 20",IF(Tabela8[[#This Row],[SETOR]]&lt;400,"GV 30","S/GV"))))</f>
        <v>GV 10</v>
      </c>
      <c r="E903" t="s">
        <v>130</v>
      </c>
      <c r="G903" t="str">
        <f>_xlfn.CONCAT(Tabela9[[#This Row],[Coluna1]],Tabela9[[#This Row],[Coluna2]])</f>
        <v>21-SUB</v>
      </c>
    </row>
    <row r="904" spans="1:7" x14ac:dyDescent="0.25">
      <c r="A904">
        <v>7646</v>
      </c>
      <c r="B904">
        <v>106</v>
      </c>
      <c r="C904" s="1" t="str">
        <f>IF(Tabela8[[#This Row],[SETOR]]="","",IF(Tabela8[[#This Row],[SETOR]]&lt;200,"GV 10",IF(Tabela8[[#This Row],[SETOR]]&lt;300,"GV 20",IF(Tabela8[[#This Row],[SETOR]]&lt;400,"GV 30","S/GV"))))</f>
        <v>GV 10</v>
      </c>
      <c r="E904" t="s">
        <v>123</v>
      </c>
      <c r="G904" t="str">
        <f>_xlfn.CONCAT(Tabela9[[#This Row],[Coluna1]],Tabela9[[#This Row],[Coluna2]])</f>
        <v>20-Rota</v>
      </c>
    </row>
    <row r="905" spans="1:7" x14ac:dyDescent="0.25">
      <c r="A905">
        <v>7654</v>
      </c>
      <c r="B905">
        <v>206</v>
      </c>
      <c r="C905" s="1" t="str">
        <f>IF(Tabela8[[#This Row],[SETOR]]="","",IF(Tabela8[[#This Row],[SETOR]]&lt;200,"GV 10",IF(Tabela8[[#This Row],[SETOR]]&lt;300,"GV 20",IF(Tabela8[[#This Row],[SETOR]]&lt;400,"GV 30","S/GV"))))</f>
        <v>GV 20</v>
      </c>
      <c r="E905" t="s">
        <v>125</v>
      </c>
      <c r="G905" t="str">
        <f>_xlfn.CONCAT(Tabela9[[#This Row],[Coluna1]],Tabela9[[#This Row],[Coluna2]])</f>
        <v>18-TRAD</v>
      </c>
    </row>
    <row r="906" spans="1:7" x14ac:dyDescent="0.25">
      <c r="A906">
        <v>7657</v>
      </c>
      <c r="B906">
        <v>302</v>
      </c>
      <c r="C906" s="1" t="str">
        <f>IF(Tabela8[[#This Row],[SETOR]]="","",IF(Tabela8[[#This Row],[SETOR]]&lt;200,"GV 10",IF(Tabela8[[#This Row],[SETOR]]&lt;300,"GV 20",IF(Tabela8[[#This Row],[SETOR]]&lt;400,"GV 30","S/GV"))))</f>
        <v>GV 30</v>
      </c>
      <c r="E906" t="s">
        <v>123</v>
      </c>
      <c r="G906" t="str">
        <f>_xlfn.CONCAT(Tabela9[[#This Row],[Coluna1]],Tabela9[[#This Row],[Coluna2]])</f>
        <v>20-Rota</v>
      </c>
    </row>
    <row r="907" spans="1:7" x14ac:dyDescent="0.25">
      <c r="A907">
        <v>7658</v>
      </c>
      <c r="B907">
        <v>913</v>
      </c>
      <c r="C907" s="1" t="str">
        <f>IF(Tabela8[[#This Row],[SETOR]]="","",IF(Tabela8[[#This Row],[SETOR]]&lt;200,"GV 10",IF(Tabela8[[#This Row],[SETOR]]&lt;300,"GV 20",IF(Tabela8[[#This Row],[SETOR]]&lt;400,"GV 30","S/GV"))))</f>
        <v>S/GV</v>
      </c>
      <c r="E907" t="s">
        <v>125</v>
      </c>
      <c r="G907" t="str">
        <f>_xlfn.CONCAT(Tabela9[[#This Row],[Coluna1]],Tabela9[[#This Row],[Coluna2]])</f>
        <v>18-TRAD</v>
      </c>
    </row>
    <row r="908" spans="1:7" x14ac:dyDescent="0.25">
      <c r="A908">
        <v>7669</v>
      </c>
      <c r="B908">
        <v>201</v>
      </c>
      <c r="C908" s="1" t="str">
        <f>IF(Tabela8[[#This Row],[SETOR]]="","",IF(Tabela8[[#This Row],[SETOR]]&lt;200,"GV 10",IF(Tabela8[[#This Row],[SETOR]]&lt;300,"GV 20",IF(Tabela8[[#This Row],[SETOR]]&lt;400,"GV 30","S/GV"))))</f>
        <v>GV 20</v>
      </c>
      <c r="E908" t="s">
        <v>125</v>
      </c>
      <c r="G908" t="str">
        <f>_xlfn.CONCAT(Tabela9[[#This Row],[Coluna1]],Tabela9[[#This Row],[Coluna2]])</f>
        <v>18-TRAD</v>
      </c>
    </row>
    <row r="909" spans="1:7" x14ac:dyDescent="0.25">
      <c r="A909">
        <v>7673</v>
      </c>
      <c r="B909">
        <v>202</v>
      </c>
      <c r="C909" s="1" t="str">
        <f>IF(Tabela8[[#This Row],[SETOR]]="","",IF(Tabela8[[#This Row],[SETOR]]&lt;200,"GV 10",IF(Tabela8[[#This Row],[SETOR]]&lt;300,"GV 20",IF(Tabela8[[#This Row],[SETOR]]&lt;400,"GV 30","S/GV"))))</f>
        <v>GV 20</v>
      </c>
      <c r="E909" t="s">
        <v>123</v>
      </c>
      <c r="G909" t="str">
        <f>_xlfn.CONCAT(Tabela9[[#This Row],[Coluna1]],Tabela9[[#This Row],[Coluna2]])</f>
        <v>20-Rota</v>
      </c>
    </row>
    <row r="910" spans="1:7" x14ac:dyDescent="0.25">
      <c r="A910">
        <v>7683</v>
      </c>
      <c r="B910">
        <v>301</v>
      </c>
      <c r="C910" s="1" t="str">
        <f>IF(Tabela8[[#This Row],[SETOR]]="","",IF(Tabela8[[#This Row],[SETOR]]&lt;200,"GV 10",IF(Tabela8[[#This Row],[SETOR]]&lt;300,"GV 20",IF(Tabela8[[#This Row],[SETOR]]&lt;400,"GV 30","S/GV"))))</f>
        <v>GV 30</v>
      </c>
      <c r="E910" t="s">
        <v>123</v>
      </c>
      <c r="G910" t="str">
        <f>_xlfn.CONCAT(Tabela9[[#This Row],[Coluna1]],Tabela9[[#This Row],[Coluna2]])</f>
        <v>20-Rota</v>
      </c>
    </row>
    <row r="911" spans="1:7" x14ac:dyDescent="0.25">
      <c r="A911">
        <v>7705</v>
      </c>
      <c r="B911">
        <v>102</v>
      </c>
      <c r="C911" s="1" t="str">
        <f>IF(Tabela8[[#This Row],[SETOR]]="","",IF(Tabela8[[#This Row],[SETOR]]&lt;200,"GV 10",IF(Tabela8[[#This Row],[SETOR]]&lt;300,"GV 20",IF(Tabela8[[#This Row],[SETOR]]&lt;400,"GV 30","S/GV"))))</f>
        <v>GV 10</v>
      </c>
      <c r="E911" t="s">
        <v>123</v>
      </c>
      <c r="G911" t="str">
        <f>_xlfn.CONCAT(Tabela9[[#This Row],[Coluna1]],Tabela9[[#This Row],[Coluna2]])</f>
        <v>20-Rota</v>
      </c>
    </row>
    <row r="912" spans="1:7" x14ac:dyDescent="0.25">
      <c r="A912">
        <v>7717</v>
      </c>
      <c r="B912">
        <v>106</v>
      </c>
      <c r="C912" s="1" t="str">
        <f>IF(Tabela8[[#This Row],[SETOR]]="","",IF(Tabela8[[#This Row],[SETOR]]&lt;200,"GV 10",IF(Tabela8[[#This Row],[SETOR]]&lt;300,"GV 20",IF(Tabela8[[#This Row],[SETOR]]&lt;400,"GV 30","S/GV"))))</f>
        <v>GV 10</v>
      </c>
      <c r="E912" t="s">
        <v>128</v>
      </c>
      <c r="F912" t="s">
        <v>129</v>
      </c>
      <c r="G912" t="str">
        <f>_xlfn.CONCAT(Tabela9[[#This Row],[Coluna1]],Tabela9[[#This Row],[Coluna2]])</f>
        <v>15-AS(1-4)</v>
      </c>
    </row>
    <row r="913" spans="1:7" x14ac:dyDescent="0.25">
      <c r="A913">
        <v>7718</v>
      </c>
      <c r="B913">
        <v>109</v>
      </c>
      <c r="C913" s="1" t="str">
        <f>IF(Tabela8[[#This Row],[SETOR]]="","",IF(Tabela8[[#This Row],[SETOR]]&lt;200,"GV 10",IF(Tabela8[[#This Row],[SETOR]]&lt;300,"GV 20",IF(Tabela8[[#This Row],[SETOR]]&lt;400,"GV 30","S/GV"))))</f>
        <v>GV 10</v>
      </c>
      <c r="E913" t="s">
        <v>123</v>
      </c>
      <c r="G913" t="str">
        <f>_xlfn.CONCAT(Tabela9[[#This Row],[Coluna1]],Tabela9[[#This Row],[Coluna2]])</f>
        <v>20-Rota</v>
      </c>
    </row>
    <row r="914" spans="1:7" x14ac:dyDescent="0.25">
      <c r="A914">
        <v>7720</v>
      </c>
      <c r="B914">
        <v>102</v>
      </c>
      <c r="C914" s="1" t="str">
        <f>IF(Tabela8[[#This Row],[SETOR]]="","",IF(Tabela8[[#This Row],[SETOR]]&lt;200,"GV 10",IF(Tabela8[[#This Row],[SETOR]]&lt;300,"GV 20",IF(Tabela8[[#This Row],[SETOR]]&lt;400,"GV 30","S/GV"))))</f>
        <v>GV 10</v>
      </c>
      <c r="E914" t="s">
        <v>123</v>
      </c>
      <c r="G914" t="str">
        <f>_xlfn.CONCAT(Tabela9[[#This Row],[Coluna1]],Tabela9[[#This Row],[Coluna2]])</f>
        <v>20-Rota</v>
      </c>
    </row>
    <row r="915" spans="1:7" x14ac:dyDescent="0.25">
      <c r="A915">
        <v>7733</v>
      </c>
      <c r="B915">
        <v>912</v>
      </c>
      <c r="C915" s="1" t="str">
        <f>IF(Tabela8[[#This Row],[SETOR]]="","",IF(Tabela8[[#This Row],[SETOR]]&lt;200,"GV 10",IF(Tabela8[[#This Row],[SETOR]]&lt;300,"GV 20",IF(Tabela8[[#This Row],[SETOR]]&lt;400,"GV 30","S/GV"))))</f>
        <v>S/GV</v>
      </c>
      <c r="E915" t="s">
        <v>123</v>
      </c>
      <c r="G915" t="str">
        <f>_xlfn.CONCAT(Tabela9[[#This Row],[Coluna1]],Tabela9[[#This Row],[Coluna2]])</f>
        <v>20-Rota</v>
      </c>
    </row>
    <row r="916" spans="1:7" x14ac:dyDescent="0.25">
      <c r="A916">
        <v>7739</v>
      </c>
      <c r="B916">
        <v>303</v>
      </c>
      <c r="C916" s="1" t="str">
        <f>IF(Tabela8[[#This Row],[SETOR]]="","",IF(Tabela8[[#This Row],[SETOR]]&lt;200,"GV 10",IF(Tabela8[[#This Row],[SETOR]]&lt;300,"GV 20",IF(Tabela8[[#This Row],[SETOR]]&lt;400,"GV 30","S/GV"))))</f>
        <v>GV 30</v>
      </c>
      <c r="E916" t="s">
        <v>123</v>
      </c>
      <c r="G916" t="str">
        <f>_xlfn.CONCAT(Tabela9[[#This Row],[Coluna1]],Tabela9[[#This Row],[Coluna2]])</f>
        <v>20-Rota</v>
      </c>
    </row>
    <row r="917" spans="1:7" x14ac:dyDescent="0.25">
      <c r="A917">
        <v>7740</v>
      </c>
      <c r="B917">
        <v>906</v>
      </c>
      <c r="C917" s="1" t="str">
        <f>IF(Tabela8[[#This Row],[SETOR]]="","",IF(Tabela8[[#This Row],[SETOR]]&lt;200,"GV 10",IF(Tabela8[[#This Row],[SETOR]]&lt;300,"GV 20",IF(Tabela8[[#This Row],[SETOR]]&lt;400,"GV 30","S/GV"))))</f>
        <v>S/GV</v>
      </c>
      <c r="G917" t="str">
        <f>_xlfn.CONCAT(Tabela9[[#This Row],[Coluna1]],Tabela9[[#This Row],[Coluna2]])</f>
        <v/>
      </c>
    </row>
    <row r="918" spans="1:7" x14ac:dyDescent="0.25">
      <c r="A918">
        <v>7750</v>
      </c>
      <c r="B918">
        <v>105</v>
      </c>
      <c r="C918" s="1" t="str">
        <f>IF(Tabela8[[#This Row],[SETOR]]="","",IF(Tabela8[[#This Row],[SETOR]]&lt;200,"GV 10",IF(Tabela8[[#This Row],[SETOR]]&lt;300,"GV 20",IF(Tabela8[[#This Row],[SETOR]]&lt;400,"GV 30","S/GV"))))</f>
        <v>GV 10</v>
      </c>
      <c r="E918" t="s">
        <v>123</v>
      </c>
      <c r="G918" t="str">
        <f>_xlfn.CONCAT(Tabela9[[#This Row],[Coluna1]],Tabela9[[#This Row],[Coluna2]])</f>
        <v>20-Rota</v>
      </c>
    </row>
    <row r="919" spans="1:7" x14ac:dyDescent="0.25">
      <c r="A919">
        <v>7774</v>
      </c>
      <c r="B919">
        <v>301</v>
      </c>
      <c r="C919" s="1" t="str">
        <f>IF(Tabela8[[#This Row],[SETOR]]="","",IF(Tabela8[[#This Row],[SETOR]]&lt;200,"GV 10",IF(Tabela8[[#This Row],[SETOR]]&lt;300,"GV 20",IF(Tabela8[[#This Row],[SETOR]]&lt;400,"GV 30","S/GV"))))</f>
        <v>GV 30</v>
      </c>
      <c r="E919" t="s">
        <v>123</v>
      </c>
      <c r="G919" t="str">
        <f>_xlfn.CONCAT(Tabela9[[#This Row],[Coluna1]],Tabela9[[#This Row],[Coluna2]])</f>
        <v>20-Rota</v>
      </c>
    </row>
    <row r="920" spans="1:7" x14ac:dyDescent="0.25">
      <c r="A920">
        <v>7778</v>
      </c>
      <c r="B920">
        <v>907</v>
      </c>
      <c r="C920" s="1" t="str">
        <f>IF(Tabela8[[#This Row],[SETOR]]="","",IF(Tabela8[[#This Row],[SETOR]]&lt;200,"GV 10",IF(Tabela8[[#This Row],[SETOR]]&lt;300,"GV 20",IF(Tabela8[[#This Row],[SETOR]]&lt;400,"GV 30","S/GV"))))</f>
        <v>S/GV</v>
      </c>
      <c r="E920" t="s">
        <v>123</v>
      </c>
      <c r="G920" t="str">
        <f>_xlfn.CONCAT(Tabela9[[#This Row],[Coluna1]],Tabela9[[#This Row],[Coluna2]])</f>
        <v>20-Rota</v>
      </c>
    </row>
    <row r="921" spans="1:7" x14ac:dyDescent="0.25">
      <c r="A921">
        <v>7782</v>
      </c>
      <c r="B921">
        <v>104</v>
      </c>
      <c r="C921" s="1" t="str">
        <f>IF(Tabela8[[#This Row],[SETOR]]="","",IF(Tabela8[[#This Row],[SETOR]]&lt;200,"GV 10",IF(Tabela8[[#This Row],[SETOR]]&lt;300,"GV 20",IF(Tabela8[[#This Row],[SETOR]]&lt;400,"GV 30","S/GV"))))</f>
        <v>GV 10</v>
      </c>
      <c r="E921" t="s">
        <v>123</v>
      </c>
      <c r="G921" t="str">
        <f>_xlfn.CONCAT(Tabela9[[#This Row],[Coluna1]],Tabela9[[#This Row],[Coluna2]])</f>
        <v>20-Rota</v>
      </c>
    </row>
    <row r="922" spans="1:7" x14ac:dyDescent="0.25">
      <c r="A922">
        <v>7790</v>
      </c>
      <c r="B922">
        <v>206</v>
      </c>
      <c r="C922" s="1" t="str">
        <f>IF(Tabela8[[#This Row],[SETOR]]="","",IF(Tabela8[[#This Row],[SETOR]]&lt;200,"GV 10",IF(Tabela8[[#This Row],[SETOR]]&lt;300,"GV 20",IF(Tabela8[[#This Row],[SETOR]]&lt;400,"GV 30","S/GV"))))</f>
        <v>GV 20</v>
      </c>
      <c r="E922" t="s">
        <v>123</v>
      </c>
      <c r="G922" t="str">
        <f>_xlfn.CONCAT(Tabela9[[#This Row],[Coluna1]],Tabela9[[#This Row],[Coluna2]])</f>
        <v>20-Rota</v>
      </c>
    </row>
    <row r="923" spans="1:7" x14ac:dyDescent="0.25">
      <c r="A923">
        <v>7800</v>
      </c>
      <c r="B923">
        <v>301</v>
      </c>
      <c r="C923" s="1" t="str">
        <f>IF(Tabela8[[#This Row],[SETOR]]="","",IF(Tabela8[[#This Row],[SETOR]]&lt;200,"GV 10",IF(Tabela8[[#This Row],[SETOR]]&lt;300,"GV 20",IF(Tabela8[[#This Row],[SETOR]]&lt;400,"GV 30","S/GV"))))</f>
        <v>GV 30</v>
      </c>
      <c r="E923" t="s">
        <v>124</v>
      </c>
      <c r="G923" t="str">
        <f>_xlfn.CONCAT(Tabela9[[#This Row],[Coluna1]],Tabela9[[#This Row],[Coluna2]])</f>
        <v>19-VIP</v>
      </c>
    </row>
    <row r="924" spans="1:7" x14ac:dyDescent="0.25">
      <c r="A924">
        <v>7802</v>
      </c>
      <c r="B924">
        <v>304</v>
      </c>
      <c r="C924" s="1" t="str">
        <f>IF(Tabela8[[#This Row],[SETOR]]="","",IF(Tabela8[[#This Row],[SETOR]]&lt;200,"GV 10",IF(Tabela8[[#This Row],[SETOR]]&lt;300,"GV 20",IF(Tabela8[[#This Row],[SETOR]]&lt;400,"GV 30","S/GV"))))</f>
        <v>GV 30</v>
      </c>
      <c r="E924" t="s">
        <v>123</v>
      </c>
      <c r="G924" t="str">
        <f>_xlfn.CONCAT(Tabela9[[#This Row],[Coluna1]],Tabela9[[#This Row],[Coluna2]])</f>
        <v>20-Rota</v>
      </c>
    </row>
    <row r="925" spans="1:7" x14ac:dyDescent="0.25">
      <c r="A925">
        <v>7805</v>
      </c>
      <c r="B925">
        <v>301</v>
      </c>
      <c r="C925" s="1" t="str">
        <f>IF(Tabela8[[#This Row],[SETOR]]="","",IF(Tabela8[[#This Row],[SETOR]]&lt;200,"GV 10",IF(Tabela8[[#This Row],[SETOR]]&lt;300,"GV 20",IF(Tabela8[[#This Row],[SETOR]]&lt;400,"GV 30","S/GV"))))</f>
        <v>GV 30</v>
      </c>
      <c r="E925" t="s">
        <v>123</v>
      </c>
      <c r="G925" t="str">
        <f>_xlfn.CONCAT(Tabela9[[#This Row],[Coluna1]],Tabela9[[#This Row],[Coluna2]])</f>
        <v>20-Rota</v>
      </c>
    </row>
    <row r="926" spans="1:7" x14ac:dyDescent="0.25">
      <c r="A926">
        <v>7806</v>
      </c>
      <c r="B926">
        <v>301</v>
      </c>
      <c r="C926" s="1" t="str">
        <f>IF(Tabela8[[#This Row],[SETOR]]="","",IF(Tabela8[[#This Row],[SETOR]]&lt;200,"GV 10",IF(Tabela8[[#This Row],[SETOR]]&lt;300,"GV 20",IF(Tabela8[[#This Row],[SETOR]]&lt;400,"GV 30","S/GV"))))</f>
        <v>GV 30</v>
      </c>
      <c r="E926" t="s">
        <v>123</v>
      </c>
      <c r="G926" t="str">
        <f>_xlfn.CONCAT(Tabela9[[#This Row],[Coluna1]],Tabela9[[#This Row],[Coluna2]])</f>
        <v>20-Rota</v>
      </c>
    </row>
    <row r="927" spans="1:7" x14ac:dyDescent="0.25">
      <c r="A927">
        <v>7812</v>
      </c>
      <c r="B927">
        <v>308</v>
      </c>
      <c r="C927" s="1" t="str">
        <f>IF(Tabela8[[#This Row],[SETOR]]="","",IF(Tabela8[[#This Row],[SETOR]]&lt;200,"GV 10",IF(Tabela8[[#This Row],[SETOR]]&lt;300,"GV 20",IF(Tabela8[[#This Row],[SETOR]]&lt;400,"GV 30","S/GV"))))</f>
        <v>GV 30</v>
      </c>
      <c r="E927" t="s">
        <v>128</v>
      </c>
      <c r="F927" t="s">
        <v>129</v>
      </c>
      <c r="G927" t="str">
        <f>_xlfn.CONCAT(Tabela9[[#This Row],[Coluna1]],Tabela9[[#This Row],[Coluna2]])</f>
        <v>15-AS(1-4)</v>
      </c>
    </row>
    <row r="928" spans="1:7" x14ac:dyDescent="0.25">
      <c r="A928">
        <v>7821</v>
      </c>
      <c r="B928">
        <v>206</v>
      </c>
      <c r="C928" s="1" t="str">
        <f>IF(Tabela8[[#This Row],[SETOR]]="","",IF(Tabela8[[#This Row],[SETOR]]&lt;200,"GV 10",IF(Tabela8[[#This Row],[SETOR]]&lt;300,"GV 20",IF(Tabela8[[#This Row],[SETOR]]&lt;400,"GV 30","S/GV"))))</f>
        <v>GV 20</v>
      </c>
      <c r="E928" t="s">
        <v>123</v>
      </c>
      <c r="G928" t="str">
        <f>_xlfn.CONCAT(Tabela9[[#This Row],[Coluna1]],Tabela9[[#This Row],[Coluna2]])</f>
        <v>20-Rota</v>
      </c>
    </row>
    <row r="929" spans="1:7" x14ac:dyDescent="0.25">
      <c r="A929">
        <v>7824</v>
      </c>
      <c r="B929">
        <v>206</v>
      </c>
      <c r="C929" s="1" t="str">
        <f>IF(Tabela8[[#This Row],[SETOR]]="","",IF(Tabela8[[#This Row],[SETOR]]&lt;200,"GV 10",IF(Tabela8[[#This Row],[SETOR]]&lt;300,"GV 20",IF(Tabela8[[#This Row],[SETOR]]&lt;400,"GV 30","S/GV"))))</f>
        <v>GV 20</v>
      </c>
      <c r="E929" t="s">
        <v>125</v>
      </c>
      <c r="G929" t="str">
        <f>_xlfn.CONCAT(Tabela9[[#This Row],[Coluna1]],Tabela9[[#This Row],[Coluna2]])</f>
        <v>18-TRAD</v>
      </c>
    </row>
    <row r="930" spans="1:7" x14ac:dyDescent="0.25">
      <c r="A930">
        <v>7825</v>
      </c>
      <c r="B930">
        <v>306</v>
      </c>
      <c r="C930" s="1" t="str">
        <f>IF(Tabela8[[#This Row],[SETOR]]="","",IF(Tabela8[[#This Row],[SETOR]]&lt;200,"GV 10",IF(Tabela8[[#This Row],[SETOR]]&lt;300,"GV 20",IF(Tabela8[[#This Row],[SETOR]]&lt;400,"GV 30","S/GV"))))</f>
        <v>GV 30</v>
      </c>
      <c r="E930" t="s">
        <v>125</v>
      </c>
      <c r="G930" t="str">
        <f>_xlfn.CONCAT(Tabela9[[#This Row],[Coluna1]],Tabela9[[#This Row],[Coluna2]])</f>
        <v>18-TRAD</v>
      </c>
    </row>
    <row r="931" spans="1:7" x14ac:dyDescent="0.25">
      <c r="A931">
        <v>7830</v>
      </c>
      <c r="B931">
        <v>201</v>
      </c>
      <c r="C931" s="1" t="str">
        <f>IF(Tabela8[[#This Row],[SETOR]]="","",IF(Tabela8[[#This Row],[SETOR]]&lt;200,"GV 10",IF(Tabela8[[#This Row],[SETOR]]&lt;300,"GV 20",IF(Tabela8[[#This Row],[SETOR]]&lt;400,"GV 30","S/GV"))))</f>
        <v>GV 20</v>
      </c>
      <c r="E931" t="s">
        <v>123</v>
      </c>
      <c r="G931" t="str">
        <f>_xlfn.CONCAT(Tabela9[[#This Row],[Coluna1]],Tabela9[[#This Row],[Coluna2]])</f>
        <v>20-Rota</v>
      </c>
    </row>
    <row r="932" spans="1:7" x14ac:dyDescent="0.25">
      <c r="A932">
        <v>7842</v>
      </c>
      <c r="B932">
        <v>204</v>
      </c>
      <c r="C932" s="1" t="str">
        <f>IF(Tabela8[[#This Row],[SETOR]]="","",IF(Tabela8[[#This Row],[SETOR]]&lt;200,"GV 10",IF(Tabela8[[#This Row],[SETOR]]&lt;300,"GV 20",IF(Tabela8[[#This Row],[SETOR]]&lt;400,"GV 30","S/GV"))))</f>
        <v>GV 20</v>
      </c>
      <c r="E932" t="s">
        <v>123</v>
      </c>
      <c r="G932" t="str">
        <f>_xlfn.CONCAT(Tabela9[[#This Row],[Coluna1]],Tabela9[[#This Row],[Coluna2]])</f>
        <v>20-Rota</v>
      </c>
    </row>
    <row r="933" spans="1:7" x14ac:dyDescent="0.25">
      <c r="A933">
        <v>7853</v>
      </c>
      <c r="B933">
        <v>108</v>
      </c>
      <c r="C933" s="1" t="str">
        <f>IF(Tabela8[[#This Row],[SETOR]]="","",IF(Tabela8[[#This Row],[SETOR]]&lt;200,"GV 10",IF(Tabela8[[#This Row],[SETOR]]&lt;300,"GV 20",IF(Tabela8[[#This Row],[SETOR]]&lt;400,"GV 30","S/GV"))))</f>
        <v>GV 10</v>
      </c>
      <c r="E933" t="s">
        <v>128</v>
      </c>
      <c r="F933" t="s">
        <v>129</v>
      </c>
      <c r="G933" t="str">
        <f>_xlfn.CONCAT(Tabela9[[#This Row],[Coluna1]],Tabela9[[#This Row],[Coluna2]])</f>
        <v>15-AS(1-4)</v>
      </c>
    </row>
    <row r="934" spans="1:7" x14ac:dyDescent="0.25">
      <c r="A934">
        <v>7862</v>
      </c>
      <c r="B934">
        <v>103</v>
      </c>
      <c r="C934" s="1" t="str">
        <f>IF(Tabela8[[#This Row],[SETOR]]="","",IF(Tabela8[[#This Row],[SETOR]]&lt;200,"GV 10",IF(Tabela8[[#This Row],[SETOR]]&lt;300,"GV 20",IF(Tabela8[[#This Row],[SETOR]]&lt;400,"GV 30","S/GV"))))</f>
        <v>GV 10</v>
      </c>
      <c r="E934" t="s">
        <v>123</v>
      </c>
      <c r="G934" t="str">
        <f>_xlfn.CONCAT(Tabela9[[#This Row],[Coluna1]],Tabela9[[#This Row],[Coluna2]])</f>
        <v>20-Rota</v>
      </c>
    </row>
    <row r="935" spans="1:7" x14ac:dyDescent="0.25">
      <c r="A935">
        <v>7863</v>
      </c>
      <c r="B935">
        <v>207</v>
      </c>
      <c r="C935" s="1" t="str">
        <f>IF(Tabela8[[#This Row],[SETOR]]="","",IF(Tabela8[[#This Row],[SETOR]]&lt;200,"GV 10",IF(Tabela8[[#This Row],[SETOR]]&lt;300,"GV 20",IF(Tabela8[[#This Row],[SETOR]]&lt;400,"GV 30","S/GV"))))</f>
        <v>GV 20</v>
      </c>
      <c r="E935" t="s">
        <v>125</v>
      </c>
      <c r="G935" t="str">
        <f>_xlfn.CONCAT(Tabela9[[#This Row],[Coluna1]],Tabela9[[#This Row],[Coluna2]])</f>
        <v>18-TRAD</v>
      </c>
    </row>
    <row r="936" spans="1:7" x14ac:dyDescent="0.25">
      <c r="A936">
        <v>7865</v>
      </c>
      <c r="B936">
        <v>304</v>
      </c>
      <c r="C936" s="1" t="str">
        <f>IF(Tabela8[[#This Row],[SETOR]]="","",IF(Tabela8[[#This Row],[SETOR]]&lt;200,"GV 10",IF(Tabela8[[#This Row],[SETOR]]&lt;300,"GV 20",IF(Tabela8[[#This Row],[SETOR]]&lt;400,"GV 30","S/GV"))))</f>
        <v>GV 30</v>
      </c>
      <c r="E936" t="s">
        <v>123</v>
      </c>
      <c r="G936" t="str">
        <f>_xlfn.CONCAT(Tabela9[[#This Row],[Coluna1]],Tabela9[[#This Row],[Coluna2]])</f>
        <v>20-Rota</v>
      </c>
    </row>
    <row r="937" spans="1:7" x14ac:dyDescent="0.25">
      <c r="A937">
        <v>7869</v>
      </c>
      <c r="B937">
        <v>907</v>
      </c>
      <c r="C937" s="1" t="str">
        <f>IF(Tabela8[[#This Row],[SETOR]]="","",IF(Tabela8[[#This Row],[SETOR]]&lt;200,"GV 10",IF(Tabela8[[#This Row],[SETOR]]&lt;300,"GV 20",IF(Tabela8[[#This Row],[SETOR]]&lt;400,"GV 30","S/GV"))))</f>
        <v>S/GV</v>
      </c>
      <c r="E937" t="s">
        <v>123</v>
      </c>
      <c r="G937" t="str">
        <f>_xlfn.CONCAT(Tabela9[[#This Row],[Coluna1]],Tabela9[[#This Row],[Coluna2]])</f>
        <v>20-Rota</v>
      </c>
    </row>
    <row r="938" spans="1:7" x14ac:dyDescent="0.25">
      <c r="A938">
        <v>7873</v>
      </c>
      <c r="B938">
        <v>103</v>
      </c>
      <c r="C938" s="1" t="str">
        <f>IF(Tabela8[[#This Row],[SETOR]]="","",IF(Tabela8[[#This Row],[SETOR]]&lt;200,"GV 10",IF(Tabela8[[#This Row],[SETOR]]&lt;300,"GV 20",IF(Tabela8[[#This Row],[SETOR]]&lt;400,"GV 30","S/GV"))))</f>
        <v>GV 10</v>
      </c>
      <c r="E938" t="s">
        <v>123</v>
      </c>
      <c r="G938" t="str">
        <f>_xlfn.CONCAT(Tabela9[[#This Row],[Coluna1]],Tabela9[[#This Row],[Coluna2]])</f>
        <v>20-Rota</v>
      </c>
    </row>
    <row r="939" spans="1:7" x14ac:dyDescent="0.25">
      <c r="A939">
        <v>7887</v>
      </c>
      <c r="B939">
        <v>303</v>
      </c>
      <c r="C939" s="1" t="str">
        <f>IF(Tabela8[[#This Row],[SETOR]]="","",IF(Tabela8[[#This Row],[SETOR]]&lt;200,"GV 10",IF(Tabela8[[#This Row],[SETOR]]&lt;300,"GV 20",IF(Tabela8[[#This Row],[SETOR]]&lt;400,"GV 30","S/GV"))))</f>
        <v>GV 30</v>
      </c>
      <c r="E939" t="s">
        <v>123</v>
      </c>
      <c r="G939" t="str">
        <f>_xlfn.CONCAT(Tabela9[[#This Row],[Coluna1]],Tabela9[[#This Row],[Coluna2]])</f>
        <v>20-Rota</v>
      </c>
    </row>
    <row r="940" spans="1:7" x14ac:dyDescent="0.25">
      <c r="A940">
        <v>7899</v>
      </c>
      <c r="B940">
        <v>106</v>
      </c>
      <c r="C940" s="1" t="str">
        <f>IF(Tabela8[[#This Row],[SETOR]]="","",IF(Tabela8[[#This Row],[SETOR]]&lt;200,"GV 10",IF(Tabela8[[#This Row],[SETOR]]&lt;300,"GV 20",IF(Tabela8[[#This Row],[SETOR]]&lt;400,"GV 30","S/GV"))))</f>
        <v>GV 10</v>
      </c>
      <c r="E940" t="s">
        <v>123</v>
      </c>
      <c r="G940" t="str">
        <f>_xlfn.CONCAT(Tabela9[[#This Row],[Coluna1]],Tabela9[[#This Row],[Coluna2]])</f>
        <v>20-Rota</v>
      </c>
    </row>
    <row r="941" spans="1:7" x14ac:dyDescent="0.25">
      <c r="A941">
        <v>7906</v>
      </c>
      <c r="B941">
        <v>104</v>
      </c>
      <c r="C941" s="1" t="str">
        <f>IF(Tabela8[[#This Row],[SETOR]]="","",IF(Tabela8[[#This Row],[SETOR]]&lt;200,"GV 10",IF(Tabela8[[#This Row],[SETOR]]&lt;300,"GV 20",IF(Tabela8[[#This Row],[SETOR]]&lt;400,"GV 30","S/GV"))))</f>
        <v>GV 10</v>
      </c>
      <c r="E941" t="s">
        <v>123</v>
      </c>
      <c r="G941" t="str">
        <f>_xlfn.CONCAT(Tabela9[[#This Row],[Coluna1]],Tabela9[[#This Row],[Coluna2]])</f>
        <v>20-Rota</v>
      </c>
    </row>
    <row r="942" spans="1:7" x14ac:dyDescent="0.25">
      <c r="A942">
        <v>7908</v>
      </c>
      <c r="B942">
        <v>303</v>
      </c>
      <c r="C942" s="1" t="str">
        <f>IF(Tabela8[[#This Row],[SETOR]]="","",IF(Tabela8[[#This Row],[SETOR]]&lt;200,"GV 10",IF(Tabela8[[#This Row],[SETOR]]&lt;300,"GV 20",IF(Tabela8[[#This Row],[SETOR]]&lt;400,"GV 30","S/GV"))))</f>
        <v>GV 30</v>
      </c>
      <c r="E942" t="s">
        <v>123</v>
      </c>
      <c r="G942" t="str">
        <f>_xlfn.CONCAT(Tabela9[[#This Row],[Coluna1]],Tabela9[[#This Row],[Coluna2]])</f>
        <v>20-Rota</v>
      </c>
    </row>
    <row r="943" spans="1:7" x14ac:dyDescent="0.25">
      <c r="A943">
        <v>7912</v>
      </c>
      <c r="B943">
        <v>304</v>
      </c>
      <c r="C943" s="1" t="str">
        <f>IF(Tabela8[[#This Row],[SETOR]]="","",IF(Tabela8[[#This Row],[SETOR]]&lt;200,"GV 10",IF(Tabela8[[#This Row],[SETOR]]&lt;300,"GV 20",IF(Tabela8[[#This Row],[SETOR]]&lt;400,"GV 30","S/GV"))))</f>
        <v>GV 30</v>
      </c>
      <c r="E943" t="s">
        <v>123</v>
      </c>
      <c r="G943" t="str">
        <f>_xlfn.CONCAT(Tabela9[[#This Row],[Coluna1]],Tabela9[[#This Row],[Coluna2]])</f>
        <v>20-Rota</v>
      </c>
    </row>
    <row r="944" spans="1:7" x14ac:dyDescent="0.25">
      <c r="A944">
        <v>7938</v>
      </c>
      <c r="B944">
        <v>916</v>
      </c>
      <c r="C944" s="1" t="str">
        <f>IF(Tabela8[[#This Row],[SETOR]]="","",IF(Tabela8[[#This Row],[SETOR]]&lt;200,"GV 10",IF(Tabela8[[#This Row],[SETOR]]&lt;300,"GV 20",IF(Tabela8[[#This Row],[SETOR]]&lt;400,"GV 30","S/GV"))))</f>
        <v>S/GV</v>
      </c>
      <c r="G944" t="str">
        <f>_xlfn.CONCAT(Tabela9[[#This Row],[Coluna1]],Tabela9[[#This Row],[Coluna2]])</f>
        <v/>
      </c>
    </row>
    <row r="945" spans="1:7" x14ac:dyDescent="0.25">
      <c r="A945">
        <v>7942</v>
      </c>
      <c r="B945">
        <v>307</v>
      </c>
      <c r="C945" s="1" t="str">
        <f>IF(Tabela8[[#This Row],[SETOR]]="","",IF(Tabela8[[#This Row],[SETOR]]&lt;200,"GV 10",IF(Tabela8[[#This Row],[SETOR]]&lt;300,"GV 20",IF(Tabela8[[#This Row],[SETOR]]&lt;400,"GV 30","S/GV"))))</f>
        <v>GV 30</v>
      </c>
      <c r="E945" t="s">
        <v>130</v>
      </c>
      <c r="G945" t="str">
        <f>_xlfn.CONCAT(Tabela9[[#This Row],[Coluna1]],Tabela9[[#This Row],[Coluna2]])</f>
        <v>21-SUB</v>
      </c>
    </row>
    <row r="946" spans="1:7" x14ac:dyDescent="0.25">
      <c r="A946">
        <v>7959</v>
      </c>
      <c r="B946">
        <v>305</v>
      </c>
      <c r="C946" s="1" t="str">
        <f>IF(Tabela8[[#This Row],[SETOR]]="","",IF(Tabela8[[#This Row],[SETOR]]&lt;200,"GV 10",IF(Tabela8[[#This Row],[SETOR]]&lt;300,"GV 20",IF(Tabela8[[#This Row],[SETOR]]&lt;400,"GV 30","S/GV"))))</f>
        <v>GV 30</v>
      </c>
      <c r="E946" t="s">
        <v>123</v>
      </c>
      <c r="G946" t="str">
        <f>_xlfn.CONCAT(Tabela9[[#This Row],[Coluna1]],Tabela9[[#This Row],[Coluna2]])</f>
        <v>20-Rota</v>
      </c>
    </row>
    <row r="947" spans="1:7" x14ac:dyDescent="0.25">
      <c r="A947">
        <v>7966</v>
      </c>
      <c r="B947">
        <v>106</v>
      </c>
      <c r="C947" s="1" t="str">
        <f>IF(Tabela8[[#This Row],[SETOR]]="","",IF(Tabela8[[#This Row],[SETOR]]&lt;200,"GV 10",IF(Tabela8[[#This Row],[SETOR]]&lt;300,"GV 20",IF(Tabela8[[#This Row],[SETOR]]&lt;400,"GV 30","S/GV"))))</f>
        <v>GV 10</v>
      </c>
      <c r="E947" t="s">
        <v>123</v>
      </c>
      <c r="G947" t="str">
        <f>_xlfn.CONCAT(Tabela9[[#This Row],[Coluna1]],Tabela9[[#This Row],[Coluna2]])</f>
        <v>20-Rota</v>
      </c>
    </row>
    <row r="948" spans="1:7" x14ac:dyDescent="0.25">
      <c r="A948">
        <v>7976</v>
      </c>
      <c r="B948">
        <v>302</v>
      </c>
      <c r="C948" s="1" t="str">
        <f>IF(Tabela8[[#This Row],[SETOR]]="","",IF(Tabela8[[#This Row],[SETOR]]&lt;200,"GV 10",IF(Tabela8[[#This Row],[SETOR]]&lt;300,"GV 20",IF(Tabela8[[#This Row],[SETOR]]&lt;400,"GV 30","S/GV"))))</f>
        <v>GV 30</v>
      </c>
      <c r="E948" t="s">
        <v>123</v>
      </c>
      <c r="G948" t="str">
        <f>_xlfn.CONCAT(Tabela9[[#This Row],[Coluna1]],Tabela9[[#This Row],[Coluna2]])</f>
        <v>20-Rota</v>
      </c>
    </row>
    <row r="949" spans="1:7" x14ac:dyDescent="0.25">
      <c r="A949">
        <v>7980</v>
      </c>
      <c r="B949">
        <v>305</v>
      </c>
      <c r="C949" s="1" t="str">
        <f>IF(Tabela8[[#This Row],[SETOR]]="","",IF(Tabela8[[#This Row],[SETOR]]&lt;200,"GV 10",IF(Tabela8[[#This Row],[SETOR]]&lt;300,"GV 20",IF(Tabela8[[#This Row],[SETOR]]&lt;400,"GV 30","S/GV"))))</f>
        <v>GV 30</v>
      </c>
      <c r="E949" t="s">
        <v>123</v>
      </c>
      <c r="G949" t="str">
        <f>_xlfn.CONCAT(Tabela9[[#This Row],[Coluna1]],Tabela9[[#This Row],[Coluna2]])</f>
        <v>20-Rota</v>
      </c>
    </row>
    <row r="950" spans="1:7" x14ac:dyDescent="0.25">
      <c r="A950">
        <v>7981</v>
      </c>
      <c r="B950">
        <v>305</v>
      </c>
      <c r="C950" s="1" t="str">
        <f>IF(Tabela8[[#This Row],[SETOR]]="","",IF(Tabela8[[#This Row],[SETOR]]&lt;200,"GV 10",IF(Tabela8[[#This Row],[SETOR]]&lt;300,"GV 20",IF(Tabela8[[#This Row],[SETOR]]&lt;400,"GV 30","S/GV"))))</f>
        <v>GV 30</v>
      </c>
      <c r="E950" t="s">
        <v>123</v>
      </c>
      <c r="G950" t="str">
        <f>_xlfn.CONCAT(Tabela9[[#This Row],[Coluna1]],Tabela9[[#This Row],[Coluna2]])</f>
        <v>20-Rota</v>
      </c>
    </row>
    <row r="951" spans="1:7" x14ac:dyDescent="0.25">
      <c r="A951">
        <v>7987</v>
      </c>
      <c r="B951">
        <v>105</v>
      </c>
      <c r="C951" s="1" t="str">
        <f>IF(Tabela8[[#This Row],[SETOR]]="","",IF(Tabela8[[#This Row],[SETOR]]&lt;200,"GV 10",IF(Tabela8[[#This Row],[SETOR]]&lt;300,"GV 20",IF(Tabela8[[#This Row],[SETOR]]&lt;400,"GV 30","S/GV"))))</f>
        <v>GV 10</v>
      </c>
      <c r="E951" t="s">
        <v>123</v>
      </c>
      <c r="G951" t="str">
        <f>_xlfn.CONCAT(Tabela9[[#This Row],[Coluna1]],Tabela9[[#This Row],[Coluna2]])</f>
        <v>20-Rota</v>
      </c>
    </row>
    <row r="952" spans="1:7" x14ac:dyDescent="0.25">
      <c r="A952">
        <v>7988</v>
      </c>
      <c r="B952">
        <v>106</v>
      </c>
      <c r="C952" s="1" t="str">
        <f>IF(Tabela8[[#This Row],[SETOR]]="","",IF(Tabela8[[#This Row],[SETOR]]&lt;200,"GV 10",IF(Tabela8[[#This Row],[SETOR]]&lt;300,"GV 20",IF(Tabela8[[#This Row],[SETOR]]&lt;400,"GV 30","S/GV"))))</f>
        <v>GV 10</v>
      </c>
      <c r="E952" t="s">
        <v>123</v>
      </c>
      <c r="G952" t="str">
        <f>_xlfn.CONCAT(Tabela9[[#This Row],[Coluna1]],Tabela9[[#This Row],[Coluna2]])</f>
        <v>20-Rota</v>
      </c>
    </row>
    <row r="953" spans="1:7" x14ac:dyDescent="0.25">
      <c r="A953">
        <v>7992</v>
      </c>
      <c r="B953">
        <v>309</v>
      </c>
      <c r="C953" s="1" t="str">
        <f>IF(Tabela8[[#This Row],[SETOR]]="","",IF(Tabela8[[#This Row],[SETOR]]&lt;200,"GV 10",IF(Tabela8[[#This Row],[SETOR]]&lt;300,"GV 20",IF(Tabela8[[#This Row],[SETOR]]&lt;400,"GV 30","S/GV"))))</f>
        <v>GV 30</v>
      </c>
      <c r="E953" t="s">
        <v>126</v>
      </c>
      <c r="F953" t="s">
        <v>127</v>
      </c>
      <c r="G953" t="str">
        <f>_xlfn.CONCAT(Tabela9[[#This Row],[Coluna1]],Tabela9[[#This Row],[Coluna2]])</f>
        <v>16-AS(5+)</v>
      </c>
    </row>
    <row r="954" spans="1:7" x14ac:dyDescent="0.25">
      <c r="A954">
        <v>7993</v>
      </c>
      <c r="B954">
        <v>105</v>
      </c>
      <c r="C954" s="1" t="str">
        <f>IF(Tabela8[[#This Row],[SETOR]]="","",IF(Tabela8[[#This Row],[SETOR]]&lt;200,"GV 10",IF(Tabela8[[#This Row],[SETOR]]&lt;300,"GV 20",IF(Tabela8[[#This Row],[SETOR]]&lt;400,"GV 30","S/GV"))))</f>
        <v>GV 10</v>
      </c>
      <c r="E954" t="s">
        <v>123</v>
      </c>
      <c r="G954" t="str">
        <f>_xlfn.CONCAT(Tabela9[[#This Row],[Coluna1]],Tabela9[[#This Row],[Coluna2]])</f>
        <v>20-Rota</v>
      </c>
    </row>
    <row r="955" spans="1:7" x14ac:dyDescent="0.25">
      <c r="A955">
        <v>7996</v>
      </c>
      <c r="B955">
        <v>106</v>
      </c>
      <c r="C955" s="1" t="str">
        <f>IF(Tabela8[[#This Row],[SETOR]]="","",IF(Tabela8[[#This Row],[SETOR]]&lt;200,"GV 10",IF(Tabela8[[#This Row],[SETOR]]&lt;300,"GV 20",IF(Tabela8[[#This Row],[SETOR]]&lt;400,"GV 30","S/GV"))))</f>
        <v>GV 10</v>
      </c>
      <c r="E955" t="s">
        <v>123</v>
      </c>
      <c r="G955" t="str">
        <f>_xlfn.CONCAT(Tabela9[[#This Row],[Coluna1]],Tabela9[[#This Row],[Coluna2]])</f>
        <v>20-Rota</v>
      </c>
    </row>
    <row r="956" spans="1:7" x14ac:dyDescent="0.25">
      <c r="A956">
        <v>7997</v>
      </c>
      <c r="B956">
        <v>105</v>
      </c>
      <c r="C956" s="1" t="str">
        <f>IF(Tabela8[[#This Row],[SETOR]]="","",IF(Tabela8[[#This Row],[SETOR]]&lt;200,"GV 10",IF(Tabela8[[#This Row],[SETOR]]&lt;300,"GV 20",IF(Tabela8[[#This Row],[SETOR]]&lt;400,"GV 30","S/GV"))))</f>
        <v>GV 10</v>
      </c>
      <c r="E956" t="s">
        <v>123</v>
      </c>
      <c r="G956" t="str">
        <f>_xlfn.CONCAT(Tabela9[[#This Row],[Coluna1]],Tabela9[[#This Row],[Coluna2]])</f>
        <v>20-Rota</v>
      </c>
    </row>
    <row r="957" spans="1:7" x14ac:dyDescent="0.25">
      <c r="A957">
        <v>8000</v>
      </c>
      <c r="B957">
        <v>305</v>
      </c>
      <c r="C957" s="1" t="str">
        <f>IF(Tabela8[[#This Row],[SETOR]]="","",IF(Tabela8[[#This Row],[SETOR]]&lt;200,"GV 10",IF(Tabela8[[#This Row],[SETOR]]&lt;300,"GV 20",IF(Tabela8[[#This Row],[SETOR]]&lt;400,"GV 30","S/GV"))))</f>
        <v>GV 30</v>
      </c>
      <c r="E957" t="s">
        <v>123</v>
      </c>
      <c r="G957" t="str">
        <f>_xlfn.CONCAT(Tabela9[[#This Row],[Coluna1]],Tabela9[[#This Row],[Coluna2]])</f>
        <v>20-Rota</v>
      </c>
    </row>
    <row r="958" spans="1:7" x14ac:dyDescent="0.25">
      <c r="A958">
        <v>8009</v>
      </c>
      <c r="B958">
        <v>105</v>
      </c>
      <c r="C958" s="1" t="str">
        <f>IF(Tabela8[[#This Row],[SETOR]]="","",IF(Tabela8[[#This Row],[SETOR]]&lt;200,"GV 10",IF(Tabela8[[#This Row],[SETOR]]&lt;300,"GV 20",IF(Tabela8[[#This Row],[SETOR]]&lt;400,"GV 30","S/GV"))))</f>
        <v>GV 10</v>
      </c>
      <c r="E958" t="s">
        <v>123</v>
      </c>
      <c r="G958" t="str">
        <f>_xlfn.CONCAT(Tabela9[[#This Row],[Coluna1]],Tabela9[[#This Row],[Coluna2]])</f>
        <v>20-Rota</v>
      </c>
    </row>
    <row r="959" spans="1:7" x14ac:dyDescent="0.25">
      <c r="A959">
        <v>8016</v>
      </c>
      <c r="B959">
        <v>307</v>
      </c>
      <c r="C959" s="1" t="str">
        <f>IF(Tabela8[[#This Row],[SETOR]]="","",IF(Tabela8[[#This Row],[SETOR]]&lt;200,"GV 10",IF(Tabela8[[#This Row],[SETOR]]&lt;300,"GV 20",IF(Tabela8[[#This Row],[SETOR]]&lt;400,"GV 30","S/GV"))))</f>
        <v>GV 30</v>
      </c>
      <c r="E959" t="s">
        <v>130</v>
      </c>
      <c r="G959" t="str">
        <f>_xlfn.CONCAT(Tabela9[[#This Row],[Coluna1]],Tabela9[[#This Row],[Coluna2]])</f>
        <v>21-SUB</v>
      </c>
    </row>
    <row r="960" spans="1:7" x14ac:dyDescent="0.25">
      <c r="A960">
        <v>8019</v>
      </c>
      <c r="B960">
        <v>106</v>
      </c>
      <c r="C960" s="1" t="str">
        <f>IF(Tabela8[[#This Row],[SETOR]]="","",IF(Tabela8[[#This Row],[SETOR]]&lt;200,"GV 10",IF(Tabela8[[#This Row],[SETOR]]&lt;300,"GV 20",IF(Tabela8[[#This Row],[SETOR]]&lt;400,"GV 30","S/GV"))))</f>
        <v>GV 10</v>
      </c>
      <c r="E960" t="s">
        <v>123</v>
      </c>
      <c r="G960" t="str">
        <f>_xlfn.CONCAT(Tabela9[[#This Row],[Coluna1]],Tabela9[[#This Row],[Coluna2]])</f>
        <v>20-Rota</v>
      </c>
    </row>
    <row r="961" spans="1:7" x14ac:dyDescent="0.25">
      <c r="A961">
        <v>8024</v>
      </c>
      <c r="B961">
        <v>105</v>
      </c>
      <c r="C961" s="1" t="str">
        <f>IF(Tabela8[[#This Row],[SETOR]]="","",IF(Tabela8[[#This Row],[SETOR]]&lt;200,"GV 10",IF(Tabela8[[#This Row],[SETOR]]&lt;300,"GV 20",IF(Tabela8[[#This Row],[SETOR]]&lt;400,"GV 30","S/GV"))))</f>
        <v>GV 10</v>
      </c>
      <c r="E961" t="s">
        <v>123</v>
      </c>
      <c r="G961" t="str">
        <f>_xlfn.CONCAT(Tabela9[[#This Row],[Coluna1]],Tabela9[[#This Row],[Coluna2]])</f>
        <v>20-Rota</v>
      </c>
    </row>
    <row r="962" spans="1:7" x14ac:dyDescent="0.25">
      <c r="A962">
        <v>8029</v>
      </c>
      <c r="B962">
        <v>105</v>
      </c>
      <c r="C962" s="1" t="str">
        <f>IF(Tabela8[[#This Row],[SETOR]]="","",IF(Tabela8[[#This Row],[SETOR]]&lt;200,"GV 10",IF(Tabela8[[#This Row],[SETOR]]&lt;300,"GV 20",IF(Tabela8[[#This Row],[SETOR]]&lt;400,"GV 30","S/GV"))))</f>
        <v>GV 10</v>
      </c>
      <c r="E962" t="s">
        <v>123</v>
      </c>
      <c r="G962" t="str">
        <f>_xlfn.CONCAT(Tabela9[[#This Row],[Coluna1]],Tabela9[[#This Row],[Coluna2]])</f>
        <v>20-Rota</v>
      </c>
    </row>
    <row r="963" spans="1:7" x14ac:dyDescent="0.25">
      <c r="A963">
        <v>8032</v>
      </c>
      <c r="B963">
        <v>106</v>
      </c>
      <c r="C963" s="1" t="str">
        <f>IF(Tabela8[[#This Row],[SETOR]]="","",IF(Tabela8[[#This Row],[SETOR]]&lt;200,"GV 10",IF(Tabela8[[#This Row],[SETOR]]&lt;300,"GV 20",IF(Tabela8[[#This Row],[SETOR]]&lt;400,"GV 30","S/GV"))))</f>
        <v>GV 10</v>
      </c>
      <c r="E963" t="s">
        <v>123</v>
      </c>
      <c r="G963" t="str">
        <f>_xlfn.CONCAT(Tabela9[[#This Row],[Coluna1]],Tabela9[[#This Row],[Coluna2]])</f>
        <v>20-Rota</v>
      </c>
    </row>
    <row r="964" spans="1:7" x14ac:dyDescent="0.25">
      <c r="A964">
        <v>8033</v>
      </c>
      <c r="B964">
        <v>305</v>
      </c>
      <c r="C964" s="1" t="str">
        <f>IF(Tabela8[[#This Row],[SETOR]]="","",IF(Tabela8[[#This Row],[SETOR]]&lt;200,"GV 10",IF(Tabela8[[#This Row],[SETOR]]&lt;300,"GV 20",IF(Tabela8[[#This Row],[SETOR]]&lt;400,"GV 30","S/GV"))))</f>
        <v>GV 30</v>
      </c>
      <c r="E964" t="s">
        <v>123</v>
      </c>
      <c r="G964" t="str">
        <f>_xlfn.CONCAT(Tabela9[[#This Row],[Coluna1]],Tabela9[[#This Row],[Coluna2]])</f>
        <v>20-Rota</v>
      </c>
    </row>
    <row r="965" spans="1:7" x14ac:dyDescent="0.25">
      <c r="A965">
        <v>8040</v>
      </c>
      <c r="B965">
        <v>305</v>
      </c>
      <c r="C965" s="1" t="str">
        <f>IF(Tabela8[[#This Row],[SETOR]]="","",IF(Tabela8[[#This Row],[SETOR]]&lt;200,"GV 10",IF(Tabela8[[#This Row],[SETOR]]&lt;300,"GV 20",IF(Tabela8[[#This Row],[SETOR]]&lt;400,"GV 30","S/GV"))))</f>
        <v>GV 30</v>
      </c>
      <c r="E965" t="s">
        <v>123</v>
      </c>
      <c r="G965" t="str">
        <f>_xlfn.CONCAT(Tabela9[[#This Row],[Coluna1]],Tabela9[[#This Row],[Coluna2]])</f>
        <v>20-Rota</v>
      </c>
    </row>
    <row r="966" spans="1:7" x14ac:dyDescent="0.25">
      <c r="A966">
        <v>8046</v>
      </c>
      <c r="B966">
        <v>105</v>
      </c>
      <c r="C966" s="1" t="str">
        <f>IF(Tabela8[[#This Row],[SETOR]]="","",IF(Tabela8[[#This Row],[SETOR]]&lt;200,"GV 10",IF(Tabela8[[#This Row],[SETOR]]&lt;300,"GV 20",IF(Tabela8[[#This Row],[SETOR]]&lt;400,"GV 30","S/GV"))))</f>
        <v>GV 10</v>
      </c>
      <c r="E966" t="s">
        <v>123</v>
      </c>
      <c r="G966" t="str">
        <f>_xlfn.CONCAT(Tabela9[[#This Row],[Coluna1]],Tabela9[[#This Row],[Coluna2]])</f>
        <v>20-Rota</v>
      </c>
    </row>
    <row r="967" spans="1:7" x14ac:dyDescent="0.25">
      <c r="A967">
        <v>8053</v>
      </c>
      <c r="B967">
        <v>106</v>
      </c>
      <c r="C967" s="1" t="str">
        <f>IF(Tabela8[[#This Row],[SETOR]]="","",IF(Tabela8[[#This Row],[SETOR]]&lt;200,"GV 10",IF(Tabela8[[#This Row],[SETOR]]&lt;300,"GV 20",IF(Tabela8[[#This Row],[SETOR]]&lt;400,"GV 30","S/GV"))))</f>
        <v>GV 10</v>
      </c>
      <c r="E967" t="s">
        <v>125</v>
      </c>
      <c r="G967" t="str">
        <f>_xlfn.CONCAT(Tabela9[[#This Row],[Coluna1]],Tabela9[[#This Row],[Coluna2]])</f>
        <v>18-TRAD</v>
      </c>
    </row>
    <row r="968" spans="1:7" x14ac:dyDescent="0.25">
      <c r="A968">
        <v>8055</v>
      </c>
      <c r="B968">
        <v>305</v>
      </c>
      <c r="C968" s="1" t="str">
        <f>IF(Tabela8[[#This Row],[SETOR]]="","",IF(Tabela8[[#This Row],[SETOR]]&lt;200,"GV 10",IF(Tabela8[[#This Row],[SETOR]]&lt;300,"GV 20",IF(Tabela8[[#This Row],[SETOR]]&lt;400,"GV 30","S/GV"))))</f>
        <v>GV 30</v>
      </c>
      <c r="E968" t="s">
        <v>123</v>
      </c>
      <c r="G968" t="str">
        <f>_xlfn.CONCAT(Tabela9[[#This Row],[Coluna1]],Tabela9[[#This Row],[Coluna2]])</f>
        <v>20-Rota</v>
      </c>
    </row>
    <row r="969" spans="1:7" x14ac:dyDescent="0.25">
      <c r="A969">
        <v>8059</v>
      </c>
      <c r="B969">
        <v>305</v>
      </c>
      <c r="C969" s="1" t="str">
        <f>IF(Tabela8[[#This Row],[SETOR]]="","",IF(Tabela8[[#This Row],[SETOR]]&lt;200,"GV 10",IF(Tabela8[[#This Row],[SETOR]]&lt;300,"GV 20",IF(Tabela8[[#This Row],[SETOR]]&lt;400,"GV 30","S/GV"))))</f>
        <v>GV 30</v>
      </c>
      <c r="E969" t="s">
        <v>123</v>
      </c>
      <c r="G969" t="str">
        <f>_xlfn.CONCAT(Tabela9[[#This Row],[Coluna1]],Tabela9[[#This Row],[Coluna2]])</f>
        <v>20-Rota</v>
      </c>
    </row>
    <row r="970" spans="1:7" x14ac:dyDescent="0.25">
      <c r="A970">
        <v>8066</v>
      </c>
      <c r="B970">
        <v>912</v>
      </c>
      <c r="C970" s="1" t="str">
        <f>IF(Tabela8[[#This Row],[SETOR]]="","",IF(Tabela8[[#This Row],[SETOR]]&lt;200,"GV 10",IF(Tabela8[[#This Row],[SETOR]]&lt;300,"GV 20",IF(Tabela8[[#This Row],[SETOR]]&lt;400,"GV 30","S/GV"))))</f>
        <v>S/GV</v>
      </c>
      <c r="G970" t="str">
        <f>_xlfn.CONCAT(Tabela9[[#This Row],[Coluna1]],Tabela9[[#This Row],[Coluna2]])</f>
        <v/>
      </c>
    </row>
    <row r="971" spans="1:7" x14ac:dyDescent="0.25">
      <c r="A971">
        <v>8068</v>
      </c>
      <c r="B971">
        <v>106</v>
      </c>
      <c r="C971" s="1" t="str">
        <f>IF(Tabela8[[#This Row],[SETOR]]="","",IF(Tabela8[[#This Row],[SETOR]]&lt;200,"GV 10",IF(Tabela8[[#This Row],[SETOR]]&lt;300,"GV 20",IF(Tabela8[[#This Row],[SETOR]]&lt;400,"GV 30","S/GV"))))</f>
        <v>GV 10</v>
      </c>
      <c r="E971" t="s">
        <v>123</v>
      </c>
      <c r="G971" t="str">
        <f>_xlfn.CONCAT(Tabela9[[#This Row],[Coluna1]],Tabela9[[#This Row],[Coluna2]])</f>
        <v>20-Rota</v>
      </c>
    </row>
    <row r="972" spans="1:7" x14ac:dyDescent="0.25">
      <c r="A972">
        <v>8069</v>
      </c>
      <c r="B972">
        <v>105</v>
      </c>
      <c r="C972" s="1" t="str">
        <f>IF(Tabela8[[#This Row],[SETOR]]="","",IF(Tabela8[[#This Row],[SETOR]]&lt;200,"GV 10",IF(Tabela8[[#This Row],[SETOR]]&lt;300,"GV 20",IF(Tabela8[[#This Row],[SETOR]]&lt;400,"GV 30","S/GV"))))</f>
        <v>GV 10</v>
      </c>
      <c r="E972" t="s">
        <v>125</v>
      </c>
      <c r="G972" t="str">
        <f>_xlfn.CONCAT(Tabela9[[#This Row],[Coluna1]],Tabela9[[#This Row],[Coluna2]])</f>
        <v>18-TRAD</v>
      </c>
    </row>
    <row r="973" spans="1:7" x14ac:dyDescent="0.25">
      <c r="A973">
        <v>8078</v>
      </c>
      <c r="B973">
        <v>106</v>
      </c>
      <c r="C973" s="1" t="str">
        <f>IF(Tabela8[[#This Row],[SETOR]]="","",IF(Tabela8[[#This Row],[SETOR]]&lt;200,"GV 10",IF(Tabela8[[#This Row],[SETOR]]&lt;300,"GV 20",IF(Tabela8[[#This Row],[SETOR]]&lt;400,"GV 30","S/GV"))))</f>
        <v>GV 10</v>
      </c>
      <c r="E973" t="s">
        <v>125</v>
      </c>
      <c r="G973" t="str">
        <f>_xlfn.CONCAT(Tabela9[[#This Row],[Coluna1]],Tabela9[[#This Row],[Coluna2]])</f>
        <v>18-TRAD</v>
      </c>
    </row>
    <row r="974" spans="1:7" x14ac:dyDescent="0.25">
      <c r="A974">
        <v>8079</v>
      </c>
      <c r="B974">
        <v>105</v>
      </c>
      <c r="C974" s="1" t="str">
        <f>IF(Tabela8[[#This Row],[SETOR]]="","",IF(Tabela8[[#This Row],[SETOR]]&lt;200,"GV 10",IF(Tabela8[[#This Row],[SETOR]]&lt;300,"GV 20",IF(Tabela8[[#This Row],[SETOR]]&lt;400,"GV 30","S/GV"))))</f>
        <v>GV 10</v>
      </c>
      <c r="E974" t="s">
        <v>123</v>
      </c>
      <c r="G974" t="str">
        <f>_xlfn.CONCAT(Tabela9[[#This Row],[Coluna1]],Tabela9[[#This Row],[Coluna2]])</f>
        <v>20-Rota</v>
      </c>
    </row>
    <row r="975" spans="1:7" x14ac:dyDescent="0.25">
      <c r="A975">
        <v>8089</v>
      </c>
      <c r="B975">
        <v>106</v>
      </c>
      <c r="C975" s="1" t="str">
        <f>IF(Tabela8[[#This Row],[SETOR]]="","",IF(Tabela8[[#This Row],[SETOR]]&lt;200,"GV 10",IF(Tabela8[[#This Row],[SETOR]]&lt;300,"GV 20",IF(Tabela8[[#This Row],[SETOR]]&lt;400,"GV 30","S/GV"))))</f>
        <v>GV 10</v>
      </c>
      <c r="E975" t="s">
        <v>123</v>
      </c>
      <c r="G975" t="str">
        <f>_xlfn.CONCAT(Tabela9[[#This Row],[Coluna1]],Tabela9[[#This Row],[Coluna2]])</f>
        <v>20-Rota</v>
      </c>
    </row>
    <row r="976" spans="1:7" x14ac:dyDescent="0.25">
      <c r="A976">
        <v>8094</v>
      </c>
      <c r="B976">
        <v>205</v>
      </c>
      <c r="C976" s="1" t="str">
        <f>IF(Tabela8[[#This Row],[SETOR]]="","",IF(Tabela8[[#This Row],[SETOR]]&lt;200,"GV 10",IF(Tabela8[[#This Row],[SETOR]]&lt;300,"GV 20",IF(Tabela8[[#This Row],[SETOR]]&lt;400,"GV 30","S/GV"))))</f>
        <v>GV 20</v>
      </c>
      <c r="E976" t="s">
        <v>125</v>
      </c>
      <c r="G976" t="str">
        <f>_xlfn.CONCAT(Tabela9[[#This Row],[Coluna1]],Tabela9[[#This Row],[Coluna2]])</f>
        <v>18-TRAD</v>
      </c>
    </row>
    <row r="977" spans="1:7" x14ac:dyDescent="0.25">
      <c r="A977">
        <v>8095</v>
      </c>
      <c r="B977">
        <v>306</v>
      </c>
      <c r="C977" s="1" t="str">
        <f>IF(Tabela8[[#This Row],[SETOR]]="","",IF(Tabela8[[#This Row],[SETOR]]&lt;200,"GV 10",IF(Tabela8[[#This Row],[SETOR]]&lt;300,"GV 20",IF(Tabela8[[#This Row],[SETOR]]&lt;400,"GV 30","S/GV"))))</f>
        <v>GV 30</v>
      </c>
      <c r="E977" t="s">
        <v>125</v>
      </c>
      <c r="G977" t="str">
        <f>_xlfn.CONCAT(Tabela9[[#This Row],[Coluna1]],Tabela9[[#This Row],[Coluna2]])</f>
        <v>18-TRAD</v>
      </c>
    </row>
    <row r="978" spans="1:7" x14ac:dyDescent="0.25">
      <c r="A978">
        <v>8097</v>
      </c>
      <c r="B978">
        <v>204</v>
      </c>
      <c r="C978" s="1" t="str">
        <f>IF(Tabela8[[#This Row],[SETOR]]="","",IF(Tabela8[[#This Row],[SETOR]]&lt;200,"GV 10",IF(Tabela8[[#This Row],[SETOR]]&lt;300,"GV 20",IF(Tabela8[[#This Row],[SETOR]]&lt;400,"GV 30","S/GV"))))</f>
        <v>GV 20</v>
      </c>
      <c r="E978" t="s">
        <v>123</v>
      </c>
      <c r="G978" t="str">
        <f>_xlfn.CONCAT(Tabela9[[#This Row],[Coluna1]],Tabela9[[#This Row],[Coluna2]])</f>
        <v>20-Rota</v>
      </c>
    </row>
    <row r="979" spans="1:7" x14ac:dyDescent="0.25">
      <c r="A979">
        <v>8104</v>
      </c>
      <c r="B979">
        <v>906</v>
      </c>
      <c r="C979" s="1" t="str">
        <f>IF(Tabela8[[#This Row],[SETOR]]="","",IF(Tabela8[[#This Row],[SETOR]]&lt;200,"GV 10",IF(Tabela8[[#This Row],[SETOR]]&lt;300,"GV 20",IF(Tabela8[[#This Row],[SETOR]]&lt;400,"GV 30","S/GV"))))</f>
        <v>S/GV</v>
      </c>
      <c r="E979" t="s">
        <v>123</v>
      </c>
      <c r="G979" t="str">
        <f>_xlfn.CONCAT(Tabela9[[#This Row],[Coluna1]],Tabela9[[#This Row],[Coluna2]])</f>
        <v>20-Rota</v>
      </c>
    </row>
    <row r="980" spans="1:7" x14ac:dyDescent="0.25">
      <c r="A980">
        <v>8106</v>
      </c>
      <c r="B980">
        <v>916</v>
      </c>
      <c r="C980" s="1" t="str">
        <f>IF(Tabela8[[#This Row],[SETOR]]="","",IF(Tabela8[[#This Row],[SETOR]]&lt;200,"GV 10",IF(Tabela8[[#This Row],[SETOR]]&lt;300,"GV 20",IF(Tabela8[[#This Row],[SETOR]]&lt;400,"GV 30","S/GV"))))</f>
        <v>S/GV</v>
      </c>
      <c r="G980" t="str">
        <f>_xlfn.CONCAT(Tabela9[[#This Row],[Coluna1]],Tabela9[[#This Row],[Coluna2]])</f>
        <v/>
      </c>
    </row>
    <row r="981" spans="1:7" x14ac:dyDescent="0.25">
      <c r="A981">
        <v>8111</v>
      </c>
      <c r="B981">
        <v>201</v>
      </c>
      <c r="C981" s="1" t="str">
        <f>IF(Tabela8[[#This Row],[SETOR]]="","",IF(Tabela8[[#This Row],[SETOR]]&lt;200,"GV 10",IF(Tabela8[[#This Row],[SETOR]]&lt;300,"GV 20",IF(Tabela8[[#This Row],[SETOR]]&lt;400,"GV 30","S/GV"))))</f>
        <v>GV 20</v>
      </c>
      <c r="E981" t="s">
        <v>123</v>
      </c>
      <c r="G981" t="str">
        <f>_xlfn.CONCAT(Tabela9[[#This Row],[Coluna1]],Tabela9[[#This Row],[Coluna2]])</f>
        <v>20-Rota</v>
      </c>
    </row>
    <row r="982" spans="1:7" x14ac:dyDescent="0.25">
      <c r="A982">
        <v>8113</v>
      </c>
      <c r="B982">
        <v>306</v>
      </c>
      <c r="C982" s="1" t="str">
        <f>IF(Tabela8[[#This Row],[SETOR]]="","",IF(Tabela8[[#This Row],[SETOR]]&lt;200,"GV 10",IF(Tabela8[[#This Row],[SETOR]]&lt;300,"GV 20",IF(Tabela8[[#This Row],[SETOR]]&lt;400,"GV 30","S/GV"))))</f>
        <v>GV 30</v>
      </c>
      <c r="E982" t="s">
        <v>125</v>
      </c>
      <c r="G982" t="str">
        <f>_xlfn.CONCAT(Tabela9[[#This Row],[Coluna1]],Tabela9[[#This Row],[Coluna2]])</f>
        <v>18-TRAD</v>
      </c>
    </row>
    <row r="983" spans="1:7" x14ac:dyDescent="0.25">
      <c r="A983">
        <v>8121</v>
      </c>
      <c r="B983">
        <v>106</v>
      </c>
      <c r="C983" s="1" t="str">
        <f>IF(Tabela8[[#This Row],[SETOR]]="","",IF(Tabela8[[#This Row],[SETOR]]&lt;200,"GV 10",IF(Tabela8[[#This Row],[SETOR]]&lt;300,"GV 20",IF(Tabela8[[#This Row],[SETOR]]&lt;400,"GV 30","S/GV"))))</f>
        <v>GV 10</v>
      </c>
      <c r="E983" t="s">
        <v>123</v>
      </c>
      <c r="G983" t="str">
        <f>_xlfn.CONCAT(Tabela9[[#This Row],[Coluna1]],Tabela9[[#This Row],[Coluna2]])</f>
        <v>20-Rota</v>
      </c>
    </row>
    <row r="984" spans="1:7" x14ac:dyDescent="0.25">
      <c r="A984">
        <v>8124</v>
      </c>
      <c r="B984">
        <v>204</v>
      </c>
      <c r="C984" s="1" t="str">
        <f>IF(Tabela8[[#This Row],[SETOR]]="","",IF(Tabela8[[#This Row],[SETOR]]&lt;200,"GV 10",IF(Tabela8[[#This Row],[SETOR]]&lt;300,"GV 20",IF(Tabela8[[#This Row],[SETOR]]&lt;400,"GV 30","S/GV"))))</f>
        <v>GV 20</v>
      </c>
      <c r="E984" t="s">
        <v>123</v>
      </c>
      <c r="G984" t="str">
        <f>_xlfn.CONCAT(Tabela9[[#This Row],[Coluna1]],Tabela9[[#This Row],[Coluna2]])</f>
        <v>20-Rota</v>
      </c>
    </row>
    <row r="985" spans="1:7" x14ac:dyDescent="0.25">
      <c r="A985">
        <v>8127</v>
      </c>
      <c r="B985">
        <v>201</v>
      </c>
      <c r="C985" s="1" t="str">
        <f>IF(Tabela8[[#This Row],[SETOR]]="","",IF(Tabela8[[#This Row],[SETOR]]&lt;200,"GV 10",IF(Tabela8[[#This Row],[SETOR]]&lt;300,"GV 20",IF(Tabela8[[#This Row],[SETOR]]&lt;400,"GV 30","S/GV"))))</f>
        <v>GV 20</v>
      </c>
      <c r="E985" t="s">
        <v>123</v>
      </c>
      <c r="G985" t="str">
        <f>_xlfn.CONCAT(Tabela9[[#This Row],[Coluna1]],Tabela9[[#This Row],[Coluna2]])</f>
        <v>20-Rota</v>
      </c>
    </row>
    <row r="986" spans="1:7" x14ac:dyDescent="0.25">
      <c r="A986">
        <v>8131</v>
      </c>
      <c r="B986">
        <v>201</v>
      </c>
      <c r="C986" s="1" t="str">
        <f>IF(Tabela8[[#This Row],[SETOR]]="","",IF(Tabela8[[#This Row],[SETOR]]&lt;200,"GV 10",IF(Tabela8[[#This Row],[SETOR]]&lt;300,"GV 20",IF(Tabela8[[#This Row],[SETOR]]&lt;400,"GV 30","S/GV"))))</f>
        <v>GV 20</v>
      </c>
      <c r="E986" t="s">
        <v>123</v>
      </c>
      <c r="G986" t="str">
        <f>_xlfn.CONCAT(Tabela9[[#This Row],[Coluna1]],Tabela9[[#This Row],[Coluna2]])</f>
        <v>20-Rota</v>
      </c>
    </row>
    <row r="987" spans="1:7" x14ac:dyDescent="0.25">
      <c r="A987">
        <v>8135</v>
      </c>
      <c r="B987">
        <v>305</v>
      </c>
      <c r="C987" s="1" t="str">
        <f>IF(Tabela8[[#This Row],[SETOR]]="","",IF(Tabela8[[#This Row],[SETOR]]&lt;200,"GV 10",IF(Tabela8[[#This Row],[SETOR]]&lt;300,"GV 20",IF(Tabela8[[#This Row],[SETOR]]&lt;400,"GV 30","S/GV"))))</f>
        <v>GV 30</v>
      </c>
      <c r="E987" t="s">
        <v>125</v>
      </c>
      <c r="G987" t="str">
        <f>_xlfn.CONCAT(Tabela9[[#This Row],[Coluna1]],Tabela9[[#This Row],[Coluna2]])</f>
        <v>18-TRAD</v>
      </c>
    </row>
    <row r="988" spans="1:7" x14ac:dyDescent="0.25">
      <c r="A988">
        <v>8141</v>
      </c>
      <c r="B988">
        <v>308</v>
      </c>
      <c r="C988" s="1" t="str">
        <f>IF(Tabela8[[#This Row],[SETOR]]="","",IF(Tabela8[[#This Row],[SETOR]]&lt;200,"GV 10",IF(Tabela8[[#This Row],[SETOR]]&lt;300,"GV 20",IF(Tabela8[[#This Row],[SETOR]]&lt;400,"GV 30","S/GV"))))</f>
        <v>GV 30</v>
      </c>
      <c r="E988" t="s">
        <v>128</v>
      </c>
      <c r="F988" t="s">
        <v>129</v>
      </c>
      <c r="G988" t="str">
        <f>_xlfn.CONCAT(Tabela9[[#This Row],[Coluna1]],Tabela9[[#This Row],[Coluna2]])</f>
        <v>15-AS(1-4)</v>
      </c>
    </row>
    <row r="989" spans="1:7" x14ac:dyDescent="0.25">
      <c r="A989">
        <v>8144</v>
      </c>
      <c r="B989">
        <v>305</v>
      </c>
      <c r="C989" s="1" t="str">
        <f>IF(Tabela8[[#This Row],[SETOR]]="","",IF(Tabela8[[#This Row],[SETOR]]&lt;200,"GV 10",IF(Tabela8[[#This Row],[SETOR]]&lt;300,"GV 20",IF(Tabela8[[#This Row],[SETOR]]&lt;400,"GV 30","S/GV"))))</f>
        <v>GV 30</v>
      </c>
      <c r="E989" t="s">
        <v>123</v>
      </c>
      <c r="G989" t="str">
        <f>_xlfn.CONCAT(Tabela9[[#This Row],[Coluna1]],Tabela9[[#This Row],[Coluna2]])</f>
        <v>20-Rota</v>
      </c>
    </row>
    <row r="990" spans="1:7" x14ac:dyDescent="0.25">
      <c r="A990">
        <v>8152</v>
      </c>
      <c r="B990">
        <v>305</v>
      </c>
      <c r="C990" s="1" t="str">
        <f>IF(Tabela8[[#This Row],[SETOR]]="","",IF(Tabela8[[#This Row],[SETOR]]&lt;200,"GV 10",IF(Tabela8[[#This Row],[SETOR]]&lt;300,"GV 20",IF(Tabela8[[#This Row],[SETOR]]&lt;400,"GV 30","S/GV"))))</f>
        <v>GV 30</v>
      </c>
      <c r="E990" t="s">
        <v>123</v>
      </c>
      <c r="G990" t="str">
        <f>_xlfn.CONCAT(Tabela9[[#This Row],[Coluna1]],Tabela9[[#This Row],[Coluna2]])</f>
        <v>20-Rota</v>
      </c>
    </row>
    <row r="991" spans="1:7" x14ac:dyDescent="0.25">
      <c r="A991">
        <v>8157</v>
      </c>
      <c r="B991">
        <v>305</v>
      </c>
      <c r="C991" s="1" t="str">
        <f>IF(Tabela8[[#This Row],[SETOR]]="","",IF(Tabela8[[#This Row],[SETOR]]&lt;200,"GV 10",IF(Tabela8[[#This Row],[SETOR]]&lt;300,"GV 20",IF(Tabela8[[#This Row],[SETOR]]&lt;400,"GV 30","S/GV"))))</f>
        <v>GV 30</v>
      </c>
      <c r="E991" t="s">
        <v>123</v>
      </c>
      <c r="G991" t="str">
        <f>_xlfn.CONCAT(Tabela9[[#This Row],[Coluna1]],Tabela9[[#This Row],[Coluna2]])</f>
        <v>20-Rota</v>
      </c>
    </row>
    <row r="992" spans="1:7" x14ac:dyDescent="0.25">
      <c r="A992">
        <v>8158</v>
      </c>
      <c r="B992">
        <v>305</v>
      </c>
      <c r="C992" s="1" t="str">
        <f>IF(Tabela8[[#This Row],[SETOR]]="","",IF(Tabela8[[#This Row],[SETOR]]&lt;200,"GV 10",IF(Tabela8[[#This Row],[SETOR]]&lt;300,"GV 20",IF(Tabela8[[#This Row],[SETOR]]&lt;400,"GV 30","S/GV"))))</f>
        <v>GV 30</v>
      </c>
      <c r="E992" t="s">
        <v>123</v>
      </c>
      <c r="G992" t="str">
        <f>_xlfn.CONCAT(Tabela9[[#This Row],[Coluna1]],Tabela9[[#This Row],[Coluna2]])</f>
        <v>20-Rota</v>
      </c>
    </row>
    <row r="993" spans="1:7" x14ac:dyDescent="0.25">
      <c r="A993">
        <v>8160</v>
      </c>
      <c r="B993">
        <v>304</v>
      </c>
      <c r="C993" s="1" t="str">
        <f>IF(Tabela8[[#This Row],[SETOR]]="","",IF(Tabela8[[#This Row],[SETOR]]&lt;200,"GV 10",IF(Tabela8[[#This Row],[SETOR]]&lt;300,"GV 20",IF(Tabela8[[#This Row],[SETOR]]&lt;400,"GV 30","S/GV"))))</f>
        <v>GV 30</v>
      </c>
      <c r="E993" t="s">
        <v>123</v>
      </c>
      <c r="G993" t="str">
        <f>_xlfn.CONCAT(Tabela9[[#This Row],[Coluna1]],Tabela9[[#This Row],[Coluna2]])</f>
        <v>20-Rota</v>
      </c>
    </row>
    <row r="994" spans="1:7" x14ac:dyDescent="0.25">
      <c r="A994">
        <v>8167</v>
      </c>
      <c r="B994">
        <v>301</v>
      </c>
      <c r="C994" s="1" t="str">
        <f>IF(Tabela8[[#This Row],[SETOR]]="","",IF(Tabela8[[#This Row],[SETOR]]&lt;200,"GV 10",IF(Tabela8[[#This Row],[SETOR]]&lt;300,"GV 20",IF(Tabela8[[#This Row],[SETOR]]&lt;400,"GV 30","S/GV"))))</f>
        <v>GV 30</v>
      </c>
      <c r="E994" t="s">
        <v>123</v>
      </c>
      <c r="G994" t="str">
        <f>_xlfn.CONCAT(Tabela9[[#This Row],[Coluna1]],Tabela9[[#This Row],[Coluna2]])</f>
        <v>20-Rota</v>
      </c>
    </row>
    <row r="995" spans="1:7" x14ac:dyDescent="0.25">
      <c r="A995">
        <v>8168</v>
      </c>
      <c r="B995">
        <v>306</v>
      </c>
      <c r="C995" s="1" t="str">
        <f>IF(Tabela8[[#This Row],[SETOR]]="","",IF(Tabela8[[#This Row],[SETOR]]&lt;200,"GV 10",IF(Tabela8[[#This Row],[SETOR]]&lt;300,"GV 20",IF(Tabela8[[#This Row],[SETOR]]&lt;400,"GV 30","S/GV"))))</f>
        <v>GV 30</v>
      </c>
      <c r="E995" t="s">
        <v>125</v>
      </c>
      <c r="G995" t="str">
        <f>_xlfn.CONCAT(Tabela9[[#This Row],[Coluna1]],Tabela9[[#This Row],[Coluna2]])</f>
        <v>18-TRAD</v>
      </c>
    </row>
    <row r="996" spans="1:7" x14ac:dyDescent="0.25">
      <c r="A996">
        <v>8171</v>
      </c>
      <c r="B996">
        <v>306</v>
      </c>
      <c r="C996" s="1" t="str">
        <f>IF(Tabela8[[#This Row],[SETOR]]="","",IF(Tabela8[[#This Row],[SETOR]]&lt;200,"GV 10",IF(Tabela8[[#This Row],[SETOR]]&lt;300,"GV 20",IF(Tabela8[[#This Row],[SETOR]]&lt;400,"GV 30","S/GV"))))</f>
        <v>GV 30</v>
      </c>
      <c r="E996" t="s">
        <v>125</v>
      </c>
      <c r="G996" t="str">
        <f>_xlfn.CONCAT(Tabela9[[#This Row],[Coluna1]],Tabela9[[#This Row],[Coluna2]])</f>
        <v>18-TRAD</v>
      </c>
    </row>
    <row r="997" spans="1:7" x14ac:dyDescent="0.25">
      <c r="A997">
        <v>8174</v>
      </c>
      <c r="B997">
        <v>305</v>
      </c>
      <c r="C997" s="1" t="str">
        <f>IF(Tabela8[[#This Row],[SETOR]]="","",IF(Tabela8[[#This Row],[SETOR]]&lt;200,"GV 10",IF(Tabela8[[#This Row],[SETOR]]&lt;300,"GV 20",IF(Tabela8[[#This Row],[SETOR]]&lt;400,"GV 30","S/GV"))))</f>
        <v>GV 30</v>
      </c>
      <c r="E997" t="s">
        <v>123</v>
      </c>
      <c r="G997" t="str">
        <f>_xlfn.CONCAT(Tabela9[[#This Row],[Coluna1]],Tabela9[[#This Row],[Coluna2]])</f>
        <v>20-Rota</v>
      </c>
    </row>
    <row r="998" spans="1:7" x14ac:dyDescent="0.25">
      <c r="A998">
        <v>8184</v>
      </c>
      <c r="B998">
        <v>107</v>
      </c>
      <c r="C998" s="1" t="str">
        <f>IF(Tabela8[[#This Row],[SETOR]]="","",IF(Tabela8[[#This Row],[SETOR]]&lt;200,"GV 10",IF(Tabela8[[#This Row],[SETOR]]&lt;300,"GV 20",IF(Tabela8[[#This Row],[SETOR]]&lt;400,"GV 30","S/GV"))))</f>
        <v>GV 10</v>
      </c>
      <c r="E998" t="s">
        <v>130</v>
      </c>
      <c r="G998" t="str">
        <f>_xlfn.CONCAT(Tabela9[[#This Row],[Coluna1]],Tabela9[[#This Row],[Coluna2]])</f>
        <v>21-SUB</v>
      </c>
    </row>
    <row r="999" spans="1:7" x14ac:dyDescent="0.25">
      <c r="A999">
        <v>8187</v>
      </c>
      <c r="B999">
        <v>101</v>
      </c>
      <c r="C999" s="1" t="str">
        <f>IF(Tabela8[[#This Row],[SETOR]]="","",IF(Tabela8[[#This Row],[SETOR]]&lt;200,"GV 10",IF(Tabela8[[#This Row],[SETOR]]&lt;300,"GV 20",IF(Tabela8[[#This Row],[SETOR]]&lt;400,"GV 30","S/GV"))))</f>
        <v>GV 10</v>
      </c>
      <c r="E999" t="s">
        <v>123</v>
      </c>
      <c r="G999" t="str">
        <f>_xlfn.CONCAT(Tabela9[[#This Row],[Coluna1]],Tabela9[[#This Row],[Coluna2]])</f>
        <v>20-Rota</v>
      </c>
    </row>
    <row r="1000" spans="1:7" x14ac:dyDescent="0.25">
      <c r="A1000">
        <v>8188</v>
      </c>
      <c r="B1000">
        <v>203</v>
      </c>
      <c r="C1000" s="1" t="str">
        <f>IF(Tabela8[[#This Row],[SETOR]]="","",IF(Tabela8[[#This Row],[SETOR]]&lt;200,"GV 10",IF(Tabela8[[#This Row],[SETOR]]&lt;300,"GV 20",IF(Tabela8[[#This Row],[SETOR]]&lt;400,"GV 30","S/GV"))))</f>
        <v>GV 20</v>
      </c>
      <c r="E1000" t="s">
        <v>123</v>
      </c>
      <c r="G1000" t="str">
        <f>_xlfn.CONCAT(Tabela9[[#This Row],[Coluna1]],Tabela9[[#This Row],[Coluna2]])</f>
        <v>20-Rota</v>
      </c>
    </row>
    <row r="1001" spans="1:7" x14ac:dyDescent="0.25">
      <c r="A1001">
        <v>8207</v>
      </c>
      <c r="B1001">
        <v>109</v>
      </c>
      <c r="C1001" s="1" t="str">
        <f>IF(Tabela8[[#This Row],[SETOR]]="","",IF(Tabela8[[#This Row],[SETOR]]&lt;200,"GV 10",IF(Tabela8[[#This Row],[SETOR]]&lt;300,"GV 20",IF(Tabela8[[#This Row],[SETOR]]&lt;400,"GV 30","S/GV"))))</f>
        <v>GV 10</v>
      </c>
      <c r="E1001" t="s">
        <v>123</v>
      </c>
      <c r="G1001" t="str">
        <f>_xlfn.CONCAT(Tabela9[[#This Row],[Coluna1]],Tabela9[[#This Row],[Coluna2]])</f>
        <v>20-Rota</v>
      </c>
    </row>
    <row r="1002" spans="1:7" x14ac:dyDescent="0.25">
      <c r="A1002">
        <v>8211</v>
      </c>
      <c r="B1002">
        <v>307</v>
      </c>
      <c r="C1002" s="1" t="str">
        <f>IF(Tabela8[[#This Row],[SETOR]]="","",IF(Tabela8[[#This Row],[SETOR]]&lt;200,"GV 10",IF(Tabela8[[#This Row],[SETOR]]&lt;300,"GV 20",IF(Tabela8[[#This Row],[SETOR]]&lt;400,"GV 30","S/GV"))))</f>
        <v>GV 30</v>
      </c>
      <c r="E1002" t="s">
        <v>130</v>
      </c>
      <c r="G1002" t="str">
        <f>_xlfn.CONCAT(Tabela9[[#This Row],[Coluna1]],Tabela9[[#This Row],[Coluna2]])</f>
        <v>21-SUB</v>
      </c>
    </row>
    <row r="1003" spans="1:7" x14ac:dyDescent="0.25">
      <c r="A1003">
        <v>8217</v>
      </c>
      <c r="B1003">
        <v>104</v>
      </c>
      <c r="C1003" s="1" t="str">
        <f>IF(Tabela8[[#This Row],[SETOR]]="","",IF(Tabela8[[#This Row],[SETOR]]&lt;200,"GV 10",IF(Tabela8[[#This Row],[SETOR]]&lt;300,"GV 20",IF(Tabela8[[#This Row],[SETOR]]&lt;400,"GV 30","S/GV"))))</f>
        <v>GV 10</v>
      </c>
      <c r="E1003" t="s">
        <v>123</v>
      </c>
      <c r="G1003" t="str">
        <f>_xlfn.CONCAT(Tabela9[[#This Row],[Coluna1]],Tabela9[[#This Row],[Coluna2]])</f>
        <v>20-Rota</v>
      </c>
    </row>
    <row r="1004" spans="1:7" x14ac:dyDescent="0.25">
      <c r="A1004">
        <v>8234</v>
      </c>
      <c r="B1004">
        <v>106</v>
      </c>
      <c r="C1004" s="1" t="str">
        <f>IF(Tabela8[[#This Row],[SETOR]]="","",IF(Tabela8[[#This Row],[SETOR]]&lt;200,"GV 10",IF(Tabela8[[#This Row],[SETOR]]&lt;300,"GV 20",IF(Tabela8[[#This Row],[SETOR]]&lt;400,"GV 30","S/GV"))))</f>
        <v>GV 10</v>
      </c>
      <c r="E1004" t="s">
        <v>123</v>
      </c>
      <c r="G1004" t="str">
        <f>_xlfn.CONCAT(Tabela9[[#This Row],[Coluna1]],Tabela9[[#This Row],[Coluna2]])</f>
        <v>20-Rota</v>
      </c>
    </row>
    <row r="1005" spans="1:7" x14ac:dyDescent="0.25">
      <c r="A1005">
        <v>8239</v>
      </c>
      <c r="B1005">
        <v>104</v>
      </c>
      <c r="C1005" s="1" t="str">
        <f>IF(Tabela8[[#This Row],[SETOR]]="","",IF(Tabela8[[#This Row],[SETOR]]&lt;200,"GV 10",IF(Tabela8[[#This Row],[SETOR]]&lt;300,"GV 20",IF(Tabela8[[#This Row],[SETOR]]&lt;400,"GV 30","S/GV"))))</f>
        <v>GV 10</v>
      </c>
      <c r="E1005" t="s">
        <v>123</v>
      </c>
      <c r="G1005" t="str">
        <f>_xlfn.CONCAT(Tabela9[[#This Row],[Coluna1]],Tabela9[[#This Row],[Coluna2]])</f>
        <v>20-Rota</v>
      </c>
    </row>
    <row r="1006" spans="1:7" x14ac:dyDescent="0.25">
      <c r="A1006">
        <v>8253</v>
      </c>
      <c r="B1006">
        <v>916</v>
      </c>
      <c r="C1006" s="1" t="str">
        <f>IF(Tabela8[[#This Row],[SETOR]]="","",IF(Tabela8[[#This Row],[SETOR]]&lt;200,"GV 10",IF(Tabela8[[#This Row],[SETOR]]&lt;300,"GV 20",IF(Tabela8[[#This Row],[SETOR]]&lt;400,"GV 30","S/GV"))))</f>
        <v>S/GV</v>
      </c>
      <c r="G1006" t="str">
        <f>_xlfn.CONCAT(Tabela9[[#This Row],[Coluna1]],Tabela9[[#This Row],[Coluna2]])</f>
        <v/>
      </c>
    </row>
    <row r="1007" spans="1:7" x14ac:dyDescent="0.25">
      <c r="A1007">
        <v>8258</v>
      </c>
      <c r="B1007">
        <v>105</v>
      </c>
      <c r="C1007" s="1" t="str">
        <f>IF(Tabela8[[#This Row],[SETOR]]="","",IF(Tabela8[[#This Row],[SETOR]]&lt;200,"GV 10",IF(Tabela8[[#This Row],[SETOR]]&lt;300,"GV 20",IF(Tabela8[[#This Row],[SETOR]]&lt;400,"GV 30","S/GV"))))</f>
        <v>GV 10</v>
      </c>
      <c r="E1007" t="s">
        <v>125</v>
      </c>
      <c r="G1007" t="str">
        <f>_xlfn.CONCAT(Tabela9[[#This Row],[Coluna1]],Tabela9[[#This Row],[Coluna2]])</f>
        <v>18-TRAD</v>
      </c>
    </row>
    <row r="1008" spans="1:7" x14ac:dyDescent="0.25">
      <c r="A1008">
        <v>8263</v>
      </c>
      <c r="B1008">
        <v>302</v>
      </c>
      <c r="C1008" s="1" t="str">
        <f>IF(Tabela8[[#This Row],[SETOR]]="","",IF(Tabela8[[#This Row],[SETOR]]&lt;200,"GV 10",IF(Tabela8[[#This Row],[SETOR]]&lt;300,"GV 20",IF(Tabela8[[#This Row],[SETOR]]&lt;400,"GV 30","S/GV"))))</f>
        <v>GV 30</v>
      </c>
      <c r="E1008" t="s">
        <v>123</v>
      </c>
      <c r="G1008" t="str">
        <f>_xlfn.CONCAT(Tabela9[[#This Row],[Coluna1]],Tabela9[[#This Row],[Coluna2]])</f>
        <v>20-Rota</v>
      </c>
    </row>
    <row r="1009" spans="1:7" x14ac:dyDescent="0.25">
      <c r="A1009">
        <v>8264</v>
      </c>
      <c r="B1009">
        <v>106</v>
      </c>
      <c r="C1009" s="1" t="str">
        <f>IF(Tabela8[[#This Row],[SETOR]]="","",IF(Tabela8[[#This Row],[SETOR]]&lt;200,"GV 10",IF(Tabela8[[#This Row],[SETOR]]&lt;300,"GV 20",IF(Tabela8[[#This Row],[SETOR]]&lt;400,"GV 30","S/GV"))))</f>
        <v>GV 10</v>
      </c>
      <c r="E1009" t="s">
        <v>123</v>
      </c>
      <c r="G1009" t="str">
        <f>_xlfn.CONCAT(Tabela9[[#This Row],[Coluna1]],Tabela9[[#This Row],[Coluna2]])</f>
        <v>20-Rota</v>
      </c>
    </row>
    <row r="1010" spans="1:7" x14ac:dyDescent="0.25">
      <c r="A1010">
        <v>8276</v>
      </c>
      <c r="B1010">
        <v>106</v>
      </c>
      <c r="C1010" s="1" t="str">
        <f>IF(Tabela8[[#This Row],[SETOR]]="","",IF(Tabela8[[#This Row],[SETOR]]&lt;200,"GV 10",IF(Tabela8[[#This Row],[SETOR]]&lt;300,"GV 20",IF(Tabela8[[#This Row],[SETOR]]&lt;400,"GV 30","S/GV"))))</f>
        <v>GV 10</v>
      </c>
      <c r="E1010" t="s">
        <v>123</v>
      </c>
      <c r="G1010" t="str">
        <f>_xlfn.CONCAT(Tabela9[[#This Row],[Coluna1]],Tabela9[[#This Row],[Coluna2]])</f>
        <v>20-Rota</v>
      </c>
    </row>
    <row r="1011" spans="1:7" x14ac:dyDescent="0.25">
      <c r="A1011">
        <v>8287</v>
      </c>
      <c r="B1011">
        <v>203</v>
      </c>
      <c r="C1011" s="1" t="str">
        <f>IF(Tabela8[[#This Row],[SETOR]]="","",IF(Tabela8[[#This Row],[SETOR]]&lt;200,"GV 10",IF(Tabela8[[#This Row],[SETOR]]&lt;300,"GV 20",IF(Tabela8[[#This Row],[SETOR]]&lt;400,"GV 30","S/GV"))))</f>
        <v>GV 20</v>
      </c>
      <c r="E1011" t="s">
        <v>123</v>
      </c>
      <c r="G1011" t="str">
        <f>_xlfn.CONCAT(Tabela9[[#This Row],[Coluna1]],Tabela9[[#This Row],[Coluna2]])</f>
        <v>20-Rota</v>
      </c>
    </row>
    <row r="1012" spans="1:7" x14ac:dyDescent="0.25">
      <c r="A1012">
        <v>8307</v>
      </c>
      <c r="B1012">
        <v>104</v>
      </c>
      <c r="C1012" s="1" t="str">
        <f>IF(Tabela8[[#This Row],[SETOR]]="","",IF(Tabela8[[#This Row],[SETOR]]&lt;200,"GV 10",IF(Tabela8[[#This Row],[SETOR]]&lt;300,"GV 20",IF(Tabela8[[#This Row],[SETOR]]&lt;400,"GV 30","S/GV"))))</f>
        <v>GV 10</v>
      </c>
      <c r="E1012" t="s">
        <v>123</v>
      </c>
      <c r="G1012" t="str">
        <f>_xlfn.CONCAT(Tabela9[[#This Row],[Coluna1]],Tabela9[[#This Row],[Coluna2]])</f>
        <v>20-Rota</v>
      </c>
    </row>
    <row r="1013" spans="1:7" x14ac:dyDescent="0.25">
      <c r="A1013">
        <v>8309</v>
      </c>
      <c r="B1013">
        <v>302</v>
      </c>
      <c r="C1013" s="1" t="str">
        <f>IF(Tabela8[[#This Row],[SETOR]]="","",IF(Tabela8[[#This Row],[SETOR]]&lt;200,"GV 10",IF(Tabela8[[#This Row],[SETOR]]&lt;300,"GV 20",IF(Tabela8[[#This Row],[SETOR]]&lt;400,"GV 30","S/GV"))))</f>
        <v>GV 30</v>
      </c>
      <c r="E1013" t="s">
        <v>123</v>
      </c>
      <c r="G1013" t="str">
        <f>_xlfn.CONCAT(Tabela9[[#This Row],[Coluna1]],Tabela9[[#This Row],[Coluna2]])</f>
        <v>20-Rota</v>
      </c>
    </row>
    <row r="1014" spans="1:7" x14ac:dyDescent="0.25">
      <c r="A1014">
        <v>8310</v>
      </c>
      <c r="B1014">
        <v>305</v>
      </c>
      <c r="C1014" s="1" t="str">
        <f>IF(Tabela8[[#This Row],[SETOR]]="","",IF(Tabela8[[#This Row],[SETOR]]&lt;200,"GV 10",IF(Tabela8[[#This Row],[SETOR]]&lt;300,"GV 20",IF(Tabela8[[#This Row],[SETOR]]&lt;400,"GV 30","S/GV"))))</f>
        <v>GV 30</v>
      </c>
      <c r="E1014" t="s">
        <v>123</v>
      </c>
      <c r="G1014" t="str">
        <f>_xlfn.CONCAT(Tabela9[[#This Row],[Coluna1]],Tabela9[[#This Row],[Coluna2]])</f>
        <v>20-Rota</v>
      </c>
    </row>
    <row r="1015" spans="1:7" x14ac:dyDescent="0.25">
      <c r="A1015">
        <v>8336</v>
      </c>
      <c r="B1015">
        <v>916</v>
      </c>
      <c r="C1015" s="1" t="str">
        <f>IF(Tabela8[[#This Row],[SETOR]]="","",IF(Tabela8[[#This Row],[SETOR]]&lt;200,"GV 10",IF(Tabela8[[#This Row],[SETOR]]&lt;300,"GV 20",IF(Tabela8[[#This Row],[SETOR]]&lt;400,"GV 30","S/GV"))))</f>
        <v>S/GV</v>
      </c>
      <c r="E1015" t="s">
        <v>123</v>
      </c>
      <c r="G1015" t="str">
        <f>_xlfn.CONCAT(Tabela9[[#This Row],[Coluna1]],Tabela9[[#This Row],[Coluna2]])</f>
        <v>20-Rota</v>
      </c>
    </row>
    <row r="1016" spans="1:7" x14ac:dyDescent="0.25">
      <c r="A1016">
        <v>8343</v>
      </c>
      <c r="B1016">
        <v>303</v>
      </c>
      <c r="C1016" s="1" t="str">
        <f>IF(Tabela8[[#This Row],[SETOR]]="","",IF(Tabela8[[#This Row],[SETOR]]&lt;200,"GV 10",IF(Tabela8[[#This Row],[SETOR]]&lt;300,"GV 20",IF(Tabela8[[#This Row],[SETOR]]&lt;400,"GV 30","S/GV"))))</f>
        <v>GV 30</v>
      </c>
      <c r="E1016" t="s">
        <v>123</v>
      </c>
      <c r="G1016" t="str">
        <f>_xlfn.CONCAT(Tabela9[[#This Row],[Coluna1]],Tabela9[[#This Row],[Coluna2]])</f>
        <v>20-Rota</v>
      </c>
    </row>
    <row r="1017" spans="1:7" x14ac:dyDescent="0.25">
      <c r="A1017">
        <v>8344</v>
      </c>
      <c r="B1017">
        <v>303</v>
      </c>
      <c r="C1017" s="1" t="str">
        <f>IF(Tabela8[[#This Row],[SETOR]]="","",IF(Tabela8[[#This Row],[SETOR]]&lt;200,"GV 10",IF(Tabela8[[#This Row],[SETOR]]&lt;300,"GV 20",IF(Tabela8[[#This Row],[SETOR]]&lt;400,"GV 30","S/GV"))))</f>
        <v>GV 30</v>
      </c>
      <c r="E1017" t="s">
        <v>123</v>
      </c>
      <c r="G1017" t="str">
        <f>_xlfn.CONCAT(Tabela9[[#This Row],[Coluna1]],Tabela9[[#This Row],[Coluna2]])</f>
        <v>20-Rota</v>
      </c>
    </row>
    <row r="1018" spans="1:7" x14ac:dyDescent="0.25">
      <c r="A1018">
        <v>8355</v>
      </c>
      <c r="B1018">
        <v>306</v>
      </c>
      <c r="C1018" s="1" t="str">
        <f>IF(Tabela8[[#This Row],[SETOR]]="","",IF(Tabela8[[#This Row],[SETOR]]&lt;200,"GV 10",IF(Tabela8[[#This Row],[SETOR]]&lt;300,"GV 20",IF(Tabela8[[#This Row],[SETOR]]&lt;400,"GV 30","S/GV"))))</f>
        <v>GV 30</v>
      </c>
      <c r="E1018" t="s">
        <v>125</v>
      </c>
      <c r="G1018" t="str">
        <f>_xlfn.CONCAT(Tabela9[[#This Row],[Coluna1]],Tabela9[[#This Row],[Coluna2]])</f>
        <v>18-TRAD</v>
      </c>
    </row>
    <row r="1019" spans="1:7" x14ac:dyDescent="0.25">
      <c r="A1019">
        <v>8364</v>
      </c>
      <c r="B1019">
        <v>202</v>
      </c>
      <c r="C1019" s="1" t="str">
        <f>IF(Tabela8[[#This Row],[SETOR]]="","",IF(Tabela8[[#This Row],[SETOR]]&lt;200,"GV 10",IF(Tabela8[[#This Row],[SETOR]]&lt;300,"GV 20",IF(Tabela8[[#This Row],[SETOR]]&lt;400,"GV 30","S/GV"))))</f>
        <v>GV 20</v>
      </c>
      <c r="E1019" t="s">
        <v>123</v>
      </c>
      <c r="G1019" t="str">
        <f>_xlfn.CONCAT(Tabela9[[#This Row],[Coluna1]],Tabela9[[#This Row],[Coluna2]])</f>
        <v>20-Rota</v>
      </c>
    </row>
    <row r="1020" spans="1:7" x14ac:dyDescent="0.25">
      <c r="A1020">
        <v>8371</v>
      </c>
      <c r="B1020">
        <v>107</v>
      </c>
      <c r="C1020" s="1" t="str">
        <f>IF(Tabela8[[#This Row],[SETOR]]="","",IF(Tabela8[[#This Row],[SETOR]]&lt;200,"GV 10",IF(Tabela8[[#This Row],[SETOR]]&lt;300,"GV 20",IF(Tabela8[[#This Row],[SETOR]]&lt;400,"GV 30","S/GV"))))</f>
        <v>GV 10</v>
      </c>
      <c r="E1020" t="s">
        <v>128</v>
      </c>
      <c r="F1020" t="s">
        <v>129</v>
      </c>
      <c r="G1020" t="str">
        <f>_xlfn.CONCAT(Tabela9[[#This Row],[Coluna1]],Tabela9[[#This Row],[Coluna2]])</f>
        <v>15-AS(1-4)</v>
      </c>
    </row>
    <row r="1021" spans="1:7" x14ac:dyDescent="0.25">
      <c r="A1021">
        <v>8378</v>
      </c>
      <c r="B1021">
        <v>912</v>
      </c>
      <c r="C1021" s="1" t="str">
        <f>IF(Tabela8[[#This Row],[SETOR]]="","",IF(Tabela8[[#This Row],[SETOR]]&lt;200,"GV 10",IF(Tabela8[[#This Row],[SETOR]]&lt;300,"GV 20",IF(Tabela8[[#This Row],[SETOR]]&lt;400,"GV 30","S/GV"))))</f>
        <v>S/GV</v>
      </c>
      <c r="G1021" t="str">
        <f>_xlfn.CONCAT(Tabela9[[#This Row],[Coluna1]],Tabela9[[#This Row],[Coluna2]])</f>
        <v/>
      </c>
    </row>
    <row r="1022" spans="1:7" x14ac:dyDescent="0.25">
      <c r="A1022">
        <v>8387</v>
      </c>
      <c r="B1022">
        <v>303</v>
      </c>
      <c r="C1022" s="1" t="str">
        <f>IF(Tabela8[[#This Row],[SETOR]]="","",IF(Tabela8[[#This Row],[SETOR]]&lt;200,"GV 10",IF(Tabela8[[#This Row],[SETOR]]&lt;300,"GV 20",IF(Tabela8[[#This Row],[SETOR]]&lt;400,"GV 30","S/GV"))))</f>
        <v>GV 30</v>
      </c>
      <c r="E1022" t="s">
        <v>123</v>
      </c>
      <c r="G1022" t="str">
        <f>_xlfn.CONCAT(Tabela9[[#This Row],[Coluna1]],Tabela9[[#This Row],[Coluna2]])</f>
        <v>20-Rota</v>
      </c>
    </row>
    <row r="1023" spans="1:7" x14ac:dyDescent="0.25">
      <c r="A1023">
        <v>8388</v>
      </c>
      <c r="B1023">
        <v>308</v>
      </c>
      <c r="C1023" s="1" t="str">
        <f>IF(Tabela8[[#This Row],[SETOR]]="","",IF(Tabela8[[#This Row],[SETOR]]&lt;200,"GV 10",IF(Tabela8[[#This Row],[SETOR]]&lt;300,"GV 20",IF(Tabela8[[#This Row],[SETOR]]&lt;400,"GV 30","S/GV"))))</f>
        <v>GV 30</v>
      </c>
      <c r="E1023" t="s">
        <v>128</v>
      </c>
      <c r="F1023" t="s">
        <v>129</v>
      </c>
      <c r="G1023" t="str">
        <f>_xlfn.CONCAT(Tabela9[[#This Row],[Coluna1]],Tabela9[[#This Row],[Coluna2]])</f>
        <v>15-AS(1-4)</v>
      </c>
    </row>
    <row r="1024" spans="1:7" x14ac:dyDescent="0.25">
      <c r="A1024">
        <v>8394</v>
      </c>
      <c r="B1024">
        <v>309</v>
      </c>
      <c r="C1024" s="1" t="str">
        <f>IF(Tabela8[[#This Row],[SETOR]]="","",IF(Tabela8[[#This Row],[SETOR]]&lt;200,"GV 10",IF(Tabela8[[#This Row],[SETOR]]&lt;300,"GV 20",IF(Tabela8[[#This Row],[SETOR]]&lt;400,"GV 30","S/GV"))))</f>
        <v>GV 30</v>
      </c>
      <c r="E1024" t="s">
        <v>126</v>
      </c>
      <c r="F1024" t="s">
        <v>127</v>
      </c>
      <c r="G1024" t="str">
        <f>_xlfn.CONCAT(Tabela9[[#This Row],[Coluna1]],Tabela9[[#This Row],[Coluna2]])</f>
        <v>16-AS(5+)</v>
      </c>
    </row>
    <row r="1025" spans="1:7" x14ac:dyDescent="0.25">
      <c r="A1025">
        <v>8402</v>
      </c>
      <c r="B1025">
        <v>305</v>
      </c>
      <c r="C1025" s="1" t="str">
        <f>IF(Tabela8[[#This Row],[SETOR]]="","",IF(Tabela8[[#This Row],[SETOR]]&lt;200,"GV 10",IF(Tabela8[[#This Row],[SETOR]]&lt;300,"GV 20",IF(Tabela8[[#This Row],[SETOR]]&lt;400,"GV 30","S/GV"))))</f>
        <v>GV 30</v>
      </c>
      <c r="E1025" t="s">
        <v>123</v>
      </c>
      <c r="G1025" t="str">
        <f>_xlfn.CONCAT(Tabela9[[#This Row],[Coluna1]],Tabela9[[#This Row],[Coluna2]])</f>
        <v>20-Rota</v>
      </c>
    </row>
    <row r="1026" spans="1:7" x14ac:dyDescent="0.25">
      <c r="A1026">
        <v>8403</v>
      </c>
      <c r="B1026">
        <v>308</v>
      </c>
      <c r="C1026" s="1" t="str">
        <f>IF(Tabela8[[#This Row],[SETOR]]="","",IF(Tabela8[[#This Row],[SETOR]]&lt;200,"GV 10",IF(Tabela8[[#This Row],[SETOR]]&lt;300,"GV 20",IF(Tabela8[[#This Row],[SETOR]]&lt;400,"GV 30","S/GV"))))</f>
        <v>GV 30</v>
      </c>
      <c r="E1026" t="s">
        <v>128</v>
      </c>
      <c r="F1026" t="s">
        <v>129</v>
      </c>
      <c r="G1026" t="str">
        <f>_xlfn.CONCAT(Tabela9[[#This Row],[Coluna1]],Tabela9[[#This Row],[Coluna2]])</f>
        <v>15-AS(1-4)</v>
      </c>
    </row>
    <row r="1027" spans="1:7" x14ac:dyDescent="0.25">
      <c r="A1027">
        <v>8411</v>
      </c>
      <c r="B1027">
        <v>106</v>
      </c>
      <c r="C1027" s="1" t="str">
        <f>IF(Tabela8[[#This Row],[SETOR]]="","",IF(Tabela8[[#This Row],[SETOR]]&lt;200,"GV 10",IF(Tabela8[[#This Row],[SETOR]]&lt;300,"GV 20",IF(Tabela8[[#This Row],[SETOR]]&lt;400,"GV 30","S/GV"))))</f>
        <v>GV 10</v>
      </c>
      <c r="E1027" t="s">
        <v>123</v>
      </c>
      <c r="G1027" t="str">
        <f>_xlfn.CONCAT(Tabela9[[#This Row],[Coluna1]],Tabela9[[#This Row],[Coluna2]])</f>
        <v>20-Rota</v>
      </c>
    </row>
    <row r="1028" spans="1:7" x14ac:dyDescent="0.25">
      <c r="A1028">
        <v>8417</v>
      </c>
      <c r="B1028">
        <v>309</v>
      </c>
      <c r="C1028" s="1" t="str">
        <f>IF(Tabela8[[#This Row],[SETOR]]="","",IF(Tabela8[[#This Row],[SETOR]]&lt;200,"GV 10",IF(Tabela8[[#This Row],[SETOR]]&lt;300,"GV 20",IF(Tabela8[[#This Row],[SETOR]]&lt;400,"GV 30","S/GV"))))</f>
        <v>GV 30</v>
      </c>
      <c r="E1028" t="s">
        <v>126</v>
      </c>
      <c r="F1028" t="s">
        <v>127</v>
      </c>
      <c r="G1028" t="str">
        <f>_xlfn.CONCAT(Tabela9[[#This Row],[Coluna1]],Tabela9[[#This Row],[Coluna2]])</f>
        <v>16-AS(5+)</v>
      </c>
    </row>
    <row r="1029" spans="1:7" x14ac:dyDescent="0.25">
      <c r="A1029">
        <v>8418</v>
      </c>
      <c r="B1029">
        <v>204</v>
      </c>
      <c r="C1029" s="1" t="str">
        <f>IF(Tabela8[[#This Row],[SETOR]]="","",IF(Tabela8[[#This Row],[SETOR]]&lt;200,"GV 10",IF(Tabela8[[#This Row],[SETOR]]&lt;300,"GV 20",IF(Tabela8[[#This Row],[SETOR]]&lt;400,"GV 30","S/GV"))))</f>
        <v>GV 20</v>
      </c>
      <c r="E1029" t="s">
        <v>123</v>
      </c>
      <c r="G1029" t="str">
        <f>_xlfn.CONCAT(Tabela9[[#This Row],[Coluna1]],Tabela9[[#This Row],[Coluna2]])</f>
        <v>20-Rota</v>
      </c>
    </row>
    <row r="1030" spans="1:7" x14ac:dyDescent="0.25">
      <c r="A1030">
        <v>8422</v>
      </c>
      <c r="B1030">
        <v>205</v>
      </c>
      <c r="C1030" s="1" t="str">
        <f>IF(Tabela8[[#This Row],[SETOR]]="","",IF(Tabela8[[#This Row],[SETOR]]&lt;200,"GV 10",IF(Tabela8[[#This Row],[SETOR]]&lt;300,"GV 20",IF(Tabela8[[#This Row],[SETOR]]&lt;400,"GV 30","S/GV"))))</f>
        <v>GV 20</v>
      </c>
      <c r="E1030" t="s">
        <v>123</v>
      </c>
      <c r="G1030" t="str">
        <f>_xlfn.CONCAT(Tabela9[[#This Row],[Coluna1]],Tabela9[[#This Row],[Coluna2]])</f>
        <v>20-Rota</v>
      </c>
    </row>
    <row r="1031" spans="1:7" x14ac:dyDescent="0.25">
      <c r="A1031">
        <v>8424</v>
      </c>
      <c r="B1031">
        <v>308</v>
      </c>
      <c r="C1031" s="1" t="str">
        <f>IF(Tabela8[[#This Row],[SETOR]]="","",IF(Tabela8[[#This Row],[SETOR]]&lt;200,"GV 10",IF(Tabela8[[#This Row],[SETOR]]&lt;300,"GV 20",IF(Tabela8[[#This Row],[SETOR]]&lt;400,"GV 30","S/GV"))))</f>
        <v>GV 30</v>
      </c>
      <c r="E1031" t="s">
        <v>128</v>
      </c>
      <c r="F1031" t="s">
        <v>129</v>
      </c>
      <c r="G1031" t="str">
        <f>_xlfn.CONCAT(Tabela9[[#This Row],[Coluna1]],Tabela9[[#This Row],[Coluna2]])</f>
        <v>15-AS(1-4)</v>
      </c>
    </row>
    <row r="1032" spans="1:7" x14ac:dyDescent="0.25">
      <c r="A1032">
        <v>8429</v>
      </c>
      <c r="B1032">
        <v>306</v>
      </c>
      <c r="C1032" s="1" t="str">
        <f>IF(Tabela8[[#This Row],[SETOR]]="","",IF(Tabela8[[#This Row],[SETOR]]&lt;200,"GV 10",IF(Tabela8[[#This Row],[SETOR]]&lt;300,"GV 20",IF(Tabela8[[#This Row],[SETOR]]&lt;400,"GV 30","S/GV"))))</f>
        <v>GV 30</v>
      </c>
      <c r="E1032" t="s">
        <v>125</v>
      </c>
      <c r="G1032" t="str">
        <f>_xlfn.CONCAT(Tabela9[[#This Row],[Coluna1]],Tabela9[[#This Row],[Coluna2]])</f>
        <v>18-TRAD</v>
      </c>
    </row>
    <row r="1033" spans="1:7" x14ac:dyDescent="0.25">
      <c r="A1033">
        <v>8436</v>
      </c>
      <c r="B1033">
        <v>205</v>
      </c>
      <c r="C1033" s="1" t="str">
        <f>IF(Tabela8[[#This Row],[SETOR]]="","",IF(Tabela8[[#This Row],[SETOR]]&lt;200,"GV 10",IF(Tabela8[[#This Row],[SETOR]]&lt;300,"GV 20",IF(Tabela8[[#This Row],[SETOR]]&lt;400,"GV 30","S/GV"))))</f>
        <v>GV 20</v>
      </c>
      <c r="E1033" t="s">
        <v>124</v>
      </c>
      <c r="G1033" t="str">
        <f>_xlfn.CONCAT(Tabela9[[#This Row],[Coluna1]],Tabela9[[#This Row],[Coluna2]])</f>
        <v>19-VIP</v>
      </c>
    </row>
    <row r="1034" spans="1:7" x14ac:dyDescent="0.25">
      <c r="A1034">
        <v>8438</v>
      </c>
      <c r="B1034">
        <v>309</v>
      </c>
      <c r="C1034" s="1" t="str">
        <f>IF(Tabela8[[#This Row],[SETOR]]="","",IF(Tabela8[[#This Row],[SETOR]]&lt;200,"GV 10",IF(Tabela8[[#This Row],[SETOR]]&lt;300,"GV 20",IF(Tabela8[[#This Row],[SETOR]]&lt;400,"GV 30","S/GV"))))</f>
        <v>GV 30</v>
      </c>
      <c r="E1034" t="s">
        <v>128</v>
      </c>
      <c r="F1034" t="s">
        <v>129</v>
      </c>
      <c r="G1034" t="str">
        <f>_xlfn.CONCAT(Tabela9[[#This Row],[Coluna1]],Tabela9[[#This Row],[Coluna2]])</f>
        <v>15-AS(1-4)</v>
      </c>
    </row>
    <row r="1035" spans="1:7" x14ac:dyDescent="0.25">
      <c r="A1035">
        <v>8447</v>
      </c>
      <c r="B1035">
        <v>302</v>
      </c>
      <c r="C1035" s="1" t="str">
        <f>IF(Tabela8[[#This Row],[SETOR]]="","",IF(Tabela8[[#This Row],[SETOR]]&lt;200,"GV 10",IF(Tabela8[[#This Row],[SETOR]]&lt;300,"GV 20",IF(Tabela8[[#This Row],[SETOR]]&lt;400,"GV 30","S/GV"))))</f>
        <v>GV 30</v>
      </c>
      <c r="E1035" t="s">
        <v>125</v>
      </c>
      <c r="G1035" t="str">
        <f>_xlfn.CONCAT(Tabela9[[#This Row],[Coluna1]],Tabela9[[#This Row],[Coluna2]])</f>
        <v>18-TRAD</v>
      </c>
    </row>
    <row r="1036" spans="1:7" x14ac:dyDescent="0.25">
      <c r="A1036">
        <v>8448</v>
      </c>
      <c r="B1036">
        <v>302</v>
      </c>
      <c r="C1036" s="1" t="str">
        <f>IF(Tabela8[[#This Row],[SETOR]]="","",IF(Tabela8[[#This Row],[SETOR]]&lt;200,"GV 10",IF(Tabela8[[#This Row],[SETOR]]&lt;300,"GV 20",IF(Tabela8[[#This Row],[SETOR]]&lt;400,"GV 30","S/GV"))))</f>
        <v>GV 30</v>
      </c>
      <c r="E1036" t="s">
        <v>123</v>
      </c>
      <c r="G1036" t="str">
        <f>_xlfn.CONCAT(Tabela9[[#This Row],[Coluna1]],Tabela9[[#This Row],[Coluna2]])</f>
        <v>20-Rota</v>
      </c>
    </row>
    <row r="1037" spans="1:7" x14ac:dyDescent="0.25">
      <c r="A1037">
        <v>8467</v>
      </c>
      <c r="B1037">
        <v>304</v>
      </c>
      <c r="C1037" s="1" t="str">
        <f>IF(Tabela8[[#This Row],[SETOR]]="","",IF(Tabela8[[#This Row],[SETOR]]&lt;200,"GV 10",IF(Tabela8[[#This Row],[SETOR]]&lt;300,"GV 20",IF(Tabela8[[#This Row],[SETOR]]&lt;400,"GV 30","S/GV"))))</f>
        <v>GV 30</v>
      </c>
      <c r="E1037" t="s">
        <v>123</v>
      </c>
      <c r="G1037" t="str">
        <f>_xlfn.CONCAT(Tabela9[[#This Row],[Coluna1]],Tabela9[[#This Row],[Coluna2]])</f>
        <v>20-Rota</v>
      </c>
    </row>
    <row r="1038" spans="1:7" x14ac:dyDescent="0.25">
      <c r="A1038">
        <v>8469</v>
      </c>
      <c r="B1038">
        <v>304</v>
      </c>
      <c r="C1038" s="1" t="str">
        <f>IF(Tabela8[[#This Row],[SETOR]]="","",IF(Tabela8[[#This Row],[SETOR]]&lt;200,"GV 10",IF(Tabela8[[#This Row],[SETOR]]&lt;300,"GV 20",IF(Tabela8[[#This Row],[SETOR]]&lt;400,"GV 30","S/GV"))))</f>
        <v>GV 30</v>
      </c>
      <c r="E1038" t="s">
        <v>123</v>
      </c>
      <c r="G1038" t="str">
        <f>_xlfn.CONCAT(Tabela9[[#This Row],[Coluna1]],Tabela9[[#This Row],[Coluna2]])</f>
        <v>20-Rota</v>
      </c>
    </row>
    <row r="1039" spans="1:7" x14ac:dyDescent="0.25">
      <c r="A1039">
        <v>8477</v>
      </c>
      <c r="B1039">
        <v>303</v>
      </c>
      <c r="C1039" s="1" t="str">
        <f>IF(Tabela8[[#This Row],[SETOR]]="","",IF(Tabela8[[#This Row],[SETOR]]&lt;200,"GV 10",IF(Tabela8[[#This Row],[SETOR]]&lt;300,"GV 20",IF(Tabela8[[#This Row],[SETOR]]&lt;400,"GV 30","S/GV"))))</f>
        <v>GV 30</v>
      </c>
      <c r="E1039" t="s">
        <v>123</v>
      </c>
      <c r="G1039" t="str">
        <f>_xlfn.CONCAT(Tabela9[[#This Row],[Coluna1]],Tabela9[[#This Row],[Coluna2]])</f>
        <v>20-Rota</v>
      </c>
    </row>
    <row r="1040" spans="1:7" x14ac:dyDescent="0.25">
      <c r="A1040">
        <v>8478</v>
      </c>
      <c r="B1040">
        <v>305</v>
      </c>
      <c r="C1040" s="1" t="str">
        <f>IF(Tabela8[[#This Row],[SETOR]]="","",IF(Tabela8[[#This Row],[SETOR]]&lt;200,"GV 10",IF(Tabela8[[#This Row],[SETOR]]&lt;300,"GV 20",IF(Tabela8[[#This Row],[SETOR]]&lt;400,"GV 30","S/GV"))))</f>
        <v>GV 30</v>
      </c>
      <c r="E1040" t="s">
        <v>123</v>
      </c>
      <c r="G1040" t="str">
        <f>_xlfn.CONCAT(Tabela9[[#This Row],[Coluna1]],Tabela9[[#This Row],[Coluna2]])</f>
        <v>20-Rota</v>
      </c>
    </row>
    <row r="1041" spans="1:7" x14ac:dyDescent="0.25">
      <c r="A1041">
        <v>8502</v>
      </c>
      <c r="B1041">
        <v>105</v>
      </c>
      <c r="C1041" s="1" t="str">
        <f>IF(Tabela8[[#This Row],[SETOR]]="","",IF(Tabela8[[#This Row],[SETOR]]&lt;200,"GV 10",IF(Tabela8[[#This Row],[SETOR]]&lt;300,"GV 20",IF(Tabela8[[#This Row],[SETOR]]&lt;400,"GV 30","S/GV"))))</f>
        <v>GV 10</v>
      </c>
      <c r="E1041" t="s">
        <v>125</v>
      </c>
      <c r="G1041" t="str">
        <f>_xlfn.CONCAT(Tabela9[[#This Row],[Coluna1]],Tabela9[[#This Row],[Coluna2]])</f>
        <v>18-TRAD</v>
      </c>
    </row>
    <row r="1042" spans="1:7" x14ac:dyDescent="0.25">
      <c r="A1042">
        <v>8506</v>
      </c>
      <c r="B1042">
        <v>307</v>
      </c>
      <c r="C1042" s="1" t="str">
        <f>IF(Tabela8[[#This Row],[SETOR]]="","",IF(Tabela8[[#This Row],[SETOR]]&lt;200,"GV 10",IF(Tabela8[[#This Row],[SETOR]]&lt;300,"GV 20",IF(Tabela8[[#This Row],[SETOR]]&lt;400,"GV 30","S/GV"))))</f>
        <v>GV 30</v>
      </c>
      <c r="E1042" t="s">
        <v>130</v>
      </c>
      <c r="G1042" t="str">
        <f>_xlfn.CONCAT(Tabela9[[#This Row],[Coluna1]],Tabela9[[#This Row],[Coluna2]])</f>
        <v>21-SUB</v>
      </c>
    </row>
    <row r="1043" spans="1:7" x14ac:dyDescent="0.25">
      <c r="A1043">
        <v>8509</v>
      </c>
      <c r="B1043">
        <v>206</v>
      </c>
      <c r="C1043" s="1" t="str">
        <f>IF(Tabela8[[#This Row],[SETOR]]="","",IF(Tabela8[[#This Row],[SETOR]]&lt;200,"GV 10",IF(Tabela8[[#This Row],[SETOR]]&lt;300,"GV 20",IF(Tabela8[[#This Row],[SETOR]]&lt;400,"GV 30","S/GV"))))</f>
        <v>GV 20</v>
      </c>
      <c r="E1043" t="s">
        <v>125</v>
      </c>
      <c r="G1043" t="str">
        <f>_xlfn.CONCAT(Tabela9[[#This Row],[Coluna1]],Tabela9[[#This Row],[Coluna2]])</f>
        <v>18-TRAD</v>
      </c>
    </row>
    <row r="1044" spans="1:7" x14ac:dyDescent="0.25">
      <c r="A1044">
        <v>8521</v>
      </c>
      <c r="B1044">
        <v>203</v>
      </c>
      <c r="C1044" s="1" t="str">
        <f>IF(Tabela8[[#This Row],[SETOR]]="","",IF(Tabela8[[#This Row],[SETOR]]&lt;200,"GV 10",IF(Tabela8[[#This Row],[SETOR]]&lt;300,"GV 20",IF(Tabela8[[#This Row],[SETOR]]&lt;400,"GV 30","S/GV"))))</f>
        <v>GV 20</v>
      </c>
      <c r="E1044" t="s">
        <v>123</v>
      </c>
      <c r="G1044" t="str">
        <f>_xlfn.CONCAT(Tabela9[[#This Row],[Coluna1]],Tabela9[[#This Row],[Coluna2]])</f>
        <v>20-Rota</v>
      </c>
    </row>
    <row r="1045" spans="1:7" x14ac:dyDescent="0.25">
      <c r="A1045">
        <v>8522</v>
      </c>
      <c r="B1045">
        <v>302</v>
      </c>
      <c r="C1045" s="1" t="str">
        <f>IF(Tabela8[[#This Row],[SETOR]]="","",IF(Tabela8[[#This Row],[SETOR]]&lt;200,"GV 10",IF(Tabela8[[#This Row],[SETOR]]&lt;300,"GV 20",IF(Tabela8[[#This Row],[SETOR]]&lt;400,"GV 30","S/GV"))))</f>
        <v>GV 30</v>
      </c>
      <c r="E1045" t="s">
        <v>123</v>
      </c>
      <c r="G1045" t="str">
        <f>_xlfn.CONCAT(Tabela9[[#This Row],[Coluna1]],Tabela9[[#This Row],[Coluna2]])</f>
        <v>20-Rota</v>
      </c>
    </row>
    <row r="1046" spans="1:7" x14ac:dyDescent="0.25">
      <c r="A1046">
        <v>8532</v>
      </c>
      <c r="B1046">
        <v>201</v>
      </c>
      <c r="C1046" s="1" t="str">
        <f>IF(Tabela8[[#This Row],[SETOR]]="","",IF(Tabela8[[#This Row],[SETOR]]&lt;200,"GV 10",IF(Tabela8[[#This Row],[SETOR]]&lt;300,"GV 20",IF(Tabela8[[#This Row],[SETOR]]&lt;400,"GV 30","S/GV"))))</f>
        <v>GV 20</v>
      </c>
      <c r="E1046" t="s">
        <v>123</v>
      </c>
      <c r="G1046" t="str">
        <f>_xlfn.CONCAT(Tabela9[[#This Row],[Coluna1]],Tabela9[[#This Row],[Coluna2]])</f>
        <v>20-Rota</v>
      </c>
    </row>
    <row r="1047" spans="1:7" x14ac:dyDescent="0.25">
      <c r="A1047">
        <v>8549</v>
      </c>
      <c r="B1047">
        <v>302</v>
      </c>
      <c r="C1047" s="1" t="str">
        <f>IF(Tabela8[[#This Row],[SETOR]]="","",IF(Tabela8[[#This Row],[SETOR]]&lt;200,"GV 10",IF(Tabela8[[#This Row],[SETOR]]&lt;300,"GV 20",IF(Tabela8[[#This Row],[SETOR]]&lt;400,"GV 30","S/GV"))))</f>
        <v>GV 30</v>
      </c>
      <c r="E1047" t="s">
        <v>123</v>
      </c>
      <c r="G1047" t="str">
        <f>_xlfn.CONCAT(Tabela9[[#This Row],[Coluna1]],Tabela9[[#This Row],[Coluna2]])</f>
        <v>20-Rota</v>
      </c>
    </row>
    <row r="1048" spans="1:7" x14ac:dyDescent="0.25">
      <c r="A1048">
        <v>8550</v>
      </c>
      <c r="B1048">
        <v>301</v>
      </c>
      <c r="C1048" s="1" t="str">
        <f>IF(Tabela8[[#This Row],[SETOR]]="","",IF(Tabela8[[#This Row],[SETOR]]&lt;200,"GV 10",IF(Tabela8[[#This Row],[SETOR]]&lt;300,"GV 20",IF(Tabela8[[#This Row],[SETOR]]&lt;400,"GV 30","S/GV"))))</f>
        <v>GV 30</v>
      </c>
      <c r="E1048" t="s">
        <v>123</v>
      </c>
      <c r="G1048" t="str">
        <f>_xlfn.CONCAT(Tabela9[[#This Row],[Coluna1]],Tabela9[[#This Row],[Coluna2]])</f>
        <v>20-Rota</v>
      </c>
    </row>
    <row r="1049" spans="1:7" x14ac:dyDescent="0.25">
      <c r="A1049">
        <v>8557</v>
      </c>
      <c r="B1049">
        <v>301</v>
      </c>
      <c r="C1049" s="1" t="str">
        <f>IF(Tabela8[[#This Row],[SETOR]]="","",IF(Tabela8[[#This Row],[SETOR]]&lt;200,"GV 10",IF(Tabela8[[#This Row],[SETOR]]&lt;300,"GV 20",IF(Tabela8[[#This Row],[SETOR]]&lt;400,"GV 30","S/GV"))))</f>
        <v>GV 30</v>
      </c>
      <c r="E1049" t="s">
        <v>123</v>
      </c>
      <c r="G1049" t="str">
        <f>_xlfn.CONCAT(Tabela9[[#This Row],[Coluna1]],Tabela9[[#This Row],[Coluna2]])</f>
        <v>20-Rota</v>
      </c>
    </row>
    <row r="1050" spans="1:7" x14ac:dyDescent="0.25">
      <c r="A1050">
        <v>8564</v>
      </c>
      <c r="B1050">
        <v>302</v>
      </c>
      <c r="C1050" s="1" t="str">
        <f>IF(Tabela8[[#This Row],[SETOR]]="","",IF(Tabela8[[#This Row],[SETOR]]&lt;200,"GV 10",IF(Tabela8[[#This Row],[SETOR]]&lt;300,"GV 20",IF(Tabela8[[#This Row],[SETOR]]&lt;400,"GV 30","S/GV"))))</f>
        <v>GV 30</v>
      </c>
      <c r="E1050" t="s">
        <v>123</v>
      </c>
      <c r="G1050" t="str">
        <f>_xlfn.CONCAT(Tabela9[[#This Row],[Coluna1]],Tabela9[[#This Row],[Coluna2]])</f>
        <v>20-Rota</v>
      </c>
    </row>
    <row r="1051" spans="1:7" x14ac:dyDescent="0.25">
      <c r="A1051">
        <v>8566</v>
      </c>
      <c r="B1051">
        <v>302</v>
      </c>
      <c r="C1051" s="1" t="str">
        <f>IF(Tabela8[[#This Row],[SETOR]]="","",IF(Tabela8[[#This Row],[SETOR]]&lt;200,"GV 10",IF(Tabela8[[#This Row],[SETOR]]&lt;300,"GV 20",IF(Tabela8[[#This Row],[SETOR]]&lt;400,"GV 30","S/GV"))))</f>
        <v>GV 30</v>
      </c>
      <c r="E1051" t="s">
        <v>123</v>
      </c>
      <c r="G1051" t="str">
        <f>_xlfn.CONCAT(Tabela9[[#This Row],[Coluna1]],Tabela9[[#This Row],[Coluna2]])</f>
        <v>20-Rota</v>
      </c>
    </row>
    <row r="1052" spans="1:7" x14ac:dyDescent="0.25">
      <c r="A1052">
        <v>8583</v>
      </c>
      <c r="B1052">
        <v>303</v>
      </c>
      <c r="C1052" s="1" t="str">
        <f>IF(Tabela8[[#This Row],[SETOR]]="","",IF(Tabela8[[#This Row],[SETOR]]&lt;200,"GV 10",IF(Tabela8[[#This Row],[SETOR]]&lt;300,"GV 20",IF(Tabela8[[#This Row],[SETOR]]&lt;400,"GV 30","S/GV"))))</f>
        <v>GV 30</v>
      </c>
      <c r="E1052" t="s">
        <v>123</v>
      </c>
      <c r="G1052" t="str">
        <f>_xlfn.CONCAT(Tabela9[[#This Row],[Coluna1]],Tabela9[[#This Row],[Coluna2]])</f>
        <v>20-Rota</v>
      </c>
    </row>
    <row r="1053" spans="1:7" x14ac:dyDescent="0.25">
      <c r="A1053">
        <v>8603</v>
      </c>
      <c r="B1053">
        <v>301</v>
      </c>
      <c r="C1053" s="1" t="str">
        <f>IF(Tabela8[[#This Row],[SETOR]]="","",IF(Tabela8[[#This Row],[SETOR]]&lt;200,"GV 10",IF(Tabela8[[#This Row],[SETOR]]&lt;300,"GV 20",IF(Tabela8[[#This Row],[SETOR]]&lt;400,"GV 30","S/GV"))))</f>
        <v>GV 30</v>
      </c>
      <c r="E1053" t="s">
        <v>123</v>
      </c>
      <c r="G1053" t="str">
        <f>_xlfn.CONCAT(Tabela9[[#This Row],[Coluna1]],Tabela9[[#This Row],[Coluna2]])</f>
        <v>20-Rota</v>
      </c>
    </row>
    <row r="1054" spans="1:7" x14ac:dyDescent="0.25">
      <c r="A1054">
        <v>8606</v>
      </c>
      <c r="B1054">
        <v>103</v>
      </c>
      <c r="C1054" s="1" t="str">
        <f>IF(Tabela8[[#This Row],[SETOR]]="","",IF(Tabela8[[#This Row],[SETOR]]&lt;200,"GV 10",IF(Tabela8[[#This Row],[SETOR]]&lt;300,"GV 20",IF(Tabela8[[#This Row],[SETOR]]&lt;400,"GV 30","S/GV"))))</f>
        <v>GV 10</v>
      </c>
      <c r="E1054" t="s">
        <v>123</v>
      </c>
      <c r="G1054" t="str">
        <f>_xlfn.CONCAT(Tabela9[[#This Row],[Coluna1]],Tabela9[[#This Row],[Coluna2]])</f>
        <v>20-Rota</v>
      </c>
    </row>
    <row r="1055" spans="1:7" x14ac:dyDescent="0.25">
      <c r="A1055">
        <v>8623</v>
      </c>
      <c r="B1055">
        <v>204</v>
      </c>
      <c r="C1055" s="1" t="str">
        <f>IF(Tabela8[[#This Row],[SETOR]]="","",IF(Tabela8[[#This Row],[SETOR]]&lt;200,"GV 10",IF(Tabela8[[#This Row],[SETOR]]&lt;300,"GV 20",IF(Tabela8[[#This Row],[SETOR]]&lt;400,"GV 30","S/GV"))))</f>
        <v>GV 20</v>
      </c>
      <c r="E1055" t="s">
        <v>123</v>
      </c>
      <c r="G1055" t="str">
        <f>_xlfn.CONCAT(Tabela9[[#This Row],[Coluna1]],Tabela9[[#This Row],[Coluna2]])</f>
        <v>20-Rota</v>
      </c>
    </row>
    <row r="1056" spans="1:7" x14ac:dyDescent="0.25">
      <c r="A1056">
        <v>8630</v>
      </c>
      <c r="B1056">
        <v>101</v>
      </c>
      <c r="C1056" s="1" t="str">
        <f>IF(Tabela8[[#This Row],[SETOR]]="","",IF(Tabela8[[#This Row],[SETOR]]&lt;200,"GV 10",IF(Tabela8[[#This Row],[SETOR]]&lt;300,"GV 20",IF(Tabela8[[#This Row],[SETOR]]&lt;400,"GV 30","S/GV"))))</f>
        <v>GV 10</v>
      </c>
      <c r="E1056" t="s">
        <v>123</v>
      </c>
      <c r="G1056" t="str">
        <f>_xlfn.CONCAT(Tabela9[[#This Row],[Coluna1]],Tabela9[[#This Row],[Coluna2]])</f>
        <v>20-Rota</v>
      </c>
    </row>
    <row r="1057" spans="1:7" x14ac:dyDescent="0.25">
      <c r="A1057">
        <v>8632</v>
      </c>
      <c r="B1057">
        <v>107</v>
      </c>
      <c r="C1057" s="1" t="str">
        <f>IF(Tabela8[[#This Row],[SETOR]]="","",IF(Tabela8[[#This Row],[SETOR]]&lt;200,"GV 10",IF(Tabela8[[#This Row],[SETOR]]&lt;300,"GV 20",IF(Tabela8[[#This Row],[SETOR]]&lt;400,"GV 30","S/GV"))))</f>
        <v>GV 10</v>
      </c>
      <c r="E1057" t="s">
        <v>128</v>
      </c>
      <c r="F1057" t="s">
        <v>129</v>
      </c>
      <c r="G1057" t="str">
        <f>_xlfn.CONCAT(Tabela9[[#This Row],[Coluna1]],Tabela9[[#This Row],[Coluna2]])</f>
        <v>15-AS(1-4)</v>
      </c>
    </row>
    <row r="1058" spans="1:7" x14ac:dyDescent="0.25">
      <c r="A1058">
        <v>8644</v>
      </c>
      <c r="B1058">
        <v>916</v>
      </c>
      <c r="C1058" s="1" t="str">
        <f>IF(Tabela8[[#This Row],[SETOR]]="","",IF(Tabela8[[#This Row],[SETOR]]&lt;200,"GV 10",IF(Tabela8[[#This Row],[SETOR]]&lt;300,"GV 20",IF(Tabela8[[#This Row],[SETOR]]&lt;400,"GV 30","S/GV"))))</f>
        <v>S/GV</v>
      </c>
      <c r="G1058" t="str">
        <f>_xlfn.CONCAT(Tabela9[[#This Row],[Coluna1]],Tabela9[[#This Row],[Coluna2]])</f>
        <v/>
      </c>
    </row>
    <row r="1059" spans="1:7" x14ac:dyDescent="0.25">
      <c r="A1059">
        <v>8652</v>
      </c>
      <c r="B1059">
        <v>916</v>
      </c>
      <c r="C1059" s="1" t="str">
        <f>IF(Tabela8[[#This Row],[SETOR]]="","",IF(Tabela8[[#This Row],[SETOR]]&lt;200,"GV 10",IF(Tabela8[[#This Row],[SETOR]]&lt;300,"GV 20",IF(Tabela8[[#This Row],[SETOR]]&lt;400,"GV 30","S/GV"))))</f>
        <v>S/GV</v>
      </c>
      <c r="G1059" t="str">
        <f>_xlfn.CONCAT(Tabela9[[#This Row],[Coluna1]],Tabela9[[#This Row],[Coluna2]])</f>
        <v/>
      </c>
    </row>
    <row r="1060" spans="1:7" x14ac:dyDescent="0.25">
      <c r="A1060">
        <v>8656</v>
      </c>
      <c r="B1060">
        <v>109</v>
      </c>
      <c r="C1060" s="1" t="str">
        <f>IF(Tabela8[[#This Row],[SETOR]]="","",IF(Tabela8[[#This Row],[SETOR]]&lt;200,"GV 10",IF(Tabela8[[#This Row],[SETOR]]&lt;300,"GV 20",IF(Tabela8[[#This Row],[SETOR]]&lt;400,"GV 30","S/GV"))))</f>
        <v>GV 10</v>
      </c>
      <c r="E1060" t="s">
        <v>123</v>
      </c>
      <c r="G1060" t="str">
        <f>_xlfn.CONCAT(Tabela9[[#This Row],[Coluna1]],Tabela9[[#This Row],[Coluna2]])</f>
        <v>20-Rota</v>
      </c>
    </row>
    <row r="1061" spans="1:7" x14ac:dyDescent="0.25">
      <c r="A1061">
        <v>8660</v>
      </c>
      <c r="B1061">
        <v>913</v>
      </c>
      <c r="C1061" s="1" t="str">
        <f>IF(Tabela8[[#This Row],[SETOR]]="","",IF(Tabela8[[#This Row],[SETOR]]&lt;200,"GV 10",IF(Tabela8[[#This Row],[SETOR]]&lt;300,"GV 20",IF(Tabela8[[#This Row],[SETOR]]&lt;400,"GV 30","S/GV"))))</f>
        <v>S/GV</v>
      </c>
      <c r="E1061" t="s">
        <v>123</v>
      </c>
      <c r="G1061" t="str">
        <f>_xlfn.CONCAT(Tabela9[[#This Row],[Coluna1]],Tabela9[[#This Row],[Coluna2]])</f>
        <v>20-Rota</v>
      </c>
    </row>
    <row r="1062" spans="1:7" x14ac:dyDescent="0.25">
      <c r="A1062">
        <v>8661</v>
      </c>
      <c r="B1062">
        <v>912</v>
      </c>
      <c r="C1062" s="1" t="str">
        <f>IF(Tabela8[[#This Row],[SETOR]]="","",IF(Tabela8[[#This Row],[SETOR]]&lt;200,"GV 10",IF(Tabela8[[#This Row],[SETOR]]&lt;300,"GV 20",IF(Tabela8[[#This Row],[SETOR]]&lt;400,"GV 30","S/GV"))))</f>
        <v>S/GV</v>
      </c>
      <c r="G1062" t="str">
        <f>_xlfn.CONCAT(Tabela9[[#This Row],[Coluna1]],Tabela9[[#This Row],[Coluna2]])</f>
        <v/>
      </c>
    </row>
    <row r="1063" spans="1:7" x14ac:dyDescent="0.25">
      <c r="A1063">
        <v>8662</v>
      </c>
      <c r="B1063">
        <v>301</v>
      </c>
      <c r="C1063" s="1" t="str">
        <f>IF(Tabela8[[#This Row],[SETOR]]="","",IF(Tabela8[[#This Row],[SETOR]]&lt;200,"GV 10",IF(Tabela8[[#This Row],[SETOR]]&lt;300,"GV 20",IF(Tabela8[[#This Row],[SETOR]]&lt;400,"GV 30","S/GV"))))</f>
        <v>GV 30</v>
      </c>
      <c r="E1063" t="s">
        <v>123</v>
      </c>
      <c r="G1063" t="str">
        <f>_xlfn.CONCAT(Tabela9[[#This Row],[Coluna1]],Tabela9[[#This Row],[Coluna2]])</f>
        <v>20-Rota</v>
      </c>
    </row>
    <row r="1064" spans="1:7" x14ac:dyDescent="0.25">
      <c r="A1064">
        <v>8663</v>
      </c>
      <c r="B1064">
        <v>302</v>
      </c>
      <c r="C1064" s="1" t="str">
        <f>IF(Tabela8[[#This Row],[SETOR]]="","",IF(Tabela8[[#This Row],[SETOR]]&lt;200,"GV 10",IF(Tabela8[[#This Row],[SETOR]]&lt;300,"GV 20",IF(Tabela8[[#This Row],[SETOR]]&lt;400,"GV 30","S/GV"))))</f>
        <v>GV 30</v>
      </c>
      <c r="E1064" t="s">
        <v>123</v>
      </c>
      <c r="G1064" t="str">
        <f>_xlfn.CONCAT(Tabela9[[#This Row],[Coluna1]],Tabela9[[#This Row],[Coluna2]])</f>
        <v>20-Rota</v>
      </c>
    </row>
    <row r="1065" spans="1:7" x14ac:dyDescent="0.25">
      <c r="A1065">
        <v>8664</v>
      </c>
      <c r="B1065">
        <v>202</v>
      </c>
      <c r="C1065" s="1" t="str">
        <f>IF(Tabela8[[#This Row],[SETOR]]="","",IF(Tabela8[[#This Row],[SETOR]]&lt;200,"GV 10",IF(Tabela8[[#This Row],[SETOR]]&lt;300,"GV 20",IF(Tabela8[[#This Row],[SETOR]]&lt;400,"GV 30","S/GV"))))</f>
        <v>GV 20</v>
      </c>
      <c r="E1065" t="s">
        <v>124</v>
      </c>
      <c r="G1065" t="str">
        <f>_xlfn.CONCAT(Tabela9[[#This Row],[Coluna1]],Tabela9[[#This Row],[Coluna2]])</f>
        <v>19-VIP</v>
      </c>
    </row>
    <row r="1066" spans="1:7" x14ac:dyDescent="0.25">
      <c r="A1066">
        <v>8665</v>
      </c>
      <c r="B1066">
        <v>306</v>
      </c>
      <c r="C1066" s="1" t="str">
        <f>IF(Tabela8[[#This Row],[SETOR]]="","",IF(Tabela8[[#This Row],[SETOR]]&lt;200,"GV 10",IF(Tabela8[[#This Row],[SETOR]]&lt;300,"GV 20",IF(Tabela8[[#This Row],[SETOR]]&lt;400,"GV 30","S/GV"))))</f>
        <v>GV 30</v>
      </c>
      <c r="E1066" t="s">
        <v>125</v>
      </c>
      <c r="G1066" t="str">
        <f>_xlfn.CONCAT(Tabela9[[#This Row],[Coluna1]],Tabela9[[#This Row],[Coluna2]])</f>
        <v>18-TRAD</v>
      </c>
    </row>
    <row r="1067" spans="1:7" x14ac:dyDescent="0.25">
      <c r="A1067">
        <v>8669</v>
      </c>
      <c r="B1067">
        <v>204</v>
      </c>
      <c r="C1067" s="1" t="str">
        <f>IF(Tabela8[[#This Row],[SETOR]]="","",IF(Tabela8[[#This Row],[SETOR]]&lt;200,"GV 10",IF(Tabela8[[#This Row],[SETOR]]&lt;300,"GV 20",IF(Tabela8[[#This Row],[SETOR]]&lt;400,"GV 30","S/GV"))))</f>
        <v>GV 20</v>
      </c>
      <c r="E1067" t="s">
        <v>123</v>
      </c>
      <c r="G1067" t="str">
        <f>_xlfn.CONCAT(Tabela9[[#This Row],[Coluna1]],Tabela9[[#This Row],[Coluna2]])</f>
        <v>20-Rota</v>
      </c>
    </row>
    <row r="1068" spans="1:7" x14ac:dyDescent="0.25">
      <c r="A1068">
        <v>8671</v>
      </c>
      <c r="B1068">
        <v>302</v>
      </c>
      <c r="C1068" s="1" t="str">
        <f>IF(Tabela8[[#This Row],[SETOR]]="","",IF(Tabela8[[#This Row],[SETOR]]&lt;200,"GV 10",IF(Tabela8[[#This Row],[SETOR]]&lt;300,"GV 20",IF(Tabela8[[#This Row],[SETOR]]&lt;400,"GV 30","S/GV"))))</f>
        <v>GV 30</v>
      </c>
      <c r="E1068" t="s">
        <v>123</v>
      </c>
      <c r="G1068" t="str">
        <f>_xlfn.CONCAT(Tabela9[[#This Row],[Coluna1]],Tabela9[[#This Row],[Coluna2]])</f>
        <v>20-Rota</v>
      </c>
    </row>
    <row r="1069" spans="1:7" x14ac:dyDescent="0.25">
      <c r="A1069">
        <v>8672</v>
      </c>
      <c r="B1069">
        <v>302</v>
      </c>
      <c r="C1069" s="1" t="str">
        <f>IF(Tabela8[[#This Row],[SETOR]]="","",IF(Tabela8[[#This Row],[SETOR]]&lt;200,"GV 10",IF(Tabela8[[#This Row],[SETOR]]&lt;300,"GV 20",IF(Tabela8[[#This Row],[SETOR]]&lt;400,"GV 30","S/GV"))))</f>
        <v>GV 30</v>
      </c>
      <c r="E1069" t="s">
        <v>123</v>
      </c>
      <c r="G1069" t="str">
        <f>_xlfn.CONCAT(Tabela9[[#This Row],[Coluna1]],Tabela9[[#This Row],[Coluna2]])</f>
        <v>20-Rota</v>
      </c>
    </row>
    <row r="1070" spans="1:7" x14ac:dyDescent="0.25">
      <c r="A1070">
        <v>8674</v>
      </c>
      <c r="B1070">
        <v>308</v>
      </c>
      <c r="C1070" s="1" t="str">
        <f>IF(Tabela8[[#This Row],[SETOR]]="","",IF(Tabela8[[#This Row],[SETOR]]&lt;200,"GV 10",IF(Tabela8[[#This Row],[SETOR]]&lt;300,"GV 20",IF(Tabela8[[#This Row],[SETOR]]&lt;400,"GV 30","S/GV"))))</f>
        <v>GV 30</v>
      </c>
      <c r="E1070" t="s">
        <v>128</v>
      </c>
      <c r="F1070" t="s">
        <v>129</v>
      </c>
      <c r="G1070" t="str">
        <f>_xlfn.CONCAT(Tabela9[[#This Row],[Coluna1]],Tabela9[[#This Row],[Coluna2]])</f>
        <v>15-AS(1-4)</v>
      </c>
    </row>
    <row r="1071" spans="1:7" x14ac:dyDescent="0.25">
      <c r="A1071">
        <v>8679</v>
      </c>
      <c r="B1071">
        <v>303</v>
      </c>
      <c r="C1071" s="1" t="str">
        <f>IF(Tabela8[[#This Row],[SETOR]]="","",IF(Tabela8[[#This Row],[SETOR]]&lt;200,"GV 10",IF(Tabela8[[#This Row],[SETOR]]&lt;300,"GV 20",IF(Tabela8[[#This Row],[SETOR]]&lt;400,"GV 30","S/GV"))))</f>
        <v>GV 30</v>
      </c>
      <c r="E1071" t="s">
        <v>123</v>
      </c>
      <c r="G1071" t="str">
        <f>_xlfn.CONCAT(Tabela9[[#This Row],[Coluna1]],Tabela9[[#This Row],[Coluna2]])</f>
        <v>20-Rota</v>
      </c>
    </row>
    <row r="1072" spans="1:7" x14ac:dyDescent="0.25">
      <c r="A1072">
        <v>8684</v>
      </c>
      <c r="B1072">
        <v>301</v>
      </c>
      <c r="C1072" s="1" t="str">
        <f>IF(Tabela8[[#This Row],[SETOR]]="","",IF(Tabela8[[#This Row],[SETOR]]&lt;200,"GV 10",IF(Tabela8[[#This Row],[SETOR]]&lt;300,"GV 20",IF(Tabela8[[#This Row],[SETOR]]&lt;400,"GV 30","S/GV"))))</f>
        <v>GV 30</v>
      </c>
      <c r="E1072" t="s">
        <v>125</v>
      </c>
      <c r="G1072" t="str">
        <f>_xlfn.CONCAT(Tabela9[[#This Row],[Coluna1]],Tabela9[[#This Row],[Coluna2]])</f>
        <v>18-TRAD</v>
      </c>
    </row>
    <row r="1073" spans="1:7" x14ac:dyDescent="0.25">
      <c r="A1073">
        <v>8694</v>
      </c>
      <c r="B1073">
        <v>302</v>
      </c>
      <c r="C1073" s="1" t="str">
        <f>IF(Tabela8[[#This Row],[SETOR]]="","",IF(Tabela8[[#This Row],[SETOR]]&lt;200,"GV 10",IF(Tabela8[[#This Row],[SETOR]]&lt;300,"GV 20",IF(Tabela8[[#This Row],[SETOR]]&lt;400,"GV 30","S/GV"))))</f>
        <v>GV 30</v>
      </c>
      <c r="E1073" t="s">
        <v>123</v>
      </c>
      <c r="G1073" t="str">
        <f>_xlfn.CONCAT(Tabela9[[#This Row],[Coluna1]],Tabela9[[#This Row],[Coluna2]])</f>
        <v>20-Rota</v>
      </c>
    </row>
    <row r="1074" spans="1:7" x14ac:dyDescent="0.25">
      <c r="A1074">
        <v>8696</v>
      </c>
      <c r="B1074">
        <v>303</v>
      </c>
      <c r="C1074" s="1" t="str">
        <f>IF(Tabela8[[#This Row],[SETOR]]="","",IF(Tabela8[[#This Row],[SETOR]]&lt;200,"GV 10",IF(Tabela8[[#This Row],[SETOR]]&lt;300,"GV 20",IF(Tabela8[[#This Row],[SETOR]]&lt;400,"GV 30","S/GV"))))</f>
        <v>GV 30</v>
      </c>
      <c r="E1074" t="s">
        <v>123</v>
      </c>
      <c r="G1074" t="str">
        <f>_xlfn.CONCAT(Tabela9[[#This Row],[Coluna1]],Tabela9[[#This Row],[Coluna2]])</f>
        <v>20-Rota</v>
      </c>
    </row>
    <row r="1075" spans="1:7" x14ac:dyDescent="0.25">
      <c r="A1075">
        <v>8699</v>
      </c>
      <c r="B1075">
        <v>207</v>
      </c>
      <c r="C1075" s="1" t="str">
        <f>IF(Tabela8[[#This Row],[SETOR]]="","",IF(Tabela8[[#This Row],[SETOR]]&lt;200,"GV 10",IF(Tabela8[[#This Row],[SETOR]]&lt;300,"GV 20",IF(Tabela8[[#This Row],[SETOR]]&lt;400,"GV 30","S/GV"))))</f>
        <v>GV 20</v>
      </c>
      <c r="E1075" t="s">
        <v>130</v>
      </c>
      <c r="G1075" t="str">
        <f>_xlfn.CONCAT(Tabela9[[#This Row],[Coluna1]],Tabela9[[#This Row],[Coluna2]])</f>
        <v>21-SUB</v>
      </c>
    </row>
    <row r="1076" spans="1:7" x14ac:dyDescent="0.25">
      <c r="A1076">
        <v>8701</v>
      </c>
      <c r="B1076">
        <v>303</v>
      </c>
      <c r="C1076" s="1" t="str">
        <f>IF(Tabela8[[#This Row],[SETOR]]="","",IF(Tabela8[[#This Row],[SETOR]]&lt;200,"GV 10",IF(Tabela8[[#This Row],[SETOR]]&lt;300,"GV 20",IF(Tabela8[[#This Row],[SETOR]]&lt;400,"GV 30","S/GV"))))</f>
        <v>GV 30</v>
      </c>
      <c r="E1076" t="s">
        <v>123</v>
      </c>
      <c r="G1076" t="str">
        <f>_xlfn.CONCAT(Tabela9[[#This Row],[Coluna1]],Tabela9[[#This Row],[Coluna2]])</f>
        <v>20-Rota</v>
      </c>
    </row>
    <row r="1077" spans="1:7" x14ac:dyDescent="0.25">
      <c r="A1077">
        <v>8702</v>
      </c>
      <c r="B1077">
        <v>208</v>
      </c>
      <c r="C1077" s="1" t="str">
        <f>IF(Tabela8[[#This Row],[SETOR]]="","",IF(Tabela8[[#This Row],[SETOR]]&lt;200,"GV 10",IF(Tabela8[[#This Row],[SETOR]]&lt;300,"GV 20",IF(Tabela8[[#This Row],[SETOR]]&lt;400,"GV 30","S/GV"))))</f>
        <v>GV 20</v>
      </c>
      <c r="E1077" t="s">
        <v>125</v>
      </c>
      <c r="G1077" t="str">
        <f>_xlfn.CONCAT(Tabela9[[#This Row],[Coluna1]],Tabela9[[#This Row],[Coluna2]])</f>
        <v>18-TRAD</v>
      </c>
    </row>
    <row r="1078" spans="1:7" x14ac:dyDescent="0.25">
      <c r="A1078">
        <v>8704</v>
      </c>
      <c r="B1078">
        <v>102</v>
      </c>
      <c r="C1078" s="1" t="str">
        <f>IF(Tabela8[[#This Row],[SETOR]]="","",IF(Tabela8[[#This Row],[SETOR]]&lt;200,"GV 10",IF(Tabela8[[#This Row],[SETOR]]&lt;300,"GV 20",IF(Tabela8[[#This Row],[SETOR]]&lt;400,"GV 30","S/GV"))))</f>
        <v>GV 10</v>
      </c>
      <c r="E1078" t="s">
        <v>123</v>
      </c>
      <c r="G1078" t="str">
        <f>_xlfn.CONCAT(Tabela9[[#This Row],[Coluna1]],Tabela9[[#This Row],[Coluna2]])</f>
        <v>20-Rota</v>
      </c>
    </row>
    <row r="1079" spans="1:7" x14ac:dyDescent="0.25">
      <c r="A1079">
        <v>8709</v>
      </c>
      <c r="B1079">
        <v>301</v>
      </c>
      <c r="C1079" s="1" t="str">
        <f>IF(Tabela8[[#This Row],[SETOR]]="","",IF(Tabela8[[#This Row],[SETOR]]&lt;200,"GV 10",IF(Tabela8[[#This Row],[SETOR]]&lt;300,"GV 20",IF(Tabela8[[#This Row],[SETOR]]&lt;400,"GV 30","S/GV"))))</f>
        <v>GV 30</v>
      </c>
      <c r="E1079" t="s">
        <v>123</v>
      </c>
      <c r="G1079" t="str">
        <f>_xlfn.CONCAT(Tabela9[[#This Row],[Coluna1]],Tabela9[[#This Row],[Coluna2]])</f>
        <v>20-Rota</v>
      </c>
    </row>
    <row r="1080" spans="1:7" x14ac:dyDescent="0.25">
      <c r="A1080">
        <v>8710</v>
      </c>
      <c r="B1080">
        <v>308</v>
      </c>
      <c r="C1080" s="1" t="str">
        <f>IF(Tabela8[[#This Row],[SETOR]]="","",IF(Tabela8[[#This Row],[SETOR]]&lt;200,"GV 10",IF(Tabela8[[#This Row],[SETOR]]&lt;300,"GV 20",IF(Tabela8[[#This Row],[SETOR]]&lt;400,"GV 30","S/GV"))))</f>
        <v>GV 30</v>
      </c>
      <c r="E1080" t="s">
        <v>128</v>
      </c>
      <c r="F1080" t="s">
        <v>129</v>
      </c>
      <c r="G1080" t="str">
        <f>_xlfn.CONCAT(Tabela9[[#This Row],[Coluna1]],Tabela9[[#This Row],[Coluna2]])</f>
        <v>15-AS(1-4)</v>
      </c>
    </row>
    <row r="1081" spans="1:7" x14ac:dyDescent="0.25">
      <c r="A1081">
        <v>8721</v>
      </c>
      <c r="B1081">
        <v>106</v>
      </c>
      <c r="C1081" s="1" t="str">
        <f>IF(Tabela8[[#This Row],[SETOR]]="","",IF(Tabela8[[#This Row],[SETOR]]&lt;200,"GV 10",IF(Tabela8[[#This Row],[SETOR]]&lt;300,"GV 20",IF(Tabela8[[#This Row],[SETOR]]&lt;400,"GV 30","S/GV"))))</f>
        <v>GV 10</v>
      </c>
      <c r="E1081" t="s">
        <v>125</v>
      </c>
      <c r="G1081" t="str">
        <f>_xlfn.CONCAT(Tabela9[[#This Row],[Coluna1]],Tabela9[[#This Row],[Coluna2]])</f>
        <v>18-TRAD</v>
      </c>
    </row>
    <row r="1082" spans="1:7" x14ac:dyDescent="0.25">
      <c r="A1082">
        <v>8725</v>
      </c>
      <c r="B1082">
        <v>308</v>
      </c>
      <c r="C1082" s="1" t="str">
        <f>IF(Tabela8[[#This Row],[SETOR]]="","",IF(Tabela8[[#This Row],[SETOR]]&lt;200,"GV 10",IF(Tabela8[[#This Row],[SETOR]]&lt;300,"GV 20",IF(Tabela8[[#This Row],[SETOR]]&lt;400,"GV 30","S/GV"))))</f>
        <v>GV 30</v>
      </c>
      <c r="E1082" t="s">
        <v>126</v>
      </c>
      <c r="F1082" t="s">
        <v>127</v>
      </c>
      <c r="G1082" t="str">
        <f>_xlfn.CONCAT(Tabela9[[#This Row],[Coluna1]],Tabela9[[#This Row],[Coluna2]])</f>
        <v>16-AS(5+)</v>
      </c>
    </row>
    <row r="1083" spans="1:7" x14ac:dyDescent="0.25">
      <c r="A1083">
        <v>8727</v>
      </c>
      <c r="B1083">
        <v>308</v>
      </c>
      <c r="C1083" s="1" t="str">
        <f>IF(Tabela8[[#This Row],[SETOR]]="","",IF(Tabela8[[#This Row],[SETOR]]&lt;200,"GV 10",IF(Tabela8[[#This Row],[SETOR]]&lt;300,"GV 20",IF(Tabela8[[#This Row],[SETOR]]&lt;400,"GV 30","S/GV"))))</f>
        <v>GV 30</v>
      </c>
      <c r="E1083" t="s">
        <v>128</v>
      </c>
      <c r="F1083" t="s">
        <v>129</v>
      </c>
      <c r="G1083" t="str">
        <f>_xlfn.CONCAT(Tabela9[[#This Row],[Coluna1]],Tabela9[[#This Row],[Coluna2]])</f>
        <v>15-AS(1-4)</v>
      </c>
    </row>
    <row r="1084" spans="1:7" x14ac:dyDescent="0.25">
      <c r="A1084">
        <v>8729</v>
      </c>
      <c r="B1084">
        <v>206</v>
      </c>
      <c r="C1084" s="1" t="str">
        <f>IF(Tabela8[[#This Row],[SETOR]]="","",IF(Tabela8[[#This Row],[SETOR]]&lt;200,"GV 10",IF(Tabela8[[#This Row],[SETOR]]&lt;300,"GV 20",IF(Tabela8[[#This Row],[SETOR]]&lt;400,"GV 30","S/GV"))))</f>
        <v>GV 20</v>
      </c>
      <c r="E1084" t="s">
        <v>123</v>
      </c>
      <c r="G1084" t="str">
        <f>_xlfn.CONCAT(Tabela9[[#This Row],[Coluna1]],Tabela9[[#This Row],[Coluna2]])</f>
        <v>20-Rota</v>
      </c>
    </row>
    <row r="1085" spans="1:7" x14ac:dyDescent="0.25">
      <c r="A1085">
        <v>8732</v>
      </c>
      <c r="B1085">
        <v>308</v>
      </c>
      <c r="C1085" s="1" t="str">
        <f>IF(Tabela8[[#This Row],[SETOR]]="","",IF(Tabela8[[#This Row],[SETOR]]&lt;200,"GV 10",IF(Tabela8[[#This Row],[SETOR]]&lt;300,"GV 20",IF(Tabela8[[#This Row],[SETOR]]&lt;400,"GV 30","S/GV"))))</f>
        <v>GV 30</v>
      </c>
      <c r="E1085" t="s">
        <v>128</v>
      </c>
      <c r="F1085" t="s">
        <v>129</v>
      </c>
      <c r="G1085" t="str">
        <f>_xlfn.CONCAT(Tabela9[[#This Row],[Coluna1]],Tabela9[[#This Row],[Coluna2]])</f>
        <v>15-AS(1-4)</v>
      </c>
    </row>
    <row r="1086" spans="1:7" x14ac:dyDescent="0.25">
      <c r="A1086">
        <v>8741</v>
      </c>
      <c r="B1086">
        <v>102</v>
      </c>
      <c r="C1086" s="1" t="str">
        <f>IF(Tabela8[[#This Row],[SETOR]]="","",IF(Tabela8[[#This Row],[SETOR]]&lt;200,"GV 10",IF(Tabela8[[#This Row],[SETOR]]&lt;300,"GV 20",IF(Tabela8[[#This Row],[SETOR]]&lt;400,"GV 30","S/GV"))))</f>
        <v>GV 10</v>
      </c>
      <c r="E1086" t="s">
        <v>123</v>
      </c>
      <c r="G1086" t="str">
        <f>_xlfn.CONCAT(Tabela9[[#This Row],[Coluna1]],Tabela9[[#This Row],[Coluna2]])</f>
        <v>20-Rota</v>
      </c>
    </row>
    <row r="1087" spans="1:7" x14ac:dyDescent="0.25">
      <c r="A1087">
        <v>8742</v>
      </c>
      <c r="B1087">
        <v>105</v>
      </c>
      <c r="C1087" s="1" t="str">
        <f>IF(Tabela8[[#This Row],[SETOR]]="","",IF(Tabela8[[#This Row],[SETOR]]&lt;200,"GV 10",IF(Tabela8[[#This Row],[SETOR]]&lt;300,"GV 20",IF(Tabela8[[#This Row],[SETOR]]&lt;400,"GV 30","S/GV"))))</f>
        <v>GV 10</v>
      </c>
      <c r="E1087" t="s">
        <v>123</v>
      </c>
      <c r="G1087" t="str">
        <f>_xlfn.CONCAT(Tabela9[[#This Row],[Coluna1]],Tabela9[[#This Row],[Coluna2]])</f>
        <v>20-Rota</v>
      </c>
    </row>
    <row r="1088" spans="1:7" x14ac:dyDescent="0.25">
      <c r="A1088">
        <v>8752</v>
      </c>
      <c r="B1088">
        <v>101</v>
      </c>
      <c r="C1088" s="1" t="str">
        <f>IF(Tabela8[[#This Row],[SETOR]]="","",IF(Tabela8[[#This Row],[SETOR]]&lt;200,"GV 10",IF(Tabela8[[#This Row],[SETOR]]&lt;300,"GV 20",IF(Tabela8[[#This Row],[SETOR]]&lt;400,"GV 30","S/GV"))))</f>
        <v>GV 10</v>
      </c>
      <c r="E1088" t="s">
        <v>126</v>
      </c>
      <c r="F1088" t="s">
        <v>127</v>
      </c>
      <c r="G1088" t="str">
        <f>_xlfn.CONCAT(Tabela9[[#This Row],[Coluna1]],Tabela9[[#This Row],[Coluna2]])</f>
        <v>16-AS(5+)</v>
      </c>
    </row>
    <row r="1089" spans="1:7" x14ac:dyDescent="0.25">
      <c r="A1089">
        <v>8755</v>
      </c>
      <c r="B1089">
        <v>201</v>
      </c>
      <c r="C1089" s="1" t="str">
        <f>IF(Tabela8[[#This Row],[SETOR]]="","",IF(Tabela8[[#This Row],[SETOR]]&lt;200,"GV 10",IF(Tabela8[[#This Row],[SETOR]]&lt;300,"GV 20",IF(Tabela8[[#This Row],[SETOR]]&lt;400,"GV 30","S/GV"))))</f>
        <v>GV 20</v>
      </c>
      <c r="E1089" t="s">
        <v>123</v>
      </c>
      <c r="G1089" t="str">
        <f>_xlfn.CONCAT(Tabela9[[#This Row],[Coluna1]],Tabela9[[#This Row],[Coluna2]])</f>
        <v>20-Rota</v>
      </c>
    </row>
    <row r="1090" spans="1:7" x14ac:dyDescent="0.25">
      <c r="A1090">
        <v>8779</v>
      </c>
      <c r="B1090">
        <v>109</v>
      </c>
      <c r="C1090" s="1" t="str">
        <f>IF(Tabela8[[#This Row],[SETOR]]="","",IF(Tabela8[[#This Row],[SETOR]]&lt;200,"GV 10",IF(Tabela8[[#This Row],[SETOR]]&lt;300,"GV 20",IF(Tabela8[[#This Row],[SETOR]]&lt;400,"GV 30","S/GV"))))</f>
        <v>GV 10</v>
      </c>
      <c r="E1090" t="s">
        <v>123</v>
      </c>
      <c r="G1090" t="str">
        <f>_xlfn.CONCAT(Tabela9[[#This Row],[Coluna1]],Tabela9[[#This Row],[Coluna2]])</f>
        <v>20-Rota</v>
      </c>
    </row>
    <row r="1091" spans="1:7" x14ac:dyDescent="0.25">
      <c r="A1091">
        <v>8788</v>
      </c>
      <c r="B1091">
        <v>103</v>
      </c>
      <c r="C1091" s="1" t="str">
        <f>IF(Tabela8[[#This Row],[SETOR]]="","",IF(Tabela8[[#This Row],[SETOR]]&lt;200,"GV 10",IF(Tabela8[[#This Row],[SETOR]]&lt;300,"GV 20",IF(Tabela8[[#This Row],[SETOR]]&lt;400,"GV 30","S/GV"))))</f>
        <v>GV 10</v>
      </c>
      <c r="E1091" t="s">
        <v>123</v>
      </c>
      <c r="G1091" t="str">
        <f>_xlfn.CONCAT(Tabela9[[#This Row],[Coluna1]],Tabela9[[#This Row],[Coluna2]])</f>
        <v>20-Rota</v>
      </c>
    </row>
    <row r="1092" spans="1:7" x14ac:dyDescent="0.25">
      <c r="A1092">
        <v>8803</v>
      </c>
      <c r="B1092">
        <v>106</v>
      </c>
      <c r="C1092" s="1" t="str">
        <f>IF(Tabela8[[#This Row],[SETOR]]="","",IF(Tabela8[[#This Row],[SETOR]]&lt;200,"GV 10",IF(Tabela8[[#This Row],[SETOR]]&lt;300,"GV 20",IF(Tabela8[[#This Row],[SETOR]]&lt;400,"GV 30","S/GV"))))</f>
        <v>GV 10</v>
      </c>
      <c r="E1092" t="s">
        <v>123</v>
      </c>
      <c r="G1092" t="str">
        <f>_xlfn.CONCAT(Tabela9[[#This Row],[Coluna1]],Tabela9[[#This Row],[Coluna2]])</f>
        <v>20-Rota</v>
      </c>
    </row>
    <row r="1093" spans="1:7" x14ac:dyDescent="0.25">
      <c r="A1093">
        <v>8817</v>
      </c>
      <c r="B1093">
        <v>102</v>
      </c>
      <c r="C1093" s="1" t="str">
        <f>IF(Tabela8[[#This Row],[SETOR]]="","",IF(Tabela8[[#This Row],[SETOR]]&lt;200,"GV 10",IF(Tabela8[[#This Row],[SETOR]]&lt;300,"GV 20",IF(Tabela8[[#This Row],[SETOR]]&lt;400,"GV 30","S/GV"))))</f>
        <v>GV 10</v>
      </c>
      <c r="E1093" t="s">
        <v>123</v>
      </c>
      <c r="G1093" t="str">
        <f>_xlfn.CONCAT(Tabela9[[#This Row],[Coluna1]],Tabela9[[#This Row],[Coluna2]])</f>
        <v>20-Rota</v>
      </c>
    </row>
    <row r="1094" spans="1:7" x14ac:dyDescent="0.25">
      <c r="A1094">
        <v>8821</v>
      </c>
      <c r="B1094">
        <v>205</v>
      </c>
      <c r="C1094" s="1" t="str">
        <f>IF(Tabela8[[#This Row],[SETOR]]="","",IF(Tabela8[[#This Row],[SETOR]]&lt;200,"GV 10",IF(Tabela8[[#This Row],[SETOR]]&lt;300,"GV 20",IF(Tabela8[[#This Row],[SETOR]]&lt;400,"GV 30","S/GV"))))</f>
        <v>GV 20</v>
      </c>
      <c r="E1094" t="s">
        <v>123</v>
      </c>
      <c r="G1094" t="str">
        <f>_xlfn.CONCAT(Tabela9[[#This Row],[Coluna1]],Tabela9[[#This Row],[Coluna2]])</f>
        <v>20-Rota</v>
      </c>
    </row>
    <row r="1095" spans="1:7" x14ac:dyDescent="0.25">
      <c r="A1095">
        <v>8830</v>
      </c>
      <c r="B1095">
        <v>101</v>
      </c>
      <c r="C1095" s="1" t="str">
        <f>IF(Tabela8[[#This Row],[SETOR]]="","",IF(Tabela8[[#This Row],[SETOR]]&lt;200,"GV 10",IF(Tabela8[[#This Row],[SETOR]]&lt;300,"GV 20",IF(Tabela8[[#This Row],[SETOR]]&lt;400,"GV 30","S/GV"))))</f>
        <v>GV 10</v>
      </c>
      <c r="E1095" t="s">
        <v>123</v>
      </c>
      <c r="G1095" t="str">
        <f>_xlfn.CONCAT(Tabela9[[#This Row],[Coluna1]],Tabela9[[#This Row],[Coluna2]])</f>
        <v>20-Rota</v>
      </c>
    </row>
    <row r="1096" spans="1:7" x14ac:dyDescent="0.25">
      <c r="A1096">
        <v>8832</v>
      </c>
      <c r="B1096">
        <v>108</v>
      </c>
      <c r="C1096" s="1" t="str">
        <f>IF(Tabela8[[#This Row],[SETOR]]="","",IF(Tabela8[[#This Row],[SETOR]]&lt;200,"GV 10",IF(Tabela8[[#This Row],[SETOR]]&lt;300,"GV 20",IF(Tabela8[[#This Row],[SETOR]]&lt;400,"GV 30","S/GV"))))</f>
        <v>GV 10</v>
      </c>
      <c r="E1096" t="s">
        <v>126</v>
      </c>
      <c r="F1096" t="s">
        <v>127</v>
      </c>
      <c r="G1096" t="str">
        <f>_xlfn.CONCAT(Tabela9[[#This Row],[Coluna1]],Tabela9[[#This Row],[Coluna2]])</f>
        <v>16-AS(5+)</v>
      </c>
    </row>
    <row r="1097" spans="1:7" x14ac:dyDescent="0.25">
      <c r="A1097">
        <v>8833</v>
      </c>
      <c r="B1097">
        <v>104</v>
      </c>
      <c r="C1097" s="1" t="str">
        <f>IF(Tabela8[[#This Row],[SETOR]]="","",IF(Tabela8[[#This Row],[SETOR]]&lt;200,"GV 10",IF(Tabela8[[#This Row],[SETOR]]&lt;300,"GV 20",IF(Tabela8[[#This Row],[SETOR]]&lt;400,"GV 30","S/GV"))))</f>
        <v>GV 10</v>
      </c>
      <c r="E1097" t="s">
        <v>123</v>
      </c>
      <c r="G1097" t="str">
        <f>_xlfn.CONCAT(Tabela9[[#This Row],[Coluna1]],Tabela9[[#This Row],[Coluna2]])</f>
        <v>20-Rota</v>
      </c>
    </row>
    <row r="1098" spans="1:7" x14ac:dyDescent="0.25">
      <c r="A1098">
        <v>8844</v>
      </c>
      <c r="B1098">
        <v>108</v>
      </c>
      <c r="C1098" s="1" t="str">
        <f>IF(Tabela8[[#This Row],[SETOR]]="","",IF(Tabela8[[#This Row],[SETOR]]&lt;200,"GV 10",IF(Tabela8[[#This Row],[SETOR]]&lt;300,"GV 20",IF(Tabela8[[#This Row],[SETOR]]&lt;400,"GV 30","S/GV"))))</f>
        <v>GV 10</v>
      </c>
      <c r="E1098" t="s">
        <v>126</v>
      </c>
      <c r="F1098" t="s">
        <v>127</v>
      </c>
      <c r="G1098" t="str">
        <f>_xlfn.CONCAT(Tabela9[[#This Row],[Coluna1]],Tabela9[[#This Row],[Coluna2]])</f>
        <v>16-AS(5+)</v>
      </c>
    </row>
    <row r="1099" spans="1:7" x14ac:dyDescent="0.25">
      <c r="A1099">
        <v>8845</v>
      </c>
      <c r="B1099">
        <v>108</v>
      </c>
      <c r="C1099" s="1" t="str">
        <f>IF(Tabela8[[#This Row],[SETOR]]="","",IF(Tabela8[[#This Row],[SETOR]]&lt;200,"GV 10",IF(Tabela8[[#This Row],[SETOR]]&lt;300,"GV 20",IF(Tabela8[[#This Row],[SETOR]]&lt;400,"GV 30","S/GV"))))</f>
        <v>GV 10</v>
      </c>
      <c r="E1099" t="s">
        <v>128</v>
      </c>
      <c r="F1099" t="s">
        <v>129</v>
      </c>
      <c r="G1099" t="str">
        <f>_xlfn.CONCAT(Tabela9[[#This Row],[Coluna1]],Tabela9[[#This Row],[Coluna2]])</f>
        <v>15-AS(1-4)</v>
      </c>
    </row>
    <row r="1100" spans="1:7" x14ac:dyDescent="0.25">
      <c r="A1100">
        <v>8852</v>
      </c>
      <c r="B1100">
        <v>106</v>
      </c>
      <c r="C1100" s="1" t="str">
        <f>IF(Tabela8[[#This Row],[SETOR]]="","",IF(Tabela8[[#This Row],[SETOR]]&lt;200,"GV 10",IF(Tabela8[[#This Row],[SETOR]]&lt;300,"GV 20",IF(Tabela8[[#This Row],[SETOR]]&lt;400,"GV 30","S/GV"))))</f>
        <v>GV 10</v>
      </c>
      <c r="E1100" t="s">
        <v>123</v>
      </c>
      <c r="G1100" t="str">
        <f>_xlfn.CONCAT(Tabela9[[#This Row],[Coluna1]],Tabela9[[#This Row],[Coluna2]])</f>
        <v>20-Rota</v>
      </c>
    </row>
    <row r="1101" spans="1:7" x14ac:dyDescent="0.25">
      <c r="A1101">
        <v>8857</v>
      </c>
      <c r="B1101">
        <v>101</v>
      </c>
      <c r="C1101" s="1" t="str">
        <f>IF(Tabela8[[#This Row],[SETOR]]="","",IF(Tabela8[[#This Row],[SETOR]]&lt;200,"GV 10",IF(Tabela8[[#This Row],[SETOR]]&lt;300,"GV 20",IF(Tabela8[[#This Row],[SETOR]]&lt;400,"GV 30","S/GV"))))</f>
        <v>GV 10</v>
      </c>
      <c r="E1101" t="s">
        <v>126</v>
      </c>
      <c r="F1101" t="s">
        <v>127</v>
      </c>
      <c r="G1101" t="str">
        <f>_xlfn.CONCAT(Tabela9[[#This Row],[Coluna1]],Tabela9[[#This Row],[Coluna2]])</f>
        <v>16-AS(5+)</v>
      </c>
    </row>
    <row r="1102" spans="1:7" x14ac:dyDescent="0.25">
      <c r="A1102">
        <v>8878</v>
      </c>
      <c r="B1102">
        <v>306</v>
      </c>
      <c r="C1102" s="1" t="str">
        <f>IF(Tabela8[[#This Row],[SETOR]]="","",IF(Tabela8[[#This Row],[SETOR]]&lt;200,"GV 10",IF(Tabela8[[#This Row],[SETOR]]&lt;300,"GV 20",IF(Tabela8[[#This Row],[SETOR]]&lt;400,"GV 30","S/GV"))))</f>
        <v>GV 30</v>
      </c>
      <c r="E1102" t="s">
        <v>125</v>
      </c>
      <c r="G1102" t="str">
        <f>_xlfn.CONCAT(Tabela9[[#This Row],[Coluna1]],Tabela9[[#This Row],[Coluna2]])</f>
        <v>18-TRAD</v>
      </c>
    </row>
    <row r="1103" spans="1:7" x14ac:dyDescent="0.25">
      <c r="A1103">
        <v>8886</v>
      </c>
      <c r="B1103">
        <v>106</v>
      </c>
      <c r="C1103" s="1" t="str">
        <f>IF(Tabela8[[#This Row],[SETOR]]="","",IF(Tabela8[[#This Row],[SETOR]]&lt;200,"GV 10",IF(Tabela8[[#This Row],[SETOR]]&lt;300,"GV 20",IF(Tabela8[[#This Row],[SETOR]]&lt;400,"GV 30","S/GV"))))</f>
        <v>GV 10</v>
      </c>
      <c r="E1103" t="s">
        <v>123</v>
      </c>
      <c r="G1103" t="str">
        <f>_xlfn.CONCAT(Tabela9[[#This Row],[Coluna1]],Tabela9[[#This Row],[Coluna2]])</f>
        <v>20-Rota</v>
      </c>
    </row>
    <row r="1104" spans="1:7" x14ac:dyDescent="0.25">
      <c r="A1104">
        <v>8894</v>
      </c>
      <c r="B1104">
        <v>106</v>
      </c>
      <c r="C1104" s="1" t="str">
        <f>IF(Tabela8[[#This Row],[SETOR]]="","",IF(Tabela8[[#This Row],[SETOR]]&lt;200,"GV 10",IF(Tabela8[[#This Row],[SETOR]]&lt;300,"GV 20",IF(Tabela8[[#This Row],[SETOR]]&lt;400,"GV 30","S/GV"))))</f>
        <v>GV 10</v>
      </c>
      <c r="E1104" t="s">
        <v>123</v>
      </c>
      <c r="G1104" t="str">
        <f>_xlfn.CONCAT(Tabela9[[#This Row],[Coluna1]],Tabela9[[#This Row],[Coluna2]])</f>
        <v>20-Rota</v>
      </c>
    </row>
    <row r="1105" spans="1:7" x14ac:dyDescent="0.25">
      <c r="A1105">
        <v>8904</v>
      </c>
      <c r="B1105">
        <v>102</v>
      </c>
      <c r="C1105" s="1" t="str">
        <f>IF(Tabela8[[#This Row],[SETOR]]="","",IF(Tabela8[[#This Row],[SETOR]]&lt;200,"GV 10",IF(Tabela8[[#This Row],[SETOR]]&lt;300,"GV 20",IF(Tabela8[[#This Row],[SETOR]]&lt;400,"GV 30","S/GV"))))</f>
        <v>GV 10</v>
      </c>
      <c r="E1105" t="s">
        <v>123</v>
      </c>
      <c r="G1105" t="str">
        <f>_xlfn.CONCAT(Tabela9[[#This Row],[Coluna1]],Tabela9[[#This Row],[Coluna2]])</f>
        <v>20-Rota</v>
      </c>
    </row>
    <row r="1106" spans="1:7" x14ac:dyDescent="0.25">
      <c r="A1106">
        <v>8911</v>
      </c>
      <c r="B1106">
        <v>302</v>
      </c>
      <c r="C1106" s="1" t="str">
        <f>IF(Tabela8[[#This Row],[SETOR]]="","",IF(Tabela8[[#This Row],[SETOR]]&lt;200,"GV 10",IF(Tabela8[[#This Row],[SETOR]]&lt;300,"GV 20",IF(Tabela8[[#This Row],[SETOR]]&lt;400,"GV 30","S/GV"))))</f>
        <v>GV 30</v>
      </c>
      <c r="E1106" t="s">
        <v>123</v>
      </c>
      <c r="G1106" t="str">
        <f>_xlfn.CONCAT(Tabela9[[#This Row],[Coluna1]],Tabela9[[#This Row],[Coluna2]])</f>
        <v>20-Rota</v>
      </c>
    </row>
    <row r="1107" spans="1:7" x14ac:dyDescent="0.25">
      <c r="A1107">
        <v>8917</v>
      </c>
      <c r="B1107">
        <v>205</v>
      </c>
      <c r="C1107" s="1" t="str">
        <f>IF(Tabela8[[#This Row],[SETOR]]="","",IF(Tabela8[[#This Row],[SETOR]]&lt;200,"GV 10",IF(Tabela8[[#This Row],[SETOR]]&lt;300,"GV 20",IF(Tabela8[[#This Row],[SETOR]]&lt;400,"GV 30","S/GV"))))</f>
        <v>GV 20</v>
      </c>
      <c r="E1107" t="s">
        <v>131</v>
      </c>
      <c r="F1107" t="s">
        <v>132</v>
      </c>
      <c r="G1107" t="str">
        <f>_xlfn.CONCAT(Tabela9[[#This Row],[Coluna1]],Tabela9[[#This Row],[Coluna2]])</f>
        <v>14-Lj.Conveniência</v>
      </c>
    </row>
    <row r="1108" spans="1:7" x14ac:dyDescent="0.25">
      <c r="A1108">
        <v>8918</v>
      </c>
      <c r="B1108">
        <v>104</v>
      </c>
      <c r="C1108" s="1" t="str">
        <f>IF(Tabela8[[#This Row],[SETOR]]="","",IF(Tabela8[[#This Row],[SETOR]]&lt;200,"GV 10",IF(Tabela8[[#This Row],[SETOR]]&lt;300,"GV 20",IF(Tabela8[[#This Row],[SETOR]]&lt;400,"GV 30","S/GV"))))</f>
        <v>GV 10</v>
      </c>
      <c r="E1108" t="s">
        <v>123</v>
      </c>
      <c r="G1108" t="str">
        <f>_xlfn.CONCAT(Tabela9[[#This Row],[Coluna1]],Tabela9[[#This Row],[Coluna2]])</f>
        <v>20-Rota</v>
      </c>
    </row>
    <row r="1109" spans="1:7" x14ac:dyDescent="0.25">
      <c r="A1109">
        <v>8919</v>
      </c>
      <c r="B1109">
        <v>303</v>
      </c>
      <c r="C1109" s="1" t="str">
        <f>IF(Tabela8[[#This Row],[SETOR]]="","",IF(Tabela8[[#This Row],[SETOR]]&lt;200,"GV 10",IF(Tabela8[[#This Row],[SETOR]]&lt;300,"GV 20",IF(Tabela8[[#This Row],[SETOR]]&lt;400,"GV 30","S/GV"))))</f>
        <v>GV 30</v>
      </c>
      <c r="E1109" t="s">
        <v>123</v>
      </c>
      <c r="G1109" t="str">
        <f>_xlfn.CONCAT(Tabela9[[#This Row],[Coluna1]],Tabela9[[#This Row],[Coluna2]])</f>
        <v>20-Rota</v>
      </c>
    </row>
    <row r="1110" spans="1:7" x14ac:dyDescent="0.25">
      <c r="A1110">
        <v>8924</v>
      </c>
      <c r="B1110">
        <v>204</v>
      </c>
      <c r="C1110" s="1" t="str">
        <f>IF(Tabela8[[#This Row],[SETOR]]="","",IF(Tabela8[[#This Row],[SETOR]]&lt;200,"GV 10",IF(Tabela8[[#This Row],[SETOR]]&lt;300,"GV 20",IF(Tabela8[[#This Row],[SETOR]]&lt;400,"GV 30","S/GV"))))</f>
        <v>GV 20</v>
      </c>
      <c r="E1110" t="s">
        <v>123</v>
      </c>
      <c r="G1110" t="str">
        <f>_xlfn.CONCAT(Tabela9[[#This Row],[Coluna1]],Tabela9[[#This Row],[Coluna2]])</f>
        <v>20-Rota</v>
      </c>
    </row>
    <row r="1111" spans="1:7" x14ac:dyDescent="0.25">
      <c r="A1111">
        <v>8932</v>
      </c>
      <c r="B1111">
        <v>101</v>
      </c>
      <c r="C1111" s="1" t="str">
        <f>IF(Tabela8[[#This Row],[SETOR]]="","",IF(Tabela8[[#This Row],[SETOR]]&lt;200,"GV 10",IF(Tabela8[[#This Row],[SETOR]]&lt;300,"GV 20",IF(Tabela8[[#This Row],[SETOR]]&lt;400,"GV 30","S/GV"))))</f>
        <v>GV 10</v>
      </c>
      <c r="E1111" t="s">
        <v>123</v>
      </c>
      <c r="G1111" t="str">
        <f>_xlfn.CONCAT(Tabela9[[#This Row],[Coluna1]],Tabela9[[#This Row],[Coluna2]])</f>
        <v>20-Rota</v>
      </c>
    </row>
    <row r="1112" spans="1:7" x14ac:dyDescent="0.25">
      <c r="A1112">
        <v>8933</v>
      </c>
      <c r="B1112">
        <v>304</v>
      </c>
      <c r="C1112" s="1" t="str">
        <f>IF(Tabela8[[#This Row],[SETOR]]="","",IF(Tabela8[[#This Row],[SETOR]]&lt;200,"GV 10",IF(Tabela8[[#This Row],[SETOR]]&lt;300,"GV 20",IF(Tabela8[[#This Row],[SETOR]]&lt;400,"GV 30","S/GV"))))</f>
        <v>GV 30</v>
      </c>
      <c r="E1112" t="s">
        <v>123</v>
      </c>
      <c r="G1112" t="str">
        <f>_xlfn.CONCAT(Tabela9[[#This Row],[Coluna1]],Tabela9[[#This Row],[Coluna2]])</f>
        <v>20-Rota</v>
      </c>
    </row>
    <row r="1113" spans="1:7" x14ac:dyDescent="0.25">
      <c r="A1113">
        <v>8936</v>
      </c>
      <c r="B1113">
        <v>303</v>
      </c>
      <c r="C1113" s="1" t="str">
        <f>IF(Tabela8[[#This Row],[SETOR]]="","",IF(Tabela8[[#This Row],[SETOR]]&lt;200,"GV 10",IF(Tabela8[[#This Row],[SETOR]]&lt;300,"GV 20",IF(Tabela8[[#This Row],[SETOR]]&lt;400,"GV 30","S/GV"))))</f>
        <v>GV 30</v>
      </c>
      <c r="E1113" t="s">
        <v>123</v>
      </c>
      <c r="G1113" t="str">
        <f>_xlfn.CONCAT(Tabela9[[#This Row],[Coluna1]],Tabela9[[#This Row],[Coluna2]])</f>
        <v>20-Rota</v>
      </c>
    </row>
    <row r="1114" spans="1:7" x14ac:dyDescent="0.25">
      <c r="A1114">
        <v>8939</v>
      </c>
      <c r="B1114">
        <v>309</v>
      </c>
      <c r="C1114" s="1" t="str">
        <f>IF(Tabela8[[#This Row],[SETOR]]="","",IF(Tabela8[[#This Row],[SETOR]]&lt;200,"GV 10",IF(Tabela8[[#This Row],[SETOR]]&lt;300,"GV 20",IF(Tabela8[[#This Row],[SETOR]]&lt;400,"GV 30","S/GV"))))</f>
        <v>GV 30</v>
      </c>
      <c r="E1114" t="s">
        <v>128</v>
      </c>
      <c r="F1114" t="s">
        <v>129</v>
      </c>
      <c r="G1114" t="str">
        <f>_xlfn.CONCAT(Tabela9[[#This Row],[Coluna1]],Tabela9[[#This Row],[Coluna2]])</f>
        <v>15-AS(1-4)</v>
      </c>
    </row>
    <row r="1115" spans="1:7" x14ac:dyDescent="0.25">
      <c r="A1115">
        <v>8954</v>
      </c>
      <c r="B1115">
        <v>304</v>
      </c>
      <c r="C1115" s="1" t="str">
        <f>IF(Tabela8[[#This Row],[SETOR]]="","",IF(Tabela8[[#This Row],[SETOR]]&lt;200,"GV 10",IF(Tabela8[[#This Row],[SETOR]]&lt;300,"GV 20",IF(Tabela8[[#This Row],[SETOR]]&lt;400,"GV 30","S/GV"))))</f>
        <v>GV 30</v>
      </c>
      <c r="E1115" t="s">
        <v>125</v>
      </c>
      <c r="G1115" t="str">
        <f>_xlfn.CONCAT(Tabela9[[#This Row],[Coluna1]],Tabela9[[#This Row],[Coluna2]])</f>
        <v>18-TRAD</v>
      </c>
    </row>
    <row r="1116" spans="1:7" x14ac:dyDescent="0.25">
      <c r="A1116">
        <v>8957</v>
      </c>
      <c r="B1116">
        <v>109</v>
      </c>
      <c r="C1116" s="1" t="str">
        <f>IF(Tabela8[[#This Row],[SETOR]]="","",IF(Tabela8[[#This Row],[SETOR]]&lt;200,"GV 10",IF(Tabela8[[#This Row],[SETOR]]&lt;300,"GV 20",IF(Tabela8[[#This Row],[SETOR]]&lt;400,"GV 30","S/GV"))))</f>
        <v>GV 10</v>
      </c>
      <c r="E1116" t="s">
        <v>123</v>
      </c>
      <c r="G1116" t="str">
        <f>_xlfn.CONCAT(Tabela9[[#This Row],[Coluna1]],Tabela9[[#This Row],[Coluna2]])</f>
        <v>20-Rota</v>
      </c>
    </row>
    <row r="1117" spans="1:7" x14ac:dyDescent="0.25">
      <c r="A1117">
        <v>8966</v>
      </c>
      <c r="B1117">
        <v>103</v>
      </c>
      <c r="C1117" s="1" t="str">
        <f>IF(Tabela8[[#This Row],[SETOR]]="","",IF(Tabela8[[#This Row],[SETOR]]&lt;200,"GV 10",IF(Tabela8[[#This Row],[SETOR]]&lt;300,"GV 20",IF(Tabela8[[#This Row],[SETOR]]&lt;400,"GV 30","S/GV"))))</f>
        <v>GV 10</v>
      </c>
      <c r="E1117" t="s">
        <v>123</v>
      </c>
      <c r="G1117" t="str">
        <f>_xlfn.CONCAT(Tabela9[[#This Row],[Coluna1]],Tabela9[[#This Row],[Coluna2]])</f>
        <v>20-Rota</v>
      </c>
    </row>
    <row r="1118" spans="1:7" x14ac:dyDescent="0.25">
      <c r="A1118">
        <v>8968</v>
      </c>
      <c r="B1118">
        <v>108</v>
      </c>
      <c r="C1118" s="1" t="str">
        <f>IF(Tabela8[[#This Row],[SETOR]]="","",IF(Tabela8[[#This Row],[SETOR]]&lt;200,"GV 10",IF(Tabela8[[#This Row],[SETOR]]&lt;300,"GV 20",IF(Tabela8[[#This Row],[SETOR]]&lt;400,"GV 30","S/GV"))))</f>
        <v>GV 10</v>
      </c>
      <c r="E1118" t="s">
        <v>131</v>
      </c>
      <c r="F1118" t="s">
        <v>132</v>
      </c>
      <c r="G1118" t="str">
        <f>_xlfn.CONCAT(Tabela9[[#This Row],[Coluna1]],Tabela9[[#This Row],[Coluna2]])</f>
        <v>14-Lj.Conveniência</v>
      </c>
    </row>
    <row r="1119" spans="1:7" x14ac:dyDescent="0.25">
      <c r="A1119">
        <v>8972</v>
      </c>
      <c r="B1119">
        <v>303</v>
      </c>
      <c r="C1119" s="1" t="str">
        <f>IF(Tabela8[[#This Row],[SETOR]]="","",IF(Tabela8[[#This Row],[SETOR]]&lt;200,"GV 10",IF(Tabela8[[#This Row],[SETOR]]&lt;300,"GV 20",IF(Tabela8[[#This Row],[SETOR]]&lt;400,"GV 30","S/GV"))))</f>
        <v>GV 30</v>
      </c>
      <c r="E1119" t="s">
        <v>123</v>
      </c>
      <c r="G1119" t="str">
        <f>_xlfn.CONCAT(Tabela9[[#This Row],[Coluna1]],Tabela9[[#This Row],[Coluna2]])</f>
        <v>20-Rota</v>
      </c>
    </row>
    <row r="1120" spans="1:7" x14ac:dyDescent="0.25">
      <c r="A1120">
        <v>8974</v>
      </c>
      <c r="B1120">
        <v>306</v>
      </c>
      <c r="C1120" s="1" t="str">
        <f>IF(Tabela8[[#This Row],[SETOR]]="","",IF(Tabela8[[#This Row],[SETOR]]&lt;200,"GV 10",IF(Tabela8[[#This Row],[SETOR]]&lt;300,"GV 20",IF(Tabela8[[#This Row],[SETOR]]&lt;400,"GV 30","S/GV"))))</f>
        <v>GV 30</v>
      </c>
      <c r="E1120" t="s">
        <v>128</v>
      </c>
      <c r="F1120" t="s">
        <v>129</v>
      </c>
      <c r="G1120" t="str">
        <f>_xlfn.CONCAT(Tabela9[[#This Row],[Coluna1]],Tabela9[[#This Row],[Coluna2]])</f>
        <v>15-AS(1-4)</v>
      </c>
    </row>
    <row r="1121" spans="1:7" x14ac:dyDescent="0.25">
      <c r="A1121">
        <v>8980</v>
      </c>
      <c r="B1121">
        <v>203</v>
      </c>
      <c r="C1121" s="1" t="str">
        <f>IF(Tabela8[[#This Row],[SETOR]]="","",IF(Tabela8[[#This Row],[SETOR]]&lt;200,"GV 10",IF(Tabela8[[#This Row],[SETOR]]&lt;300,"GV 20",IF(Tabela8[[#This Row],[SETOR]]&lt;400,"GV 30","S/GV"))))</f>
        <v>GV 20</v>
      </c>
      <c r="E1121" t="s">
        <v>123</v>
      </c>
      <c r="G1121" t="str">
        <f>_xlfn.CONCAT(Tabela9[[#This Row],[Coluna1]],Tabela9[[#This Row],[Coluna2]])</f>
        <v>20-Rota</v>
      </c>
    </row>
    <row r="1122" spans="1:7" x14ac:dyDescent="0.25">
      <c r="A1122">
        <v>8982</v>
      </c>
      <c r="B1122">
        <v>103</v>
      </c>
      <c r="C1122" s="1" t="str">
        <f>IF(Tabela8[[#This Row],[SETOR]]="","",IF(Tabela8[[#This Row],[SETOR]]&lt;200,"GV 10",IF(Tabela8[[#This Row],[SETOR]]&lt;300,"GV 20",IF(Tabela8[[#This Row],[SETOR]]&lt;400,"GV 30","S/GV"))))</f>
        <v>GV 10</v>
      </c>
      <c r="E1122" t="s">
        <v>123</v>
      </c>
      <c r="G1122" t="str">
        <f>_xlfn.CONCAT(Tabela9[[#This Row],[Coluna1]],Tabela9[[#This Row],[Coluna2]])</f>
        <v>20-Rota</v>
      </c>
    </row>
    <row r="1123" spans="1:7" x14ac:dyDescent="0.25">
      <c r="A1123">
        <v>8993</v>
      </c>
      <c r="B1123">
        <v>301</v>
      </c>
      <c r="C1123" s="1" t="str">
        <f>IF(Tabela8[[#This Row],[SETOR]]="","",IF(Tabela8[[#This Row],[SETOR]]&lt;200,"GV 10",IF(Tabela8[[#This Row],[SETOR]]&lt;300,"GV 20",IF(Tabela8[[#This Row],[SETOR]]&lt;400,"GV 30","S/GV"))))</f>
        <v>GV 30</v>
      </c>
      <c r="E1123" t="s">
        <v>125</v>
      </c>
      <c r="G1123" t="str">
        <f>_xlfn.CONCAT(Tabela9[[#This Row],[Coluna1]],Tabela9[[#This Row],[Coluna2]])</f>
        <v>18-TRAD</v>
      </c>
    </row>
    <row r="1124" spans="1:7" x14ac:dyDescent="0.25">
      <c r="A1124">
        <v>9003</v>
      </c>
      <c r="B1124">
        <v>203</v>
      </c>
      <c r="C1124" s="1" t="str">
        <f>IF(Tabela8[[#This Row],[SETOR]]="","",IF(Tabela8[[#This Row],[SETOR]]&lt;200,"GV 10",IF(Tabela8[[#This Row],[SETOR]]&lt;300,"GV 20",IF(Tabela8[[#This Row],[SETOR]]&lt;400,"GV 30","S/GV"))))</f>
        <v>GV 20</v>
      </c>
      <c r="E1124" t="s">
        <v>123</v>
      </c>
      <c r="G1124" t="str">
        <f>_xlfn.CONCAT(Tabela9[[#This Row],[Coluna1]],Tabela9[[#This Row],[Coluna2]])</f>
        <v>20-Rota</v>
      </c>
    </row>
    <row r="1125" spans="1:7" x14ac:dyDescent="0.25">
      <c r="A1125">
        <v>9014</v>
      </c>
      <c r="B1125">
        <v>305</v>
      </c>
      <c r="C1125" s="1" t="str">
        <f>IF(Tabela8[[#This Row],[SETOR]]="","",IF(Tabela8[[#This Row],[SETOR]]&lt;200,"GV 10",IF(Tabela8[[#This Row],[SETOR]]&lt;300,"GV 20",IF(Tabela8[[#This Row],[SETOR]]&lt;400,"GV 30","S/GV"))))</f>
        <v>GV 30</v>
      </c>
      <c r="E1125" t="s">
        <v>123</v>
      </c>
      <c r="G1125" t="str">
        <f>_xlfn.CONCAT(Tabela9[[#This Row],[Coluna1]],Tabela9[[#This Row],[Coluna2]])</f>
        <v>20-Rota</v>
      </c>
    </row>
    <row r="1126" spans="1:7" x14ac:dyDescent="0.25">
      <c r="A1126">
        <v>9017</v>
      </c>
      <c r="B1126">
        <v>304</v>
      </c>
      <c r="C1126" s="1" t="str">
        <f>IF(Tabela8[[#This Row],[SETOR]]="","",IF(Tabela8[[#This Row],[SETOR]]&lt;200,"GV 10",IF(Tabela8[[#This Row],[SETOR]]&lt;300,"GV 20",IF(Tabela8[[#This Row],[SETOR]]&lt;400,"GV 30","S/GV"))))</f>
        <v>GV 30</v>
      </c>
      <c r="E1126" t="s">
        <v>123</v>
      </c>
      <c r="G1126" t="str">
        <f>_xlfn.CONCAT(Tabela9[[#This Row],[Coluna1]],Tabela9[[#This Row],[Coluna2]])</f>
        <v>20-Rota</v>
      </c>
    </row>
    <row r="1127" spans="1:7" x14ac:dyDescent="0.25">
      <c r="A1127">
        <v>9025</v>
      </c>
      <c r="B1127">
        <v>304</v>
      </c>
      <c r="C1127" s="1" t="str">
        <f>IF(Tabela8[[#This Row],[SETOR]]="","",IF(Tabela8[[#This Row],[SETOR]]&lt;200,"GV 10",IF(Tabela8[[#This Row],[SETOR]]&lt;300,"GV 20",IF(Tabela8[[#This Row],[SETOR]]&lt;400,"GV 30","S/GV"))))</f>
        <v>GV 30</v>
      </c>
      <c r="E1127" t="s">
        <v>123</v>
      </c>
      <c r="G1127" t="str">
        <f>_xlfn.CONCAT(Tabela9[[#This Row],[Coluna1]],Tabela9[[#This Row],[Coluna2]])</f>
        <v>20-Rota</v>
      </c>
    </row>
    <row r="1128" spans="1:7" x14ac:dyDescent="0.25">
      <c r="A1128">
        <v>9040</v>
      </c>
      <c r="B1128">
        <v>301</v>
      </c>
      <c r="C1128" s="1" t="str">
        <f>IF(Tabela8[[#This Row],[SETOR]]="","",IF(Tabela8[[#This Row],[SETOR]]&lt;200,"GV 10",IF(Tabela8[[#This Row],[SETOR]]&lt;300,"GV 20",IF(Tabela8[[#This Row],[SETOR]]&lt;400,"GV 30","S/GV"))))</f>
        <v>GV 30</v>
      </c>
      <c r="E1128" t="s">
        <v>123</v>
      </c>
      <c r="G1128" t="str">
        <f>_xlfn.CONCAT(Tabela9[[#This Row],[Coluna1]],Tabela9[[#This Row],[Coluna2]])</f>
        <v>20-Rota</v>
      </c>
    </row>
    <row r="1129" spans="1:7" x14ac:dyDescent="0.25">
      <c r="A1129">
        <v>9041</v>
      </c>
      <c r="B1129">
        <v>306</v>
      </c>
      <c r="C1129" s="1" t="str">
        <f>IF(Tabela8[[#This Row],[SETOR]]="","",IF(Tabela8[[#This Row],[SETOR]]&lt;200,"GV 10",IF(Tabela8[[#This Row],[SETOR]]&lt;300,"GV 20",IF(Tabela8[[#This Row],[SETOR]]&lt;400,"GV 30","S/GV"))))</f>
        <v>GV 30</v>
      </c>
      <c r="E1129" t="s">
        <v>128</v>
      </c>
      <c r="F1129" t="s">
        <v>129</v>
      </c>
      <c r="G1129" t="str">
        <f>_xlfn.CONCAT(Tabela9[[#This Row],[Coluna1]],Tabela9[[#This Row],[Coluna2]])</f>
        <v>15-AS(1-4)</v>
      </c>
    </row>
    <row r="1130" spans="1:7" x14ac:dyDescent="0.25">
      <c r="A1130">
        <v>9042</v>
      </c>
      <c r="B1130">
        <v>913</v>
      </c>
      <c r="C1130" s="1" t="str">
        <f>IF(Tabela8[[#This Row],[SETOR]]="","",IF(Tabela8[[#This Row],[SETOR]]&lt;200,"GV 10",IF(Tabela8[[#This Row],[SETOR]]&lt;300,"GV 20",IF(Tabela8[[#This Row],[SETOR]]&lt;400,"GV 30","S/GV"))))</f>
        <v>S/GV</v>
      </c>
      <c r="E1130" t="s">
        <v>123</v>
      </c>
      <c r="G1130" t="str">
        <f>_xlfn.CONCAT(Tabela9[[#This Row],[Coluna1]],Tabela9[[#This Row],[Coluna2]])</f>
        <v>20-Rota</v>
      </c>
    </row>
    <row r="1131" spans="1:7" x14ac:dyDescent="0.25">
      <c r="A1131">
        <v>9046</v>
      </c>
      <c r="B1131">
        <v>306</v>
      </c>
      <c r="C1131" s="1" t="str">
        <f>IF(Tabela8[[#This Row],[SETOR]]="","",IF(Tabela8[[#This Row],[SETOR]]&lt;200,"GV 10",IF(Tabela8[[#This Row],[SETOR]]&lt;300,"GV 20",IF(Tabela8[[#This Row],[SETOR]]&lt;400,"GV 30","S/GV"))))</f>
        <v>GV 30</v>
      </c>
      <c r="E1131" t="s">
        <v>125</v>
      </c>
      <c r="G1131" t="str">
        <f>_xlfn.CONCAT(Tabela9[[#This Row],[Coluna1]],Tabela9[[#This Row],[Coluna2]])</f>
        <v>18-TRAD</v>
      </c>
    </row>
    <row r="1132" spans="1:7" x14ac:dyDescent="0.25">
      <c r="A1132">
        <v>9052</v>
      </c>
      <c r="B1132">
        <v>306</v>
      </c>
      <c r="C1132" s="1" t="str">
        <f>IF(Tabela8[[#This Row],[SETOR]]="","",IF(Tabela8[[#This Row],[SETOR]]&lt;200,"GV 10",IF(Tabela8[[#This Row],[SETOR]]&lt;300,"GV 20",IF(Tabela8[[#This Row],[SETOR]]&lt;400,"GV 30","S/GV"))))</f>
        <v>GV 30</v>
      </c>
      <c r="E1132" t="s">
        <v>128</v>
      </c>
      <c r="F1132" t="s">
        <v>129</v>
      </c>
      <c r="G1132" t="str">
        <f>_xlfn.CONCAT(Tabela9[[#This Row],[Coluna1]],Tabela9[[#This Row],[Coluna2]])</f>
        <v>15-AS(1-4)</v>
      </c>
    </row>
    <row r="1133" spans="1:7" x14ac:dyDescent="0.25">
      <c r="A1133">
        <v>9076</v>
      </c>
      <c r="B1133">
        <v>106</v>
      </c>
      <c r="C1133" s="1" t="str">
        <f>IF(Tabela8[[#This Row],[SETOR]]="","",IF(Tabela8[[#This Row],[SETOR]]&lt;200,"GV 10",IF(Tabela8[[#This Row],[SETOR]]&lt;300,"GV 20",IF(Tabela8[[#This Row],[SETOR]]&lt;400,"GV 30","S/GV"))))</f>
        <v>GV 10</v>
      </c>
      <c r="E1133" t="s">
        <v>123</v>
      </c>
      <c r="G1133" t="str">
        <f>_xlfn.CONCAT(Tabela9[[#This Row],[Coluna1]],Tabela9[[#This Row],[Coluna2]])</f>
        <v>20-Rota</v>
      </c>
    </row>
    <row r="1134" spans="1:7" x14ac:dyDescent="0.25">
      <c r="A1134">
        <v>9077</v>
      </c>
      <c r="B1134">
        <v>305</v>
      </c>
      <c r="C1134" s="1" t="str">
        <f>IF(Tabela8[[#This Row],[SETOR]]="","",IF(Tabela8[[#This Row],[SETOR]]&lt;200,"GV 10",IF(Tabela8[[#This Row],[SETOR]]&lt;300,"GV 20",IF(Tabela8[[#This Row],[SETOR]]&lt;400,"GV 30","S/GV"))))</f>
        <v>GV 30</v>
      </c>
      <c r="E1134" t="s">
        <v>123</v>
      </c>
      <c r="G1134" t="str">
        <f>_xlfn.CONCAT(Tabela9[[#This Row],[Coluna1]],Tabela9[[#This Row],[Coluna2]])</f>
        <v>20-Rota</v>
      </c>
    </row>
    <row r="1135" spans="1:7" x14ac:dyDescent="0.25">
      <c r="A1135">
        <v>9078</v>
      </c>
      <c r="B1135">
        <v>203</v>
      </c>
      <c r="C1135" s="1" t="str">
        <f>IF(Tabela8[[#This Row],[SETOR]]="","",IF(Tabela8[[#This Row],[SETOR]]&lt;200,"GV 10",IF(Tabela8[[#This Row],[SETOR]]&lt;300,"GV 20",IF(Tabela8[[#This Row],[SETOR]]&lt;400,"GV 30","S/GV"))))</f>
        <v>GV 20</v>
      </c>
      <c r="E1135" t="s">
        <v>123</v>
      </c>
      <c r="G1135" t="str">
        <f>_xlfn.CONCAT(Tabela9[[#This Row],[Coluna1]],Tabela9[[#This Row],[Coluna2]])</f>
        <v>20-Rota</v>
      </c>
    </row>
    <row r="1136" spans="1:7" x14ac:dyDescent="0.25">
      <c r="A1136">
        <v>9079</v>
      </c>
      <c r="B1136">
        <v>907</v>
      </c>
      <c r="C1136" s="1" t="str">
        <f>IF(Tabela8[[#This Row],[SETOR]]="","",IF(Tabela8[[#This Row],[SETOR]]&lt;200,"GV 10",IF(Tabela8[[#This Row],[SETOR]]&lt;300,"GV 20",IF(Tabela8[[#This Row],[SETOR]]&lt;400,"GV 30","S/GV"))))</f>
        <v>S/GV</v>
      </c>
      <c r="G1136" t="str">
        <f>_xlfn.CONCAT(Tabela9[[#This Row],[Coluna1]],Tabela9[[#This Row],[Coluna2]])</f>
        <v/>
      </c>
    </row>
    <row r="1137" spans="1:7" x14ac:dyDescent="0.25">
      <c r="A1137">
        <v>9081</v>
      </c>
      <c r="B1137">
        <v>201</v>
      </c>
      <c r="C1137" s="1" t="str">
        <f>IF(Tabela8[[#This Row],[SETOR]]="","",IF(Tabela8[[#This Row],[SETOR]]&lt;200,"GV 10",IF(Tabela8[[#This Row],[SETOR]]&lt;300,"GV 20",IF(Tabela8[[#This Row],[SETOR]]&lt;400,"GV 30","S/GV"))))</f>
        <v>GV 20</v>
      </c>
      <c r="E1137" t="s">
        <v>123</v>
      </c>
      <c r="G1137" t="str">
        <f>_xlfn.CONCAT(Tabela9[[#This Row],[Coluna1]],Tabela9[[#This Row],[Coluna2]])</f>
        <v>20-Rota</v>
      </c>
    </row>
    <row r="1138" spans="1:7" x14ac:dyDescent="0.25">
      <c r="A1138">
        <v>9090</v>
      </c>
      <c r="B1138">
        <v>109</v>
      </c>
      <c r="C1138" s="1" t="str">
        <f>IF(Tabela8[[#This Row],[SETOR]]="","",IF(Tabela8[[#This Row],[SETOR]]&lt;200,"GV 10",IF(Tabela8[[#This Row],[SETOR]]&lt;300,"GV 20",IF(Tabela8[[#This Row],[SETOR]]&lt;400,"GV 30","S/GV"))))</f>
        <v>GV 10</v>
      </c>
      <c r="E1138" t="s">
        <v>123</v>
      </c>
      <c r="G1138" t="str">
        <f>_xlfn.CONCAT(Tabela9[[#This Row],[Coluna1]],Tabela9[[#This Row],[Coluna2]])</f>
        <v>20-Rota</v>
      </c>
    </row>
    <row r="1139" spans="1:7" x14ac:dyDescent="0.25">
      <c r="A1139">
        <v>9092</v>
      </c>
      <c r="B1139">
        <v>204</v>
      </c>
      <c r="C1139" s="1" t="str">
        <f>IF(Tabela8[[#This Row],[SETOR]]="","",IF(Tabela8[[#This Row],[SETOR]]&lt;200,"GV 10",IF(Tabela8[[#This Row],[SETOR]]&lt;300,"GV 20",IF(Tabela8[[#This Row],[SETOR]]&lt;400,"GV 30","S/GV"))))</f>
        <v>GV 20</v>
      </c>
      <c r="E1139" t="s">
        <v>124</v>
      </c>
      <c r="G1139" t="str">
        <f>_xlfn.CONCAT(Tabela9[[#This Row],[Coluna1]],Tabela9[[#This Row],[Coluna2]])</f>
        <v>19-VIP</v>
      </c>
    </row>
    <row r="1140" spans="1:7" x14ac:dyDescent="0.25">
      <c r="A1140">
        <v>9100</v>
      </c>
      <c r="B1140">
        <v>106</v>
      </c>
      <c r="C1140" s="1" t="str">
        <f>IF(Tabela8[[#This Row],[SETOR]]="","",IF(Tabela8[[#This Row],[SETOR]]&lt;200,"GV 10",IF(Tabela8[[#This Row],[SETOR]]&lt;300,"GV 20",IF(Tabela8[[#This Row],[SETOR]]&lt;400,"GV 30","S/GV"))))</f>
        <v>GV 10</v>
      </c>
      <c r="E1140" t="s">
        <v>123</v>
      </c>
      <c r="G1140" t="str">
        <f>_xlfn.CONCAT(Tabela9[[#This Row],[Coluna1]],Tabela9[[#This Row],[Coluna2]])</f>
        <v>20-Rota</v>
      </c>
    </row>
    <row r="1141" spans="1:7" x14ac:dyDescent="0.25">
      <c r="A1141">
        <v>9113</v>
      </c>
      <c r="B1141">
        <v>304</v>
      </c>
      <c r="C1141" s="1" t="str">
        <f>IF(Tabela8[[#This Row],[SETOR]]="","",IF(Tabela8[[#This Row],[SETOR]]&lt;200,"GV 10",IF(Tabela8[[#This Row],[SETOR]]&lt;300,"GV 20",IF(Tabela8[[#This Row],[SETOR]]&lt;400,"GV 30","S/GV"))))</f>
        <v>GV 30</v>
      </c>
      <c r="E1141" t="s">
        <v>123</v>
      </c>
      <c r="G1141" t="str">
        <f>_xlfn.CONCAT(Tabela9[[#This Row],[Coluna1]],Tabela9[[#This Row],[Coluna2]])</f>
        <v>20-Rota</v>
      </c>
    </row>
    <row r="1142" spans="1:7" x14ac:dyDescent="0.25">
      <c r="A1142">
        <v>9117</v>
      </c>
      <c r="B1142">
        <v>103</v>
      </c>
      <c r="C1142" s="1" t="str">
        <f>IF(Tabela8[[#This Row],[SETOR]]="","",IF(Tabela8[[#This Row],[SETOR]]&lt;200,"GV 10",IF(Tabela8[[#This Row],[SETOR]]&lt;300,"GV 20",IF(Tabela8[[#This Row],[SETOR]]&lt;400,"GV 30","S/GV"))))</f>
        <v>GV 10</v>
      </c>
      <c r="E1142" t="s">
        <v>123</v>
      </c>
      <c r="G1142" t="str">
        <f>_xlfn.CONCAT(Tabela9[[#This Row],[Coluna1]],Tabela9[[#This Row],[Coluna2]])</f>
        <v>20-Rota</v>
      </c>
    </row>
    <row r="1143" spans="1:7" x14ac:dyDescent="0.25">
      <c r="A1143">
        <v>9119</v>
      </c>
      <c r="B1143">
        <v>306</v>
      </c>
      <c r="C1143" s="1" t="str">
        <f>IF(Tabela8[[#This Row],[SETOR]]="","",IF(Tabela8[[#This Row],[SETOR]]&lt;200,"GV 10",IF(Tabela8[[#This Row],[SETOR]]&lt;300,"GV 20",IF(Tabela8[[#This Row],[SETOR]]&lt;400,"GV 30","S/GV"))))</f>
        <v>GV 30</v>
      </c>
      <c r="E1143" t="s">
        <v>126</v>
      </c>
      <c r="F1143" t="s">
        <v>127</v>
      </c>
      <c r="G1143" t="str">
        <f>_xlfn.CONCAT(Tabela9[[#This Row],[Coluna1]],Tabela9[[#This Row],[Coluna2]])</f>
        <v>16-AS(5+)</v>
      </c>
    </row>
    <row r="1144" spans="1:7" x14ac:dyDescent="0.25">
      <c r="A1144">
        <v>9122</v>
      </c>
      <c r="B1144">
        <v>301</v>
      </c>
      <c r="C1144" s="1" t="str">
        <f>IF(Tabela8[[#This Row],[SETOR]]="","",IF(Tabela8[[#This Row],[SETOR]]&lt;200,"GV 10",IF(Tabela8[[#This Row],[SETOR]]&lt;300,"GV 20",IF(Tabela8[[#This Row],[SETOR]]&lt;400,"GV 30","S/GV"))))</f>
        <v>GV 30</v>
      </c>
      <c r="E1144" t="s">
        <v>123</v>
      </c>
      <c r="G1144" t="str">
        <f>_xlfn.CONCAT(Tabela9[[#This Row],[Coluna1]],Tabela9[[#This Row],[Coluna2]])</f>
        <v>20-Rota</v>
      </c>
    </row>
    <row r="1145" spans="1:7" x14ac:dyDescent="0.25">
      <c r="A1145">
        <v>9125</v>
      </c>
      <c r="B1145">
        <v>109</v>
      </c>
      <c r="C1145" s="1" t="str">
        <f>IF(Tabela8[[#This Row],[SETOR]]="","",IF(Tabela8[[#This Row],[SETOR]]&lt;200,"GV 10",IF(Tabela8[[#This Row],[SETOR]]&lt;300,"GV 20",IF(Tabela8[[#This Row],[SETOR]]&lt;400,"GV 30","S/GV"))))</f>
        <v>GV 10</v>
      </c>
      <c r="E1145" t="s">
        <v>123</v>
      </c>
      <c r="G1145" t="str">
        <f>_xlfn.CONCAT(Tabela9[[#This Row],[Coluna1]],Tabela9[[#This Row],[Coluna2]])</f>
        <v>20-Rota</v>
      </c>
    </row>
    <row r="1146" spans="1:7" x14ac:dyDescent="0.25">
      <c r="A1146">
        <v>9127</v>
      </c>
      <c r="B1146">
        <v>306</v>
      </c>
      <c r="C1146" s="1" t="str">
        <f>IF(Tabela8[[#This Row],[SETOR]]="","",IF(Tabela8[[#This Row],[SETOR]]&lt;200,"GV 10",IF(Tabela8[[#This Row],[SETOR]]&lt;300,"GV 20",IF(Tabela8[[#This Row],[SETOR]]&lt;400,"GV 30","S/GV"))))</f>
        <v>GV 30</v>
      </c>
      <c r="E1146" t="s">
        <v>128</v>
      </c>
      <c r="F1146" t="s">
        <v>129</v>
      </c>
      <c r="G1146" t="str">
        <f>_xlfn.CONCAT(Tabela9[[#This Row],[Coluna1]],Tabela9[[#This Row],[Coluna2]])</f>
        <v>15-AS(1-4)</v>
      </c>
    </row>
    <row r="1147" spans="1:7" x14ac:dyDescent="0.25">
      <c r="A1147">
        <v>9140</v>
      </c>
      <c r="B1147">
        <v>304</v>
      </c>
      <c r="C1147" s="1" t="str">
        <f>IF(Tabela8[[#This Row],[SETOR]]="","",IF(Tabela8[[#This Row],[SETOR]]&lt;200,"GV 10",IF(Tabela8[[#This Row],[SETOR]]&lt;300,"GV 20",IF(Tabela8[[#This Row],[SETOR]]&lt;400,"GV 30","S/GV"))))</f>
        <v>GV 30</v>
      </c>
      <c r="E1147" t="s">
        <v>123</v>
      </c>
      <c r="G1147" t="str">
        <f>_xlfn.CONCAT(Tabela9[[#This Row],[Coluna1]],Tabela9[[#This Row],[Coluna2]])</f>
        <v>20-Rota</v>
      </c>
    </row>
    <row r="1148" spans="1:7" x14ac:dyDescent="0.25">
      <c r="A1148">
        <v>9143</v>
      </c>
      <c r="B1148">
        <v>103</v>
      </c>
      <c r="C1148" s="1" t="str">
        <f>IF(Tabela8[[#This Row],[SETOR]]="","",IF(Tabela8[[#This Row],[SETOR]]&lt;200,"GV 10",IF(Tabela8[[#This Row],[SETOR]]&lt;300,"GV 20",IF(Tabela8[[#This Row],[SETOR]]&lt;400,"GV 30","S/GV"))))</f>
        <v>GV 10</v>
      </c>
      <c r="E1148" t="s">
        <v>123</v>
      </c>
      <c r="G1148" t="str">
        <f>_xlfn.CONCAT(Tabela9[[#This Row],[Coluna1]],Tabela9[[#This Row],[Coluna2]])</f>
        <v>20-Rota</v>
      </c>
    </row>
    <row r="1149" spans="1:7" x14ac:dyDescent="0.25">
      <c r="A1149">
        <v>9150</v>
      </c>
      <c r="B1149">
        <v>304</v>
      </c>
      <c r="C1149" s="1" t="str">
        <f>IF(Tabela8[[#This Row],[SETOR]]="","",IF(Tabela8[[#This Row],[SETOR]]&lt;200,"GV 10",IF(Tabela8[[#This Row],[SETOR]]&lt;300,"GV 20",IF(Tabela8[[#This Row],[SETOR]]&lt;400,"GV 30","S/GV"))))</f>
        <v>GV 30</v>
      </c>
      <c r="E1149" t="s">
        <v>128</v>
      </c>
      <c r="F1149" t="s">
        <v>129</v>
      </c>
      <c r="G1149" t="str">
        <f>_xlfn.CONCAT(Tabela9[[#This Row],[Coluna1]],Tabela9[[#This Row],[Coluna2]])</f>
        <v>15-AS(1-4)</v>
      </c>
    </row>
    <row r="1150" spans="1:7" x14ac:dyDescent="0.25">
      <c r="A1150">
        <v>9155</v>
      </c>
      <c r="B1150">
        <v>912</v>
      </c>
      <c r="C1150" s="1" t="str">
        <f>IF(Tabela8[[#This Row],[SETOR]]="","",IF(Tabela8[[#This Row],[SETOR]]&lt;200,"GV 10",IF(Tabela8[[#This Row],[SETOR]]&lt;300,"GV 20",IF(Tabela8[[#This Row],[SETOR]]&lt;400,"GV 30","S/GV"))))</f>
        <v>S/GV</v>
      </c>
      <c r="E1150" t="s">
        <v>125</v>
      </c>
      <c r="G1150" t="str">
        <f>_xlfn.CONCAT(Tabela9[[#This Row],[Coluna1]],Tabela9[[#This Row],[Coluna2]])</f>
        <v>18-TRAD</v>
      </c>
    </row>
    <row r="1151" spans="1:7" x14ac:dyDescent="0.25">
      <c r="A1151">
        <v>9157</v>
      </c>
      <c r="B1151">
        <v>304</v>
      </c>
      <c r="C1151" s="1" t="str">
        <f>IF(Tabela8[[#This Row],[SETOR]]="","",IF(Tabela8[[#This Row],[SETOR]]&lt;200,"GV 10",IF(Tabela8[[#This Row],[SETOR]]&lt;300,"GV 20",IF(Tabela8[[#This Row],[SETOR]]&lt;400,"GV 30","S/GV"))))</f>
        <v>GV 30</v>
      </c>
      <c r="E1151" t="s">
        <v>125</v>
      </c>
      <c r="G1151" t="str">
        <f>_xlfn.CONCAT(Tabela9[[#This Row],[Coluna1]],Tabela9[[#This Row],[Coluna2]])</f>
        <v>18-TRAD</v>
      </c>
    </row>
    <row r="1152" spans="1:7" x14ac:dyDescent="0.25">
      <c r="A1152">
        <v>9160</v>
      </c>
      <c r="B1152">
        <v>304</v>
      </c>
      <c r="C1152" s="1" t="str">
        <f>IF(Tabela8[[#This Row],[SETOR]]="","",IF(Tabela8[[#This Row],[SETOR]]&lt;200,"GV 10",IF(Tabela8[[#This Row],[SETOR]]&lt;300,"GV 20",IF(Tabela8[[#This Row],[SETOR]]&lt;400,"GV 30","S/GV"))))</f>
        <v>GV 30</v>
      </c>
      <c r="E1152" t="s">
        <v>128</v>
      </c>
      <c r="F1152" t="s">
        <v>129</v>
      </c>
      <c r="G1152" t="str">
        <f>_xlfn.CONCAT(Tabela9[[#This Row],[Coluna1]],Tabela9[[#This Row],[Coluna2]])</f>
        <v>15-AS(1-4)</v>
      </c>
    </row>
    <row r="1153" spans="1:7" x14ac:dyDescent="0.25">
      <c r="A1153">
        <v>9161</v>
      </c>
      <c r="B1153">
        <v>304</v>
      </c>
      <c r="C1153" s="1" t="str">
        <f>IF(Tabela8[[#This Row],[SETOR]]="","",IF(Tabela8[[#This Row],[SETOR]]&lt;200,"GV 10",IF(Tabela8[[#This Row],[SETOR]]&lt;300,"GV 20",IF(Tabela8[[#This Row],[SETOR]]&lt;400,"GV 30","S/GV"))))</f>
        <v>GV 30</v>
      </c>
      <c r="E1153" t="s">
        <v>123</v>
      </c>
      <c r="G1153" t="str">
        <f>_xlfn.CONCAT(Tabela9[[#This Row],[Coluna1]],Tabela9[[#This Row],[Coluna2]])</f>
        <v>20-Rota</v>
      </c>
    </row>
    <row r="1154" spans="1:7" x14ac:dyDescent="0.25">
      <c r="A1154">
        <v>9177</v>
      </c>
      <c r="B1154">
        <v>301</v>
      </c>
      <c r="C1154" s="1" t="str">
        <f>IF(Tabela8[[#This Row],[SETOR]]="","",IF(Tabela8[[#This Row],[SETOR]]&lt;200,"GV 10",IF(Tabela8[[#This Row],[SETOR]]&lt;300,"GV 20",IF(Tabela8[[#This Row],[SETOR]]&lt;400,"GV 30","S/GV"))))</f>
        <v>GV 30</v>
      </c>
      <c r="E1154" t="s">
        <v>123</v>
      </c>
      <c r="G1154" t="str">
        <f>_xlfn.CONCAT(Tabela9[[#This Row],[Coluna1]],Tabela9[[#This Row],[Coluna2]])</f>
        <v>20-Rota</v>
      </c>
    </row>
    <row r="1155" spans="1:7" x14ac:dyDescent="0.25">
      <c r="A1155">
        <v>9185</v>
      </c>
      <c r="B1155">
        <v>916</v>
      </c>
      <c r="C1155" s="1" t="str">
        <f>IF(Tabela8[[#This Row],[SETOR]]="","",IF(Tabela8[[#This Row],[SETOR]]&lt;200,"GV 10",IF(Tabela8[[#This Row],[SETOR]]&lt;300,"GV 20",IF(Tabela8[[#This Row],[SETOR]]&lt;400,"GV 30","S/GV"))))</f>
        <v>S/GV</v>
      </c>
      <c r="G1155" t="str">
        <f>_xlfn.CONCAT(Tabela9[[#This Row],[Coluna1]],Tabela9[[#This Row],[Coluna2]])</f>
        <v/>
      </c>
    </row>
    <row r="1156" spans="1:7" x14ac:dyDescent="0.25">
      <c r="A1156">
        <v>9192</v>
      </c>
      <c r="B1156">
        <v>301</v>
      </c>
      <c r="C1156" s="1" t="str">
        <f>IF(Tabela8[[#This Row],[SETOR]]="","",IF(Tabela8[[#This Row],[SETOR]]&lt;200,"GV 10",IF(Tabela8[[#This Row],[SETOR]]&lt;300,"GV 20",IF(Tabela8[[#This Row],[SETOR]]&lt;400,"GV 30","S/GV"))))</f>
        <v>GV 30</v>
      </c>
      <c r="E1156" t="s">
        <v>123</v>
      </c>
      <c r="G1156" t="str">
        <f>_xlfn.CONCAT(Tabela9[[#This Row],[Coluna1]],Tabela9[[#This Row],[Coluna2]])</f>
        <v>20-Rota</v>
      </c>
    </row>
    <row r="1157" spans="1:7" x14ac:dyDescent="0.25">
      <c r="A1157">
        <v>9195</v>
      </c>
      <c r="B1157">
        <v>301</v>
      </c>
      <c r="C1157" s="1" t="str">
        <f>IF(Tabela8[[#This Row],[SETOR]]="","",IF(Tabela8[[#This Row],[SETOR]]&lt;200,"GV 10",IF(Tabela8[[#This Row],[SETOR]]&lt;300,"GV 20",IF(Tabela8[[#This Row],[SETOR]]&lt;400,"GV 30","S/GV"))))</f>
        <v>GV 30</v>
      </c>
      <c r="E1157" t="s">
        <v>123</v>
      </c>
      <c r="G1157" t="str">
        <f>_xlfn.CONCAT(Tabela9[[#This Row],[Coluna1]],Tabela9[[#This Row],[Coluna2]])</f>
        <v>20-Rota</v>
      </c>
    </row>
    <row r="1158" spans="1:7" x14ac:dyDescent="0.25">
      <c r="A1158">
        <v>9200</v>
      </c>
      <c r="B1158">
        <v>912</v>
      </c>
      <c r="C1158" s="1" t="str">
        <f>IF(Tabela8[[#This Row],[SETOR]]="","",IF(Tabela8[[#This Row],[SETOR]]&lt;200,"GV 10",IF(Tabela8[[#This Row],[SETOR]]&lt;300,"GV 20",IF(Tabela8[[#This Row],[SETOR]]&lt;400,"GV 30","S/GV"))))</f>
        <v>S/GV</v>
      </c>
      <c r="E1158" t="s">
        <v>123</v>
      </c>
      <c r="G1158" t="str">
        <f>_xlfn.CONCAT(Tabela9[[#This Row],[Coluna1]],Tabela9[[#This Row],[Coluna2]])</f>
        <v>20-Rota</v>
      </c>
    </row>
    <row r="1159" spans="1:7" x14ac:dyDescent="0.25">
      <c r="A1159">
        <v>9204</v>
      </c>
      <c r="B1159">
        <v>208</v>
      </c>
      <c r="C1159" s="1" t="str">
        <f>IF(Tabela8[[#This Row],[SETOR]]="","",IF(Tabela8[[#This Row],[SETOR]]&lt;200,"GV 10",IF(Tabela8[[#This Row],[SETOR]]&lt;300,"GV 20",IF(Tabela8[[#This Row],[SETOR]]&lt;400,"GV 30","S/GV"))))</f>
        <v>GV 20</v>
      </c>
      <c r="E1159" t="s">
        <v>126</v>
      </c>
      <c r="F1159" t="s">
        <v>127</v>
      </c>
      <c r="G1159" t="str">
        <f>_xlfn.CONCAT(Tabela9[[#This Row],[Coluna1]],Tabela9[[#This Row],[Coluna2]])</f>
        <v>16-AS(5+)</v>
      </c>
    </row>
    <row r="1160" spans="1:7" x14ac:dyDescent="0.25">
      <c r="A1160">
        <v>9208</v>
      </c>
      <c r="B1160">
        <v>301</v>
      </c>
      <c r="C1160" s="1" t="str">
        <f>IF(Tabela8[[#This Row],[SETOR]]="","",IF(Tabela8[[#This Row],[SETOR]]&lt;200,"GV 10",IF(Tabela8[[#This Row],[SETOR]]&lt;300,"GV 20",IF(Tabela8[[#This Row],[SETOR]]&lt;400,"GV 30","S/GV"))))</f>
        <v>GV 30</v>
      </c>
      <c r="E1160" t="s">
        <v>123</v>
      </c>
      <c r="G1160" t="str">
        <f>_xlfn.CONCAT(Tabela9[[#This Row],[Coluna1]],Tabela9[[#This Row],[Coluna2]])</f>
        <v>20-Rota</v>
      </c>
    </row>
    <row r="1161" spans="1:7" x14ac:dyDescent="0.25">
      <c r="A1161">
        <v>9210</v>
      </c>
      <c r="B1161">
        <v>302</v>
      </c>
      <c r="C1161" s="1" t="str">
        <f>IF(Tabela8[[#This Row],[SETOR]]="","",IF(Tabela8[[#This Row],[SETOR]]&lt;200,"GV 10",IF(Tabela8[[#This Row],[SETOR]]&lt;300,"GV 20",IF(Tabela8[[#This Row],[SETOR]]&lt;400,"GV 30","S/GV"))))</f>
        <v>GV 30</v>
      </c>
      <c r="E1161" t="s">
        <v>123</v>
      </c>
      <c r="G1161" t="str">
        <f>_xlfn.CONCAT(Tabela9[[#This Row],[Coluna1]],Tabela9[[#This Row],[Coluna2]])</f>
        <v>20-Rota</v>
      </c>
    </row>
    <row r="1162" spans="1:7" x14ac:dyDescent="0.25">
      <c r="A1162">
        <v>9211</v>
      </c>
      <c r="B1162">
        <v>206</v>
      </c>
      <c r="C1162" s="1" t="str">
        <f>IF(Tabela8[[#This Row],[SETOR]]="","",IF(Tabela8[[#This Row],[SETOR]]&lt;200,"GV 10",IF(Tabela8[[#This Row],[SETOR]]&lt;300,"GV 20",IF(Tabela8[[#This Row],[SETOR]]&lt;400,"GV 30","S/GV"))))</f>
        <v>GV 20</v>
      </c>
      <c r="E1162" t="s">
        <v>128</v>
      </c>
      <c r="F1162" t="s">
        <v>129</v>
      </c>
      <c r="G1162" t="str">
        <f>_xlfn.CONCAT(Tabela9[[#This Row],[Coluna1]],Tabela9[[#This Row],[Coluna2]])</f>
        <v>15-AS(1-4)</v>
      </c>
    </row>
    <row r="1163" spans="1:7" x14ac:dyDescent="0.25">
      <c r="A1163">
        <v>9240</v>
      </c>
      <c r="B1163">
        <v>305</v>
      </c>
      <c r="C1163" s="1" t="str">
        <f>IF(Tabela8[[#This Row],[SETOR]]="","",IF(Tabela8[[#This Row],[SETOR]]&lt;200,"GV 10",IF(Tabela8[[#This Row],[SETOR]]&lt;300,"GV 20",IF(Tabela8[[#This Row],[SETOR]]&lt;400,"GV 30","S/GV"))))</f>
        <v>GV 30</v>
      </c>
      <c r="E1163" t="s">
        <v>123</v>
      </c>
      <c r="G1163" t="str">
        <f>_xlfn.CONCAT(Tabela9[[#This Row],[Coluna1]],Tabela9[[#This Row],[Coluna2]])</f>
        <v>20-Rota</v>
      </c>
    </row>
    <row r="1164" spans="1:7" x14ac:dyDescent="0.25">
      <c r="A1164">
        <v>9250</v>
      </c>
      <c r="B1164">
        <v>201</v>
      </c>
      <c r="C1164" s="1" t="str">
        <f>IF(Tabela8[[#This Row],[SETOR]]="","",IF(Tabela8[[#This Row],[SETOR]]&lt;200,"GV 10",IF(Tabela8[[#This Row],[SETOR]]&lt;300,"GV 20",IF(Tabela8[[#This Row],[SETOR]]&lt;400,"GV 30","S/GV"))))</f>
        <v>GV 20</v>
      </c>
      <c r="E1164" t="s">
        <v>123</v>
      </c>
      <c r="G1164" t="str">
        <f>_xlfn.CONCAT(Tabela9[[#This Row],[Coluna1]],Tabela9[[#This Row],[Coluna2]])</f>
        <v>20-Rota</v>
      </c>
    </row>
    <row r="1165" spans="1:7" x14ac:dyDescent="0.25">
      <c r="A1165">
        <v>9251</v>
      </c>
      <c r="B1165">
        <v>304</v>
      </c>
      <c r="C1165" s="1" t="str">
        <f>IF(Tabela8[[#This Row],[SETOR]]="","",IF(Tabela8[[#This Row],[SETOR]]&lt;200,"GV 10",IF(Tabela8[[#This Row],[SETOR]]&lt;300,"GV 20",IF(Tabela8[[#This Row],[SETOR]]&lt;400,"GV 30","S/GV"))))</f>
        <v>GV 30</v>
      </c>
      <c r="E1165" t="s">
        <v>123</v>
      </c>
      <c r="G1165" t="str">
        <f>_xlfn.CONCAT(Tabela9[[#This Row],[Coluna1]],Tabela9[[#This Row],[Coluna2]])</f>
        <v>20-Rota</v>
      </c>
    </row>
    <row r="1166" spans="1:7" x14ac:dyDescent="0.25">
      <c r="A1166">
        <v>9260</v>
      </c>
      <c r="B1166">
        <v>305</v>
      </c>
      <c r="C1166" s="1" t="str">
        <f>IF(Tabela8[[#This Row],[SETOR]]="","",IF(Tabela8[[#This Row],[SETOR]]&lt;200,"GV 10",IF(Tabela8[[#This Row],[SETOR]]&lt;300,"GV 20",IF(Tabela8[[#This Row],[SETOR]]&lt;400,"GV 30","S/GV"))))</f>
        <v>GV 30</v>
      </c>
      <c r="E1166" t="s">
        <v>123</v>
      </c>
      <c r="G1166" t="str">
        <f>_xlfn.CONCAT(Tabela9[[#This Row],[Coluna1]],Tabela9[[#This Row],[Coluna2]])</f>
        <v>20-Rota</v>
      </c>
    </row>
    <row r="1167" spans="1:7" x14ac:dyDescent="0.25">
      <c r="A1167">
        <v>9272</v>
      </c>
      <c r="B1167">
        <v>207</v>
      </c>
      <c r="C1167" s="1" t="str">
        <f>IF(Tabela8[[#This Row],[SETOR]]="","",IF(Tabela8[[#This Row],[SETOR]]&lt;200,"GV 10",IF(Tabela8[[#This Row],[SETOR]]&lt;300,"GV 20",IF(Tabela8[[#This Row],[SETOR]]&lt;400,"GV 30","S/GV"))))</f>
        <v>GV 20</v>
      </c>
      <c r="E1167" t="s">
        <v>123</v>
      </c>
      <c r="G1167" t="str">
        <f>_xlfn.CONCAT(Tabela9[[#This Row],[Coluna1]],Tabela9[[#This Row],[Coluna2]])</f>
        <v>20-Rota</v>
      </c>
    </row>
    <row r="1168" spans="1:7" x14ac:dyDescent="0.25">
      <c r="A1168">
        <v>9277</v>
      </c>
      <c r="B1168">
        <v>308</v>
      </c>
      <c r="C1168" s="1" t="str">
        <f>IF(Tabela8[[#This Row],[SETOR]]="","",IF(Tabela8[[#This Row],[SETOR]]&lt;200,"GV 10",IF(Tabela8[[#This Row],[SETOR]]&lt;300,"GV 20",IF(Tabela8[[#This Row],[SETOR]]&lt;400,"GV 30","S/GV"))))</f>
        <v>GV 30</v>
      </c>
      <c r="E1168" t="s">
        <v>128</v>
      </c>
      <c r="F1168" t="s">
        <v>129</v>
      </c>
      <c r="G1168" t="str">
        <f>_xlfn.CONCAT(Tabela9[[#This Row],[Coluna1]],Tabela9[[#This Row],[Coluna2]])</f>
        <v>15-AS(1-4)</v>
      </c>
    </row>
    <row r="1169" spans="1:7" x14ac:dyDescent="0.25">
      <c r="A1169">
        <v>9285</v>
      </c>
      <c r="B1169">
        <v>308</v>
      </c>
      <c r="C1169" s="1" t="str">
        <f>IF(Tabela8[[#This Row],[SETOR]]="","",IF(Tabela8[[#This Row],[SETOR]]&lt;200,"GV 10",IF(Tabela8[[#This Row],[SETOR]]&lt;300,"GV 20",IF(Tabela8[[#This Row],[SETOR]]&lt;400,"GV 30","S/GV"))))</f>
        <v>GV 30</v>
      </c>
      <c r="E1169" t="s">
        <v>128</v>
      </c>
      <c r="F1169" t="s">
        <v>129</v>
      </c>
      <c r="G1169" t="str">
        <f>_xlfn.CONCAT(Tabela9[[#This Row],[Coluna1]],Tabela9[[#This Row],[Coluna2]])</f>
        <v>15-AS(1-4)</v>
      </c>
    </row>
    <row r="1170" spans="1:7" x14ac:dyDescent="0.25">
      <c r="A1170">
        <v>9296</v>
      </c>
      <c r="B1170">
        <v>201</v>
      </c>
      <c r="C1170" s="1" t="str">
        <f>IF(Tabela8[[#This Row],[SETOR]]="","",IF(Tabela8[[#This Row],[SETOR]]&lt;200,"GV 10",IF(Tabela8[[#This Row],[SETOR]]&lt;300,"GV 20",IF(Tabela8[[#This Row],[SETOR]]&lt;400,"GV 30","S/GV"))))</f>
        <v>GV 20</v>
      </c>
      <c r="E1170" t="s">
        <v>123</v>
      </c>
      <c r="G1170" t="str">
        <f>_xlfn.CONCAT(Tabela9[[#This Row],[Coluna1]],Tabela9[[#This Row],[Coluna2]])</f>
        <v>20-Rota</v>
      </c>
    </row>
    <row r="1171" spans="1:7" x14ac:dyDescent="0.25">
      <c r="A1171">
        <v>9299</v>
      </c>
      <c r="B1171">
        <v>308</v>
      </c>
      <c r="C1171" s="1" t="str">
        <f>IF(Tabela8[[#This Row],[SETOR]]="","",IF(Tabela8[[#This Row],[SETOR]]&lt;200,"GV 10",IF(Tabela8[[#This Row],[SETOR]]&lt;300,"GV 20",IF(Tabela8[[#This Row],[SETOR]]&lt;400,"GV 30","S/GV"))))</f>
        <v>GV 30</v>
      </c>
      <c r="E1171" t="s">
        <v>128</v>
      </c>
      <c r="F1171" t="s">
        <v>129</v>
      </c>
      <c r="G1171" t="str">
        <f>_xlfn.CONCAT(Tabela9[[#This Row],[Coluna1]],Tabela9[[#This Row],[Coluna2]])</f>
        <v>15-AS(1-4)</v>
      </c>
    </row>
    <row r="1172" spans="1:7" x14ac:dyDescent="0.25">
      <c r="A1172">
        <v>9304</v>
      </c>
      <c r="B1172">
        <v>106</v>
      </c>
      <c r="C1172" s="1" t="str">
        <f>IF(Tabela8[[#This Row],[SETOR]]="","",IF(Tabela8[[#This Row],[SETOR]]&lt;200,"GV 10",IF(Tabela8[[#This Row],[SETOR]]&lt;300,"GV 20",IF(Tabela8[[#This Row],[SETOR]]&lt;400,"GV 30","S/GV"))))</f>
        <v>GV 10</v>
      </c>
      <c r="E1172" t="s">
        <v>123</v>
      </c>
      <c r="G1172" t="str">
        <f>_xlfn.CONCAT(Tabela9[[#This Row],[Coluna1]],Tabela9[[#This Row],[Coluna2]])</f>
        <v>20-Rota</v>
      </c>
    </row>
    <row r="1173" spans="1:7" x14ac:dyDescent="0.25">
      <c r="A1173">
        <v>9307</v>
      </c>
      <c r="B1173">
        <v>304</v>
      </c>
      <c r="C1173" s="1" t="str">
        <f>IF(Tabela8[[#This Row],[SETOR]]="","",IF(Tabela8[[#This Row],[SETOR]]&lt;200,"GV 10",IF(Tabela8[[#This Row],[SETOR]]&lt;300,"GV 20",IF(Tabela8[[#This Row],[SETOR]]&lt;400,"GV 30","S/GV"))))</f>
        <v>GV 30</v>
      </c>
      <c r="E1173" t="s">
        <v>123</v>
      </c>
      <c r="G1173" t="str">
        <f>_xlfn.CONCAT(Tabela9[[#This Row],[Coluna1]],Tabela9[[#This Row],[Coluna2]])</f>
        <v>20-Rota</v>
      </c>
    </row>
    <row r="1174" spans="1:7" x14ac:dyDescent="0.25">
      <c r="A1174">
        <v>9311</v>
      </c>
      <c r="B1174">
        <v>203</v>
      </c>
      <c r="C1174" s="1" t="str">
        <f>IF(Tabela8[[#This Row],[SETOR]]="","",IF(Tabela8[[#This Row],[SETOR]]&lt;200,"GV 10",IF(Tabela8[[#This Row],[SETOR]]&lt;300,"GV 20",IF(Tabela8[[#This Row],[SETOR]]&lt;400,"GV 30","S/GV"))))</f>
        <v>GV 20</v>
      </c>
      <c r="E1174" t="s">
        <v>123</v>
      </c>
      <c r="G1174" t="str">
        <f>_xlfn.CONCAT(Tabela9[[#This Row],[Coluna1]],Tabela9[[#This Row],[Coluna2]])</f>
        <v>20-Rota</v>
      </c>
    </row>
    <row r="1175" spans="1:7" x14ac:dyDescent="0.25">
      <c r="A1175">
        <v>9326</v>
      </c>
      <c r="B1175">
        <v>916</v>
      </c>
      <c r="C1175" s="1" t="str">
        <f>IF(Tabela8[[#This Row],[SETOR]]="","",IF(Tabela8[[#This Row],[SETOR]]&lt;200,"GV 10",IF(Tabela8[[#This Row],[SETOR]]&lt;300,"GV 20",IF(Tabela8[[#This Row],[SETOR]]&lt;400,"GV 30","S/GV"))))</f>
        <v>S/GV</v>
      </c>
      <c r="G1175" t="str">
        <f>_xlfn.CONCAT(Tabela9[[#This Row],[Coluna1]],Tabela9[[#This Row],[Coluna2]])</f>
        <v/>
      </c>
    </row>
    <row r="1176" spans="1:7" x14ac:dyDescent="0.25">
      <c r="A1176">
        <v>9332</v>
      </c>
      <c r="B1176">
        <v>204</v>
      </c>
      <c r="C1176" s="1" t="str">
        <f>IF(Tabela8[[#This Row],[SETOR]]="","",IF(Tabela8[[#This Row],[SETOR]]&lt;200,"GV 10",IF(Tabela8[[#This Row],[SETOR]]&lt;300,"GV 20",IF(Tabela8[[#This Row],[SETOR]]&lt;400,"GV 30","S/GV"))))</f>
        <v>GV 20</v>
      </c>
      <c r="E1176" t="s">
        <v>123</v>
      </c>
      <c r="G1176" t="str">
        <f>_xlfn.CONCAT(Tabela9[[#This Row],[Coluna1]],Tabela9[[#This Row],[Coluna2]])</f>
        <v>20-Rota</v>
      </c>
    </row>
    <row r="1177" spans="1:7" x14ac:dyDescent="0.25">
      <c r="A1177">
        <v>9333</v>
      </c>
      <c r="B1177">
        <v>101</v>
      </c>
      <c r="C1177" s="1" t="str">
        <f>IF(Tabela8[[#This Row],[SETOR]]="","",IF(Tabela8[[#This Row],[SETOR]]&lt;200,"GV 10",IF(Tabela8[[#This Row],[SETOR]]&lt;300,"GV 20",IF(Tabela8[[#This Row],[SETOR]]&lt;400,"GV 30","S/GV"))))</f>
        <v>GV 10</v>
      </c>
      <c r="E1177" t="s">
        <v>125</v>
      </c>
      <c r="G1177" t="str">
        <f>_xlfn.CONCAT(Tabela9[[#This Row],[Coluna1]],Tabela9[[#This Row],[Coluna2]])</f>
        <v>18-TRAD</v>
      </c>
    </row>
    <row r="1178" spans="1:7" x14ac:dyDescent="0.25">
      <c r="A1178">
        <v>9336</v>
      </c>
      <c r="B1178">
        <v>207</v>
      </c>
      <c r="C1178" s="1" t="str">
        <f>IF(Tabela8[[#This Row],[SETOR]]="","",IF(Tabela8[[#This Row],[SETOR]]&lt;200,"GV 10",IF(Tabela8[[#This Row],[SETOR]]&lt;300,"GV 20",IF(Tabela8[[#This Row],[SETOR]]&lt;400,"GV 30","S/GV"))))</f>
        <v>GV 20</v>
      </c>
      <c r="E1178" t="s">
        <v>125</v>
      </c>
      <c r="G1178" t="str">
        <f>_xlfn.CONCAT(Tabela9[[#This Row],[Coluna1]],Tabela9[[#This Row],[Coluna2]])</f>
        <v>18-TRAD</v>
      </c>
    </row>
    <row r="1179" spans="1:7" x14ac:dyDescent="0.25">
      <c r="A1179">
        <v>9338</v>
      </c>
      <c r="B1179">
        <v>308</v>
      </c>
      <c r="C1179" s="1" t="str">
        <f>IF(Tabela8[[#This Row],[SETOR]]="","",IF(Tabela8[[#This Row],[SETOR]]&lt;200,"GV 10",IF(Tabela8[[#This Row],[SETOR]]&lt;300,"GV 20",IF(Tabela8[[#This Row],[SETOR]]&lt;400,"GV 30","S/GV"))))</f>
        <v>GV 30</v>
      </c>
      <c r="E1179" t="s">
        <v>128</v>
      </c>
      <c r="F1179" t="s">
        <v>129</v>
      </c>
      <c r="G1179" t="str">
        <f>_xlfn.CONCAT(Tabela9[[#This Row],[Coluna1]],Tabela9[[#This Row],[Coluna2]])</f>
        <v>15-AS(1-4)</v>
      </c>
    </row>
    <row r="1180" spans="1:7" x14ac:dyDescent="0.25">
      <c r="A1180">
        <v>9341</v>
      </c>
      <c r="B1180">
        <v>109</v>
      </c>
      <c r="C1180" s="1" t="str">
        <f>IF(Tabela8[[#This Row],[SETOR]]="","",IF(Tabela8[[#This Row],[SETOR]]&lt;200,"GV 10",IF(Tabela8[[#This Row],[SETOR]]&lt;300,"GV 20",IF(Tabela8[[#This Row],[SETOR]]&lt;400,"GV 30","S/GV"))))</f>
        <v>GV 10</v>
      </c>
      <c r="E1180" t="s">
        <v>123</v>
      </c>
      <c r="G1180" t="str">
        <f>_xlfn.CONCAT(Tabela9[[#This Row],[Coluna1]],Tabela9[[#This Row],[Coluna2]])</f>
        <v>20-Rota</v>
      </c>
    </row>
    <row r="1181" spans="1:7" x14ac:dyDescent="0.25">
      <c r="A1181">
        <v>9343</v>
      </c>
      <c r="B1181">
        <v>308</v>
      </c>
      <c r="C1181" s="1" t="str">
        <f>IF(Tabela8[[#This Row],[SETOR]]="","",IF(Tabela8[[#This Row],[SETOR]]&lt;200,"GV 10",IF(Tabela8[[#This Row],[SETOR]]&lt;300,"GV 20",IF(Tabela8[[#This Row],[SETOR]]&lt;400,"GV 30","S/GV"))))</f>
        <v>GV 30</v>
      </c>
      <c r="E1181" t="s">
        <v>128</v>
      </c>
      <c r="F1181" t="s">
        <v>129</v>
      </c>
      <c r="G1181" t="str">
        <f>_xlfn.CONCAT(Tabela9[[#This Row],[Coluna1]],Tabela9[[#This Row],[Coluna2]])</f>
        <v>15-AS(1-4)</v>
      </c>
    </row>
    <row r="1182" spans="1:7" x14ac:dyDescent="0.25">
      <c r="A1182">
        <v>9349</v>
      </c>
      <c r="B1182">
        <v>109</v>
      </c>
      <c r="C1182" s="1" t="str">
        <f>IF(Tabela8[[#This Row],[SETOR]]="","",IF(Tabela8[[#This Row],[SETOR]]&lt;200,"GV 10",IF(Tabela8[[#This Row],[SETOR]]&lt;300,"GV 20",IF(Tabela8[[#This Row],[SETOR]]&lt;400,"GV 30","S/GV"))))</f>
        <v>GV 10</v>
      </c>
      <c r="E1182" t="s">
        <v>123</v>
      </c>
      <c r="G1182" t="str">
        <f>_xlfn.CONCAT(Tabela9[[#This Row],[Coluna1]],Tabela9[[#This Row],[Coluna2]])</f>
        <v>20-Rota</v>
      </c>
    </row>
    <row r="1183" spans="1:7" x14ac:dyDescent="0.25">
      <c r="A1183">
        <v>9359</v>
      </c>
      <c r="B1183">
        <v>907</v>
      </c>
      <c r="C1183" s="1" t="str">
        <f>IF(Tabela8[[#This Row],[SETOR]]="","",IF(Tabela8[[#This Row],[SETOR]]&lt;200,"GV 10",IF(Tabela8[[#This Row],[SETOR]]&lt;300,"GV 20",IF(Tabela8[[#This Row],[SETOR]]&lt;400,"GV 30","S/GV"))))</f>
        <v>S/GV</v>
      </c>
      <c r="G1183" t="str">
        <f>_xlfn.CONCAT(Tabela9[[#This Row],[Coluna1]],Tabela9[[#This Row],[Coluna2]])</f>
        <v/>
      </c>
    </row>
    <row r="1184" spans="1:7" x14ac:dyDescent="0.25">
      <c r="A1184">
        <v>9365</v>
      </c>
      <c r="B1184">
        <v>107</v>
      </c>
      <c r="C1184" s="1" t="str">
        <f>IF(Tabela8[[#This Row],[SETOR]]="","",IF(Tabela8[[#This Row],[SETOR]]&lt;200,"GV 10",IF(Tabela8[[#This Row],[SETOR]]&lt;300,"GV 20",IF(Tabela8[[#This Row],[SETOR]]&lt;400,"GV 30","S/GV"))))</f>
        <v>GV 10</v>
      </c>
      <c r="E1184" t="s">
        <v>130</v>
      </c>
      <c r="G1184" t="str">
        <f>_xlfn.CONCAT(Tabela9[[#This Row],[Coluna1]],Tabela9[[#This Row],[Coluna2]])</f>
        <v>21-SUB</v>
      </c>
    </row>
    <row r="1185" spans="1:7" x14ac:dyDescent="0.25">
      <c r="A1185">
        <v>9371</v>
      </c>
      <c r="B1185">
        <v>204</v>
      </c>
      <c r="C1185" s="1" t="str">
        <f>IF(Tabela8[[#This Row],[SETOR]]="","",IF(Tabela8[[#This Row],[SETOR]]&lt;200,"GV 10",IF(Tabela8[[#This Row],[SETOR]]&lt;300,"GV 20",IF(Tabela8[[#This Row],[SETOR]]&lt;400,"GV 30","S/GV"))))</f>
        <v>GV 20</v>
      </c>
      <c r="E1185" t="s">
        <v>123</v>
      </c>
      <c r="G1185" t="str">
        <f>_xlfn.CONCAT(Tabela9[[#This Row],[Coluna1]],Tabela9[[#This Row],[Coluna2]])</f>
        <v>20-Rota</v>
      </c>
    </row>
    <row r="1186" spans="1:7" x14ac:dyDescent="0.25">
      <c r="A1186">
        <v>9373</v>
      </c>
      <c r="B1186">
        <v>306</v>
      </c>
      <c r="C1186" s="1" t="str">
        <f>IF(Tabela8[[#This Row],[SETOR]]="","",IF(Tabela8[[#This Row],[SETOR]]&lt;200,"GV 10",IF(Tabela8[[#This Row],[SETOR]]&lt;300,"GV 20",IF(Tabela8[[#This Row],[SETOR]]&lt;400,"GV 30","S/GV"))))</f>
        <v>GV 30</v>
      </c>
      <c r="E1186" t="s">
        <v>128</v>
      </c>
      <c r="F1186" t="s">
        <v>129</v>
      </c>
      <c r="G1186" t="str">
        <f>_xlfn.CONCAT(Tabela9[[#This Row],[Coluna1]],Tabela9[[#This Row],[Coluna2]])</f>
        <v>15-AS(1-4)</v>
      </c>
    </row>
    <row r="1187" spans="1:7" x14ac:dyDescent="0.25">
      <c r="A1187">
        <v>9389</v>
      </c>
      <c r="B1187">
        <v>201</v>
      </c>
      <c r="C1187" s="1" t="str">
        <f>IF(Tabela8[[#This Row],[SETOR]]="","",IF(Tabela8[[#This Row],[SETOR]]&lt;200,"GV 10",IF(Tabela8[[#This Row],[SETOR]]&lt;300,"GV 20",IF(Tabela8[[#This Row],[SETOR]]&lt;400,"GV 30","S/GV"))))</f>
        <v>GV 20</v>
      </c>
      <c r="E1187" t="s">
        <v>123</v>
      </c>
      <c r="G1187" t="str">
        <f>_xlfn.CONCAT(Tabela9[[#This Row],[Coluna1]],Tabela9[[#This Row],[Coluna2]])</f>
        <v>20-Rota</v>
      </c>
    </row>
    <row r="1188" spans="1:7" x14ac:dyDescent="0.25">
      <c r="A1188">
        <v>9393</v>
      </c>
      <c r="B1188">
        <v>306</v>
      </c>
      <c r="C1188" s="1" t="str">
        <f>IF(Tabela8[[#This Row],[SETOR]]="","",IF(Tabela8[[#This Row],[SETOR]]&lt;200,"GV 10",IF(Tabela8[[#This Row],[SETOR]]&lt;300,"GV 20",IF(Tabela8[[#This Row],[SETOR]]&lt;400,"GV 30","S/GV"))))</f>
        <v>GV 30</v>
      </c>
      <c r="E1188" t="s">
        <v>128</v>
      </c>
      <c r="F1188" t="s">
        <v>129</v>
      </c>
      <c r="G1188" t="str">
        <f>_xlfn.CONCAT(Tabela9[[#This Row],[Coluna1]],Tabela9[[#This Row],[Coluna2]])</f>
        <v>15-AS(1-4)</v>
      </c>
    </row>
    <row r="1189" spans="1:7" x14ac:dyDescent="0.25">
      <c r="A1189">
        <v>9395</v>
      </c>
      <c r="B1189">
        <v>206</v>
      </c>
      <c r="C1189" s="1" t="str">
        <f>IF(Tabela8[[#This Row],[SETOR]]="","",IF(Tabela8[[#This Row],[SETOR]]&lt;200,"GV 10",IF(Tabela8[[#This Row],[SETOR]]&lt;300,"GV 20",IF(Tabela8[[#This Row],[SETOR]]&lt;400,"GV 30","S/GV"))))</f>
        <v>GV 20</v>
      </c>
      <c r="E1189" t="s">
        <v>123</v>
      </c>
      <c r="G1189" t="str">
        <f>_xlfn.CONCAT(Tabela9[[#This Row],[Coluna1]],Tabela9[[#This Row],[Coluna2]])</f>
        <v>20-Rota</v>
      </c>
    </row>
    <row r="1190" spans="1:7" x14ac:dyDescent="0.25">
      <c r="A1190">
        <v>9403</v>
      </c>
      <c r="B1190">
        <v>201</v>
      </c>
      <c r="C1190" s="1" t="str">
        <f>IF(Tabela8[[#This Row],[SETOR]]="","",IF(Tabela8[[#This Row],[SETOR]]&lt;200,"GV 10",IF(Tabela8[[#This Row],[SETOR]]&lt;300,"GV 20",IF(Tabela8[[#This Row],[SETOR]]&lt;400,"GV 30","S/GV"))))</f>
        <v>GV 20</v>
      </c>
      <c r="E1190" t="s">
        <v>123</v>
      </c>
      <c r="G1190" t="str">
        <f>_xlfn.CONCAT(Tabela9[[#This Row],[Coluna1]],Tabela9[[#This Row],[Coluna2]])</f>
        <v>20-Rota</v>
      </c>
    </row>
    <row r="1191" spans="1:7" x14ac:dyDescent="0.25">
      <c r="A1191">
        <v>9407</v>
      </c>
      <c r="B1191">
        <v>208</v>
      </c>
      <c r="C1191" s="1" t="str">
        <f>IF(Tabela8[[#This Row],[SETOR]]="","",IF(Tabela8[[#This Row],[SETOR]]&lt;200,"GV 10",IF(Tabela8[[#This Row],[SETOR]]&lt;300,"GV 20",IF(Tabela8[[#This Row],[SETOR]]&lt;400,"GV 30","S/GV"))))</f>
        <v>GV 20</v>
      </c>
      <c r="E1191" t="s">
        <v>126</v>
      </c>
      <c r="F1191" t="s">
        <v>127</v>
      </c>
      <c r="G1191" t="str">
        <f>_xlfn.CONCAT(Tabela9[[#This Row],[Coluna1]],Tabela9[[#This Row],[Coluna2]])</f>
        <v>16-AS(5+)</v>
      </c>
    </row>
    <row r="1192" spans="1:7" x14ac:dyDescent="0.25">
      <c r="A1192">
        <v>9410</v>
      </c>
      <c r="B1192">
        <v>305</v>
      </c>
      <c r="C1192" s="1" t="str">
        <f>IF(Tabela8[[#This Row],[SETOR]]="","",IF(Tabela8[[#This Row],[SETOR]]&lt;200,"GV 10",IF(Tabela8[[#This Row],[SETOR]]&lt;300,"GV 20",IF(Tabela8[[#This Row],[SETOR]]&lt;400,"GV 30","S/GV"))))</f>
        <v>GV 30</v>
      </c>
      <c r="E1192" t="s">
        <v>123</v>
      </c>
      <c r="G1192" t="str">
        <f>_xlfn.CONCAT(Tabela9[[#This Row],[Coluna1]],Tabela9[[#This Row],[Coluna2]])</f>
        <v>20-Rota</v>
      </c>
    </row>
    <row r="1193" spans="1:7" x14ac:dyDescent="0.25">
      <c r="A1193">
        <v>9413</v>
      </c>
      <c r="B1193">
        <v>907</v>
      </c>
      <c r="C1193" s="1" t="str">
        <f>IF(Tabela8[[#This Row],[SETOR]]="","",IF(Tabela8[[#This Row],[SETOR]]&lt;200,"GV 10",IF(Tabela8[[#This Row],[SETOR]]&lt;300,"GV 20",IF(Tabela8[[#This Row],[SETOR]]&lt;400,"GV 30","S/GV"))))</f>
        <v>S/GV</v>
      </c>
      <c r="G1193" t="str">
        <f>_xlfn.CONCAT(Tabela9[[#This Row],[Coluna1]],Tabela9[[#This Row],[Coluna2]])</f>
        <v/>
      </c>
    </row>
    <row r="1194" spans="1:7" x14ac:dyDescent="0.25">
      <c r="A1194">
        <v>9416</v>
      </c>
      <c r="B1194">
        <v>303</v>
      </c>
      <c r="C1194" s="1" t="str">
        <f>IF(Tabela8[[#This Row],[SETOR]]="","",IF(Tabela8[[#This Row],[SETOR]]&lt;200,"GV 10",IF(Tabela8[[#This Row],[SETOR]]&lt;300,"GV 20",IF(Tabela8[[#This Row],[SETOR]]&lt;400,"GV 30","S/GV"))))</f>
        <v>GV 30</v>
      </c>
      <c r="E1194" t="s">
        <v>123</v>
      </c>
      <c r="G1194" t="str">
        <f>_xlfn.CONCAT(Tabela9[[#This Row],[Coluna1]],Tabela9[[#This Row],[Coluna2]])</f>
        <v>20-Rota</v>
      </c>
    </row>
    <row r="1195" spans="1:7" x14ac:dyDescent="0.25">
      <c r="A1195">
        <v>9422</v>
      </c>
      <c r="B1195">
        <v>107</v>
      </c>
      <c r="C1195" s="1" t="str">
        <f>IF(Tabela8[[#This Row],[SETOR]]="","",IF(Tabela8[[#This Row],[SETOR]]&lt;200,"GV 10",IF(Tabela8[[#This Row],[SETOR]]&lt;300,"GV 20",IF(Tabela8[[#This Row],[SETOR]]&lt;400,"GV 30","S/GV"))))</f>
        <v>GV 10</v>
      </c>
      <c r="E1195" t="s">
        <v>130</v>
      </c>
      <c r="G1195" t="str">
        <f>_xlfn.CONCAT(Tabela9[[#This Row],[Coluna1]],Tabela9[[#This Row],[Coluna2]])</f>
        <v>21-SUB</v>
      </c>
    </row>
    <row r="1196" spans="1:7" x14ac:dyDescent="0.25">
      <c r="A1196">
        <v>9424</v>
      </c>
      <c r="B1196">
        <v>206</v>
      </c>
      <c r="C1196" s="1" t="str">
        <f>IF(Tabela8[[#This Row],[SETOR]]="","",IF(Tabela8[[#This Row],[SETOR]]&lt;200,"GV 10",IF(Tabela8[[#This Row],[SETOR]]&lt;300,"GV 20",IF(Tabela8[[#This Row],[SETOR]]&lt;400,"GV 30","S/GV"))))</f>
        <v>GV 20</v>
      </c>
      <c r="E1196" t="s">
        <v>123</v>
      </c>
      <c r="G1196" t="str">
        <f>_xlfn.CONCAT(Tabela9[[#This Row],[Coluna1]],Tabela9[[#This Row],[Coluna2]])</f>
        <v>20-Rota</v>
      </c>
    </row>
    <row r="1197" spans="1:7" x14ac:dyDescent="0.25">
      <c r="A1197">
        <v>9428</v>
      </c>
      <c r="B1197">
        <v>303</v>
      </c>
      <c r="C1197" s="1" t="str">
        <f>IF(Tabela8[[#This Row],[SETOR]]="","",IF(Tabela8[[#This Row],[SETOR]]&lt;200,"GV 10",IF(Tabela8[[#This Row],[SETOR]]&lt;300,"GV 20",IF(Tabela8[[#This Row],[SETOR]]&lt;400,"GV 30","S/GV"))))</f>
        <v>GV 30</v>
      </c>
      <c r="E1197" t="s">
        <v>123</v>
      </c>
      <c r="G1197" t="str">
        <f>_xlfn.CONCAT(Tabela9[[#This Row],[Coluna1]],Tabela9[[#This Row],[Coluna2]])</f>
        <v>20-Rota</v>
      </c>
    </row>
    <row r="1198" spans="1:7" x14ac:dyDescent="0.25">
      <c r="A1198">
        <v>9430</v>
      </c>
      <c r="B1198">
        <v>204</v>
      </c>
      <c r="C1198" s="1" t="str">
        <f>IF(Tabela8[[#This Row],[SETOR]]="","",IF(Tabela8[[#This Row],[SETOR]]&lt;200,"GV 10",IF(Tabela8[[#This Row],[SETOR]]&lt;300,"GV 20",IF(Tabela8[[#This Row],[SETOR]]&lt;400,"GV 30","S/GV"))))</f>
        <v>GV 20</v>
      </c>
      <c r="E1198" t="s">
        <v>123</v>
      </c>
      <c r="G1198" t="str">
        <f>_xlfn.CONCAT(Tabela9[[#This Row],[Coluna1]],Tabela9[[#This Row],[Coluna2]])</f>
        <v>20-Rota</v>
      </c>
    </row>
    <row r="1199" spans="1:7" x14ac:dyDescent="0.25">
      <c r="A1199">
        <v>9443</v>
      </c>
      <c r="B1199">
        <v>105</v>
      </c>
      <c r="C1199" s="1" t="str">
        <f>IF(Tabela8[[#This Row],[SETOR]]="","",IF(Tabela8[[#This Row],[SETOR]]&lt;200,"GV 10",IF(Tabela8[[#This Row],[SETOR]]&lt;300,"GV 20",IF(Tabela8[[#This Row],[SETOR]]&lt;400,"GV 30","S/GV"))))</f>
        <v>GV 10</v>
      </c>
      <c r="E1199" t="s">
        <v>123</v>
      </c>
      <c r="G1199" t="str">
        <f>_xlfn.CONCAT(Tabela9[[#This Row],[Coluna1]],Tabela9[[#This Row],[Coluna2]])</f>
        <v>20-Rota</v>
      </c>
    </row>
    <row r="1200" spans="1:7" x14ac:dyDescent="0.25">
      <c r="A1200">
        <v>9446</v>
      </c>
      <c r="B1200">
        <v>105</v>
      </c>
      <c r="C1200" s="1" t="str">
        <f>IF(Tabela8[[#This Row],[SETOR]]="","",IF(Tabela8[[#This Row],[SETOR]]&lt;200,"GV 10",IF(Tabela8[[#This Row],[SETOR]]&lt;300,"GV 20",IF(Tabela8[[#This Row],[SETOR]]&lt;400,"GV 30","S/GV"))))</f>
        <v>GV 10</v>
      </c>
      <c r="E1200" t="s">
        <v>123</v>
      </c>
      <c r="G1200" t="str">
        <f>_xlfn.CONCAT(Tabela9[[#This Row],[Coluna1]],Tabela9[[#This Row],[Coluna2]])</f>
        <v>20-Rota</v>
      </c>
    </row>
    <row r="1201" spans="1:7" x14ac:dyDescent="0.25">
      <c r="A1201">
        <v>9463</v>
      </c>
      <c r="B1201">
        <v>308</v>
      </c>
      <c r="C1201" s="1" t="str">
        <f>IF(Tabela8[[#This Row],[SETOR]]="","",IF(Tabela8[[#This Row],[SETOR]]&lt;200,"GV 10",IF(Tabela8[[#This Row],[SETOR]]&lt;300,"GV 20",IF(Tabela8[[#This Row],[SETOR]]&lt;400,"GV 30","S/GV"))))</f>
        <v>GV 30</v>
      </c>
      <c r="E1201" t="s">
        <v>128</v>
      </c>
      <c r="F1201" t="s">
        <v>129</v>
      </c>
      <c r="G1201" t="str">
        <f>_xlfn.CONCAT(Tabela9[[#This Row],[Coluna1]],Tabela9[[#This Row],[Coluna2]])</f>
        <v>15-AS(1-4)</v>
      </c>
    </row>
    <row r="1202" spans="1:7" x14ac:dyDescent="0.25">
      <c r="A1202">
        <v>9471</v>
      </c>
      <c r="B1202">
        <v>305</v>
      </c>
      <c r="C1202" s="1" t="str">
        <f>IF(Tabela8[[#This Row],[SETOR]]="","",IF(Tabela8[[#This Row],[SETOR]]&lt;200,"GV 10",IF(Tabela8[[#This Row],[SETOR]]&lt;300,"GV 20",IF(Tabela8[[#This Row],[SETOR]]&lt;400,"GV 30","S/GV"))))</f>
        <v>GV 30</v>
      </c>
      <c r="E1202" t="s">
        <v>123</v>
      </c>
      <c r="G1202" t="str">
        <f>_xlfn.CONCAT(Tabela9[[#This Row],[Coluna1]],Tabela9[[#This Row],[Coluna2]])</f>
        <v>20-Rota</v>
      </c>
    </row>
    <row r="1203" spans="1:7" x14ac:dyDescent="0.25">
      <c r="A1203">
        <v>9474</v>
      </c>
      <c r="B1203">
        <v>106</v>
      </c>
      <c r="C1203" s="1" t="str">
        <f>IF(Tabela8[[#This Row],[SETOR]]="","",IF(Tabela8[[#This Row],[SETOR]]&lt;200,"GV 10",IF(Tabela8[[#This Row],[SETOR]]&lt;300,"GV 20",IF(Tabela8[[#This Row],[SETOR]]&lt;400,"GV 30","S/GV"))))</f>
        <v>GV 10</v>
      </c>
      <c r="E1203" t="s">
        <v>123</v>
      </c>
      <c r="G1203" t="str">
        <f>_xlfn.CONCAT(Tabela9[[#This Row],[Coluna1]],Tabela9[[#This Row],[Coluna2]])</f>
        <v>20-Rota</v>
      </c>
    </row>
    <row r="1204" spans="1:7" x14ac:dyDescent="0.25">
      <c r="A1204">
        <v>9475</v>
      </c>
      <c r="B1204">
        <v>306</v>
      </c>
      <c r="C1204" s="1" t="str">
        <f>IF(Tabela8[[#This Row],[SETOR]]="","",IF(Tabela8[[#This Row],[SETOR]]&lt;200,"GV 10",IF(Tabela8[[#This Row],[SETOR]]&lt;300,"GV 20",IF(Tabela8[[#This Row],[SETOR]]&lt;400,"GV 30","S/GV"))))</f>
        <v>GV 30</v>
      </c>
      <c r="E1204" t="s">
        <v>128</v>
      </c>
      <c r="F1204" t="s">
        <v>129</v>
      </c>
      <c r="G1204" t="str">
        <f>_xlfn.CONCAT(Tabela9[[#This Row],[Coluna1]],Tabela9[[#This Row],[Coluna2]])</f>
        <v>15-AS(1-4)</v>
      </c>
    </row>
    <row r="1205" spans="1:7" x14ac:dyDescent="0.25">
      <c r="A1205">
        <v>9478</v>
      </c>
      <c r="B1205">
        <v>303</v>
      </c>
      <c r="C1205" s="1" t="str">
        <f>IF(Tabela8[[#This Row],[SETOR]]="","",IF(Tabela8[[#This Row],[SETOR]]&lt;200,"GV 10",IF(Tabela8[[#This Row],[SETOR]]&lt;300,"GV 20",IF(Tabela8[[#This Row],[SETOR]]&lt;400,"GV 30","S/GV"))))</f>
        <v>GV 30</v>
      </c>
      <c r="E1205" t="s">
        <v>123</v>
      </c>
      <c r="G1205" t="str">
        <f>_xlfn.CONCAT(Tabela9[[#This Row],[Coluna1]],Tabela9[[#This Row],[Coluna2]])</f>
        <v>20-Rota</v>
      </c>
    </row>
    <row r="1206" spans="1:7" x14ac:dyDescent="0.25">
      <c r="A1206">
        <v>9479</v>
      </c>
      <c r="B1206">
        <v>303</v>
      </c>
      <c r="C1206" s="1" t="str">
        <f>IF(Tabela8[[#This Row],[SETOR]]="","",IF(Tabela8[[#This Row],[SETOR]]&lt;200,"GV 10",IF(Tabela8[[#This Row],[SETOR]]&lt;300,"GV 20",IF(Tabela8[[#This Row],[SETOR]]&lt;400,"GV 30","S/GV"))))</f>
        <v>GV 30</v>
      </c>
      <c r="E1206" t="s">
        <v>123</v>
      </c>
      <c r="G1206" t="str">
        <f>_xlfn.CONCAT(Tabela9[[#This Row],[Coluna1]],Tabela9[[#This Row],[Coluna2]])</f>
        <v>20-Rota</v>
      </c>
    </row>
    <row r="1207" spans="1:7" x14ac:dyDescent="0.25">
      <c r="A1207">
        <v>9486</v>
      </c>
      <c r="B1207">
        <v>109</v>
      </c>
      <c r="C1207" s="1" t="str">
        <f>IF(Tabela8[[#This Row],[SETOR]]="","",IF(Tabela8[[#This Row],[SETOR]]&lt;200,"GV 10",IF(Tabela8[[#This Row],[SETOR]]&lt;300,"GV 20",IF(Tabela8[[#This Row],[SETOR]]&lt;400,"GV 30","S/GV"))))</f>
        <v>GV 10</v>
      </c>
      <c r="E1207" t="s">
        <v>123</v>
      </c>
      <c r="G1207" t="str">
        <f>_xlfn.CONCAT(Tabela9[[#This Row],[Coluna1]],Tabela9[[#This Row],[Coluna2]])</f>
        <v>20-Rota</v>
      </c>
    </row>
    <row r="1208" spans="1:7" x14ac:dyDescent="0.25">
      <c r="A1208">
        <v>9490</v>
      </c>
      <c r="B1208">
        <v>306</v>
      </c>
      <c r="C1208" s="1" t="str">
        <f>IF(Tabela8[[#This Row],[SETOR]]="","",IF(Tabela8[[#This Row],[SETOR]]&lt;200,"GV 10",IF(Tabela8[[#This Row],[SETOR]]&lt;300,"GV 20",IF(Tabela8[[#This Row],[SETOR]]&lt;400,"GV 30","S/GV"))))</f>
        <v>GV 30</v>
      </c>
      <c r="E1208" t="s">
        <v>125</v>
      </c>
      <c r="G1208" t="str">
        <f>_xlfn.CONCAT(Tabela9[[#This Row],[Coluna1]],Tabela9[[#This Row],[Coluna2]])</f>
        <v>18-TRAD</v>
      </c>
    </row>
    <row r="1209" spans="1:7" x14ac:dyDescent="0.25">
      <c r="A1209">
        <v>9502</v>
      </c>
      <c r="B1209">
        <v>103</v>
      </c>
      <c r="C1209" s="1" t="str">
        <f>IF(Tabela8[[#This Row],[SETOR]]="","",IF(Tabela8[[#This Row],[SETOR]]&lt;200,"GV 10",IF(Tabela8[[#This Row],[SETOR]]&lt;300,"GV 20",IF(Tabela8[[#This Row],[SETOR]]&lt;400,"GV 30","S/GV"))))</f>
        <v>GV 10</v>
      </c>
      <c r="E1209" t="s">
        <v>123</v>
      </c>
      <c r="G1209" t="str">
        <f>_xlfn.CONCAT(Tabela9[[#This Row],[Coluna1]],Tabela9[[#This Row],[Coluna2]])</f>
        <v>20-Rota</v>
      </c>
    </row>
    <row r="1210" spans="1:7" x14ac:dyDescent="0.25">
      <c r="A1210">
        <v>9512</v>
      </c>
      <c r="B1210">
        <v>109</v>
      </c>
      <c r="C1210" s="1" t="str">
        <f>IF(Tabela8[[#This Row],[SETOR]]="","",IF(Tabela8[[#This Row],[SETOR]]&lt;200,"GV 10",IF(Tabela8[[#This Row],[SETOR]]&lt;300,"GV 20",IF(Tabela8[[#This Row],[SETOR]]&lt;400,"GV 30","S/GV"))))</f>
        <v>GV 10</v>
      </c>
      <c r="E1210" t="s">
        <v>123</v>
      </c>
      <c r="G1210" t="str">
        <f>_xlfn.CONCAT(Tabela9[[#This Row],[Coluna1]],Tabela9[[#This Row],[Coluna2]])</f>
        <v>20-Rota</v>
      </c>
    </row>
    <row r="1211" spans="1:7" x14ac:dyDescent="0.25">
      <c r="A1211">
        <v>9513</v>
      </c>
      <c r="B1211">
        <v>304</v>
      </c>
      <c r="C1211" s="1" t="str">
        <f>IF(Tabela8[[#This Row],[SETOR]]="","",IF(Tabela8[[#This Row],[SETOR]]&lt;200,"GV 10",IF(Tabela8[[#This Row],[SETOR]]&lt;300,"GV 20",IF(Tabela8[[#This Row],[SETOR]]&lt;400,"GV 30","S/GV"))))</f>
        <v>GV 30</v>
      </c>
      <c r="E1211" t="s">
        <v>123</v>
      </c>
      <c r="G1211" t="str">
        <f>_xlfn.CONCAT(Tabela9[[#This Row],[Coluna1]],Tabela9[[#This Row],[Coluna2]])</f>
        <v>20-Rota</v>
      </c>
    </row>
    <row r="1212" spans="1:7" x14ac:dyDescent="0.25">
      <c r="A1212">
        <v>9535</v>
      </c>
      <c r="B1212">
        <v>307</v>
      </c>
      <c r="C1212" s="1" t="str">
        <f>IF(Tabela8[[#This Row],[SETOR]]="","",IF(Tabela8[[#This Row],[SETOR]]&lt;200,"GV 10",IF(Tabela8[[#This Row],[SETOR]]&lt;300,"GV 20",IF(Tabela8[[#This Row],[SETOR]]&lt;400,"GV 30","S/GV"))))</f>
        <v>GV 30</v>
      </c>
      <c r="E1212" t="s">
        <v>123</v>
      </c>
      <c r="G1212" t="str">
        <f>_xlfn.CONCAT(Tabela9[[#This Row],[Coluna1]],Tabela9[[#This Row],[Coluna2]])</f>
        <v>20-Rota</v>
      </c>
    </row>
    <row r="1213" spans="1:7" x14ac:dyDescent="0.25">
      <c r="A1213">
        <v>9546</v>
      </c>
      <c r="B1213">
        <v>304</v>
      </c>
      <c r="C1213" s="1" t="str">
        <f>IF(Tabela8[[#This Row],[SETOR]]="","",IF(Tabela8[[#This Row],[SETOR]]&lt;200,"GV 10",IF(Tabela8[[#This Row],[SETOR]]&lt;300,"GV 20",IF(Tabela8[[#This Row],[SETOR]]&lt;400,"GV 30","S/GV"))))</f>
        <v>GV 30</v>
      </c>
      <c r="E1213" t="s">
        <v>123</v>
      </c>
      <c r="G1213" t="str">
        <f>_xlfn.CONCAT(Tabela9[[#This Row],[Coluna1]],Tabela9[[#This Row],[Coluna2]])</f>
        <v>20-Rota</v>
      </c>
    </row>
    <row r="1214" spans="1:7" x14ac:dyDescent="0.25">
      <c r="A1214">
        <v>9551</v>
      </c>
      <c r="B1214">
        <v>202</v>
      </c>
      <c r="C1214" s="1" t="str">
        <f>IF(Tabela8[[#This Row],[SETOR]]="","",IF(Tabela8[[#This Row],[SETOR]]&lt;200,"GV 10",IF(Tabela8[[#This Row],[SETOR]]&lt;300,"GV 20",IF(Tabela8[[#This Row],[SETOR]]&lt;400,"GV 30","S/GV"))))</f>
        <v>GV 20</v>
      </c>
      <c r="E1214" t="s">
        <v>123</v>
      </c>
      <c r="G1214" t="str">
        <f>_xlfn.CONCAT(Tabela9[[#This Row],[Coluna1]],Tabela9[[#This Row],[Coluna2]])</f>
        <v>20-Rota</v>
      </c>
    </row>
    <row r="1215" spans="1:7" x14ac:dyDescent="0.25">
      <c r="A1215">
        <v>9553</v>
      </c>
      <c r="B1215">
        <v>207</v>
      </c>
      <c r="C1215" s="1" t="str">
        <f>IF(Tabela8[[#This Row],[SETOR]]="","",IF(Tabela8[[#This Row],[SETOR]]&lt;200,"GV 10",IF(Tabela8[[#This Row],[SETOR]]&lt;300,"GV 20",IF(Tabela8[[#This Row],[SETOR]]&lt;400,"GV 30","S/GV"))))</f>
        <v>GV 20</v>
      </c>
      <c r="E1215" t="s">
        <v>125</v>
      </c>
      <c r="G1215" t="str">
        <f>_xlfn.CONCAT(Tabela9[[#This Row],[Coluna1]],Tabela9[[#This Row],[Coluna2]])</f>
        <v>18-TRAD</v>
      </c>
    </row>
    <row r="1216" spans="1:7" x14ac:dyDescent="0.25">
      <c r="A1216">
        <v>9554</v>
      </c>
      <c r="B1216">
        <v>301</v>
      </c>
      <c r="C1216" s="1" t="str">
        <f>IF(Tabela8[[#This Row],[SETOR]]="","",IF(Tabela8[[#This Row],[SETOR]]&lt;200,"GV 10",IF(Tabela8[[#This Row],[SETOR]]&lt;300,"GV 20",IF(Tabela8[[#This Row],[SETOR]]&lt;400,"GV 30","S/GV"))))</f>
        <v>GV 30</v>
      </c>
      <c r="E1216" t="s">
        <v>123</v>
      </c>
      <c r="G1216" t="str">
        <f>_xlfn.CONCAT(Tabela9[[#This Row],[Coluna1]],Tabela9[[#This Row],[Coluna2]])</f>
        <v>20-Rota</v>
      </c>
    </row>
    <row r="1217" spans="1:7" x14ac:dyDescent="0.25">
      <c r="A1217">
        <v>9556</v>
      </c>
      <c r="B1217">
        <v>303</v>
      </c>
      <c r="C1217" s="1" t="str">
        <f>IF(Tabela8[[#This Row],[SETOR]]="","",IF(Tabela8[[#This Row],[SETOR]]&lt;200,"GV 10",IF(Tabela8[[#This Row],[SETOR]]&lt;300,"GV 20",IF(Tabela8[[#This Row],[SETOR]]&lt;400,"GV 30","S/GV"))))</f>
        <v>GV 30</v>
      </c>
      <c r="E1217" t="s">
        <v>123</v>
      </c>
      <c r="G1217" t="str">
        <f>_xlfn.CONCAT(Tabela9[[#This Row],[Coluna1]],Tabela9[[#This Row],[Coluna2]])</f>
        <v>20-Rota</v>
      </c>
    </row>
    <row r="1218" spans="1:7" x14ac:dyDescent="0.25">
      <c r="A1218">
        <v>9559</v>
      </c>
      <c r="B1218">
        <v>307</v>
      </c>
      <c r="C1218" s="1" t="str">
        <f>IF(Tabela8[[#This Row],[SETOR]]="","",IF(Tabela8[[#This Row],[SETOR]]&lt;200,"GV 10",IF(Tabela8[[#This Row],[SETOR]]&lt;300,"GV 20",IF(Tabela8[[#This Row],[SETOR]]&lt;400,"GV 30","S/GV"))))</f>
        <v>GV 30</v>
      </c>
      <c r="E1218" t="s">
        <v>128</v>
      </c>
      <c r="F1218" t="s">
        <v>129</v>
      </c>
      <c r="G1218" t="str">
        <f>_xlfn.CONCAT(Tabela9[[#This Row],[Coluna1]],Tabela9[[#This Row],[Coluna2]])</f>
        <v>15-AS(1-4)</v>
      </c>
    </row>
    <row r="1219" spans="1:7" x14ac:dyDescent="0.25">
      <c r="A1219">
        <v>9571</v>
      </c>
      <c r="B1219">
        <v>302</v>
      </c>
      <c r="C1219" s="1" t="str">
        <f>IF(Tabela8[[#This Row],[SETOR]]="","",IF(Tabela8[[#This Row],[SETOR]]&lt;200,"GV 10",IF(Tabela8[[#This Row],[SETOR]]&lt;300,"GV 20",IF(Tabela8[[#This Row],[SETOR]]&lt;400,"GV 30","S/GV"))))</f>
        <v>GV 30</v>
      </c>
      <c r="E1219" t="s">
        <v>123</v>
      </c>
      <c r="G1219" t="str">
        <f>_xlfn.CONCAT(Tabela9[[#This Row],[Coluna1]],Tabela9[[#This Row],[Coluna2]])</f>
        <v>20-Rota</v>
      </c>
    </row>
    <row r="1220" spans="1:7" x14ac:dyDescent="0.25">
      <c r="A1220">
        <v>9575</v>
      </c>
      <c r="B1220">
        <v>308</v>
      </c>
      <c r="C1220" s="1" t="str">
        <f>IF(Tabela8[[#This Row],[SETOR]]="","",IF(Tabela8[[#This Row],[SETOR]]&lt;200,"GV 10",IF(Tabela8[[#This Row],[SETOR]]&lt;300,"GV 20",IF(Tabela8[[#This Row],[SETOR]]&lt;400,"GV 30","S/GV"))))</f>
        <v>GV 30</v>
      </c>
      <c r="E1220" t="s">
        <v>128</v>
      </c>
      <c r="F1220" t="s">
        <v>129</v>
      </c>
      <c r="G1220" t="str">
        <f>_xlfn.CONCAT(Tabela9[[#This Row],[Coluna1]],Tabela9[[#This Row],[Coluna2]])</f>
        <v>15-AS(1-4)</v>
      </c>
    </row>
    <row r="1221" spans="1:7" x14ac:dyDescent="0.25">
      <c r="A1221">
        <v>9592</v>
      </c>
      <c r="B1221">
        <v>301</v>
      </c>
      <c r="C1221" s="1" t="str">
        <f>IF(Tabela8[[#This Row],[SETOR]]="","",IF(Tabela8[[#This Row],[SETOR]]&lt;200,"GV 10",IF(Tabela8[[#This Row],[SETOR]]&lt;300,"GV 20",IF(Tabela8[[#This Row],[SETOR]]&lt;400,"GV 30","S/GV"))))</f>
        <v>GV 30</v>
      </c>
      <c r="E1221" t="s">
        <v>123</v>
      </c>
      <c r="G1221" t="str">
        <f>_xlfn.CONCAT(Tabela9[[#This Row],[Coluna1]],Tabela9[[#This Row],[Coluna2]])</f>
        <v>20-Rota</v>
      </c>
    </row>
    <row r="1222" spans="1:7" x14ac:dyDescent="0.25">
      <c r="A1222">
        <v>9599</v>
      </c>
      <c r="B1222">
        <v>907</v>
      </c>
      <c r="C1222" s="1" t="str">
        <f>IF(Tabela8[[#This Row],[SETOR]]="","",IF(Tabela8[[#This Row],[SETOR]]&lt;200,"GV 10",IF(Tabela8[[#This Row],[SETOR]]&lt;300,"GV 20",IF(Tabela8[[#This Row],[SETOR]]&lt;400,"GV 30","S/GV"))))</f>
        <v>S/GV</v>
      </c>
      <c r="G1222" t="str">
        <f>_xlfn.CONCAT(Tabela9[[#This Row],[Coluna1]],Tabela9[[#This Row],[Coluna2]])</f>
        <v/>
      </c>
    </row>
    <row r="1223" spans="1:7" x14ac:dyDescent="0.25">
      <c r="A1223">
        <v>9600</v>
      </c>
      <c r="B1223">
        <v>907</v>
      </c>
      <c r="C1223" s="1" t="str">
        <f>IF(Tabela8[[#This Row],[SETOR]]="","",IF(Tabela8[[#This Row],[SETOR]]&lt;200,"GV 10",IF(Tabela8[[#This Row],[SETOR]]&lt;300,"GV 20",IF(Tabela8[[#This Row],[SETOR]]&lt;400,"GV 30","S/GV"))))</f>
        <v>S/GV</v>
      </c>
      <c r="G1223" t="str">
        <f>_xlfn.CONCAT(Tabela9[[#This Row],[Coluna1]],Tabela9[[#This Row],[Coluna2]])</f>
        <v/>
      </c>
    </row>
    <row r="1224" spans="1:7" x14ac:dyDescent="0.25">
      <c r="A1224">
        <v>9612</v>
      </c>
      <c r="B1224">
        <v>206</v>
      </c>
      <c r="C1224" s="1" t="str">
        <f>IF(Tabela8[[#This Row],[SETOR]]="","",IF(Tabela8[[#This Row],[SETOR]]&lt;200,"GV 10",IF(Tabela8[[#This Row],[SETOR]]&lt;300,"GV 20",IF(Tabela8[[#This Row],[SETOR]]&lt;400,"GV 30","S/GV"))))</f>
        <v>GV 20</v>
      </c>
      <c r="E1224" t="s">
        <v>123</v>
      </c>
      <c r="G1224" t="str">
        <f>_xlfn.CONCAT(Tabela9[[#This Row],[Coluna1]],Tabela9[[#This Row],[Coluna2]])</f>
        <v>20-Rota</v>
      </c>
    </row>
    <row r="1225" spans="1:7" x14ac:dyDescent="0.25">
      <c r="A1225">
        <v>9614</v>
      </c>
      <c r="B1225">
        <v>204</v>
      </c>
      <c r="C1225" s="1" t="str">
        <f>IF(Tabela8[[#This Row],[SETOR]]="","",IF(Tabela8[[#This Row],[SETOR]]&lt;200,"GV 10",IF(Tabela8[[#This Row],[SETOR]]&lt;300,"GV 20",IF(Tabela8[[#This Row],[SETOR]]&lt;400,"GV 30","S/GV"))))</f>
        <v>GV 20</v>
      </c>
      <c r="E1225" t="s">
        <v>125</v>
      </c>
      <c r="G1225" t="str">
        <f>_xlfn.CONCAT(Tabela9[[#This Row],[Coluna1]],Tabela9[[#This Row],[Coluna2]])</f>
        <v>18-TRAD</v>
      </c>
    </row>
    <row r="1226" spans="1:7" x14ac:dyDescent="0.25">
      <c r="A1226">
        <v>9616</v>
      </c>
      <c r="B1226">
        <v>201</v>
      </c>
      <c r="C1226" s="1" t="str">
        <f>IF(Tabela8[[#This Row],[SETOR]]="","",IF(Tabela8[[#This Row],[SETOR]]&lt;200,"GV 10",IF(Tabela8[[#This Row],[SETOR]]&lt;300,"GV 20",IF(Tabela8[[#This Row],[SETOR]]&lt;400,"GV 30","S/GV"))))</f>
        <v>GV 20</v>
      </c>
      <c r="E1226" t="s">
        <v>125</v>
      </c>
      <c r="G1226" t="str">
        <f>_xlfn.CONCAT(Tabela9[[#This Row],[Coluna1]],Tabela9[[#This Row],[Coluna2]])</f>
        <v>18-TRAD</v>
      </c>
    </row>
    <row r="1227" spans="1:7" x14ac:dyDescent="0.25">
      <c r="A1227">
        <v>9626</v>
      </c>
      <c r="B1227">
        <v>204</v>
      </c>
      <c r="C1227" s="1" t="str">
        <f>IF(Tabela8[[#This Row],[SETOR]]="","",IF(Tabela8[[#This Row],[SETOR]]&lt;200,"GV 10",IF(Tabela8[[#This Row],[SETOR]]&lt;300,"GV 20",IF(Tabela8[[#This Row],[SETOR]]&lt;400,"GV 30","S/GV"))))</f>
        <v>GV 20</v>
      </c>
      <c r="E1227" t="s">
        <v>125</v>
      </c>
      <c r="G1227" t="str">
        <f>_xlfn.CONCAT(Tabela9[[#This Row],[Coluna1]],Tabela9[[#This Row],[Coluna2]])</f>
        <v>18-TRAD</v>
      </c>
    </row>
    <row r="1228" spans="1:7" x14ac:dyDescent="0.25">
      <c r="A1228">
        <v>9640</v>
      </c>
      <c r="B1228">
        <v>307</v>
      </c>
      <c r="C1228" s="1" t="str">
        <f>IF(Tabela8[[#This Row],[SETOR]]="","",IF(Tabela8[[#This Row],[SETOR]]&lt;200,"GV 10",IF(Tabela8[[#This Row],[SETOR]]&lt;300,"GV 20",IF(Tabela8[[#This Row],[SETOR]]&lt;400,"GV 30","S/GV"))))</f>
        <v>GV 30</v>
      </c>
      <c r="E1228" t="s">
        <v>130</v>
      </c>
      <c r="G1228" t="str">
        <f>_xlfn.CONCAT(Tabela9[[#This Row],[Coluna1]],Tabela9[[#This Row],[Coluna2]])</f>
        <v>21-SUB</v>
      </c>
    </row>
    <row r="1229" spans="1:7" x14ac:dyDescent="0.25">
      <c r="A1229">
        <v>9646</v>
      </c>
      <c r="B1229">
        <v>306</v>
      </c>
      <c r="C1229" s="1" t="str">
        <f>IF(Tabela8[[#This Row],[SETOR]]="","",IF(Tabela8[[#This Row],[SETOR]]&lt;200,"GV 10",IF(Tabela8[[#This Row],[SETOR]]&lt;300,"GV 20",IF(Tabela8[[#This Row],[SETOR]]&lt;400,"GV 30","S/GV"))))</f>
        <v>GV 30</v>
      </c>
      <c r="E1229" t="s">
        <v>125</v>
      </c>
      <c r="G1229" t="str">
        <f>_xlfn.CONCAT(Tabela9[[#This Row],[Coluna1]],Tabela9[[#This Row],[Coluna2]])</f>
        <v>18-TRAD</v>
      </c>
    </row>
    <row r="1230" spans="1:7" x14ac:dyDescent="0.25">
      <c r="A1230">
        <v>9647</v>
      </c>
      <c r="B1230">
        <v>205</v>
      </c>
      <c r="C1230" s="1" t="str">
        <f>IF(Tabela8[[#This Row],[SETOR]]="","",IF(Tabela8[[#This Row],[SETOR]]&lt;200,"GV 10",IF(Tabela8[[#This Row],[SETOR]]&lt;300,"GV 20",IF(Tabela8[[#This Row],[SETOR]]&lt;400,"GV 30","S/GV"))))</f>
        <v>GV 20</v>
      </c>
      <c r="E1230" t="s">
        <v>123</v>
      </c>
      <c r="G1230" t="str">
        <f>_xlfn.CONCAT(Tabela9[[#This Row],[Coluna1]],Tabela9[[#This Row],[Coluna2]])</f>
        <v>20-Rota</v>
      </c>
    </row>
    <row r="1231" spans="1:7" x14ac:dyDescent="0.25">
      <c r="A1231">
        <v>9651</v>
      </c>
      <c r="B1231">
        <v>204</v>
      </c>
      <c r="C1231" s="1" t="str">
        <f>IF(Tabela8[[#This Row],[SETOR]]="","",IF(Tabela8[[#This Row],[SETOR]]&lt;200,"GV 10",IF(Tabela8[[#This Row],[SETOR]]&lt;300,"GV 20",IF(Tabela8[[#This Row],[SETOR]]&lt;400,"GV 30","S/GV"))))</f>
        <v>GV 20</v>
      </c>
      <c r="E1231" t="s">
        <v>123</v>
      </c>
      <c r="G1231" t="str">
        <f>_xlfn.CONCAT(Tabela9[[#This Row],[Coluna1]],Tabela9[[#This Row],[Coluna2]])</f>
        <v>20-Rota</v>
      </c>
    </row>
    <row r="1232" spans="1:7" x14ac:dyDescent="0.25">
      <c r="A1232">
        <v>9652</v>
      </c>
      <c r="B1232">
        <v>306</v>
      </c>
      <c r="C1232" s="1" t="str">
        <f>IF(Tabela8[[#This Row],[SETOR]]="","",IF(Tabela8[[#This Row],[SETOR]]&lt;200,"GV 10",IF(Tabela8[[#This Row],[SETOR]]&lt;300,"GV 20",IF(Tabela8[[#This Row],[SETOR]]&lt;400,"GV 30","S/GV"))))</f>
        <v>GV 30</v>
      </c>
      <c r="E1232" t="s">
        <v>125</v>
      </c>
      <c r="G1232" t="str">
        <f>_xlfn.CONCAT(Tabela9[[#This Row],[Coluna1]],Tabela9[[#This Row],[Coluna2]])</f>
        <v>18-TRAD</v>
      </c>
    </row>
    <row r="1233" spans="1:7" x14ac:dyDescent="0.25">
      <c r="A1233">
        <v>9656</v>
      </c>
      <c r="B1233">
        <v>301</v>
      </c>
      <c r="C1233" s="1" t="str">
        <f>IF(Tabela8[[#This Row],[SETOR]]="","",IF(Tabela8[[#This Row],[SETOR]]&lt;200,"GV 10",IF(Tabela8[[#This Row],[SETOR]]&lt;300,"GV 20",IF(Tabela8[[#This Row],[SETOR]]&lt;400,"GV 30","S/GV"))))</f>
        <v>GV 30</v>
      </c>
      <c r="E1233" t="s">
        <v>124</v>
      </c>
      <c r="G1233" t="str">
        <f>_xlfn.CONCAT(Tabela9[[#This Row],[Coluna1]],Tabela9[[#This Row],[Coluna2]])</f>
        <v>19-VIP</v>
      </c>
    </row>
    <row r="1234" spans="1:7" x14ac:dyDescent="0.25">
      <c r="A1234">
        <v>9663</v>
      </c>
      <c r="B1234">
        <v>207</v>
      </c>
      <c r="C1234" s="1" t="str">
        <f>IF(Tabela8[[#This Row],[SETOR]]="","",IF(Tabela8[[#This Row],[SETOR]]&lt;200,"GV 10",IF(Tabela8[[#This Row],[SETOR]]&lt;300,"GV 20",IF(Tabela8[[#This Row],[SETOR]]&lt;400,"GV 30","S/GV"))))</f>
        <v>GV 20</v>
      </c>
      <c r="E1234" t="s">
        <v>130</v>
      </c>
      <c r="G1234" t="str">
        <f>_xlfn.CONCAT(Tabela9[[#This Row],[Coluna1]],Tabela9[[#This Row],[Coluna2]])</f>
        <v>21-SUB</v>
      </c>
    </row>
    <row r="1235" spans="1:7" x14ac:dyDescent="0.25">
      <c r="A1235">
        <v>9666</v>
      </c>
      <c r="B1235">
        <v>107</v>
      </c>
      <c r="C1235" s="1" t="str">
        <f>IF(Tabela8[[#This Row],[SETOR]]="","",IF(Tabela8[[#This Row],[SETOR]]&lt;200,"GV 10",IF(Tabela8[[#This Row],[SETOR]]&lt;300,"GV 20",IF(Tabela8[[#This Row],[SETOR]]&lt;400,"GV 30","S/GV"))))</f>
        <v>GV 10</v>
      </c>
      <c r="E1235" t="s">
        <v>125</v>
      </c>
      <c r="G1235" t="str">
        <f>_xlfn.CONCAT(Tabela9[[#This Row],[Coluna1]],Tabela9[[#This Row],[Coluna2]])</f>
        <v>18-TRAD</v>
      </c>
    </row>
    <row r="1236" spans="1:7" x14ac:dyDescent="0.25">
      <c r="A1236">
        <v>9668</v>
      </c>
      <c r="B1236">
        <v>109</v>
      </c>
      <c r="C1236" s="1" t="str">
        <f>IF(Tabela8[[#This Row],[SETOR]]="","",IF(Tabela8[[#This Row],[SETOR]]&lt;200,"GV 10",IF(Tabela8[[#This Row],[SETOR]]&lt;300,"GV 20",IF(Tabela8[[#This Row],[SETOR]]&lt;400,"GV 30","S/GV"))))</f>
        <v>GV 10</v>
      </c>
      <c r="E1236" t="s">
        <v>123</v>
      </c>
      <c r="G1236" t="str">
        <f>_xlfn.CONCAT(Tabela9[[#This Row],[Coluna1]],Tabela9[[#This Row],[Coluna2]])</f>
        <v>20-Rota</v>
      </c>
    </row>
    <row r="1237" spans="1:7" x14ac:dyDescent="0.25">
      <c r="A1237">
        <v>9679</v>
      </c>
      <c r="B1237">
        <v>102</v>
      </c>
      <c r="C1237" s="1" t="str">
        <f>IF(Tabela8[[#This Row],[SETOR]]="","",IF(Tabela8[[#This Row],[SETOR]]&lt;200,"GV 10",IF(Tabela8[[#This Row],[SETOR]]&lt;300,"GV 20",IF(Tabela8[[#This Row],[SETOR]]&lt;400,"GV 30","S/GV"))))</f>
        <v>GV 10</v>
      </c>
      <c r="E1237" t="s">
        <v>123</v>
      </c>
      <c r="G1237" t="str">
        <f>_xlfn.CONCAT(Tabela9[[#This Row],[Coluna1]],Tabela9[[#This Row],[Coluna2]])</f>
        <v>20-Rota</v>
      </c>
    </row>
    <row r="1238" spans="1:7" x14ac:dyDescent="0.25">
      <c r="A1238">
        <v>9681</v>
      </c>
      <c r="B1238">
        <v>304</v>
      </c>
      <c r="C1238" s="1" t="str">
        <f>IF(Tabela8[[#This Row],[SETOR]]="","",IF(Tabela8[[#This Row],[SETOR]]&lt;200,"GV 10",IF(Tabela8[[#This Row],[SETOR]]&lt;300,"GV 20",IF(Tabela8[[#This Row],[SETOR]]&lt;400,"GV 30","S/GV"))))</f>
        <v>GV 30</v>
      </c>
      <c r="E1238" t="s">
        <v>123</v>
      </c>
      <c r="G1238" t="str">
        <f>_xlfn.CONCAT(Tabela9[[#This Row],[Coluna1]],Tabela9[[#This Row],[Coluna2]])</f>
        <v>20-Rota</v>
      </c>
    </row>
    <row r="1239" spans="1:7" x14ac:dyDescent="0.25">
      <c r="A1239">
        <v>9684</v>
      </c>
      <c r="B1239">
        <v>105</v>
      </c>
      <c r="C1239" s="1" t="str">
        <f>IF(Tabela8[[#This Row],[SETOR]]="","",IF(Tabela8[[#This Row],[SETOR]]&lt;200,"GV 10",IF(Tabela8[[#This Row],[SETOR]]&lt;300,"GV 20",IF(Tabela8[[#This Row],[SETOR]]&lt;400,"GV 30","S/GV"))))</f>
        <v>GV 10</v>
      </c>
      <c r="E1239" t="s">
        <v>123</v>
      </c>
      <c r="G1239" t="str">
        <f>_xlfn.CONCAT(Tabela9[[#This Row],[Coluna1]],Tabela9[[#This Row],[Coluna2]])</f>
        <v>20-Rota</v>
      </c>
    </row>
    <row r="1240" spans="1:7" x14ac:dyDescent="0.25">
      <c r="A1240">
        <v>9687</v>
      </c>
      <c r="B1240">
        <v>303</v>
      </c>
      <c r="C1240" s="1" t="str">
        <f>IF(Tabela8[[#This Row],[SETOR]]="","",IF(Tabela8[[#This Row],[SETOR]]&lt;200,"GV 10",IF(Tabela8[[#This Row],[SETOR]]&lt;300,"GV 20",IF(Tabela8[[#This Row],[SETOR]]&lt;400,"GV 30","S/GV"))))</f>
        <v>GV 30</v>
      </c>
      <c r="E1240" t="s">
        <v>123</v>
      </c>
      <c r="G1240" t="str">
        <f>_xlfn.CONCAT(Tabela9[[#This Row],[Coluna1]],Tabela9[[#This Row],[Coluna2]])</f>
        <v>20-Rota</v>
      </c>
    </row>
    <row r="1241" spans="1:7" x14ac:dyDescent="0.25">
      <c r="A1241">
        <v>9692</v>
      </c>
      <c r="B1241">
        <v>203</v>
      </c>
      <c r="C1241" s="1" t="str">
        <f>IF(Tabela8[[#This Row],[SETOR]]="","",IF(Tabela8[[#This Row],[SETOR]]&lt;200,"GV 10",IF(Tabela8[[#This Row],[SETOR]]&lt;300,"GV 20",IF(Tabela8[[#This Row],[SETOR]]&lt;400,"GV 30","S/GV"))))</f>
        <v>GV 20</v>
      </c>
      <c r="E1241" t="s">
        <v>123</v>
      </c>
      <c r="G1241" t="str">
        <f>_xlfn.CONCAT(Tabela9[[#This Row],[Coluna1]],Tabela9[[#This Row],[Coluna2]])</f>
        <v>20-Rota</v>
      </c>
    </row>
    <row r="1242" spans="1:7" x14ac:dyDescent="0.25">
      <c r="A1242">
        <v>9696</v>
      </c>
      <c r="B1242">
        <v>302</v>
      </c>
      <c r="C1242" s="1" t="str">
        <f>IF(Tabela8[[#This Row],[SETOR]]="","",IF(Tabela8[[#This Row],[SETOR]]&lt;200,"GV 10",IF(Tabela8[[#This Row],[SETOR]]&lt;300,"GV 20",IF(Tabela8[[#This Row],[SETOR]]&lt;400,"GV 30","S/GV"))))</f>
        <v>GV 30</v>
      </c>
      <c r="E1242" t="s">
        <v>123</v>
      </c>
      <c r="G1242" t="str">
        <f>_xlfn.CONCAT(Tabela9[[#This Row],[Coluna1]],Tabela9[[#This Row],[Coluna2]])</f>
        <v>20-Rota</v>
      </c>
    </row>
    <row r="1243" spans="1:7" x14ac:dyDescent="0.25">
      <c r="A1243">
        <v>9701</v>
      </c>
      <c r="B1243">
        <v>104</v>
      </c>
      <c r="C1243" s="1" t="str">
        <f>IF(Tabela8[[#This Row],[SETOR]]="","",IF(Tabela8[[#This Row],[SETOR]]&lt;200,"GV 10",IF(Tabela8[[#This Row],[SETOR]]&lt;300,"GV 20",IF(Tabela8[[#This Row],[SETOR]]&lt;400,"GV 30","S/GV"))))</f>
        <v>GV 10</v>
      </c>
      <c r="E1243" t="s">
        <v>123</v>
      </c>
      <c r="G1243" t="str">
        <f>_xlfn.CONCAT(Tabela9[[#This Row],[Coluna1]],Tabela9[[#This Row],[Coluna2]])</f>
        <v>20-Rota</v>
      </c>
    </row>
    <row r="1244" spans="1:7" x14ac:dyDescent="0.25">
      <c r="A1244">
        <v>9702</v>
      </c>
      <c r="B1244">
        <v>302</v>
      </c>
      <c r="C1244" s="1" t="str">
        <f>IF(Tabela8[[#This Row],[SETOR]]="","",IF(Tabela8[[#This Row],[SETOR]]&lt;200,"GV 10",IF(Tabela8[[#This Row],[SETOR]]&lt;300,"GV 20",IF(Tabela8[[#This Row],[SETOR]]&lt;400,"GV 30","S/GV"))))</f>
        <v>GV 30</v>
      </c>
      <c r="E1244" t="s">
        <v>123</v>
      </c>
      <c r="G1244" t="str">
        <f>_xlfn.CONCAT(Tabela9[[#This Row],[Coluna1]],Tabela9[[#This Row],[Coluna2]])</f>
        <v>20-Rota</v>
      </c>
    </row>
    <row r="1245" spans="1:7" x14ac:dyDescent="0.25">
      <c r="A1245">
        <v>9705</v>
      </c>
      <c r="B1245">
        <v>201</v>
      </c>
      <c r="C1245" s="1" t="str">
        <f>IF(Tabela8[[#This Row],[SETOR]]="","",IF(Tabela8[[#This Row],[SETOR]]&lt;200,"GV 10",IF(Tabela8[[#This Row],[SETOR]]&lt;300,"GV 20",IF(Tabela8[[#This Row],[SETOR]]&lt;400,"GV 30","S/GV"))))</f>
        <v>GV 20</v>
      </c>
      <c r="E1245" t="s">
        <v>123</v>
      </c>
      <c r="G1245" t="str">
        <f>_xlfn.CONCAT(Tabela9[[#This Row],[Coluna1]],Tabela9[[#This Row],[Coluna2]])</f>
        <v>20-Rota</v>
      </c>
    </row>
    <row r="1246" spans="1:7" x14ac:dyDescent="0.25">
      <c r="A1246">
        <v>9718</v>
      </c>
      <c r="B1246">
        <v>206</v>
      </c>
      <c r="C1246" s="1" t="str">
        <f>IF(Tabela8[[#This Row],[SETOR]]="","",IF(Tabela8[[#This Row],[SETOR]]&lt;200,"GV 10",IF(Tabela8[[#This Row],[SETOR]]&lt;300,"GV 20",IF(Tabela8[[#This Row],[SETOR]]&lt;400,"GV 30","S/GV"))))</f>
        <v>GV 20</v>
      </c>
      <c r="E1246" t="s">
        <v>123</v>
      </c>
      <c r="G1246" t="str">
        <f>_xlfn.CONCAT(Tabela9[[#This Row],[Coluna1]],Tabela9[[#This Row],[Coluna2]])</f>
        <v>20-Rota</v>
      </c>
    </row>
    <row r="1247" spans="1:7" x14ac:dyDescent="0.25">
      <c r="A1247">
        <v>9719</v>
      </c>
      <c r="B1247">
        <v>302</v>
      </c>
      <c r="C1247" s="1" t="str">
        <f>IF(Tabela8[[#This Row],[SETOR]]="","",IF(Tabela8[[#This Row],[SETOR]]&lt;200,"GV 10",IF(Tabela8[[#This Row],[SETOR]]&lt;300,"GV 20",IF(Tabela8[[#This Row],[SETOR]]&lt;400,"GV 30","S/GV"))))</f>
        <v>GV 30</v>
      </c>
      <c r="E1247" t="s">
        <v>123</v>
      </c>
      <c r="G1247" t="str">
        <f>_xlfn.CONCAT(Tabela9[[#This Row],[Coluna1]],Tabela9[[#This Row],[Coluna2]])</f>
        <v>20-Rota</v>
      </c>
    </row>
    <row r="1248" spans="1:7" x14ac:dyDescent="0.25">
      <c r="A1248">
        <v>9741</v>
      </c>
      <c r="B1248">
        <v>302</v>
      </c>
      <c r="C1248" s="1" t="str">
        <f>IF(Tabela8[[#This Row],[SETOR]]="","",IF(Tabela8[[#This Row],[SETOR]]&lt;200,"GV 10",IF(Tabela8[[#This Row],[SETOR]]&lt;300,"GV 20",IF(Tabela8[[#This Row],[SETOR]]&lt;400,"GV 30","S/GV"))))</f>
        <v>GV 30</v>
      </c>
      <c r="E1248" t="s">
        <v>123</v>
      </c>
      <c r="G1248" t="str">
        <f>_xlfn.CONCAT(Tabela9[[#This Row],[Coluna1]],Tabela9[[#This Row],[Coluna2]])</f>
        <v>20-Rota</v>
      </c>
    </row>
    <row r="1249" spans="1:7" x14ac:dyDescent="0.25">
      <c r="A1249">
        <v>9743</v>
      </c>
      <c r="B1249">
        <v>303</v>
      </c>
      <c r="C1249" s="1" t="str">
        <f>IF(Tabela8[[#This Row],[SETOR]]="","",IF(Tabela8[[#This Row],[SETOR]]&lt;200,"GV 10",IF(Tabela8[[#This Row],[SETOR]]&lt;300,"GV 20",IF(Tabela8[[#This Row],[SETOR]]&lt;400,"GV 30","S/GV"))))</f>
        <v>GV 30</v>
      </c>
      <c r="E1249" t="s">
        <v>123</v>
      </c>
      <c r="G1249" t="str">
        <f>_xlfn.CONCAT(Tabela9[[#This Row],[Coluna1]],Tabela9[[#This Row],[Coluna2]])</f>
        <v>20-Rota</v>
      </c>
    </row>
    <row r="1250" spans="1:7" x14ac:dyDescent="0.25">
      <c r="A1250">
        <v>9747</v>
      </c>
      <c r="B1250">
        <v>301</v>
      </c>
      <c r="C1250" s="1" t="str">
        <f>IF(Tabela8[[#This Row],[SETOR]]="","",IF(Tabela8[[#This Row],[SETOR]]&lt;200,"GV 10",IF(Tabela8[[#This Row],[SETOR]]&lt;300,"GV 20",IF(Tabela8[[#This Row],[SETOR]]&lt;400,"GV 30","S/GV"))))</f>
        <v>GV 30</v>
      </c>
      <c r="E1250" t="s">
        <v>123</v>
      </c>
      <c r="G1250" t="str">
        <f>_xlfn.CONCAT(Tabela9[[#This Row],[Coluna1]],Tabela9[[#This Row],[Coluna2]])</f>
        <v>20-Rota</v>
      </c>
    </row>
    <row r="1251" spans="1:7" x14ac:dyDescent="0.25">
      <c r="A1251">
        <v>9757</v>
      </c>
      <c r="B1251">
        <v>303</v>
      </c>
      <c r="C1251" s="1" t="str">
        <f>IF(Tabela8[[#This Row],[SETOR]]="","",IF(Tabela8[[#This Row],[SETOR]]&lt;200,"GV 10",IF(Tabela8[[#This Row],[SETOR]]&lt;300,"GV 20",IF(Tabela8[[#This Row],[SETOR]]&lt;400,"GV 30","S/GV"))))</f>
        <v>GV 30</v>
      </c>
      <c r="E1251" t="s">
        <v>123</v>
      </c>
      <c r="G1251" t="str">
        <f>_xlfn.CONCAT(Tabela9[[#This Row],[Coluna1]],Tabela9[[#This Row],[Coluna2]])</f>
        <v>20-Rota</v>
      </c>
    </row>
    <row r="1252" spans="1:7" x14ac:dyDescent="0.25">
      <c r="A1252">
        <v>9761</v>
      </c>
      <c r="B1252">
        <v>102</v>
      </c>
      <c r="C1252" s="1" t="str">
        <f>IF(Tabela8[[#This Row],[SETOR]]="","",IF(Tabela8[[#This Row],[SETOR]]&lt;200,"GV 10",IF(Tabela8[[#This Row],[SETOR]]&lt;300,"GV 20",IF(Tabela8[[#This Row],[SETOR]]&lt;400,"GV 30","S/GV"))))</f>
        <v>GV 10</v>
      </c>
      <c r="E1252" t="s">
        <v>123</v>
      </c>
      <c r="G1252" t="str">
        <f>_xlfn.CONCAT(Tabela9[[#This Row],[Coluna1]],Tabela9[[#This Row],[Coluna2]])</f>
        <v>20-Rota</v>
      </c>
    </row>
    <row r="1253" spans="1:7" x14ac:dyDescent="0.25">
      <c r="A1253">
        <v>9764</v>
      </c>
      <c r="B1253">
        <v>306</v>
      </c>
      <c r="C1253" s="1" t="str">
        <f>IF(Tabela8[[#This Row],[SETOR]]="","",IF(Tabela8[[#This Row],[SETOR]]&lt;200,"GV 10",IF(Tabela8[[#This Row],[SETOR]]&lt;300,"GV 20",IF(Tabela8[[#This Row],[SETOR]]&lt;400,"GV 30","S/GV"))))</f>
        <v>GV 30</v>
      </c>
      <c r="E1253" t="s">
        <v>125</v>
      </c>
      <c r="G1253" t="str">
        <f>_xlfn.CONCAT(Tabela9[[#This Row],[Coluna1]],Tabela9[[#This Row],[Coluna2]])</f>
        <v>18-TRAD</v>
      </c>
    </row>
    <row r="1254" spans="1:7" x14ac:dyDescent="0.25">
      <c r="A1254">
        <v>9768</v>
      </c>
      <c r="B1254">
        <v>303</v>
      </c>
      <c r="C1254" s="1" t="str">
        <f>IF(Tabela8[[#This Row],[SETOR]]="","",IF(Tabela8[[#This Row],[SETOR]]&lt;200,"GV 10",IF(Tabela8[[#This Row],[SETOR]]&lt;300,"GV 20",IF(Tabela8[[#This Row],[SETOR]]&lt;400,"GV 30","S/GV"))))</f>
        <v>GV 30</v>
      </c>
      <c r="E1254" t="s">
        <v>123</v>
      </c>
      <c r="G1254" t="str">
        <f>_xlfn.CONCAT(Tabela9[[#This Row],[Coluna1]],Tabela9[[#This Row],[Coluna2]])</f>
        <v>20-Rota</v>
      </c>
    </row>
    <row r="1255" spans="1:7" x14ac:dyDescent="0.25">
      <c r="A1255">
        <v>9772</v>
      </c>
      <c r="B1255">
        <v>306</v>
      </c>
      <c r="C1255" s="1" t="str">
        <f>IF(Tabela8[[#This Row],[SETOR]]="","",IF(Tabela8[[#This Row],[SETOR]]&lt;200,"GV 10",IF(Tabela8[[#This Row],[SETOR]]&lt;300,"GV 20",IF(Tabela8[[#This Row],[SETOR]]&lt;400,"GV 30","S/GV"))))</f>
        <v>GV 30</v>
      </c>
      <c r="E1255" t="s">
        <v>125</v>
      </c>
      <c r="G1255" t="str">
        <f>_xlfn.CONCAT(Tabela9[[#This Row],[Coluna1]],Tabela9[[#This Row],[Coluna2]])</f>
        <v>18-TRAD</v>
      </c>
    </row>
    <row r="1256" spans="1:7" x14ac:dyDescent="0.25">
      <c r="A1256">
        <v>9774</v>
      </c>
      <c r="B1256">
        <v>101</v>
      </c>
      <c r="C1256" s="1" t="str">
        <f>IF(Tabela8[[#This Row],[SETOR]]="","",IF(Tabela8[[#This Row],[SETOR]]&lt;200,"GV 10",IF(Tabela8[[#This Row],[SETOR]]&lt;300,"GV 20",IF(Tabela8[[#This Row],[SETOR]]&lt;400,"GV 30","S/GV"))))</f>
        <v>GV 10</v>
      </c>
      <c r="E1256" t="s">
        <v>123</v>
      </c>
      <c r="G1256" t="str">
        <f>_xlfn.CONCAT(Tabela9[[#This Row],[Coluna1]],Tabela9[[#This Row],[Coluna2]])</f>
        <v>20-Rota</v>
      </c>
    </row>
    <row r="1257" spans="1:7" x14ac:dyDescent="0.25">
      <c r="A1257">
        <v>9776</v>
      </c>
      <c r="B1257">
        <v>202</v>
      </c>
      <c r="C1257" s="1" t="str">
        <f>IF(Tabela8[[#This Row],[SETOR]]="","",IF(Tabela8[[#This Row],[SETOR]]&lt;200,"GV 10",IF(Tabela8[[#This Row],[SETOR]]&lt;300,"GV 20",IF(Tabela8[[#This Row],[SETOR]]&lt;400,"GV 30","S/GV"))))</f>
        <v>GV 20</v>
      </c>
      <c r="E1257" t="s">
        <v>123</v>
      </c>
      <c r="G1257" t="str">
        <f>_xlfn.CONCAT(Tabela9[[#This Row],[Coluna1]],Tabela9[[#This Row],[Coluna2]])</f>
        <v>20-Rota</v>
      </c>
    </row>
    <row r="1258" spans="1:7" x14ac:dyDescent="0.25">
      <c r="A1258">
        <v>9783</v>
      </c>
      <c r="B1258">
        <v>201</v>
      </c>
      <c r="C1258" s="1" t="str">
        <f>IF(Tabela8[[#This Row],[SETOR]]="","",IF(Tabela8[[#This Row],[SETOR]]&lt;200,"GV 10",IF(Tabela8[[#This Row],[SETOR]]&lt;300,"GV 20",IF(Tabela8[[#This Row],[SETOR]]&lt;400,"GV 30","S/GV"))))</f>
        <v>GV 20</v>
      </c>
      <c r="E1258" t="s">
        <v>123</v>
      </c>
      <c r="G1258" t="str">
        <f>_xlfn.CONCAT(Tabela9[[#This Row],[Coluna1]],Tabela9[[#This Row],[Coluna2]])</f>
        <v>20-Rota</v>
      </c>
    </row>
    <row r="1259" spans="1:7" x14ac:dyDescent="0.25">
      <c r="A1259">
        <v>9785</v>
      </c>
      <c r="B1259">
        <v>109</v>
      </c>
      <c r="C1259" s="1" t="str">
        <f>IF(Tabela8[[#This Row],[SETOR]]="","",IF(Tabela8[[#This Row],[SETOR]]&lt;200,"GV 10",IF(Tabela8[[#This Row],[SETOR]]&lt;300,"GV 20",IF(Tabela8[[#This Row],[SETOR]]&lt;400,"GV 30","S/GV"))))</f>
        <v>GV 10</v>
      </c>
      <c r="E1259" t="s">
        <v>123</v>
      </c>
      <c r="G1259" t="str">
        <f>_xlfn.CONCAT(Tabela9[[#This Row],[Coluna1]],Tabela9[[#This Row],[Coluna2]])</f>
        <v>20-Rota</v>
      </c>
    </row>
    <row r="1260" spans="1:7" x14ac:dyDescent="0.25">
      <c r="A1260">
        <v>9795</v>
      </c>
      <c r="B1260">
        <v>103</v>
      </c>
      <c r="C1260" s="1" t="str">
        <f>IF(Tabela8[[#This Row],[SETOR]]="","",IF(Tabela8[[#This Row],[SETOR]]&lt;200,"GV 10",IF(Tabela8[[#This Row],[SETOR]]&lt;300,"GV 20",IF(Tabela8[[#This Row],[SETOR]]&lt;400,"GV 30","S/GV"))))</f>
        <v>GV 10</v>
      </c>
      <c r="E1260" t="s">
        <v>123</v>
      </c>
      <c r="G1260" t="str">
        <f>_xlfn.CONCAT(Tabela9[[#This Row],[Coluna1]],Tabela9[[#This Row],[Coluna2]])</f>
        <v>20-Rota</v>
      </c>
    </row>
    <row r="1261" spans="1:7" x14ac:dyDescent="0.25">
      <c r="A1261">
        <v>9808</v>
      </c>
      <c r="B1261">
        <v>109</v>
      </c>
      <c r="C1261" s="1" t="str">
        <f>IF(Tabela8[[#This Row],[SETOR]]="","",IF(Tabela8[[#This Row],[SETOR]]&lt;200,"GV 10",IF(Tabela8[[#This Row],[SETOR]]&lt;300,"GV 20",IF(Tabela8[[#This Row],[SETOR]]&lt;400,"GV 30","S/GV"))))</f>
        <v>GV 10</v>
      </c>
      <c r="E1261" t="s">
        <v>123</v>
      </c>
      <c r="G1261" t="str">
        <f>_xlfn.CONCAT(Tabela9[[#This Row],[Coluna1]],Tabela9[[#This Row],[Coluna2]])</f>
        <v>20-Rota</v>
      </c>
    </row>
    <row r="1262" spans="1:7" x14ac:dyDescent="0.25">
      <c r="A1262">
        <v>9810</v>
      </c>
      <c r="B1262">
        <v>205</v>
      </c>
      <c r="C1262" s="1" t="str">
        <f>IF(Tabela8[[#This Row],[SETOR]]="","",IF(Tabela8[[#This Row],[SETOR]]&lt;200,"GV 10",IF(Tabela8[[#This Row],[SETOR]]&lt;300,"GV 20",IF(Tabela8[[#This Row],[SETOR]]&lt;400,"GV 30","S/GV"))))</f>
        <v>GV 20</v>
      </c>
      <c r="E1262" t="s">
        <v>123</v>
      </c>
      <c r="G1262" t="str">
        <f>_xlfn.CONCAT(Tabela9[[#This Row],[Coluna1]],Tabela9[[#This Row],[Coluna2]])</f>
        <v>20-Rota</v>
      </c>
    </row>
    <row r="1263" spans="1:7" x14ac:dyDescent="0.25">
      <c r="A1263">
        <v>9813</v>
      </c>
      <c r="B1263">
        <v>101</v>
      </c>
      <c r="C1263" s="1" t="str">
        <f>IF(Tabela8[[#This Row],[SETOR]]="","",IF(Tabela8[[#This Row],[SETOR]]&lt;200,"GV 10",IF(Tabela8[[#This Row],[SETOR]]&lt;300,"GV 20",IF(Tabela8[[#This Row],[SETOR]]&lt;400,"GV 30","S/GV"))))</f>
        <v>GV 10</v>
      </c>
      <c r="E1263" t="s">
        <v>130</v>
      </c>
      <c r="G1263" t="str">
        <f>_xlfn.CONCAT(Tabela9[[#This Row],[Coluna1]],Tabela9[[#This Row],[Coluna2]])</f>
        <v>21-SUB</v>
      </c>
    </row>
    <row r="1264" spans="1:7" x14ac:dyDescent="0.25">
      <c r="A1264">
        <v>9814</v>
      </c>
      <c r="B1264">
        <v>107</v>
      </c>
      <c r="C1264" s="1" t="str">
        <f>IF(Tabela8[[#This Row],[SETOR]]="","",IF(Tabela8[[#This Row],[SETOR]]&lt;200,"GV 10",IF(Tabela8[[#This Row],[SETOR]]&lt;300,"GV 20",IF(Tabela8[[#This Row],[SETOR]]&lt;400,"GV 30","S/GV"))))</f>
        <v>GV 10</v>
      </c>
      <c r="E1264" t="s">
        <v>125</v>
      </c>
      <c r="G1264" t="str">
        <f>_xlfn.CONCAT(Tabela9[[#This Row],[Coluna1]],Tabela9[[#This Row],[Coluna2]])</f>
        <v>18-TRAD</v>
      </c>
    </row>
    <row r="1265" spans="1:7" x14ac:dyDescent="0.25">
      <c r="A1265">
        <v>9824</v>
      </c>
      <c r="B1265">
        <v>303</v>
      </c>
      <c r="C1265" s="1" t="str">
        <f>IF(Tabela8[[#This Row],[SETOR]]="","",IF(Tabela8[[#This Row],[SETOR]]&lt;200,"GV 10",IF(Tabela8[[#This Row],[SETOR]]&lt;300,"GV 20",IF(Tabela8[[#This Row],[SETOR]]&lt;400,"GV 30","S/GV"))))</f>
        <v>GV 30</v>
      </c>
      <c r="E1265" t="s">
        <v>123</v>
      </c>
      <c r="G1265" t="str">
        <f>_xlfn.CONCAT(Tabela9[[#This Row],[Coluna1]],Tabela9[[#This Row],[Coluna2]])</f>
        <v>20-Rota</v>
      </c>
    </row>
    <row r="1266" spans="1:7" x14ac:dyDescent="0.25">
      <c r="A1266">
        <v>9825</v>
      </c>
      <c r="B1266">
        <v>105</v>
      </c>
      <c r="C1266" s="1" t="str">
        <f>IF(Tabela8[[#This Row],[SETOR]]="","",IF(Tabela8[[#This Row],[SETOR]]&lt;200,"GV 10",IF(Tabela8[[#This Row],[SETOR]]&lt;300,"GV 20",IF(Tabela8[[#This Row],[SETOR]]&lt;400,"GV 30","S/GV"))))</f>
        <v>GV 10</v>
      </c>
      <c r="E1266" t="s">
        <v>123</v>
      </c>
      <c r="G1266" t="str">
        <f>_xlfn.CONCAT(Tabela9[[#This Row],[Coluna1]],Tabela9[[#This Row],[Coluna2]])</f>
        <v>20-Rota</v>
      </c>
    </row>
    <row r="1267" spans="1:7" x14ac:dyDescent="0.25">
      <c r="A1267">
        <v>9870</v>
      </c>
      <c r="B1267">
        <v>305</v>
      </c>
      <c r="C1267" s="1" t="str">
        <f>IF(Tabela8[[#This Row],[SETOR]]="","",IF(Tabela8[[#This Row],[SETOR]]&lt;200,"GV 10",IF(Tabela8[[#This Row],[SETOR]]&lt;300,"GV 20",IF(Tabela8[[#This Row],[SETOR]]&lt;400,"GV 30","S/GV"))))</f>
        <v>GV 30</v>
      </c>
      <c r="E1267" t="s">
        <v>123</v>
      </c>
      <c r="G1267" t="str">
        <f>_xlfn.CONCAT(Tabela9[[#This Row],[Coluna1]],Tabela9[[#This Row],[Coluna2]])</f>
        <v>20-Rota</v>
      </c>
    </row>
    <row r="1268" spans="1:7" x14ac:dyDescent="0.25">
      <c r="A1268">
        <v>9878</v>
      </c>
      <c r="B1268">
        <v>916</v>
      </c>
      <c r="C1268" s="1" t="str">
        <f>IF(Tabela8[[#This Row],[SETOR]]="","",IF(Tabela8[[#This Row],[SETOR]]&lt;200,"GV 10",IF(Tabela8[[#This Row],[SETOR]]&lt;300,"GV 20",IF(Tabela8[[#This Row],[SETOR]]&lt;400,"GV 30","S/GV"))))</f>
        <v>S/GV</v>
      </c>
      <c r="G1268" t="str">
        <f>_xlfn.CONCAT(Tabela9[[#This Row],[Coluna1]],Tabela9[[#This Row],[Coluna2]])</f>
        <v/>
      </c>
    </row>
    <row r="1269" spans="1:7" x14ac:dyDescent="0.25">
      <c r="A1269">
        <v>9893</v>
      </c>
      <c r="B1269">
        <v>303</v>
      </c>
      <c r="C1269" s="1" t="str">
        <f>IF(Tabela8[[#This Row],[SETOR]]="","",IF(Tabela8[[#This Row],[SETOR]]&lt;200,"GV 10",IF(Tabela8[[#This Row],[SETOR]]&lt;300,"GV 20",IF(Tabela8[[#This Row],[SETOR]]&lt;400,"GV 30","S/GV"))))</f>
        <v>GV 30</v>
      </c>
      <c r="E1269" t="s">
        <v>125</v>
      </c>
      <c r="G1269" t="str">
        <f>_xlfn.CONCAT(Tabela9[[#This Row],[Coluna1]],Tabela9[[#This Row],[Coluna2]])</f>
        <v>18-TRAD</v>
      </c>
    </row>
    <row r="1270" spans="1:7" x14ac:dyDescent="0.25">
      <c r="A1270">
        <v>9899</v>
      </c>
      <c r="B1270">
        <v>916</v>
      </c>
      <c r="C1270" s="1" t="str">
        <f>IF(Tabela8[[#This Row],[SETOR]]="","",IF(Tabela8[[#This Row],[SETOR]]&lt;200,"GV 10",IF(Tabela8[[#This Row],[SETOR]]&lt;300,"GV 20",IF(Tabela8[[#This Row],[SETOR]]&lt;400,"GV 30","S/GV"))))</f>
        <v>S/GV</v>
      </c>
      <c r="G1270" t="str">
        <f>_xlfn.CONCAT(Tabela9[[#This Row],[Coluna1]],Tabela9[[#This Row],[Coluna2]])</f>
        <v/>
      </c>
    </row>
    <row r="1271" spans="1:7" x14ac:dyDescent="0.25">
      <c r="A1271">
        <v>9917</v>
      </c>
      <c r="B1271">
        <v>106</v>
      </c>
      <c r="C1271" s="1" t="str">
        <f>IF(Tabela8[[#This Row],[SETOR]]="","",IF(Tabela8[[#This Row],[SETOR]]&lt;200,"GV 10",IF(Tabela8[[#This Row],[SETOR]]&lt;300,"GV 20",IF(Tabela8[[#This Row],[SETOR]]&lt;400,"GV 30","S/GV"))))</f>
        <v>GV 10</v>
      </c>
      <c r="E1271" t="s">
        <v>123</v>
      </c>
      <c r="G1271" t="str">
        <f>_xlfn.CONCAT(Tabela9[[#This Row],[Coluna1]],Tabela9[[#This Row],[Coluna2]])</f>
        <v>20-Rota</v>
      </c>
    </row>
    <row r="1272" spans="1:7" x14ac:dyDescent="0.25">
      <c r="A1272">
        <v>9918</v>
      </c>
      <c r="B1272">
        <v>306</v>
      </c>
      <c r="C1272" s="1" t="str">
        <f>IF(Tabela8[[#This Row],[SETOR]]="","",IF(Tabela8[[#This Row],[SETOR]]&lt;200,"GV 10",IF(Tabela8[[#This Row],[SETOR]]&lt;300,"GV 20",IF(Tabela8[[#This Row],[SETOR]]&lt;400,"GV 30","S/GV"))))</f>
        <v>GV 30</v>
      </c>
      <c r="E1272" t="s">
        <v>128</v>
      </c>
      <c r="F1272" t="s">
        <v>129</v>
      </c>
      <c r="G1272" t="str">
        <f>_xlfn.CONCAT(Tabela9[[#This Row],[Coluna1]],Tabela9[[#This Row],[Coluna2]])</f>
        <v>15-AS(1-4)</v>
      </c>
    </row>
    <row r="1273" spans="1:7" x14ac:dyDescent="0.25">
      <c r="A1273">
        <v>9921</v>
      </c>
      <c r="B1273">
        <v>202</v>
      </c>
      <c r="C1273" s="1" t="str">
        <f>IF(Tabela8[[#This Row],[SETOR]]="","",IF(Tabela8[[#This Row],[SETOR]]&lt;200,"GV 10",IF(Tabela8[[#This Row],[SETOR]]&lt;300,"GV 20",IF(Tabela8[[#This Row],[SETOR]]&lt;400,"GV 30","S/GV"))))</f>
        <v>GV 20</v>
      </c>
      <c r="E1273" t="s">
        <v>123</v>
      </c>
      <c r="G1273" t="str">
        <f>_xlfn.CONCAT(Tabela9[[#This Row],[Coluna1]],Tabela9[[#This Row],[Coluna2]])</f>
        <v>20-Rota</v>
      </c>
    </row>
    <row r="1274" spans="1:7" x14ac:dyDescent="0.25">
      <c r="A1274">
        <v>9925</v>
      </c>
      <c r="B1274">
        <v>206</v>
      </c>
      <c r="C1274" s="1" t="str">
        <f>IF(Tabela8[[#This Row],[SETOR]]="","",IF(Tabela8[[#This Row],[SETOR]]&lt;200,"GV 10",IF(Tabela8[[#This Row],[SETOR]]&lt;300,"GV 20",IF(Tabela8[[#This Row],[SETOR]]&lt;400,"GV 30","S/GV"))))</f>
        <v>GV 20</v>
      </c>
      <c r="E1274" t="s">
        <v>123</v>
      </c>
      <c r="G1274" t="str">
        <f>_xlfn.CONCAT(Tabela9[[#This Row],[Coluna1]],Tabela9[[#This Row],[Coluna2]])</f>
        <v>20-Rota</v>
      </c>
    </row>
    <row r="1275" spans="1:7" x14ac:dyDescent="0.25">
      <c r="A1275">
        <v>9927</v>
      </c>
      <c r="B1275">
        <v>109</v>
      </c>
      <c r="C1275" s="1" t="str">
        <f>IF(Tabela8[[#This Row],[SETOR]]="","",IF(Tabela8[[#This Row],[SETOR]]&lt;200,"GV 10",IF(Tabela8[[#This Row],[SETOR]]&lt;300,"GV 20",IF(Tabela8[[#This Row],[SETOR]]&lt;400,"GV 30","S/GV"))))</f>
        <v>GV 10</v>
      </c>
      <c r="E1275" t="s">
        <v>123</v>
      </c>
      <c r="G1275" t="str">
        <f>_xlfn.CONCAT(Tabela9[[#This Row],[Coluna1]],Tabela9[[#This Row],[Coluna2]])</f>
        <v>20-Rota</v>
      </c>
    </row>
    <row r="1276" spans="1:7" x14ac:dyDescent="0.25">
      <c r="A1276">
        <v>9930</v>
      </c>
      <c r="B1276">
        <v>301</v>
      </c>
      <c r="C1276" s="1" t="str">
        <f>IF(Tabela8[[#This Row],[SETOR]]="","",IF(Tabela8[[#This Row],[SETOR]]&lt;200,"GV 10",IF(Tabela8[[#This Row],[SETOR]]&lt;300,"GV 20",IF(Tabela8[[#This Row],[SETOR]]&lt;400,"GV 30","S/GV"))))</f>
        <v>GV 30</v>
      </c>
      <c r="E1276" t="s">
        <v>123</v>
      </c>
      <c r="G1276" t="str">
        <f>_xlfn.CONCAT(Tabela9[[#This Row],[Coluna1]],Tabela9[[#This Row],[Coluna2]])</f>
        <v>20-Rota</v>
      </c>
    </row>
    <row r="1277" spans="1:7" x14ac:dyDescent="0.25">
      <c r="A1277">
        <v>9932</v>
      </c>
      <c r="B1277">
        <v>303</v>
      </c>
      <c r="C1277" s="1" t="str">
        <f>IF(Tabela8[[#This Row],[SETOR]]="","",IF(Tabela8[[#This Row],[SETOR]]&lt;200,"GV 10",IF(Tabela8[[#This Row],[SETOR]]&lt;300,"GV 20",IF(Tabela8[[#This Row],[SETOR]]&lt;400,"GV 30","S/GV"))))</f>
        <v>GV 30</v>
      </c>
      <c r="E1277" t="s">
        <v>123</v>
      </c>
      <c r="G1277" t="str">
        <f>_xlfn.CONCAT(Tabela9[[#This Row],[Coluna1]],Tabela9[[#This Row],[Coluna2]])</f>
        <v>20-Rota</v>
      </c>
    </row>
    <row r="1278" spans="1:7" x14ac:dyDescent="0.25">
      <c r="A1278">
        <v>9939</v>
      </c>
      <c r="B1278">
        <v>104</v>
      </c>
      <c r="C1278" s="1" t="str">
        <f>IF(Tabela8[[#This Row],[SETOR]]="","",IF(Tabela8[[#This Row],[SETOR]]&lt;200,"GV 10",IF(Tabela8[[#This Row],[SETOR]]&lt;300,"GV 20",IF(Tabela8[[#This Row],[SETOR]]&lt;400,"GV 30","S/GV"))))</f>
        <v>GV 10</v>
      </c>
      <c r="E1278" t="s">
        <v>123</v>
      </c>
      <c r="G1278" t="str">
        <f>_xlfn.CONCAT(Tabela9[[#This Row],[Coluna1]],Tabela9[[#This Row],[Coluna2]])</f>
        <v>20-Rota</v>
      </c>
    </row>
    <row r="1279" spans="1:7" x14ac:dyDescent="0.25">
      <c r="A1279">
        <v>9943</v>
      </c>
      <c r="B1279">
        <v>305</v>
      </c>
      <c r="C1279" s="1" t="str">
        <f>IF(Tabela8[[#This Row],[SETOR]]="","",IF(Tabela8[[#This Row],[SETOR]]&lt;200,"GV 10",IF(Tabela8[[#This Row],[SETOR]]&lt;300,"GV 20",IF(Tabela8[[#This Row],[SETOR]]&lt;400,"GV 30","S/GV"))))</f>
        <v>GV 30</v>
      </c>
      <c r="E1279" t="s">
        <v>123</v>
      </c>
      <c r="G1279" t="str">
        <f>_xlfn.CONCAT(Tabela9[[#This Row],[Coluna1]],Tabela9[[#This Row],[Coluna2]])</f>
        <v>20-Rota</v>
      </c>
    </row>
    <row r="1280" spans="1:7" x14ac:dyDescent="0.25">
      <c r="A1280">
        <v>9946</v>
      </c>
      <c r="B1280">
        <v>207</v>
      </c>
      <c r="C1280" s="1" t="str">
        <f>IF(Tabela8[[#This Row],[SETOR]]="","",IF(Tabela8[[#This Row],[SETOR]]&lt;200,"GV 10",IF(Tabela8[[#This Row],[SETOR]]&lt;300,"GV 20",IF(Tabela8[[#This Row],[SETOR]]&lt;400,"GV 30","S/GV"))))</f>
        <v>GV 20</v>
      </c>
      <c r="E1280" t="s">
        <v>125</v>
      </c>
      <c r="G1280" t="str">
        <f>_xlfn.CONCAT(Tabela9[[#This Row],[Coluna1]],Tabela9[[#This Row],[Coluna2]])</f>
        <v>18-TRAD</v>
      </c>
    </row>
    <row r="1281" spans="1:7" x14ac:dyDescent="0.25">
      <c r="A1281">
        <v>9947</v>
      </c>
      <c r="B1281">
        <v>104</v>
      </c>
      <c r="C1281" s="1" t="str">
        <f>IF(Tabela8[[#This Row],[SETOR]]="","",IF(Tabela8[[#This Row],[SETOR]]&lt;200,"GV 10",IF(Tabela8[[#This Row],[SETOR]]&lt;300,"GV 20",IF(Tabela8[[#This Row],[SETOR]]&lt;400,"GV 30","S/GV"))))</f>
        <v>GV 10</v>
      </c>
      <c r="E1281" t="s">
        <v>123</v>
      </c>
      <c r="G1281" t="str">
        <f>_xlfn.CONCAT(Tabela9[[#This Row],[Coluna1]],Tabela9[[#This Row],[Coluna2]])</f>
        <v>20-Rota</v>
      </c>
    </row>
    <row r="1282" spans="1:7" x14ac:dyDescent="0.25">
      <c r="A1282">
        <v>9957</v>
      </c>
      <c r="B1282">
        <v>109</v>
      </c>
      <c r="C1282" s="1" t="str">
        <f>IF(Tabela8[[#This Row],[SETOR]]="","",IF(Tabela8[[#This Row],[SETOR]]&lt;200,"GV 10",IF(Tabela8[[#This Row],[SETOR]]&lt;300,"GV 20",IF(Tabela8[[#This Row],[SETOR]]&lt;400,"GV 30","S/GV"))))</f>
        <v>GV 10</v>
      </c>
      <c r="E1282" t="s">
        <v>123</v>
      </c>
      <c r="G1282" t="str">
        <f>_xlfn.CONCAT(Tabela9[[#This Row],[Coluna1]],Tabela9[[#This Row],[Coluna2]])</f>
        <v>20-Rota</v>
      </c>
    </row>
    <row r="1283" spans="1:7" x14ac:dyDescent="0.25">
      <c r="A1283">
        <v>9959</v>
      </c>
      <c r="B1283">
        <v>907</v>
      </c>
      <c r="C1283" s="1" t="str">
        <f>IF(Tabela8[[#This Row],[SETOR]]="","",IF(Tabela8[[#This Row],[SETOR]]&lt;200,"GV 10",IF(Tabela8[[#This Row],[SETOR]]&lt;300,"GV 20",IF(Tabela8[[#This Row],[SETOR]]&lt;400,"GV 30","S/GV"))))</f>
        <v>S/GV</v>
      </c>
      <c r="G1283" t="str">
        <f>_xlfn.CONCAT(Tabela9[[#This Row],[Coluna1]],Tabela9[[#This Row],[Coluna2]])</f>
        <v/>
      </c>
    </row>
    <row r="1284" spans="1:7" x14ac:dyDescent="0.25">
      <c r="A1284">
        <v>9974</v>
      </c>
      <c r="B1284">
        <v>304</v>
      </c>
      <c r="C1284" s="1" t="str">
        <f>IF(Tabela8[[#This Row],[SETOR]]="","",IF(Tabela8[[#This Row],[SETOR]]&lt;200,"GV 10",IF(Tabela8[[#This Row],[SETOR]]&lt;300,"GV 20",IF(Tabela8[[#This Row],[SETOR]]&lt;400,"GV 30","S/GV"))))</f>
        <v>GV 30</v>
      </c>
      <c r="E1284" t="s">
        <v>123</v>
      </c>
      <c r="G1284" t="str">
        <f>_xlfn.CONCAT(Tabela9[[#This Row],[Coluna1]],Tabela9[[#This Row],[Coluna2]])</f>
        <v>20-Rota</v>
      </c>
    </row>
    <row r="1285" spans="1:7" x14ac:dyDescent="0.25">
      <c r="A1285">
        <v>9978</v>
      </c>
      <c r="B1285">
        <v>102</v>
      </c>
      <c r="C1285" s="1" t="str">
        <f>IF(Tabela8[[#This Row],[SETOR]]="","",IF(Tabela8[[#This Row],[SETOR]]&lt;200,"GV 10",IF(Tabela8[[#This Row],[SETOR]]&lt;300,"GV 20",IF(Tabela8[[#This Row],[SETOR]]&lt;400,"GV 30","S/GV"))))</f>
        <v>GV 10</v>
      </c>
      <c r="E1285" t="s">
        <v>125</v>
      </c>
      <c r="G1285" t="str">
        <f>_xlfn.CONCAT(Tabela9[[#This Row],[Coluna1]],Tabela9[[#This Row],[Coluna2]])</f>
        <v>18-TRAD</v>
      </c>
    </row>
    <row r="1286" spans="1:7" x14ac:dyDescent="0.25">
      <c r="A1286">
        <v>9983</v>
      </c>
      <c r="B1286">
        <v>101</v>
      </c>
      <c r="C1286" s="1" t="str">
        <f>IF(Tabela8[[#This Row],[SETOR]]="","",IF(Tabela8[[#This Row],[SETOR]]&lt;200,"GV 10",IF(Tabela8[[#This Row],[SETOR]]&lt;300,"GV 20",IF(Tabela8[[#This Row],[SETOR]]&lt;400,"GV 30","S/GV"))))</f>
        <v>GV 10</v>
      </c>
      <c r="E1286" t="s">
        <v>123</v>
      </c>
      <c r="G1286" t="str">
        <f>_xlfn.CONCAT(Tabela9[[#This Row],[Coluna1]],Tabela9[[#This Row],[Coluna2]])</f>
        <v>20-Rota</v>
      </c>
    </row>
    <row r="1287" spans="1:7" x14ac:dyDescent="0.25">
      <c r="A1287">
        <v>9985</v>
      </c>
      <c r="B1287">
        <v>109</v>
      </c>
      <c r="C1287" s="1" t="str">
        <f>IF(Tabela8[[#This Row],[SETOR]]="","",IF(Tabela8[[#This Row],[SETOR]]&lt;200,"GV 10",IF(Tabela8[[#This Row],[SETOR]]&lt;300,"GV 20",IF(Tabela8[[#This Row],[SETOR]]&lt;400,"GV 30","S/GV"))))</f>
        <v>GV 10</v>
      </c>
      <c r="E1287" t="s">
        <v>123</v>
      </c>
      <c r="G1287" t="str">
        <f>_xlfn.CONCAT(Tabela9[[#This Row],[Coluna1]],Tabela9[[#This Row],[Coluna2]])</f>
        <v>20-Rota</v>
      </c>
    </row>
    <row r="1288" spans="1:7" x14ac:dyDescent="0.25">
      <c r="A1288">
        <v>9991</v>
      </c>
      <c r="B1288">
        <v>302</v>
      </c>
      <c r="C1288" s="1" t="str">
        <f>IF(Tabela8[[#This Row],[SETOR]]="","",IF(Tabela8[[#This Row],[SETOR]]&lt;200,"GV 10",IF(Tabela8[[#This Row],[SETOR]]&lt;300,"GV 20",IF(Tabela8[[#This Row],[SETOR]]&lt;400,"GV 30","S/GV"))))</f>
        <v>GV 30</v>
      </c>
      <c r="E1288" t="s">
        <v>123</v>
      </c>
      <c r="G1288" t="str">
        <f>_xlfn.CONCAT(Tabela9[[#This Row],[Coluna1]],Tabela9[[#This Row],[Coluna2]])</f>
        <v>20-Rota</v>
      </c>
    </row>
    <row r="1289" spans="1:7" x14ac:dyDescent="0.25">
      <c r="A1289">
        <v>9995</v>
      </c>
      <c r="B1289">
        <v>204</v>
      </c>
      <c r="C1289" s="1" t="str">
        <f>IF(Tabela8[[#This Row],[SETOR]]="","",IF(Tabela8[[#This Row],[SETOR]]&lt;200,"GV 10",IF(Tabela8[[#This Row],[SETOR]]&lt;300,"GV 20",IF(Tabela8[[#This Row],[SETOR]]&lt;400,"GV 30","S/GV"))))</f>
        <v>GV 20</v>
      </c>
      <c r="E1289" t="s">
        <v>123</v>
      </c>
      <c r="G1289" t="str">
        <f>_xlfn.CONCAT(Tabela9[[#This Row],[Coluna1]],Tabela9[[#This Row],[Coluna2]])</f>
        <v>20-Rota</v>
      </c>
    </row>
    <row r="1290" spans="1:7" x14ac:dyDescent="0.25">
      <c r="A1290">
        <v>9997</v>
      </c>
      <c r="B1290">
        <v>208</v>
      </c>
      <c r="C1290" s="1" t="str">
        <f>IF(Tabela8[[#This Row],[SETOR]]="","",IF(Tabela8[[#This Row],[SETOR]]&lt;200,"GV 10",IF(Tabela8[[#This Row],[SETOR]]&lt;300,"GV 20",IF(Tabela8[[#This Row],[SETOR]]&lt;400,"GV 30","S/GV"))))</f>
        <v>GV 20</v>
      </c>
      <c r="E1290" t="s">
        <v>126</v>
      </c>
      <c r="F1290" t="s">
        <v>127</v>
      </c>
      <c r="G1290" t="str">
        <f>_xlfn.CONCAT(Tabela9[[#This Row],[Coluna1]],Tabela9[[#This Row],[Coluna2]])</f>
        <v>16-AS(5+)</v>
      </c>
    </row>
    <row r="1291" spans="1:7" x14ac:dyDescent="0.25">
      <c r="A1291">
        <v>9999</v>
      </c>
      <c r="B1291">
        <v>207</v>
      </c>
      <c r="C1291" s="1" t="str">
        <f>IF(Tabela8[[#This Row],[SETOR]]="","",IF(Tabela8[[#This Row],[SETOR]]&lt;200,"GV 10",IF(Tabela8[[#This Row],[SETOR]]&lt;300,"GV 20",IF(Tabela8[[#This Row],[SETOR]]&lt;400,"GV 30","S/GV"))))</f>
        <v>GV 20</v>
      </c>
      <c r="E1291" t="s">
        <v>130</v>
      </c>
      <c r="G1291" t="str">
        <f>_xlfn.CONCAT(Tabela9[[#This Row],[Coluna1]],Tabela9[[#This Row],[Coluna2]])</f>
        <v>21-SUB</v>
      </c>
    </row>
    <row r="1292" spans="1:7" x14ac:dyDescent="0.25">
      <c r="A1292">
        <v>10003</v>
      </c>
      <c r="B1292">
        <v>108</v>
      </c>
      <c r="C1292" s="1" t="str">
        <f>IF(Tabela8[[#This Row],[SETOR]]="","",IF(Tabela8[[#This Row],[SETOR]]&lt;200,"GV 10",IF(Tabela8[[#This Row],[SETOR]]&lt;300,"GV 20",IF(Tabela8[[#This Row],[SETOR]]&lt;400,"GV 30","S/GV"))))</f>
        <v>GV 10</v>
      </c>
      <c r="E1292" t="s">
        <v>126</v>
      </c>
      <c r="F1292" t="s">
        <v>127</v>
      </c>
      <c r="G1292" t="str">
        <f>_xlfn.CONCAT(Tabela9[[#This Row],[Coluna1]],Tabela9[[#This Row],[Coluna2]])</f>
        <v>16-AS(5+)</v>
      </c>
    </row>
    <row r="1293" spans="1:7" x14ac:dyDescent="0.25">
      <c r="A1293">
        <v>10028</v>
      </c>
      <c r="B1293">
        <v>306</v>
      </c>
      <c r="C1293" s="1" t="str">
        <f>IF(Tabela8[[#This Row],[SETOR]]="","",IF(Tabela8[[#This Row],[SETOR]]&lt;200,"GV 10",IF(Tabela8[[#This Row],[SETOR]]&lt;300,"GV 20",IF(Tabela8[[#This Row],[SETOR]]&lt;400,"GV 30","S/GV"))))</f>
        <v>GV 30</v>
      </c>
      <c r="E1293" t="s">
        <v>125</v>
      </c>
      <c r="G1293" t="str">
        <f>_xlfn.CONCAT(Tabela9[[#This Row],[Coluna1]],Tabela9[[#This Row],[Coluna2]])</f>
        <v>18-TRAD</v>
      </c>
    </row>
    <row r="1294" spans="1:7" x14ac:dyDescent="0.25">
      <c r="A1294">
        <v>10032</v>
      </c>
      <c r="B1294">
        <v>108</v>
      </c>
      <c r="C1294" s="1" t="str">
        <f>IF(Tabela8[[#This Row],[SETOR]]="","",IF(Tabela8[[#This Row],[SETOR]]&lt;200,"GV 10",IF(Tabela8[[#This Row],[SETOR]]&lt;300,"GV 20",IF(Tabela8[[#This Row],[SETOR]]&lt;400,"GV 30","S/GV"))))</f>
        <v>GV 10</v>
      </c>
      <c r="E1294" t="s">
        <v>125</v>
      </c>
      <c r="G1294" t="str">
        <f>_xlfn.CONCAT(Tabela9[[#This Row],[Coluna1]],Tabela9[[#This Row],[Coluna2]])</f>
        <v>18-TRAD</v>
      </c>
    </row>
    <row r="1295" spans="1:7" x14ac:dyDescent="0.25">
      <c r="A1295">
        <v>10033</v>
      </c>
      <c r="B1295">
        <v>105</v>
      </c>
      <c r="C1295" s="1" t="str">
        <f>IF(Tabela8[[#This Row],[SETOR]]="","",IF(Tabela8[[#This Row],[SETOR]]&lt;200,"GV 10",IF(Tabela8[[#This Row],[SETOR]]&lt;300,"GV 20",IF(Tabela8[[#This Row],[SETOR]]&lt;400,"GV 30","S/GV"))))</f>
        <v>GV 10</v>
      </c>
      <c r="E1295" t="s">
        <v>123</v>
      </c>
      <c r="G1295" t="str">
        <f>_xlfn.CONCAT(Tabela9[[#This Row],[Coluna1]],Tabela9[[#This Row],[Coluna2]])</f>
        <v>20-Rota</v>
      </c>
    </row>
    <row r="1296" spans="1:7" x14ac:dyDescent="0.25">
      <c r="A1296">
        <v>10035</v>
      </c>
      <c r="B1296">
        <v>203</v>
      </c>
      <c r="C1296" s="1" t="str">
        <f>IF(Tabela8[[#This Row],[SETOR]]="","",IF(Tabela8[[#This Row],[SETOR]]&lt;200,"GV 10",IF(Tabela8[[#This Row],[SETOR]]&lt;300,"GV 20",IF(Tabela8[[#This Row],[SETOR]]&lt;400,"GV 30","S/GV"))))</f>
        <v>GV 20</v>
      </c>
      <c r="E1296" t="s">
        <v>123</v>
      </c>
      <c r="G1296" t="str">
        <f>_xlfn.CONCAT(Tabela9[[#This Row],[Coluna1]],Tabela9[[#This Row],[Coluna2]])</f>
        <v>20-Rota</v>
      </c>
    </row>
    <row r="1297" spans="1:7" x14ac:dyDescent="0.25">
      <c r="A1297">
        <v>10036</v>
      </c>
      <c r="B1297">
        <v>916</v>
      </c>
      <c r="C1297" s="1" t="str">
        <f>IF(Tabela8[[#This Row],[SETOR]]="","",IF(Tabela8[[#This Row],[SETOR]]&lt;200,"GV 10",IF(Tabela8[[#This Row],[SETOR]]&lt;300,"GV 20",IF(Tabela8[[#This Row],[SETOR]]&lt;400,"GV 30","S/GV"))))</f>
        <v>S/GV</v>
      </c>
      <c r="G1297" t="str">
        <f>_xlfn.CONCAT(Tabela9[[#This Row],[Coluna1]],Tabela9[[#This Row],[Coluna2]])</f>
        <v/>
      </c>
    </row>
    <row r="1298" spans="1:7" x14ac:dyDescent="0.25">
      <c r="A1298">
        <v>10041</v>
      </c>
      <c r="B1298">
        <v>203</v>
      </c>
      <c r="C1298" s="1" t="str">
        <f>IF(Tabela8[[#This Row],[SETOR]]="","",IF(Tabela8[[#This Row],[SETOR]]&lt;200,"GV 10",IF(Tabela8[[#This Row],[SETOR]]&lt;300,"GV 20",IF(Tabela8[[#This Row],[SETOR]]&lt;400,"GV 30","S/GV"))))</f>
        <v>GV 20</v>
      </c>
      <c r="E1298" t="s">
        <v>123</v>
      </c>
      <c r="G1298" t="str">
        <f>_xlfn.CONCAT(Tabela9[[#This Row],[Coluna1]],Tabela9[[#This Row],[Coluna2]])</f>
        <v>20-Rota</v>
      </c>
    </row>
    <row r="1299" spans="1:7" x14ac:dyDescent="0.25">
      <c r="A1299">
        <v>10044</v>
      </c>
      <c r="B1299">
        <v>306</v>
      </c>
      <c r="C1299" s="1" t="str">
        <f>IF(Tabela8[[#This Row],[SETOR]]="","",IF(Tabela8[[#This Row],[SETOR]]&lt;200,"GV 10",IF(Tabela8[[#This Row],[SETOR]]&lt;300,"GV 20",IF(Tabela8[[#This Row],[SETOR]]&lt;400,"GV 30","S/GV"))))</f>
        <v>GV 30</v>
      </c>
      <c r="E1299" t="s">
        <v>125</v>
      </c>
      <c r="G1299" t="str">
        <f>_xlfn.CONCAT(Tabela9[[#This Row],[Coluna1]],Tabela9[[#This Row],[Coluna2]])</f>
        <v>18-TRAD</v>
      </c>
    </row>
    <row r="1300" spans="1:7" x14ac:dyDescent="0.25">
      <c r="A1300">
        <v>10053</v>
      </c>
      <c r="B1300">
        <v>101</v>
      </c>
      <c r="C1300" s="1" t="str">
        <f>IF(Tabela8[[#This Row],[SETOR]]="","",IF(Tabela8[[#This Row],[SETOR]]&lt;200,"GV 10",IF(Tabela8[[#This Row],[SETOR]]&lt;300,"GV 20",IF(Tabela8[[#This Row],[SETOR]]&lt;400,"GV 30","S/GV"))))</f>
        <v>GV 10</v>
      </c>
      <c r="E1300" t="s">
        <v>123</v>
      </c>
      <c r="G1300" t="str">
        <f>_xlfn.CONCAT(Tabela9[[#This Row],[Coluna1]],Tabela9[[#This Row],[Coluna2]])</f>
        <v>20-Rota</v>
      </c>
    </row>
    <row r="1301" spans="1:7" x14ac:dyDescent="0.25">
      <c r="A1301">
        <v>10065</v>
      </c>
      <c r="B1301">
        <v>916</v>
      </c>
      <c r="C1301" s="1" t="str">
        <f>IF(Tabela8[[#This Row],[SETOR]]="","",IF(Tabela8[[#This Row],[SETOR]]&lt;200,"GV 10",IF(Tabela8[[#This Row],[SETOR]]&lt;300,"GV 20",IF(Tabela8[[#This Row],[SETOR]]&lt;400,"GV 30","S/GV"))))</f>
        <v>S/GV</v>
      </c>
      <c r="G1301" t="str">
        <f>_xlfn.CONCAT(Tabela9[[#This Row],[Coluna1]],Tabela9[[#This Row],[Coluna2]])</f>
        <v/>
      </c>
    </row>
    <row r="1302" spans="1:7" x14ac:dyDescent="0.25">
      <c r="A1302">
        <v>10067</v>
      </c>
      <c r="B1302">
        <v>916</v>
      </c>
      <c r="C1302" s="1" t="str">
        <f>IF(Tabela8[[#This Row],[SETOR]]="","",IF(Tabela8[[#This Row],[SETOR]]&lt;200,"GV 10",IF(Tabela8[[#This Row],[SETOR]]&lt;300,"GV 20",IF(Tabela8[[#This Row],[SETOR]]&lt;400,"GV 30","S/GV"))))</f>
        <v>S/GV</v>
      </c>
      <c r="G1302" t="str">
        <f>_xlfn.CONCAT(Tabela9[[#This Row],[Coluna1]],Tabela9[[#This Row],[Coluna2]])</f>
        <v/>
      </c>
    </row>
    <row r="1303" spans="1:7" x14ac:dyDescent="0.25">
      <c r="A1303">
        <v>10071</v>
      </c>
      <c r="B1303">
        <v>101</v>
      </c>
      <c r="C1303" s="1" t="str">
        <f>IF(Tabela8[[#This Row],[SETOR]]="","",IF(Tabela8[[#This Row],[SETOR]]&lt;200,"GV 10",IF(Tabela8[[#This Row],[SETOR]]&lt;300,"GV 20",IF(Tabela8[[#This Row],[SETOR]]&lt;400,"GV 30","S/GV"))))</f>
        <v>GV 10</v>
      </c>
      <c r="E1303" t="s">
        <v>123</v>
      </c>
      <c r="G1303" t="str">
        <f>_xlfn.CONCAT(Tabela9[[#This Row],[Coluna1]],Tabela9[[#This Row],[Coluna2]])</f>
        <v>20-Rota</v>
      </c>
    </row>
    <row r="1304" spans="1:7" x14ac:dyDescent="0.25">
      <c r="A1304">
        <v>10077</v>
      </c>
      <c r="B1304">
        <v>916</v>
      </c>
      <c r="C1304" s="1" t="str">
        <f>IF(Tabela8[[#This Row],[SETOR]]="","",IF(Tabela8[[#This Row],[SETOR]]&lt;200,"GV 10",IF(Tabela8[[#This Row],[SETOR]]&lt;300,"GV 20",IF(Tabela8[[#This Row],[SETOR]]&lt;400,"GV 30","S/GV"))))</f>
        <v>S/GV</v>
      </c>
      <c r="G1304" t="str">
        <f>_xlfn.CONCAT(Tabela9[[#This Row],[Coluna1]],Tabela9[[#This Row],[Coluna2]])</f>
        <v/>
      </c>
    </row>
    <row r="1305" spans="1:7" x14ac:dyDescent="0.25">
      <c r="A1305">
        <v>10082</v>
      </c>
      <c r="B1305">
        <v>306</v>
      </c>
      <c r="C1305" s="1" t="str">
        <f>IF(Tabela8[[#This Row],[SETOR]]="","",IF(Tabela8[[#This Row],[SETOR]]&lt;200,"GV 10",IF(Tabela8[[#This Row],[SETOR]]&lt;300,"GV 20",IF(Tabela8[[#This Row],[SETOR]]&lt;400,"GV 30","S/GV"))))</f>
        <v>GV 30</v>
      </c>
      <c r="E1305" t="s">
        <v>125</v>
      </c>
      <c r="G1305" t="str">
        <f>_xlfn.CONCAT(Tabela9[[#This Row],[Coluna1]],Tabela9[[#This Row],[Coluna2]])</f>
        <v>18-TRAD</v>
      </c>
    </row>
    <row r="1306" spans="1:7" x14ac:dyDescent="0.25">
      <c r="A1306">
        <v>10091</v>
      </c>
      <c r="B1306">
        <v>309</v>
      </c>
      <c r="C1306" s="1" t="str">
        <f>IF(Tabela8[[#This Row],[SETOR]]="","",IF(Tabela8[[#This Row],[SETOR]]&lt;200,"GV 10",IF(Tabela8[[#This Row],[SETOR]]&lt;300,"GV 20",IF(Tabela8[[#This Row],[SETOR]]&lt;400,"GV 30","S/GV"))))</f>
        <v>GV 30</v>
      </c>
      <c r="E1306" t="s">
        <v>128</v>
      </c>
      <c r="F1306" t="s">
        <v>129</v>
      </c>
      <c r="G1306" t="str">
        <f>_xlfn.CONCAT(Tabela9[[#This Row],[Coluna1]],Tabela9[[#This Row],[Coluna2]])</f>
        <v>15-AS(1-4)</v>
      </c>
    </row>
    <row r="1307" spans="1:7" x14ac:dyDescent="0.25">
      <c r="A1307">
        <v>10108</v>
      </c>
      <c r="B1307">
        <v>107</v>
      </c>
      <c r="C1307" s="1" t="str">
        <f>IF(Tabela8[[#This Row],[SETOR]]="","",IF(Tabela8[[#This Row],[SETOR]]&lt;200,"GV 10",IF(Tabela8[[#This Row],[SETOR]]&lt;300,"GV 20",IF(Tabela8[[#This Row],[SETOR]]&lt;400,"GV 30","S/GV"))))</f>
        <v>GV 10</v>
      </c>
      <c r="E1307" t="s">
        <v>128</v>
      </c>
      <c r="F1307" t="s">
        <v>129</v>
      </c>
      <c r="G1307" t="str">
        <f>_xlfn.CONCAT(Tabela9[[#This Row],[Coluna1]],Tabela9[[#This Row],[Coluna2]])</f>
        <v>15-AS(1-4)</v>
      </c>
    </row>
    <row r="1308" spans="1:7" x14ac:dyDescent="0.25">
      <c r="A1308">
        <v>10111</v>
      </c>
      <c r="B1308">
        <v>106</v>
      </c>
      <c r="C1308" s="1" t="str">
        <f>IF(Tabela8[[#This Row],[SETOR]]="","",IF(Tabela8[[#This Row],[SETOR]]&lt;200,"GV 10",IF(Tabela8[[#This Row],[SETOR]]&lt;300,"GV 20",IF(Tabela8[[#This Row],[SETOR]]&lt;400,"GV 30","S/GV"))))</f>
        <v>GV 10</v>
      </c>
      <c r="E1308" t="s">
        <v>123</v>
      </c>
      <c r="G1308" t="str">
        <f>_xlfn.CONCAT(Tabela9[[#This Row],[Coluna1]],Tabela9[[#This Row],[Coluna2]])</f>
        <v>20-Rota</v>
      </c>
    </row>
    <row r="1309" spans="1:7" x14ac:dyDescent="0.25">
      <c r="A1309">
        <v>10114</v>
      </c>
      <c r="B1309">
        <v>109</v>
      </c>
      <c r="C1309" s="1" t="str">
        <f>IF(Tabela8[[#This Row],[SETOR]]="","",IF(Tabela8[[#This Row],[SETOR]]&lt;200,"GV 10",IF(Tabela8[[#This Row],[SETOR]]&lt;300,"GV 20",IF(Tabela8[[#This Row],[SETOR]]&lt;400,"GV 30","S/GV"))))</f>
        <v>GV 10</v>
      </c>
      <c r="E1309" t="s">
        <v>123</v>
      </c>
      <c r="G1309" t="str">
        <f>_xlfn.CONCAT(Tabela9[[#This Row],[Coluna1]],Tabela9[[#This Row],[Coluna2]])</f>
        <v>20-Rota</v>
      </c>
    </row>
    <row r="1310" spans="1:7" x14ac:dyDescent="0.25">
      <c r="A1310">
        <v>10121</v>
      </c>
      <c r="B1310">
        <v>907</v>
      </c>
      <c r="C1310" s="1" t="str">
        <f>IF(Tabela8[[#This Row],[SETOR]]="","",IF(Tabela8[[#This Row],[SETOR]]&lt;200,"GV 10",IF(Tabela8[[#This Row],[SETOR]]&lt;300,"GV 20",IF(Tabela8[[#This Row],[SETOR]]&lt;400,"GV 30","S/GV"))))</f>
        <v>S/GV</v>
      </c>
      <c r="G1310" t="str">
        <f>_xlfn.CONCAT(Tabela9[[#This Row],[Coluna1]],Tabela9[[#This Row],[Coluna2]])</f>
        <v/>
      </c>
    </row>
    <row r="1311" spans="1:7" x14ac:dyDescent="0.25">
      <c r="A1311">
        <v>10124</v>
      </c>
      <c r="B1311">
        <v>301</v>
      </c>
      <c r="C1311" s="1" t="str">
        <f>IF(Tabela8[[#This Row],[SETOR]]="","",IF(Tabela8[[#This Row],[SETOR]]&lt;200,"GV 10",IF(Tabela8[[#This Row],[SETOR]]&lt;300,"GV 20",IF(Tabela8[[#This Row],[SETOR]]&lt;400,"GV 30","S/GV"))))</f>
        <v>GV 30</v>
      </c>
      <c r="E1311" t="s">
        <v>123</v>
      </c>
      <c r="G1311" t="str">
        <f>_xlfn.CONCAT(Tabela9[[#This Row],[Coluna1]],Tabela9[[#This Row],[Coluna2]])</f>
        <v>20-Rota</v>
      </c>
    </row>
    <row r="1312" spans="1:7" x14ac:dyDescent="0.25">
      <c r="A1312">
        <v>10131</v>
      </c>
      <c r="B1312">
        <v>303</v>
      </c>
      <c r="C1312" s="1" t="str">
        <f>IF(Tabela8[[#This Row],[SETOR]]="","",IF(Tabela8[[#This Row],[SETOR]]&lt;200,"GV 10",IF(Tabela8[[#This Row],[SETOR]]&lt;300,"GV 20",IF(Tabela8[[#This Row],[SETOR]]&lt;400,"GV 30","S/GV"))))</f>
        <v>GV 30</v>
      </c>
      <c r="E1312" t="s">
        <v>123</v>
      </c>
      <c r="G1312" t="str">
        <f>_xlfn.CONCAT(Tabela9[[#This Row],[Coluna1]],Tabela9[[#This Row],[Coluna2]])</f>
        <v>20-Rota</v>
      </c>
    </row>
    <row r="1313" spans="1:7" x14ac:dyDescent="0.25">
      <c r="A1313">
        <v>10135</v>
      </c>
      <c r="B1313">
        <v>301</v>
      </c>
      <c r="C1313" s="1" t="str">
        <f>IF(Tabela8[[#This Row],[SETOR]]="","",IF(Tabela8[[#This Row],[SETOR]]&lt;200,"GV 10",IF(Tabela8[[#This Row],[SETOR]]&lt;300,"GV 20",IF(Tabela8[[#This Row],[SETOR]]&lt;400,"GV 30","S/GV"))))</f>
        <v>GV 30</v>
      </c>
      <c r="E1313" t="s">
        <v>123</v>
      </c>
      <c r="G1313" t="str">
        <f>_xlfn.CONCAT(Tabela9[[#This Row],[Coluna1]],Tabela9[[#This Row],[Coluna2]])</f>
        <v>20-Rota</v>
      </c>
    </row>
    <row r="1314" spans="1:7" x14ac:dyDescent="0.25">
      <c r="A1314">
        <v>10146</v>
      </c>
      <c r="B1314">
        <v>306</v>
      </c>
      <c r="C1314" s="1" t="str">
        <f>IF(Tabela8[[#This Row],[SETOR]]="","",IF(Tabela8[[#This Row],[SETOR]]&lt;200,"GV 10",IF(Tabela8[[#This Row],[SETOR]]&lt;300,"GV 20",IF(Tabela8[[#This Row],[SETOR]]&lt;400,"GV 30","S/GV"))))</f>
        <v>GV 30</v>
      </c>
      <c r="E1314" t="s">
        <v>128</v>
      </c>
      <c r="F1314" t="s">
        <v>129</v>
      </c>
      <c r="G1314" t="str">
        <f>_xlfn.CONCAT(Tabela9[[#This Row],[Coluna1]],Tabela9[[#This Row],[Coluna2]])</f>
        <v>15-AS(1-4)</v>
      </c>
    </row>
    <row r="1315" spans="1:7" x14ac:dyDescent="0.25">
      <c r="A1315">
        <v>10149</v>
      </c>
      <c r="B1315">
        <v>302</v>
      </c>
      <c r="C1315" s="1" t="str">
        <f>IF(Tabela8[[#This Row],[SETOR]]="","",IF(Tabela8[[#This Row],[SETOR]]&lt;200,"GV 10",IF(Tabela8[[#This Row],[SETOR]]&lt;300,"GV 20",IF(Tabela8[[#This Row],[SETOR]]&lt;400,"GV 30","S/GV"))))</f>
        <v>GV 30</v>
      </c>
      <c r="E1315" t="s">
        <v>123</v>
      </c>
      <c r="G1315" t="str">
        <f>_xlfn.CONCAT(Tabela9[[#This Row],[Coluna1]],Tabela9[[#This Row],[Coluna2]])</f>
        <v>20-Rota</v>
      </c>
    </row>
    <row r="1316" spans="1:7" x14ac:dyDescent="0.25">
      <c r="A1316">
        <v>10150</v>
      </c>
      <c r="B1316">
        <v>301</v>
      </c>
      <c r="C1316" s="1" t="str">
        <f>IF(Tabela8[[#This Row],[SETOR]]="","",IF(Tabela8[[#This Row],[SETOR]]&lt;200,"GV 10",IF(Tabela8[[#This Row],[SETOR]]&lt;300,"GV 20",IF(Tabela8[[#This Row],[SETOR]]&lt;400,"GV 30","S/GV"))))</f>
        <v>GV 30</v>
      </c>
      <c r="E1316" t="s">
        <v>123</v>
      </c>
      <c r="G1316" t="str">
        <f>_xlfn.CONCAT(Tabela9[[#This Row],[Coluna1]],Tabela9[[#This Row],[Coluna2]])</f>
        <v>20-Rota</v>
      </c>
    </row>
    <row r="1317" spans="1:7" x14ac:dyDescent="0.25">
      <c r="A1317">
        <v>10151</v>
      </c>
      <c r="B1317">
        <v>103</v>
      </c>
      <c r="C1317" s="1" t="str">
        <f>IF(Tabela8[[#This Row],[SETOR]]="","",IF(Tabela8[[#This Row],[SETOR]]&lt;200,"GV 10",IF(Tabela8[[#This Row],[SETOR]]&lt;300,"GV 20",IF(Tabela8[[#This Row],[SETOR]]&lt;400,"GV 30","S/GV"))))</f>
        <v>GV 10</v>
      </c>
      <c r="E1317" t="s">
        <v>123</v>
      </c>
      <c r="G1317" t="str">
        <f>_xlfn.CONCAT(Tabela9[[#This Row],[Coluna1]],Tabela9[[#This Row],[Coluna2]])</f>
        <v>20-Rota</v>
      </c>
    </row>
    <row r="1318" spans="1:7" x14ac:dyDescent="0.25">
      <c r="A1318">
        <v>10156</v>
      </c>
      <c r="B1318">
        <v>105</v>
      </c>
      <c r="C1318" s="1" t="str">
        <f>IF(Tabela8[[#This Row],[SETOR]]="","",IF(Tabela8[[#This Row],[SETOR]]&lt;200,"GV 10",IF(Tabela8[[#This Row],[SETOR]]&lt;300,"GV 20",IF(Tabela8[[#This Row],[SETOR]]&lt;400,"GV 30","S/GV"))))</f>
        <v>GV 10</v>
      </c>
      <c r="E1318" t="s">
        <v>123</v>
      </c>
      <c r="G1318" t="str">
        <f>_xlfn.CONCAT(Tabela9[[#This Row],[Coluna1]],Tabela9[[#This Row],[Coluna2]])</f>
        <v>20-Rota</v>
      </c>
    </row>
    <row r="1319" spans="1:7" x14ac:dyDescent="0.25">
      <c r="A1319">
        <v>10157</v>
      </c>
      <c r="B1319">
        <v>308</v>
      </c>
      <c r="C1319" s="1" t="str">
        <f>IF(Tabela8[[#This Row],[SETOR]]="","",IF(Tabela8[[#This Row],[SETOR]]&lt;200,"GV 10",IF(Tabela8[[#This Row],[SETOR]]&lt;300,"GV 20",IF(Tabela8[[#This Row],[SETOR]]&lt;400,"GV 30","S/GV"))))</f>
        <v>GV 30</v>
      </c>
      <c r="E1319" t="s">
        <v>128</v>
      </c>
      <c r="F1319" t="s">
        <v>129</v>
      </c>
      <c r="G1319" t="str">
        <f>_xlfn.CONCAT(Tabela9[[#This Row],[Coluna1]],Tabela9[[#This Row],[Coluna2]])</f>
        <v>15-AS(1-4)</v>
      </c>
    </row>
    <row r="1320" spans="1:7" x14ac:dyDescent="0.25">
      <c r="A1320">
        <v>10165</v>
      </c>
      <c r="B1320">
        <v>308</v>
      </c>
      <c r="C1320" s="1" t="str">
        <f>IF(Tabela8[[#This Row],[SETOR]]="","",IF(Tabela8[[#This Row],[SETOR]]&lt;200,"GV 10",IF(Tabela8[[#This Row],[SETOR]]&lt;300,"GV 20",IF(Tabela8[[#This Row],[SETOR]]&lt;400,"GV 30","S/GV"))))</f>
        <v>GV 30</v>
      </c>
      <c r="E1320" t="s">
        <v>128</v>
      </c>
      <c r="F1320" t="s">
        <v>129</v>
      </c>
      <c r="G1320" t="str">
        <f>_xlfn.CONCAT(Tabela9[[#This Row],[Coluna1]],Tabela9[[#This Row],[Coluna2]])</f>
        <v>15-AS(1-4)</v>
      </c>
    </row>
    <row r="1321" spans="1:7" x14ac:dyDescent="0.25">
      <c r="A1321">
        <v>10167</v>
      </c>
      <c r="B1321">
        <v>204</v>
      </c>
      <c r="C1321" s="1" t="str">
        <f>IF(Tabela8[[#This Row],[SETOR]]="","",IF(Tabela8[[#This Row],[SETOR]]&lt;200,"GV 10",IF(Tabela8[[#This Row],[SETOR]]&lt;300,"GV 20",IF(Tabela8[[#This Row],[SETOR]]&lt;400,"GV 30","S/GV"))))</f>
        <v>GV 20</v>
      </c>
      <c r="E1321" t="s">
        <v>123</v>
      </c>
      <c r="G1321" t="str">
        <f>_xlfn.CONCAT(Tabela9[[#This Row],[Coluna1]],Tabela9[[#This Row],[Coluna2]])</f>
        <v>20-Rota</v>
      </c>
    </row>
    <row r="1322" spans="1:7" x14ac:dyDescent="0.25">
      <c r="A1322">
        <v>10169</v>
      </c>
      <c r="B1322">
        <v>101</v>
      </c>
      <c r="C1322" s="1" t="str">
        <f>IF(Tabela8[[#This Row],[SETOR]]="","",IF(Tabela8[[#This Row],[SETOR]]&lt;200,"GV 10",IF(Tabela8[[#This Row],[SETOR]]&lt;300,"GV 20",IF(Tabela8[[#This Row],[SETOR]]&lt;400,"GV 30","S/GV"))))</f>
        <v>GV 10</v>
      </c>
      <c r="E1322" t="s">
        <v>123</v>
      </c>
      <c r="G1322" t="str">
        <f>_xlfn.CONCAT(Tabela9[[#This Row],[Coluna1]],Tabela9[[#This Row],[Coluna2]])</f>
        <v>20-Rota</v>
      </c>
    </row>
    <row r="1323" spans="1:7" x14ac:dyDescent="0.25">
      <c r="A1323">
        <v>10173</v>
      </c>
      <c r="B1323">
        <v>306</v>
      </c>
      <c r="C1323" s="1" t="str">
        <f>IF(Tabela8[[#This Row],[SETOR]]="","",IF(Tabela8[[#This Row],[SETOR]]&lt;200,"GV 10",IF(Tabela8[[#This Row],[SETOR]]&lt;300,"GV 20",IF(Tabela8[[#This Row],[SETOR]]&lt;400,"GV 30","S/GV"))))</f>
        <v>GV 30</v>
      </c>
      <c r="E1323" t="s">
        <v>131</v>
      </c>
      <c r="F1323" t="s">
        <v>132</v>
      </c>
      <c r="G1323" t="str">
        <f>_xlfn.CONCAT(Tabela9[[#This Row],[Coluna1]],Tabela9[[#This Row],[Coluna2]])</f>
        <v>14-Lj.Conveniência</v>
      </c>
    </row>
    <row r="1324" spans="1:7" x14ac:dyDescent="0.25">
      <c r="A1324">
        <v>10178</v>
      </c>
      <c r="B1324">
        <v>205</v>
      </c>
      <c r="C1324" s="1" t="str">
        <f>IF(Tabela8[[#This Row],[SETOR]]="","",IF(Tabela8[[#This Row],[SETOR]]&lt;200,"GV 10",IF(Tabela8[[#This Row],[SETOR]]&lt;300,"GV 20",IF(Tabela8[[#This Row],[SETOR]]&lt;400,"GV 30","S/GV"))))</f>
        <v>GV 20</v>
      </c>
      <c r="E1324" t="s">
        <v>123</v>
      </c>
      <c r="G1324" t="str">
        <f>_xlfn.CONCAT(Tabela9[[#This Row],[Coluna1]],Tabela9[[#This Row],[Coluna2]])</f>
        <v>20-Rota</v>
      </c>
    </row>
    <row r="1325" spans="1:7" x14ac:dyDescent="0.25">
      <c r="A1325">
        <v>10180</v>
      </c>
      <c r="B1325">
        <v>101</v>
      </c>
      <c r="C1325" s="1" t="str">
        <f>IF(Tabela8[[#This Row],[SETOR]]="","",IF(Tabela8[[#This Row],[SETOR]]&lt;200,"GV 10",IF(Tabela8[[#This Row],[SETOR]]&lt;300,"GV 20",IF(Tabela8[[#This Row],[SETOR]]&lt;400,"GV 30","S/GV"))))</f>
        <v>GV 10</v>
      </c>
      <c r="E1325" t="s">
        <v>123</v>
      </c>
      <c r="G1325" t="str">
        <f>_xlfn.CONCAT(Tabela9[[#This Row],[Coluna1]],Tabela9[[#This Row],[Coluna2]])</f>
        <v>20-Rota</v>
      </c>
    </row>
    <row r="1326" spans="1:7" x14ac:dyDescent="0.25">
      <c r="A1326">
        <v>10205</v>
      </c>
      <c r="B1326">
        <v>102</v>
      </c>
      <c r="C1326" s="1" t="str">
        <f>IF(Tabela8[[#This Row],[SETOR]]="","",IF(Tabela8[[#This Row],[SETOR]]&lt;200,"GV 10",IF(Tabela8[[#This Row],[SETOR]]&lt;300,"GV 20",IF(Tabela8[[#This Row],[SETOR]]&lt;400,"GV 30","S/GV"))))</f>
        <v>GV 10</v>
      </c>
      <c r="E1326" t="s">
        <v>123</v>
      </c>
      <c r="G1326" t="str">
        <f>_xlfn.CONCAT(Tabela9[[#This Row],[Coluna1]],Tabela9[[#This Row],[Coluna2]])</f>
        <v>20-Rota</v>
      </c>
    </row>
    <row r="1327" spans="1:7" x14ac:dyDescent="0.25">
      <c r="A1327">
        <v>10207</v>
      </c>
      <c r="B1327">
        <v>302</v>
      </c>
      <c r="C1327" s="1" t="str">
        <f>IF(Tabela8[[#This Row],[SETOR]]="","",IF(Tabela8[[#This Row],[SETOR]]&lt;200,"GV 10",IF(Tabela8[[#This Row],[SETOR]]&lt;300,"GV 20",IF(Tabela8[[#This Row],[SETOR]]&lt;400,"GV 30","S/GV"))))</f>
        <v>GV 30</v>
      </c>
      <c r="E1327" t="s">
        <v>123</v>
      </c>
      <c r="G1327" t="str">
        <f>_xlfn.CONCAT(Tabela9[[#This Row],[Coluna1]],Tabela9[[#This Row],[Coluna2]])</f>
        <v>20-Rota</v>
      </c>
    </row>
    <row r="1328" spans="1:7" x14ac:dyDescent="0.25">
      <c r="A1328">
        <v>10217</v>
      </c>
      <c r="B1328">
        <v>103</v>
      </c>
      <c r="C1328" s="1" t="str">
        <f>IF(Tabela8[[#This Row],[SETOR]]="","",IF(Tabela8[[#This Row],[SETOR]]&lt;200,"GV 10",IF(Tabela8[[#This Row],[SETOR]]&lt;300,"GV 20",IF(Tabela8[[#This Row],[SETOR]]&lt;400,"GV 30","S/GV"))))</f>
        <v>GV 10</v>
      </c>
      <c r="E1328" t="s">
        <v>123</v>
      </c>
      <c r="G1328" t="str">
        <f>_xlfn.CONCAT(Tabela9[[#This Row],[Coluna1]],Tabela9[[#This Row],[Coluna2]])</f>
        <v>20-Rota</v>
      </c>
    </row>
    <row r="1329" spans="1:7" x14ac:dyDescent="0.25">
      <c r="A1329">
        <v>10218</v>
      </c>
      <c r="B1329">
        <v>104</v>
      </c>
      <c r="C1329" s="1" t="str">
        <f>IF(Tabela8[[#This Row],[SETOR]]="","",IF(Tabela8[[#This Row],[SETOR]]&lt;200,"GV 10",IF(Tabela8[[#This Row],[SETOR]]&lt;300,"GV 20",IF(Tabela8[[#This Row],[SETOR]]&lt;400,"GV 30","S/GV"))))</f>
        <v>GV 10</v>
      </c>
      <c r="E1329" t="s">
        <v>123</v>
      </c>
      <c r="G1329" t="str">
        <f>_xlfn.CONCAT(Tabela9[[#This Row],[Coluna1]],Tabela9[[#This Row],[Coluna2]])</f>
        <v>20-Rota</v>
      </c>
    </row>
    <row r="1330" spans="1:7" x14ac:dyDescent="0.25">
      <c r="A1330">
        <v>10223</v>
      </c>
      <c r="B1330">
        <v>108</v>
      </c>
      <c r="C1330" s="1" t="str">
        <f>IF(Tabela8[[#This Row],[SETOR]]="","",IF(Tabela8[[#This Row],[SETOR]]&lt;200,"GV 10",IF(Tabela8[[#This Row],[SETOR]]&lt;300,"GV 20",IF(Tabela8[[#This Row],[SETOR]]&lt;400,"GV 30","S/GV"))))</f>
        <v>GV 10</v>
      </c>
      <c r="E1330" t="s">
        <v>126</v>
      </c>
      <c r="F1330" t="s">
        <v>127</v>
      </c>
      <c r="G1330" t="str">
        <f>_xlfn.CONCAT(Tabela9[[#This Row],[Coluna1]],Tabela9[[#This Row],[Coluna2]])</f>
        <v>16-AS(5+)</v>
      </c>
    </row>
    <row r="1331" spans="1:7" x14ac:dyDescent="0.25">
      <c r="A1331">
        <v>10227</v>
      </c>
      <c r="B1331">
        <v>302</v>
      </c>
      <c r="C1331" s="1" t="str">
        <f>IF(Tabela8[[#This Row],[SETOR]]="","",IF(Tabela8[[#This Row],[SETOR]]&lt;200,"GV 10",IF(Tabela8[[#This Row],[SETOR]]&lt;300,"GV 20",IF(Tabela8[[#This Row],[SETOR]]&lt;400,"GV 30","S/GV"))))</f>
        <v>GV 30</v>
      </c>
      <c r="E1331" t="s">
        <v>123</v>
      </c>
      <c r="G1331" t="str">
        <f>_xlfn.CONCAT(Tabela9[[#This Row],[Coluna1]],Tabela9[[#This Row],[Coluna2]])</f>
        <v>20-Rota</v>
      </c>
    </row>
    <row r="1332" spans="1:7" x14ac:dyDescent="0.25">
      <c r="A1332">
        <v>10228</v>
      </c>
      <c r="B1332">
        <v>102</v>
      </c>
      <c r="C1332" s="1" t="str">
        <f>IF(Tabela8[[#This Row],[SETOR]]="","",IF(Tabela8[[#This Row],[SETOR]]&lt;200,"GV 10",IF(Tabela8[[#This Row],[SETOR]]&lt;300,"GV 20",IF(Tabela8[[#This Row],[SETOR]]&lt;400,"GV 30","S/GV"))))</f>
        <v>GV 10</v>
      </c>
      <c r="E1332" t="s">
        <v>123</v>
      </c>
      <c r="G1332" t="str">
        <f>_xlfn.CONCAT(Tabela9[[#This Row],[Coluna1]],Tabela9[[#This Row],[Coluna2]])</f>
        <v>20-Rota</v>
      </c>
    </row>
    <row r="1333" spans="1:7" x14ac:dyDescent="0.25">
      <c r="A1333">
        <v>10230</v>
      </c>
      <c r="B1333">
        <v>309</v>
      </c>
      <c r="C1333" s="1" t="str">
        <f>IF(Tabela8[[#This Row],[SETOR]]="","",IF(Tabela8[[#This Row],[SETOR]]&lt;200,"GV 10",IF(Tabela8[[#This Row],[SETOR]]&lt;300,"GV 20",IF(Tabela8[[#This Row],[SETOR]]&lt;400,"GV 30","S/GV"))))</f>
        <v>GV 30</v>
      </c>
      <c r="E1333" t="s">
        <v>126</v>
      </c>
      <c r="F1333" t="s">
        <v>127</v>
      </c>
      <c r="G1333" t="str">
        <f>_xlfn.CONCAT(Tabela9[[#This Row],[Coluna1]],Tabela9[[#This Row],[Coluna2]])</f>
        <v>16-AS(5+)</v>
      </c>
    </row>
    <row r="1334" spans="1:7" x14ac:dyDescent="0.25">
      <c r="A1334">
        <v>10238</v>
      </c>
      <c r="B1334">
        <v>109</v>
      </c>
      <c r="C1334" s="1" t="str">
        <f>IF(Tabela8[[#This Row],[SETOR]]="","",IF(Tabela8[[#This Row],[SETOR]]&lt;200,"GV 10",IF(Tabela8[[#This Row],[SETOR]]&lt;300,"GV 20",IF(Tabela8[[#This Row],[SETOR]]&lt;400,"GV 30","S/GV"))))</f>
        <v>GV 10</v>
      </c>
      <c r="E1334" t="s">
        <v>123</v>
      </c>
      <c r="G1334" t="str">
        <f>_xlfn.CONCAT(Tabela9[[#This Row],[Coluna1]],Tabela9[[#This Row],[Coluna2]])</f>
        <v>20-Rota</v>
      </c>
    </row>
    <row r="1335" spans="1:7" x14ac:dyDescent="0.25">
      <c r="A1335">
        <v>10243</v>
      </c>
      <c r="B1335">
        <v>302</v>
      </c>
      <c r="C1335" s="1" t="str">
        <f>IF(Tabela8[[#This Row],[SETOR]]="","",IF(Tabela8[[#This Row],[SETOR]]&lt;200,"GV 10",IF(Tabela8[[#This Row],[SETOR]]&lt;300,"GV 20",IF(Tabela8[[#This Row],[SETOR]]&lt;400,"GV 30","S/GV"))))</f>
        <v>GV 30</v>
      </c>
      <c r="E1335" t="s">
        <v>123</v>
      </c>
      <c r="G1335" t="str">
        <f>_xlfn.CONCAT(Tabela9[[#This Row],[Coluna1]],Tabela9[[#This Row],[Coluna2]])</f>
        <v>20-Rota</v>
      </c>
    </row>
    <row r="1336" spans="1:7" x14ac:dyDescent="0.25">
      <c r="A1336">
        <v>10247</v>
      </c>
      <c r="B1336">
        <v>102</v>
      </c>
      <c r="C1336" s="1" t="str">
        <f>IF(Tabela8[[#This Row],[SETOR]]="","",IF(Tabela8[[#This Row],[SETOR]]&lt;200,"GV 10",IF(Tabela8[[#This Row],[SETOR]]&lt;300,"GV 20",IF(Tabela8[[#This Row],[SETOR]]&lt;400,"GV 30","S/GV"))))</f>
        <v>GV 10</v>
      </c>
      <c r="E1336" t="s">
        <v>123</v>
      </c>
      <c r="G1336" t="str">
        <f>_xlfn.CONCAT(Tabela9[[#This Row],[Coluna1]],Tabela9[[#This Row],[Coluna2]])</f>
        <v>20-Rota</v>
      </c>
    </row>
    <row r="1337" spans="1:7" x14ac:dyDescent="0.25">
      <c r="A1337">
        <v>10248</v>
      </c>
      <c r="B1337">
        <v>302</v>
      </c>
      <c r="C1337" s="1" t="str">
        <f>IF(Tabela8[[#This Row],[SETOR]]="","",IF(Tabela8[[#This Row],[SETOR]]&lt;200,"GV 10",IF(Tabela8[[#This Row],[SETOR]]&lt;300,"GV 20",IF(Tabela8[[#This Row],[SETOR]]&lt;400,"GV 30","S/GV"))))</f>
        <v>GV 30</v>
      </c>
      <c r="E1337" t="s">
        <v>123</v>
      </c>
      <c r="G1337" t="str">
        <f>_xlfn.CONCAT(Tabela9[[#This Row],[Coluna1]],Tabela9[[#This Row],[Coluna2]])</f>
        <v>20-Rota</v>
      </c>
    </row>
    <row r="1338" spans="1:7" x14ac:dyDescent="0.25">
      <c r="A1338">
        <v>10259</v>
      </c>
      <c r="B1338">
        <v>101</v>
      </c>
      <c r="C1338" s="1" t="str">
        <f>IF(Tabela8[[#This Row],[SETOR]]="","",IF(Tabela8[[#This Row],[SETOR]]&lt;200,"GV 10",IF(Tabela8[[#This Row],[SETOR]]&lt;300,"GV 20",IF(Tabela8[[#This Row],[SETOR]]&lt;400,"GV 30","S/GV"))))</f>
        <v>GV 10</v>
      </c>
      <c r="E1338" t="s">
        <v>123</v>
      </c>
      <c r="G1338" t="str">
        <f>_xlfn.CONCAT(Tabela9[[#This Row],[Coluna1]],Tabela9[[#This Row],[Coluna2]])</f>
        <v>20-Rota</v>
      </c>
    </row>
    <row r="1339" spans="1:7" x14ac:dyDescent="0.25">
      <c r="A1339">
        <v>10261</v>
      </c>
      <c r="B1339">
        <v>302</v>
      </c>
      <c r="C1339" s="1" t="str">
        <f>IF(Tabela8[[#This Row],[SETOR]]="","",IF(Tabela8[[#This Row],[SETOR]]&lt;200,"GV 10",IF(Tabela8[[#This Row],[SETOR]]&lt;300,"GV 20",IF(Tabela8[[#This Row],[SETOR]]&lt;400,"GV 30","S/GV"))))</f>
        <v>GV 30</v>
      </c>
      <c r="E1339" t="s">
        <v>123</v>
      </c>
      <c r="G1339" t="str">
        <f>_xlfn.CONCAT(Tabela9[[#This Row],[Coluna1]],Tabela9[[#This Row],[Coluna2]])</f>
        <v>20-Rota</v>
      </c>
    </row>
    <row r="1340" spans="1:7" x14ac:dyDescent="0.25">
      <c r="A1340">
        <v>10270</v>
      </c>
      <c r="B1340">
        <v>205</v>
      </c>
      <c r="C1340" s="1" t="str">
        <f>IF(Tabela8[[#This Row],[SETOR]]="","",IF(Tabela8[[#This Row],[SETOR]]&lt;200,"GV 10",IF(Tabela8[[#This Row],[SETOR]]&lt;300,"GV 20",IF(Tabela8[[#This Row],[SETOR]]&lt;400,"GV 30","S/GV"))))</f>
        <v>GV 20</v>
      </c>
      <c r="E1340" t="s">
        <v>128</v>
      </c>
      <c r="F1340" t="s">
        <v>129</v>
      </c>
      <c r="G1340" t="str">
        <f>_xlfn.CONCAT(Tabela9[[#This Row],[Coluna1]],Tabela9[[#This Row],[Coluna2]])</f>
        <v>15-AS(1-4)</v>
      </c>
    </row>
    <row r="1341" spans="1:7" x14ac:dyDescent="0.25">
      <c r="A1341">
        <v>10273</v>
      </c>
      <c r="B1341">
        <v>302</v>
      </c>
      <c r="C1341" s="1" t="str">
        <f>IF(Tabela8[[#This Row],[SETOR]]="","",IF(Tabela8[[#This Row],[SETOR]]&lt;200,"GV 10",IF(Tabela8[[#This Row],[SETOR]]&lt;300,"GV 20",IF(Tabela8[[#This Row],[SETOR]]&lt;400,"GV 30","S/GV"))))</f>
        <v>GV 30</v>
      </c>
      <c r="E1341" t="s">
        <v>123</v>
      </c>
      <c r="G1341" t="str">
        <f>_xlfn.CONCAT(Tabela9[[#This Row],[Coluna1]],Tabela9[[#This Row],[Coluna2]])</f>
        <v>20-Rota</v>
      </c>
    </row>
    <row r="1342" spans="1:7" x14ac:dyDescent="0.25">
      <c r="A1342">
        <v>10284</v>
      </c>
      <c r="B1342">
        <v>306</v>
      </c>
      <c r="C1342" s="1" t="str">
        <f>IF(Tabela8[[#This Row],[SETOR]]="","",IF(Tabela8[[#This Row],[SETOR]]&lt;200,"GV 10",IF(Tabela8[[#This Row],[SETOR]]&lt;300,"GV 20",IF(Tabela8[[#This Row],[SETOR]]&lt;400,"GV 30","S/GV"))))</f>
        <v>GV 30</v>
      </c>
      <c r="E1342" t="s">
        <v>125</v>
      </c>
      <c r="G1342" t="str">
        <f>_xlfn.CONCAT(Tabela9[[#This Row],[Coluna1]],Tabela9[[#This Row],[Coluna2]])</f>
        <v>18-TRAD</v>
      </c>
    </row>
    <row r="1343" spans="1:7" x14ac:dyDescent="0.25">
      <c r="A1343">
        <v>10285</v>
      </c>
      <c r="B1343">
        <v>202</v>
      </c>
      <c r="C1343" s="1" t="str">
        <f>IF(Tabela8[[#This Row],[SETOR]]="","",IF(Tabela8[[#This Row],[SETOR]]&lt;200,"GV 10",IF(Tabela8[[#This Row],[SETOR]]&lt;300,"GV 20",IF(Tabela8[[#This Row],[SETOR]]&lt;400,"GV 30","S/GV"))))</f>
        <v>GV 20</v>
      </c>
      <c r="E1343" t="s">
        <v>123</v>
      </c>
      <c r="G1343" t="str">
        <f>_xlfn.CONCAT(Tabela9[[#This Row],[Coluna1]],Tabela9[[#This Row],[Coluna2]])</f>
        <v>20-Rota</v>
      </c>
    </row>
    <row r="1344" spans="1:7" x14ac:dyDescent="0.25">
      <c r="A1344">
        <v>10286</v>
      </c>
      <c r="B1344">
        <v>912</v>
      </c>
      <c r="C1344" s="1" t="str">
        <f>IF(Tabela8[[#This Row],[SETOR]]="","",IF(Tabela8[[#This Row],[SETOR]]&lt;200,"GV 10",IF(Tabela8[[#This Row],[SETOR]]&lt;300,"GV 20",IF(Tabela8[[#This Row],[SETOR]]&lt;400,"GV 30","S/GV"))))</f>
        <v>S/GV</v>
      </c>
      <c r="E1344" t="s">
        <v>123</v>
      </c>
      <c r="G1344" t="str">
        <f>_xlfn.CONCAT(Tabela9[[#This Row],[Coluna1]],Tabela9[[#This Row],[Coluna2]])</f>
        <v>20-Rota</v>
      </c>
    </row>
    <row r="1345" spans="1:7" x14ac:dyDescent="0.25">
      <c r="A1345">
        <v>10287</v>
      </c>
      <c r="B1345">
        <v>305</v>
      </c>
      <c r="C1345" s="1" t="str">
        <f>IF(Tabela8[[#This Row],[SETOR]]="","",IF(Tabela8[[#This Row],[SETOR]]&lt;200,"GV 10",IF(Tabela8[[#This Row],[SETOR]]&lt;300,"GV 20",IF(Tabela8[[#This Row],[SETOR]]&lt;400,"GV 30","S/GV"))))</f>
        <v>GV 30</v>
      </c>
      <c r="E1345" t="s">
        <v>123</v>
      </c>
      <c r="G1345" t="str">
        <f>_xlfn.CONCAT(Tabela9[[#This Row],[Coluna1]],Tabela9[[#This Row],[Coluna2]])</f>
        <v>20-Rota</v>
      </c>
    </row>
    <row r="1346" spans="1:7" x14ac:dyDescent="0.25">
      <c r="A1346">
        <v>10296</v>
      </c>
      <c r="B1346">
        <v>106</v>
      </c>
      <c r="C1346" s="1" t="str">
        <f>IF(Tabela8[[#This Row],[SETOR]]="","",IF(Tabela8[[#This Row],[SETOR]]&lt;200,"GV 10",IF(Tabela8[[#This Row],[SETOR]]&lt;300,"GV 20",IF(Tabela8[[#This Row],[SETOR]]&lt;400,"GV 30","S/GV"))))</f>
        <v>GV 10</v>
      </c>
      <c r="E1346" t="s">
        <v>123</v>
      </c>
      <c r="G1346" t="str">
        <f>_xlfn.CONCAT(Tabela9[[#This Row],[Coluna1]],Tabela9[[#This Row],[Coluna2]])</f>
        <v>20-Rota</v>
      </c>
    </row>
    <row r="1347" spans="1:7" x14ac:dyDescent="0.25">
      <c r="A1347">
        <v>10299</v>
      </c>
      <c r="B1347">
        <v>912</v>
      </c>
      <c r="C1347" s="1" t="str">
        <f>IF(Tabela8[[#This Row],[SETOR]]="","",IF(Tabela8[[#This Row],[SETOR]]&lt;200,"GV 10",IF(Tabela8[[#This Row],[SETOR]]&lt;300,"GV 20",IF(Tabela8[[#This Row],[SETOR]]&lt;400,"GV 30","S/GV"))))</f>
        <v>S/GV</v>
      </c>
      <c r="E1347" t="s">
        <v>123</v>
      </c>
      <c r="G1347" t="str">
        <f>_xlfn.CONCAT(Tabela9[[#This Row],[Coluna1]],Tabela9[[#This Row],[Coluna2]])</f>
        <v>20-Rota</v>
      </c>
    </row>
    <row r="1348" spans="1:7" x14ac:dyDescent="0.25">
      <c r="A1348">
        <v>10309</v>
      </c>
      <c r="B1348">
        <v>201</v>
      </c>
      <c r="C1348" s="1" t="str">
        <f>IF(Tabela8[[#This Row],[SETOR]]="","",IF(Tabela8[[#This Row],[SETOR]]&lt;200,"GV 10",IF(Tabela8[[#This Row],[SETOR]]&lt;300,"GV 20",IF(Tabela8[[#This Row],[SETOR]]&lt;400,"GV 30","S/GV"))))</f>
        <v>GV 20</v>
      </c>
      <c r="E1348" t="s">
        <v>123</v>
      </c>
      <c r="G1348" t="str">
        <f>_xlfn.CONCAT(Tabela9[[#This Row],[Coluna1]],Tabela9[[#This Row],[Coluna2]])</f>
        <v>20-Rota</v>
      </c>
    </row>
    <row r="1349" spans="1:7" x14ac:dyDescent="0.25">
      <c r="A1349">
        <v>10310</v>
      </c>
      <c r="B1349">
        <v>907</v>
      </c>
      <c r="C1349" s="1" t="str">
        <f>IF(Tabela8[[#This Row],[SETOR]]="","",IF(Tabela8[[#This Row],[SETOR]]&lt;200,"GV 10",IF(Tabela8[[#This Row],[SETOR]]&lt;300,"GV 20",IF(Tabela8[[#This Row],[SETOR]]&lt;400,"GV 30","S/GV"))))</f>
        <v>S/GV</v>
      </c>
      <c r="G1349" t="str">
        <f>_xlfn.CONCAT(Tabela9[[#This Row],[Coluna1]],Tabela9[[#This Row],[Coluna2]])</f>
        <v/>
      </c>
    </row>
    <row r="1350" spans="1:7" x14ac:dyDescent="0.25">
      <c r="A1350">
        <v>10311</v>
      </c>
      <c r="B1350">
        <v>101</v>
      </c>
      <c r="C1350" s="1" t="str">
        <f>IF(Tabela8[[#This Row],[SETOR]]="","",IF(Tabela8[[#This Row],[SETOR]]&lt;200,"GV 10",IF(Tabela8[[#This Row],[SETOR]]&lt;300,"GV 20",IF(Tabela8[[#This Row],[SETOR]]&lt;400,"GV 30","S/GV"))))</f>
        <v>GV 10</v>
      </c>
      <c r="E1350" t="s">
        <v>123</v>
      </c>
      <c r="G1350" t="str">
        <f>_xlfn.CONCAT(Tabela9[[#This Row],[Coluna1]],Tabela9[[#This Row],[Coluna2]])</f>
        <v>20-Rota</v>
      </c>
    </row>
    <row r="1351" spans="1:7" x14ac:dyDescent="0.25">
      <c r="A1351">
        <v>10328</v>
      </c>
      <c r="B1351">
        <v>306</v>
      </c>
      <c r="C1351" s="1" t="str">
        <f>IF(Tabela8[[#This Row],[SETOR]]="","",IF(Tabela8[[#This Row],[SETOR]]&lt;200,"GV 10",IF(Tabela8[[#This Row],[SETOR]]&lt;300,"GV 20",IF(Tabela8[[#This Row],[SETOR]]&lt;400,"GV 30","S/GV"))))</f>
        <v>GV 30</v>
      </c>
      <c r="E1351" t="s">
        <v>125</v>
      </c>
      <c r="G1351" t="str">
        <f>_xlfn.CONCAT(Tabela9[[#This Row],[Coluna1]],Tabela9[[#This Row],[Coluna2]])</f>
        <v>18-TRAD</v>
      </c>
    </row>
    <row r="1352" spans="1:7" x14ac:dyDescent="0.25">
      <c r="A1352">
        <v>10329</v>
      </c>
      <c r="B1352">
        <v>303</v>
      </c>
      <c r="C1352" s="1" t="str">
        <f>IF(Tabela8[[#This Row],[SETOR]]="","",IF(Tabela8[[#This Row],[SETOR]]&lt;200,"GV 10",IF(Tabela8[[#This Row],[SETOR]]&lt;300,"GV 20",IF(Tabela8[[#This Row],[SETOR]]&lt;400,"GV 30","S/GV"))))</f>
        <v>GV 30</v>
      </c>
      <c r="E1352" t="s">
        <v>123</v>
      </c>
      <c r="G1352" t="str">
        <f>_xlfn.CONCAT(Tabela9[[#This Row],[Coluna1]],Tabela9[[#This Row],[Coluna2]])</f>
        <v>20-Rota</v>
      </c>
    </row>
    <row r="1353" spans="1:7" x14ac:dyDescent="0.25">
      <c r="A1353">
        <v>10347</v>
      </c>
      <c r="B1353">
        <v>201</v>
      </c>
      <c r="C1353" s="1" t="str">
        <f>IF(Tabela8[[#This Row],[SETOR]]="","",IF(Tabela8[[#This Row],[SETOR]]&lt;200,"GV 10",IF(Tabela8[[#This Row],[SETOR]]&lt;300,"GV 20",IF(Tabela8[[#This Row],[SETOR]]&lt;400,"GV 30","S/GV"))))</f>
        <v>GV 20</v>
      </c>
      <c r="E1353" t="s">
        <v>123</v>
      </c>
      <c r="G1353" t="str">
        <f>_xlfn.CONCAT(Tabela9[[#This Row],[Coluna1]],Tabela9[[#This Row],[Coluna2]])</f>
        <v>20-Rota</v>
      </c>
    </row>
    <row r="1354" spans="1:7" x14ac:dyDescent="0.25">
      <c r="A1354">
        <v>10352</v>
      </c>
      <c r="B1354">
        <v>105</v>
      </c>
      <c r="C1354" s="1" t="str">
        <f>IF(Tabela8[[#This Row],[SETOR]]="","",IF(Tabela8[[#This Row],[SETOR]]&lt;200,"GV 10",IF(Tabela8[[#This Row],[SETOR]]&lt;300,"GV 20",IF(Tabela8[[#This Row],[SETOR]]&lt;400,"GV 30","S/GV"))))</f>
        <v>GV 10</v>
      </c>
      <c r="E1354" t="s">
        <v>125</v>
      </c>
      <c r="G1354" t="str">
        <f>_xlfn.CONCAT(Tabela9[[#This Row],[Coluna1]],Tabela9[[#This Row],[Coluna2]])</f>
        <v>18-TRAD</v>
      </c>
    </row>
    <row r="1355" spans="1:7" x14ac:dyDescent="0.25">
      <c r="A1355">
        <v>10354</v>
      </c>
      <c r="B1355">
        <v>101</v>
      </c>
      <c r="C1355" s="1" t="str">
        <f>IF(Tabela8[[#This Row],[SETOR]]="","",IF(Tabela8[[#This Row],[SETOR]]&lt;200,"GV 10",IF(Tabela8[[#This Row],[SETOR]]&lt;300,"GV 20",IF(Tabela8[[#This Row],[SETOR]]&lt;400,"GV 30","S/GV"))))</f>
        <v>GV 10</v>
      </c>
      <c r="E1355" t="s">
        <v>125</v>
      </c>
      <c r="G1355" t="str">
        <f>_xlfn.CONCAT(Tabela9[[#This Row],[Coluna1]],Tabela9[[#This Row],[Coluna2]])</f>
        <v>18-TRAD</v>
      </c>
    </row>
    <row r="1356" spans="1:7" x14ac:dyDescent="0.25">
      <c r="A1356">
        <v>10374</v>
      </c>
      <c r="B1356">
        <v>101</v>
      </c>
      <c r="C1356" s="1" t="str">
        <f>IF(Tabela8[[#This Row],[SETOR]]="","",IF(Tabela8[[#This Row],[SETOR]]&lt;200,"GV 10",IF(Tabela8[[#This Row],[SETOR]]&lt;300,"GV 20",IF(Tabela8[[#This Row],[SETOR]]&lt;400,"GV 30","S/GV"))))</f>
        <v>GV 10</v>
      </c>
      <c r="E1356" t="s">
        <v>123</v>
      </c>
      <c r="G1356" t="str">
        <f>_xlfn.CONCAT(Tabela9[[#This Row],[Coluna1]],Tabela9[[#This Row],[Coluna2]])</f>
        <v>20-Rota</v>
      </c>
    </row>
    <row r="1357" spans="1:7" x14ac:dyDescent="0.25">
      <c r="A1357">
        <v>10381</v>
      </c>
      <c r="B1357">
        <v>907</v>
      </c>
      <c r="C1357" s="1" t="str">
        <f>IF(Tabela8[[#This Row],[SETOR]]="","",IF(Tabela8[[#This Row],[SETOR]]&lt;200,"GV 10",IF(Tabela8[[#This Row],[SETOR]]&lt;300,"GV 20",IF(Tabela8[[#This Row],[SETOR]]&lt;400,"GV 30","S/GV"))))</f>
        <v>S/GV</v>
      </c>
      <c r="G1357" t="str">
        <f>_xlfn.CONCAT(Tabela9[[#This Row],[Coluna1]],Tabela9[[#This Row],[Coluna2]])</f>
        <v/>
      </c>
    </row>
    <row r="1358" spans="1:7" x14ac:dyDescent="0.25">
      <c r="A1358">
        <v>10383</v>
      </c>
      <c r="B1358">
        <v>916</v>
      </c>
      <c r="C1358" s="1" t="str">
        <f>IF(Tabela8[[#This Row],[SETOR]]="","",IF(Tabela8[[#This Row],[SETOR]]&lt;200,"GV 10",IF(Tabela8[[#This Row],[SETOR]]&lt;300,"GV 20",IF(Tabela8[[#This Row],[SETOR]]&lt;400,"GV 30","S/GV"))))</f>
        <v>S/GV</v>
      </c>
      <c r="G1358" t="str">
        <f>_xlfn.CONCAT(Tabela9[[#This Row],[Coluna1]],Tabela9[[#This Row],[Coluna2]])</f>
        <v/>
      </c>
    </row>
    <row r="1359" spans="1:7" x14ac:dyDescent="0.25">
      <c r="A1359">
        <v>10384</v>
      </c>
      <c r="B1359">
        <v>103</v>
      </c>
      <c r="C1359" s="1" t="str">
        <f>IF(Tabela8[[#This Row],[SETOR]]="","",IF(Tabela8[[#This Row],[SETOR]]&lt;200,"GV 10",IF(Tabela8[[#This Row],[SETOR]]&lt;300,"GV 20",IF(Tabela8[[#This Row],[SETOR]]&lt;400,"GV 30","S/GV"))))</f>
        <v>GV 10</v>
      </c>
      <c r="E1359" t="s">
        <v>128</v>
      </c>
      <c r="F1359" t="s">
        <v>129</v>
      </c>
      <c r="G1359" t="str">
        <f>_xlfn.CONCAT(Tabela9[[#This Row],[Coluna1]],Tabela9[[#This Row],[Coluna2]])</f>
        <v>15-AS(1-4)</v>
      </c>
    </row>
    <row r="1360" spans="1:7" x14ac:dyDescent="0.25">
      <c r="A1360">
        <v>10385</v>
      </c>
      <c r="B1360">
        <v>307</v>
      </c>
      <c r="C1360" s="1" t="str">
        <f>IF(Tabela8[[#This Row],[SETOR]]="","",IF(Tabela8[[#This Row],[SETOR]]&lt;200,"GV 10",IF(Tabela8[[#This Row],[SETOR]]&lt;300,"GV 20",IF(Tabela8[[#This Row],[SETOR]]&lt;400,"GV 30","S/GV"))))</f>
        <v>GV 30</v>
      </c>
      <c r="E1360" t="s">
        <v>130</v>
      </c>
      <c r="G1360" t="str">
        <f>_xlfn.CONCAT(Tabela9[[#This Row],[Coluna1]],Tabela9[[#This Row],[Coluna2]])</f>
        <v>21-SUB</v>
      </c>
    </row>
    <row r="1361" spans="1:7" x14ac:dyDescent="0.25">
      <c r="A1361">
        <v>10386</v>
      </c>
      <c r="B1361">
        <v>103</v>
      </c>
      <c r="C1361" s="1" t="str">
        <f>IF(Tabela8[[#This Row],[SETOR]]="","",IF(Tabela8[[#This Row],[SETOR]]&lt;200,"GV 10",IF(Tabela8[[#This Row],[SETOR]]&lt;300,"GV 20",IF(Tabela8[[#This Row],[SETOR]]&lt;400,"GV 30","S/GV"))))</f>
        <v>GV 10</v>
      </c>
      <c r="E1361" t="s">
        <v>123</v>
      </c>
      <c r="G1361" t="str">
        <f>_xlfn.CONCAT(Tabela9[[#This Row],[Coluna1]],Tabela9[[#This Row],[Coluna2]])</f>
        <v>20-Rota</v>
      </c>
    </row>
    <row r="1362" spans="1:7" x14ac:dyDescent="0.25">
      <c r="A1362">
        <v>10394</v>
      </c>
      <c r="B1362">
        <v>201</v>
      </c>
      <c r="C1362" s="1" t="str">
        <f>IF(Tabela8[[#This Row],[SETOR]]="","",IF(Tabela8[[#This Row],[SETOR]]&lt;200,"GV 10",IF(Tabela8[[#This Row],[SETOR]]&lt;300,"GV 20",IF(Tabela8[[#This Row],[SETOR]]&lt;400,"GV 30","S/GV"))))</f>
        <v>GV 20</v>
      </c>
      <c r="E1362" t="s">
        <v>123</v>
      </c>
      <c r="G1362" t="str">
        <f>_xlfn.CONCAT(Tabela9[[#This Row],[Coluna1]],Tabela9[[#This Row],[Coluna2]])</f>
        <v>20-Rota</v>
      </c>
    </row>
    <row r="1363" spans="1:7" x14ac:dyDescent="0.25">
      <c r="A1363">
        <v>10400</v>
      </c>
      <c r="B1363">
        <v>306</v>
      </c>
      <c r="C1363" s="1" t="str">
        <f>IF(Tabela8[[#This Row],[SETOR]]="","",IF(Tabela8[[#This Row],[SETOR]]&lt;200,"GV 10",IF(Tabela8[[#This Row],[SETOR]]&lt;300,"GV 20",IF(Tabela8[[#This Row],[SETOR]]&lt;400,"GV 30","S/GV"))))</f>
        <v>GV 30</v>
      </c>
      <c r="E1363" t="s">
        <v>123</v>
      </c>
      <c r="G1363" t="str">
        <f>_xlfn.CONCAT(Tabela9[[#This Row],[Coluna1]],Tabela9[[#This Row],[Coluna2]])</f>
        <v>20-Rota</v>
      </c>
    </row>
    <row r="1364" spans="1:7" x14ac:dyDescent="0.25">
      <c r="A1364">
        <v>10402</v>
      </c>
      <c r="B1364">
        <v>102</v>
      </c>
      <c r="C1364" s="1" t="str">
        <f>IF(Tabela8[[#This Row],[SETOR]]="","",IF(Tabela8[[#This Row],[SETOR]]&lt;200,"GV 10",IF(Tabela8[[#This Row],[SETOR]]&lt;300,"GV 20",IF(Tabela8[[#This Row],[SETOR]]&lt;400,"GV 30","S/GV"))))</f>
        <v>GV 10</v>
      </c>
      <c r="E1364" t="s">
        <v>123</v>
      </c>
      <c r="G1364" t="str">
        <f>_xlfn.CONCAT(Tabela9[[#This Row],[Coluna1]],Tabela9[[#This Row],[Coluna2]])</f>
        <v>20-Rota</v>
      </c>
    </row>
    <row r="1365" spans="1:7" x14ac:dyDescent="0.25">
      <c r="A1365">
        <v>10406</v>
      </c>
      <c r="B1365">
        <v>306</v>
      </c>
      <c r="C1365" s="1" t="str">
        <f>IF(Tabela8[[#This Row],[SETOR]]="","",IF(Tabela8[[#This Row],[SETOR]]&lt;200,"GV 10",IF(Tabela8[[#This Row],[SETOR]]&lt;300,"GV 20",IF(Tabela8[[#This Row],[SETOR]]&lt;400,"GV 30","S/GV"))))</f>
        <v>GV 30</v>
      </c>
      <c r="E1365" t="s">
        <v>125</v>
      </c>
      <c r="G1365" t="str">
        <f>_xlfn.CONCAT(Tabela9[[#This Row],[Coluna1]],Tabela9[[#This Row],[Coluna2]])</f>
        <v>18-TRAD</v>
      </c>
    </row>
    <row r="1366" spans="1:7" x14ac:dyDescent="0.25">
      <c r="A1366">
        <v>10407</v>
      </c>
      <c r="B1366">
        <v>307</v>
      </c>
      <c r="C1366" s="1" t="str">
        <f>IF(Tabela8[[#This Row],[SETOR]]="","",IF(Tabela8[[#This Row],[SETOR]]&lt;200,"GV 10",IF(Tabela8[[#This Row],[SETOR]]&lt;300,"GV 20",IF(Tabela8[[#This Row],[SETOR]]&lt;400,"GV 30","S/GV"))))</f>
        <v>GV 30</v>
      </c>
      <c r="E1366" t="s">
        <v>130</v>
      </c>
      <c r="G1366" t="str">
        <f>_xlfn.CONCAT(Tabela9[[#This Row],[Coluna1]],Tabela9[[#This Row],[Coluna2]])</f>
        <v>21-SUB</v>
      </c>
    </row>
    <row r="1367" spans="1:7" x14ac:dyDescent="0.25">
      <c r="A1367">
        <v>10409</v>
      </c>
      <c r="B1367">
        <v>204</v>
      </c>
      <c r="C1367" s="1" t="str">
        <f>IF(Tabela8[[#This Row],[SETOR]]="","",IF(Tabela8[[#This Row],[SETOR]]&lt;200,"GV 10",IF(Tabela8[[#This Row],[SETOR]]&lt;300,"GV 20",IF(Tabela8[[#This Row],[SETOR]]&lt;400,"GV 30","S/GV"))))</f>
        <v>GV 20</v>
      </c>
      <c r="E1367" t="s">
        <v>123</v>
      </c>
      <c r="G1367" t="str">
        <f>_xlfn.CONCAT(Tabela9[[#This Row],[Coluna1]],Tabela9[[#This Row],[Coluna2]])</f>
        <v>20-Rota</v>
      </c>
    </row>
    <row r="1368" spans="1:7" x14ac:dyDescent="0.25">
      <c r="A1368">
        <v>10415</v>
      </c>
      <c r="B1368">
        <v>107</v>
      </c>
      <c r="C1368" s="1" t="str">
        <f>IF(Tabela8[[#This Row],[SETOR]]="","",IF(Tabela8[[#This Row],[SETOR]]&lt;200,"GV 10",IF(Tabela8[[#This Row],[SETOR]]&lt;300,"GV 20",IF(Tabela8[[#This Row],[SETOR]]&lt;400,"GV 30","S/GV"))))</f>
        <v>GV 10</v>
      </c>
      <c r="E1368" t="s">
        <v>125</v>
      </c>
      <c r="G1368" t="str">
        <f>_xlfn.CONCAT(Tabela9[[#This Row],[Coluna1]],Tabela9[[#This Row],[Coluna2]])</f>
        <v>18-TRAD</v>
      </c>
    </row>
    <row r="1369" spans="1:7" x14ac:dyDescent="0.25">
      <c r="A1369">
        <v>10419</v>
      </c>
      <c r="B1369">
        <v>201</v>
      </c>
      <c r="C1369" s="1" t="str">
        <f>IF(Tabela8[[#This Row],[SETOR]]="","",IF(Tabela8[[#This Row],[SETOR]]&lt;200,"GV 10",IF(Tabela8[[#This Row],[SETOR]]&lt;300,"GV 20",IF(Tabela8[[#This Row],[SETOR]]&lt;400,"GV 30","S/GV"))))</f>
        <v>GV 20</v>
      </c>
      <c r="E1369" t="s">
        <v>125</v>
      </c>
      <c r="G1369" t="str">
        <f>_xlfn.CONCAT(Tabela9[[#This Row],[Coluna1]],Tabela9[[#This Row],[Coluna2]])</f>
        <v>18-TRAD</v>
      </c>
    </row>
    <row r="1370" spans="1:7" x14ac:dyDescent="0.25">
      <c r="A1370">
        <v>10421</v>
      </c>
      <c r="B1370">
        <v>201</v>
      </c>
      <c r="C1370" s="1" t="str">
        <f>IF(Tabela8[[#This Row],[SETOR]]="","",IF(Tabela8[[#This Row],[SETOR]]&lt;200,"GV 10",IF(Tabela8[[#This Row],[SETOR]]&lt;300,"GV 20",IF(Tabela8[[#This Row],[SETOR]]&lt;400,"GV 30","S/GV"))))</f>
        <v>GV 20</v>
      </c>
      <c r="G1370" t="str">
        <f>_xlfn.CONCAT(Tabela9[[#This Row],[Coluna1]],Tabela9[[#This Row],[Coluna2]])</f>
        <v/>
      </c>
    </row>
    <row r="1371" spans="1:7" x14ac:dyDescent="0.25">
      <c r="A1371">
        <v>10423</v>
      </c>
      <c r="B1371">
        <v>308</v>
      </c>
      <c r="C1371" s="1" t="str">
        <f>IF(Tabela8[[#This Row],[SETOR]]="","",IF(Tabela8[[#This Row],[SETOR]]&lt;200,"GV 10",IF(Tabela8[[#This Row],[SETOR]]&lt;300,"GV 20",IF(Tabela8[[#This Row],[SETOR]]&lt;400,"GV 30","S/GV"))))</f>
        <v>GV 30</v>
      </c>
      <c r="E1371" t="s">
        <v>128</v>
      </c>
      <c r="F1371" t="s">
        <v>129</v>
      </c>
      <c r="G1371" t="str">
        <f>_xlfn.CONCAT(Tabela9[[#This Row],[Coluna1]],Tabela9[[#This Row],[Coluna2]])</f>
        <v>15-AS(1-4)</v>
      </c>
    </row>
    <row r="1372" spans="1:7" x14ac:dyDescent="0.25">
      <c r="A1372">
        <v>10434</v>
      </c>
      <c r="B1372">
        <v>306</v>
      </c>
      <c r="C1372" s="1" t="str">
        <f>IF(Tabela8[[#This Row],[SETOR]]="","",IF(Tabela8[[#This Row],[SETOR]]&lt;200,"GV 10",IF(Tabela8[[#This Row],[SETOR]]&lt;300,"GV 20",IF(Tabela8[[#This Row],[SETOR]]&lt;400,"GV 30","S/GV"))))</f>
        <v>GV 30</v>
      </c>
      <c r="E1372" t="s">
        <v>125</v>
      </c>
      <c r="G1372" t="str">
        <f>_xlfn.CONCAT(Tabela9[[#This Row],[Coluna1]],Tabela9[[#This Row],[Coluna2]])</f>
        <v>18-TRAD</v>
      </c>
    </row>
    <row r="1373" spans="1:7" x14ac:dyDescent="0.25">
      <c r="A1373">
        <v>10435</v>
      </c>
      <c r="B1373">
        <v>106</v>
      </c>
      <c r="C1373" s="1" t="str">
        <f>IF(Tabela8[[#This Row],[SETOR]]="","",IF(Tabela8[[#This Row],[SETOR]]&lt;200,"GV 10",IF(Tabela8[[#This Row],[SETOR]]&lt;300,"GV 20",IF(Tabela8[[#This Row],[SETOR]]&lt;400,"GV 30","S/GV"))))</f>
        <v>GV 10</v>
      </c>
      <c r="E1373" t="s">
        <v>123</v>
      </c>
      <c r="G1373" t="str">
        <f>_xlfn.CONCAT(Tabela9[[#This Row],[Coluna1]],Tabela9[[#This Row],[Coluna2]])</f>
        <v>20-Rota</v>
      </c>
    </row>
    <row r="1374" spans="1:7" x14ac:dyDescent="0.25">
      <c r="A1374">
        <v>10443</v>
      </c>
      <c r="B1374">
        <v>206</v>
      </c>
      <c r="C1374" s="1" t="str">
        <f>IF(Tabela8[[#This Row],[SETOR]]="","",IF(Tabela8[[#This Row],[SETOR]]&lt;200,"GV 10",IF(Tabela8[[#This Row],[SETOR]]&lt;300,"GV 20",IF(Tabela8[[#This Row],[SETOR]]&lt;400,"GV 30","S/GV"))))</f>
        <v>GV 20</v>
      </c>
      <c r="E1374" t="s">
        <v>123</v>
      </c>
      <c r="G1374" t="str">
        <f>_xlfn.CONCAT(Tabela9[[#This Row],[Coluna1]],Tabela9[[#This Row],[Coluna2]])</f>
        <v>20-Rota</v>
      </c>
    </row>
    <row r="1375" spans="1:7" x14ac:dyDescent="0.25">
      <c r="A1375">
        <v>10467</v>
      </c>
      <c r="B1375">
        <v>204</v>
      </c>
      <c r="C1375" s="1" t="str">
        <f>IF(Tabela8[[#This Row],[SETOR]]="","",IF(Tabela8[[#This Row],[SETOR]]&lt;200,"GV 10",IF(Tabela8[[#This Row],[SETOR]]&lt;300,"GV 20",IF(Tabela8[[#This Row],[SETOR]]&lt;400,"GV 30","S/GV"))))</f>
        <v>GV 20</v>
      </c>
      <c r="E1375" t="s">
        <v>123</v>
      </c>
      <c r="G1375" t="str">
        <f>_xlfn.CONCAT(Tabela9[[#This Row],[Coluna1]],Tabela9[[#This Row],[Coluna2]])</f>
        <v>20-Rota</v>
      </c>
    </row>
    <row r="1376" spans="1:7" x14ac:dyDescent="0.25">
      <c r="A1376">
        <v>10469</v>
      </c>
      <c r="B1376">
        <v>201</v>
      </c>
      <c r="C1376" s="1" t="str">
        <f>IF(Tabela8[[#This Row],[SETOR]]="","",IF(Tabela8[[#This Row],[SETOR]]&lt;200,"GV 10",IF(Tabela8[[#This Row],[SETOR]]&lt;300,"GV 20",IF(Tabela8[[#This Row],[SETOR]]&lt;400,"GV 30","S/GV"))))</f>
        <v>GV 20</v>
      </c>
      <c r="E1376" t="s">
        <v>125</v>
      </c>
      <c r="G1376" t="str">
        <f>_xlfn.CONCAT(Tabela9[[#This Row],[Coluna1]],Tabela9[[#This Row],[Coluna2]])</f>
        <v>18-TRAD</v>
      </c>
    </row>
    <row r="1377" spans="1:7" x14ac:dyDescent="0.25">
      <c r="A1377">
        <v>10473</v>
      </c>
      <c r="B1377">
        <v>302</v>
      </c>
      <c r="C1377" s="1" t="str">
        <f>IF(Tabela8[[#This Row],[SETOR]]="","",IF(Tabela8[[#This Row],[SETOR]]&lt;200,"GV 10",IF(Tabela8[[#This Row],[SETOR]]&lt;300,"GV 20",IF(Tabela8[[#This Row],[SETOR]]&lt;400,"GV 30","S/GV"))))</f>
        <v>GV 30</v>
      </c>
      <c r="E1377" t="s">
        <v>123</v>
      </c>
      <c r="G1377" t="str">
        <f>_xlfn.CONCAT(Tabela9[[#This Row],[Coluna1]],Tabela9[[#This Row],[Coluna2]])</f>
        <v>20-Rota</v>
      </c>
    </row>
    <row r="1378" spans="1:7" x14ac:dyDescent="0.25">
      <c r="A1378">
        <v>10475</v>
      </c>
      <c r="B1378">
        <v>302</v>
      </c>
      <c r="C1378" s="1" t="str">
        <f>IF(Tabela8[[#This Row],[SETOR]]="","",IF(Tabela8[[#This Row],[SETOR]]&lt;200,"GV 10",IF(Tabela8[[#This Row],[SETOR]]&lt;300,"GV 20",IF(Tabela8[[#This Row],[SETOR]]&lt;400,"GV 30","S/GV"))))</f>
        <v>GV 30</v>
      </c>
      <c r="E1378" t="s">
        <v>123</v>
      </c>
      <c r="G1378" t="str">
        <f>_xlfn.CONCAT(Tabela9[[#This Row],[Coluna1]],Tabela9[[#This Row],[Coluna2]])</f>
        <v>20-Rota</v>
      </c>
    </row>
    <row r="1379" spans="1:7" x14ac:dyDescent="0.25">
      <c r="A1379">
        <v>10477</v>
      </c>
      <c r="B1379">
        <v>101</v>
      </c>
      <c r="C1379" s="1" t="str">
        <f>IF(Tabela8[[#This Row],[SETOR]]="","",IF(Tabela8[[#This Row],[SETOR]]&lt;200,"GV 10",IF(Tabela8[[#This Row],[SETOR]]&lt;300,"GV 20",IF(Tabela8[[#This Row],[SETOR]]&lt;400,"GV 30","S/GV"))))</f>
        <v>GV 10</v>
      </c>
      <c r="E1379" t="s">
        <v>123</v>
      </c>
      <c r="G1379" t="str">
        <f>_xlfn.CONCAT(Tabela9[[#This Row],[Coluna1]],Tabela9[[#This Row],[Coluna2]])</f>
        <v>20-Rota</v>
      </c>
    </row>
    <row r="1380" spans="1:7" x14ac:dyDescent="0.25">
      <c r="A1380">
        <v>10481</v>
      </c>
      <c r="B1380">
        <v>304</v>
      </c>
      <c r="C1380" s="1" t="str">
        <f>IF(Tabela8[[#This Row],[SETOR]]="","",IF(Tabela8[[#This Row],[SETOR]]&lt;200,"GV 10",IF(Tabela8[[#This Row],[SETOR]]&lt;300,"GV 20",IF(Tabela8[[#This Row],[SETOR]]&lt;400,"GV 30","S/GV"))))</f>
        <v>GV 30</v>
      </c>
      <c r="E1380" t="s">
        <v>123</v>
      </c>
      <c r="G1380" t="str">
        <f>_xlfn.CONCAT(Tabela9[[#This Row],[Coluna1]],Tabela9[[#This Row],[Coluna2]])</f>
        <v>20-Rota</v>
      </c>
    </row>
    <row r="1381" spans="1:7" x14ac:dyDescent="0.25">
      <c r="A1381">
        <v>10487</v>
      </c>
      <c r="B1381">
        <v>103</v>
      </c>
      <c r="C1381" s="1" t="str">
        <f>IF(Tabela8[[#This Row],[SETOR]]="","",IF(Tabela8[[#This Row],[SETOR]]&lt;200,"GV 10",IF(Tabela8[[#This Row],[SETOR]]&lt;300,"GV 20",IF(Tabela8[[#This Row],[SETOR]]&lt;400,"GV 30","S/GV"))))</f>
        <v>GV 10</v>
      </c>
      <c r="E1381" t="s">
        <v>123</v>
      </c>
      <c r="G1381" t="str">
        <f>_xlfn.CONCAT(Tabela9[[#This Row],[Coluna1]],Tabela9[[#This Row],[Coluna2]])</f>
        <v>20-Rota</v>
      </c>
    </row>
    <row r="1382" spans="1:7" x14ac:dyDescent="0.25">
      <c r="A1382">
        <v>10488</v>
      </c>
      <c r="B1382">
        <v>109</v>
      </c>
      <c r="C1382" s="1" t="str">
        <f>IF(Tabela8[[#This Row],[SETOR]]="","",IF(Tabela8[[#This Row],[SETOR]]&lt;200,"GV 10",IF(Tabela8[[#This Row],[SETOR]]&lt;300,"GV 20",IF(Tabela8[[#This Row],[SETOR]]&lt;400,"GV 30","S/GV"))))</f>
        <v>GV 10</v>
      </c>
      <c r="E1382" t="s">
        <v>123</v>
      </c>
      <c r="G1382" t="str">
        <f>_xlfn.CONCAT(Tabela9[[#This Row],[Coluna1]],Tabela9[[#This Row],[Coluna2]])</f>
        <v>20-Rota</v>
      </c>
    </row>
    <row r="1383" spans="1:7" x14ac:dyDescent="0.25">
      <c r="A1383">
        <v>10496</v>
      </c>
      <c r="B1383">
        <v>101</v>
      </c>
      <c r="C1383" s="1" t="str">
        <f>IF(Tabela8[[#This Row],[SETOR]]="","",IF(Tabela8[[#This Row],[SETOR]]&lt;200,"GV 10",IF(Tabela8[[#This Row],[SETOR]]&lt;300,"GV 20",IF(Tabela8[[#This Row],[SETOR]]&lt;400,"GV 30","S/GV"))))</f>
        <v>GV 10</v>
      </c>
      <c r="E1383" t="s">
        <v>123</v>
      </c>
      <c r="G1383" t="str">
        <f>_xlfn.CONCAT(Tabela9[[#This Row],[Coluna1]],Tabela9[[#This Row],[Coluna2]])</f>
        <v>20-Rota</v>
      </c>
    </row>
    <row r="1384" spans="1:7" x14ac:dyDescent="0.25">
      <c r="A1384">
        <v>10498</v>
      </c>
      <c r="B1384">
        <v>307</v>
      </c>
      <c r="C1384" s="1" t="str">
        <f>IF(Tabela8[[#This Row],[SETOR]]="","",IF(Tabela8[[#This Row],[SETOR]]&lt;200,"GV 10",IF(Tabela8[[#This Row],[SETOR]]&lt;300,"GV 20",IF(Tabela8[[#This Row],[SETOR]]&lt;400,"GV 30","S/GV"))))</f>
        <v>GV 30</v>
      </c>
      <c r="E1384" t="s">
        <v>130</v>
      </c>
      <c r="G1384" t="str">
        <f>_xlfn.CONCAT(Tabela9[[#This Row],[Coluna1]],Tabela9[[#This Row],[Coluna2]])</f>
        <v>21-SUB</v>
      </c>
    </row>
    <row r="1385" spans="1:7" x14ac:dyDescent="0.25">
      <c r="A1385">
        <v>10500</v>
      </c>
      <c r="B1385">
        <v>303</v>
      </c>
      <c r="C1385" s="1" t="str">
        <f>IF(Tabela8[[#This Row],[SETOR]]="","",IF(Tabela8[[#This Row],[SETOR]]&lt;200,"GV 10",IF(Tabela8[[#This Row],[SETOR]]&lt;300,"GV 20",IF(Tabela8[[#This Row],[SETOR]]&lt;400,"GV 30","S/GV"))))</f>
        <v>GV 30</v>
      </c>
      <c r="E1385" t="s">
        <v>123</v>
      </c>
      <c r="G1385" t="str">
        <f>_xlfn.CONCAT(Tabela9[[#This Row],[Coluna1]],Tabela9[[#This Row],[Coluna2]])</f>
        <v>20-Rota</v>
      </c>
    </row>
    <row r="1386" spans="1:7" x14ac:dyDescent="0.25">
      <c r="A1386">
        <v>10503</v>
      </c>
      <c r="B1386">
        <v>205</v>
      </c>
      <c r="C1386" s="1" t="str">
        <f>IF(Tabela8[[#This Row],[SETOR]]="","",IF(Tabela8[[#This Row],[SETOR]]&lt;200,"GV 10",IF(Tabela8[[#This Row],[SETOR]]&lt;300,"GV 20",IF(Tabela8[[#This Row],[SETOR]]&lt;400,"GV 30","S/GV"))))</f>
        <v>GV 20</v>
      </c>
      <c r="E1386" t="s">
        <v>123</v>
      </c>
      <c r="G1386" t="str">
        <f>_xlfn.CONCAT(Tabela9[[#This Row],[Coluna1]],Tabela9[[#This Row],[Coluna2]])</f>
        <v>20-Rota</v>
      </c>
    </row>
    <row r="1387" spans="1:7" x14ac:dyDescent="0.25">
      <c r="A1387">
        <v>10518</v>
      </c>
      <c r="B1387">
        <v>103</v>
      </c>
      <c r="C1387" s="1" t="str">
        <f>IF(Tabela8[[#This Row],[SETOR]]="","",IF(Tabela8[[#This Row],[SETOR]]&lt;200,"GV 10",IF(Tabela8[[#This Row],[SETOR]]&lt;300,"GV 20",IF(Tabela8[[#This Row],[SETOR]]&lt;400,"GV 30","S/GV"))))</f>
        <v>GV 10</v>
      </c>
      <c r="E1387" t="s">
        <v>123</v>
      </c>
      <c r="G1387" t="str">
        <f>_xlfn.CONCAT(Tabela9[[#This Row],[Coluna1]],Tabela9[[#This Row],[Coluna2]])</f>
        <v>20-Rota</v>
      </c>
    </row>
    <row r="1388" spans="1:7" x14ac:dyDescent="0.25">
      <c r="A1388">
        <v>10531</v>
      </c>
      <c r="B1388">
        <v>205</v>
      </c>
      <c r="C1388" s="1" t="str">
        <f>IF(Tabela8[[#This Row],[SETOR]]="","",IF(Tabela8[[#This Row],[SETOR]]&lt;200,"GV 10",IF(Tabela8[[#This Row],[SETOR]]&lt;300,"GV 20",IF(Tabela8[[#This Row],[SETOR]]&lt;400,"GV 30","S/GV"))))</f>
        <v>GV 20</v>
      </c>
      <c r="E1388" t="s">
        <v>130</v>
      </c>
      <c r="G1388" t="str">
        <f>_xlfn.CONCAT(Tabela9[[#This Row],[Coluna1]],Tabela9[[#This Row],[Coluna2]])</f>
        <v>21-SUB</v>
      </c>
    </row>
    <row r="1389" spans="1:7" x14ac:dyDescent="0.25">
      <c r="A1389">
        <v>10544</v>
      </c>
      <c r="B1389">
        <v>105</v>
      </c>
      <c r="C1389" s="1" t="str">
        <f>IF(Tabela8[[#This Row],[SETOR]]="","",IF(Tabela8[[#This Row],[SETOR]]&lt;200,"GV 10",IF(Tabela8[[#This Row],[SETOR]]&lt;300,"GV 20",IF(Tabela8[[#This Row],[SETOR]]&lt;400,"GV 30","S/GV"))))</f>
        <v>GV 10</v>
      </c>
      <c r="E1389" t="s">
        <v>123</v>
      </c>
      <c r="G1389" t="str">
        <f>_xlfn.CONCAT(Tabela9[[#This Row],[Coluna1]],Tabela9[[#This Row],[Coluna2]])</f>
        <v>20-Rota</v>
      </c>
    </row>
    <row r="1390" spans="1:7" x14ac:dyDescent="0.25">
      <c r="A1390">
        <v>10548</v>
      </c>
      <c r="B1390">
        <v>203</v>
      </c>
      <c r="C1390" s="1" t="str">
        <f>IF(Tabela8[[#This Row],[SETOR]]="","",IF(Tabela8[[#This Row],[SETOR]]&lt;200,"GV 10",IF(Tabela8[[#This Row],[SETOR]]&lt;300,"GV 20",IF(Tabela8[[#This Row],[SETOR]]&lt;400,"GV 30","S/GV"))))</f>
        <v>GV 20</v>
      </c>
      <c r="E1390" t="s">
        <v>123</v>
      </c>
      <c r="G1390" t="str">
        <f>_xlfn.CONCAT(Tabela9[[#This Row],[Coluna1]],Tabela9[[#This Row],[Coluna2]])</f>
        <v>20-Rota</v>
      </c>
    </row>
    <row r="1391" spans="1:7" x14ac:dyDescent="0.25">
      <c r="A1391">
        <v>10552</v>
      </c>
      <c r="B1391">
        <v>201</v>
      </c>
      <c r="C1391" s="1" t="str">
        <f>IF(Tabela8[[#This Row],[SETOR]]="","",IF(Tabela8[[#This Row],[SETOR]]&lt;200,"GV 10",IF(Tabela8[[#This Row],[SETOR]]&lt;300,"GV 20",IF(Tabela8[[#This Row],[SETOR]]&lt;400,"GV 30","S/GV"))))</f>
        <v>GV 20</v>
      </c>
      <c r="E1391" t="s">
        <v>128</v>
      </c>
      <c r="F1391" t="s">
        <v>129</v>
      </c>
      <c r="G1391" t="str">
        <f>_xlfn.CONCAT(Tabela9[[#This Row],[Coluna1]],Tabela9[[#This Row],[Coluna2]])</f>
        <v>15-AS(1-4)</v>
      </c>
    </row>
    <row r="1392" spans="1:7" x14ac:dyDescent="0.25">
      <c r="A1392">
        <v>10557</v>
      </c>
      <c r="B1392">
        <v>101</v>
      </c>
      <c r="C1392" s="1" t="str">
        <f>IF(Tabela8[[#This Row],[SETOR]]="","",IF(Tabela8[[#This Row],[SETOR]]&lt;200,"GV 10",IF(Tabela8[[#This Row],[SETOR]]&lt;300,"GV 20",IF(Tabela8[[#This Row],[SETOR]]&lt;400,"GV 30","S/GV"))))</f>
        <v>GV 10</v>
      </c>
      <c r="E1392" t="s">
        <v>123</v>
      </c>
      <c r="G1392" t="str">
        <f>_xlfn.CONCAT(Tabela9[[#This Row],[Coluna1]],Tabela9[[#This Row],[Coluna2]])</f>
        <v>20-Rota</v>
      </c>
    </row>
    <row r="1393" spans="1:7" x14ac:dyDescent="0.25">
      <c r="A1393">
        <v>10560</v>
      </c>
      <c r="B1393">
        <v>305</v>
      </c>
      <c r="C1393" s="1" t="str">
        <f>IF(Tabela8[[#This Row],[SETOR]]="","",IF(Tabela8[[#This Row],[SETOR]]&lt;200,"GV 10",IF(Tabela8[[#This Row],[SETOR]]&lt;300,"GV 20",IF(Tabela8[[#This Row],[SETOR]]&lt;400,"GV 30","S/GV"))))</f>
        <v>GV 30</v>
      </c>
      <c r="E1393" t="s">
        <v>123</v>
      </c>
      <c r="G1393" t="str">
        <f>_xlfn.CONCAT(Tabela9[[#This Row],[Coluna1]],Tabela9[[#This Row],[Coluna2]])</f>
        <v>20-Rota</v>
      </c>
    </row>
    <row r="1394" spans="1:7" x14ac:dyDescent="0.25">
      <c r="A1394">
        <v>10568</v>
      </c>
      <c r="B1394">
        <v>102</v>
      </c>
      <c r="C1394" s="1" t="str">
        <f>IF(Tabela8[[#This Row],[SETOR]]="","",IF(Tabela8[[#This Row],[SETOR]]&lt;200,"GV 10",IF(Tabela8[[#This Row],[SETOR]]&lt;300,"GV 20",IF(Tabela8[[#This Row],[SETOR]]&lt;400,"GV 30","S/GV"))))</f>
        <v>GV 10</v>
      </c>
      <c r="E1394" t="s">
        <v>123</v>
      </c>
      <c r="G1394" t="str">
        <f>_xlfn.CONCAT(Tabela9[[#This Row],[Coluna1]],Tabela9[[#This Row],[Coluna2]])</f>
        <v>20-Rota</v>
      </c>
    </row>
    <row r="1395" spans="1:7" x14ac:dyDescent="0.25">
      <c r="A1395">
        <v>10569</v>
      </c>
      <c r="B1395">
        <v>102</v>
      </c>
      <c r="C1395" s="1" t="str">
        <f>IF(Tabela8[[#This Row],[SETOR]]="","",IF(Tabela8[[#This Row],[SETOR]]&lt;200,"GV 10",IF(Tabela8[[#This Row],[SETOR]]&lt;300,"GV 20",IF(Tabela8[[#This Row],[SETOR]]&lt;400,"GV 30","S/GV"))))</f>
        <v>GV 10</v>
      </c>
      <c r="E1395" t="s">
        <v>123</v>
      </c>
      <c r="G1395" t="str">
        <f>_xlfn.CONCAT(Tabela9[[#This Row],[Coluna1]],Tabela9[[#This Row],[Coluna2]])</f>
        <v>20-Rota</v>
      </c>
    </row>
    <row r="1396" spans="1:7" x14ac:dyDescent="0.25">
      <c r="A1396">
        <v>10578</v>
      </c>
      <c r="B1396">
        <v>207</v>
      </c>
      <c r="C1396" s="1" t="str">
        <f>IF(Tabela8[[#This Row],[SETOR]]="","",IF(Tabela8[[#This Row],[SETOR]]&lt;200,"GV 10",IF(Tabela8[[#This Row],[SETOR]]&lt;300,"GV 20",IF(Tabela8[[#This Row],[SETOR]]&lt;400,"GV 30","S/GV"))))</f>
        <v>GV 20</v>
      </c>
      <c r="E1396" t="s">
        <v>125</v>
      </c>
      <c r="G1396" t="str">
        <f>_xlfn.CONCAT(Tabela9[[#This Row],[Coluna1]],Tabela9[[#This Row],[Coluna2]])</f>
        <v>18-TRAD</v>
      </c>
    </row>
    <row r="1397" spans="1:7" x14ac:dyDescent="0.25">
      <c r="A1397">
        <v>10583</v>
      </c>
      <c r="B1397">
        <v>101</v>
      </c>
      <c r="C1397" s="1" t="str">
        <f>IF(Tabela8[[#This Row],[SETOR]]="","",IF(Tabela8[[#This Row],[SETOR]]&lt;200,"GV 10",IF(Tabela8[[#This Row],[SETOR]]&lt;300,"GV 20",IF(Tabela8[[#This Row],[SETOR]]&lt;400,"GV 30","S/GV"))))</f>
        <v>GV 10</v>
      </c>
      <c r="E1397" t="s">
        <v>125</v>
      </c>
      <c r="G1397" t="str">
        <f>_xlfn.CONCAT(Tabela9[[#This Row],[Coluna1]],Tabela9[[#This Row],[Coluna2]])</f>
        <v>18-TRAD</v>
      </c>
    </row>
    <row r="1398" spans="1:7" x14ac:dyDescent="0.25">
      <c r="A1398">
        <v>10584</v>
      </c>
      <c r="B1398">
        <v>105</v>
      </c>
      <c r="C1398" s="1" t="str">
        <f>IF(Tabela8[[#This Row],[SETOR]]="","",IF(Tabela8[[#This Row],[SETOR]]&lt;200,"GV 10",IF(Tabela8[[#This Row],[SETOR]]&lt;300,"GV 20",IF(Tabela8[[#This Row],[SETOR]]&lt;400,"GV 30","S/GV"))))</f>
        <v>GV 10</v>
      </c>
      <c r="E1398" t="s">
        <v>123</v>
      </c>
      <c r="G1398" t="str">
        <f>_xlfn.CONCAT(Tabela9[[#This Row],[Coluna1]],Tabela9[[#This Row],[Coluna2]])</f>
        <v>20-Rota</v>
      </c>
    </row>
    <row r="1399" spans="1:7" x14ac:dyDescent="0.25">
      <c r="A1399">
        <v>10592</v>
      </c>
      <c r="B1399">
        <v>105</v>
      </c>
      <c r="C1399" s="1" t="str">
        <f>IF(Tabela8[[#This Row],[SETOR]]="","",IF(Tabela8[[#This Row],[SETOR]]&lt;200,"GV 10",IF(Tabela8[[#This Row],[SETOR]]&lt;300,"GV 20",IF(Tabela8[[#This Row],[SETOR]]&lt;400,"GV 30","S/GV"))))</f>
        <v>GV 10</v>
      </c>
      <c r="E1399" t="s">
        <v>123</v>
      </c>
      <c r="G1399" t="str">
        <f>_xlfn.CONCAT(Tabela9[[#This Row],[Coluna1]],Tabela9[[#This Row],[Coluna2]])</f>
        <v>20-Rota</v>
      </c>
    </row>
    <row r="1400" spans="1:7" x14ac:dyDescent="0.25">
      <c r="A1400">
        <v>10595</v>
      </c>
      <c r="B1400">
        <v>107</v>
      </c>
      <c r="C1400" s="1" t="str">
        <f>IF(Tabela8[[#This Row],[SETOR]]="","",IF(Tabela8[[#This Row],[SETOR]]&lt;200,"GV 10",IF(Tabela8[[#This Row],[SETOR]]&lt;300,"GV 20",IF(Tabela8[[#This Row],[SETOR]]&lt;400,"GV 30","S/GV"))))</f>
        <v>GV 10</v>
      </c>
      <c r="E1400" t="s">
        <v>130</v>
      </c>
      <c r="G1400" t="str">
        <f>_xlfn.CONCAT(Tabela9[[#This Row],[Coluna1]],Tabela9[[#This Row],[Coluna2]])</f>
        <v>21-SUB</v>
      </c>
    </row>
    <row r="1401" spans="1:7" x14ac:dyDescent="0.25">
      <c r="A1401">
        <v>10598</v>
      </c>
      <c r="B1401">
        <v>303</v>
      </c>
      <c r="C1401" s="1" t="str">
        <f>IF(Tabela8[[#This Row],[SETOR]]="","",IF(Tabela8[[#This Row],[SETOR]]&lt;200,"GV 10",IF(Tabela8[[#This Row],[SETOR]]&lt;300,"GV 20",IF(Tabela8[[#This Row],[SETOR]]&lt;400,"GV 30","S/GV"))))</f>
        <v>GV 30</v>
      </c>
      <c r="E1401" t="s">
        <v>123</v>
      </c>
      <c r="G1401" t="str">
        <f>_xlfn.CONCAT(Tabela9[[#This Row],[Coluna1]],Tabela9[[#This Row],[Coluna2]])</f>
        <v>20-Rota</v>
      </c>
    </row>
    <row r="1402" spans="1:7" x14ac:dyDescent="0.25">
      <c r="A1402">
        <v>10600</v>
      </c>
      <c r="B1402">
        <v>301</v>
      </c>
      <c r="C1402" s="1" t="str">
        <f>IF(Tabela8[[#This Row],[SETOR]]="","",IF(Tabela8[[#This Row],[SETOR]]&lt;200,"GV 10",IF(Tabela8[[#This Row],[SETOR]]&lt;300,"GV 20",IF(Tabela8[[#This Row],[SETOR]]&lt;400,"GV 30","S/GV"))))</f>
        <v>GV 30</v>
      </c>
      <c r="E1402" t="s">
        <v>123</v>
      </c>
      <c r="G1402" t="str">
        <f>_xlfn.CONCAT(Tabela9[[#This Row],[Coluna1]],Tabela9[[#This Row],[Coluna2]])</f>
        <v>20-Rota</v>
      </c>
    </row>
    <row r="1403" spans="1:7" x14ac:dyDescent="0.25">
      <c r="A1403">
        <v>10601</v>
      </c>
      <c r="B1403">
        <v>102</v>
      </c>
      <c r="C1403" s="1" t="str">
        <f>IF(Tabela8[[#This Row],[SETOR]]="","",IF(Tabela8[[#This Row],[SETOR]]&lt;200,"GV 10",IF(Tabela8[[#This Row],[SETOR]]&lt;300,"GV 20",IF(Tabela8[[#This Row],[SETOR]]&lt;400,"GV 30","S/GV"))))</f>
        <v>GV 10</v>
      </c>
      <c r="E1403" t="s">
        <v>123</v>
      </c>
      <c r="G1403" t="str">
        <f>_xlfn.CONCAT(Tabela9[[#This Row],[Coluna1]],Tabela9[[#This Row],[Coluna2]])</f>
        <v>20-Rota</v>
      </c>
    </row>
    <row r="1404" spans="1:7" x14ac:dyDescent="0.25">
      <c r="A1404">
        <v>10604</v>
      </c>
      <c r="B1404">
        <v>105</v>
      </c>
      <c r="C1404" s="1" t="str">
        <f>IF(Tabela8[[#This Row],[SETOR]]="","",IF(Tabela8[[#This Row],[SETOR]]&lt;200,"GV 10",IF(Tabela8[[#This Row],[SETOR]]&lt;300,"GV 20",IF(Tabela8[[#This Row],[SETOR]]&lt;400,"GV 30","S/GV"))))</f>
        <v>GV 10</v>
      </c>
      <c r="E1404" t="s">
        <v>123</v>
      </c>
      <c r="G1404" t="str">
        <f>_xlfn.CONCAT(Tabela9[[#This Row],[Coluna1]],Tabela9[[#This Row],[Coluna2]])</f>
        <v>20-Rota</v>
      </c>
    </row>
    <row r="1405" spans="1:7" x14ac:dyDescent="0.25">
      <c r="A1405">
        <v>10605</v>
      </c>
      <c r="B1405">
        <v>102</v>
      </c>
      <c r="C1405" s="1" t="str">
        <f>IF(Tabela8[[#This Row],[SETOR]]="","",IF(Tabela8[[#This Row],[SETOR]]&lt;200,"GV 10",IF(Tabela8[[#This Row],[SETOR]]&lt;300,"GV 20",IF(Tabela8[[#This Row],[SETOR]]&lt;400,"GV 30","S/GV"))))</f>
        <v>GV 10</v>
      </c>
      <c r="E1405" t="s">
        <v>123</v>
      </c>
      <c r="G1405" t="str">
        <f>_xlfn.CONCAT(Tabela9[[#This Row],[Coluna1]],Tabela9[[#This Row],[Coluna2]])</f>
        <v>20-Rota</v>
      </c>
    </row>
    <row r="1406" spans="1:7" x14ac:dyDescent="0.25">
      <c r="A1406">
        <v>10609</v>
      </c>
      <c r="B1406">
        <v>205</v>
      </c>
      <c r="C1406" s="1" t="str">
        <f>IF(Tabela8[[#This Row],[SETOR]]="","",IF(Tabela8[[#This Row],[SETOR]]&lt;200,"GV 10",IF(Tabela8[[#This Row],[SETOR]]&lt;300,"GV 20",IF(Tabela8[[#This Row],[SETOR]]&lt;400,"GV 30","S/GV"))))</f>
        <v>GV 20</v>
      </c>
      <c r="E1406" t="s">
        <v>123</v>
      </c>
      <c r="G1406" t="str">
        <f>_xlfn.CONCAT(Tabela9[[#This Row],[Coluna1]],Tabela9[[#This Row],[Coluna2]])</f>
        <v>20-Rota</v>
      </c>
    </row>
    <row r="1407" spans="1:7" x14ac:dyDescent="0.25">
      <c r="A1407">
        <v>10612</v>
      </c>
      <c r="B1407">
        <v>106</v>
      </c>
      <c r="C1407" s="1" t="str">
        <f>IF(Tabela8[[#This Row],[SETOR]]="","",IF(Tabela8[[#This Row],[SETOR]]&lt;200,"GV 10",IF(Tabela8[[#This Row],[SETOR]]&lt;300,"GV 20",IF(Tabela8[[#This Row],[SETOR]]&lt;400,"GV 30","S/GV"))))</f>
        <v>GV 10</v>
      </c>
      <c r="E1407" t="s">
        <v>125</v>
      </c>
      <c r="G1407" t="str">
        <f>_xlfn.CONCAT(Tabela9[[#This Row],[Coluna1]],Tabela9[[#This Row],[Coluna2]])</f>
        <v>18-TRAD</v>
      </c>
    </row>
    <row r="1408" spans="1:7" x14ac:dyDescent="0.25">
      <c r="A1408">
        <v>10614</v>
      </c>
      <c r="B1408">
        <v>205</v>
      </c>
      <c r="C1408" s="1" t="str">
        <f>IF(Tabela8[[#This Row],[SETOR]]="","",IF(Tabela8[[#This Row],[SETOR]]&lt;200,"GV 10",IF(Tabela8[[#This Row],[SETOR]]&lt;300,"GV 20",IF(Tabela8[[#This Row],[SETOR]]&lt;400,"GV 30","S/GV"))))</f>
        <v>GV 20</v>
      </c>
      <c r="E1408" t="s">
        <v>123</v>
      </c>
      <c r="G1408" t="str">
        <f>_xlfn.CONCAT(Tabela9[[#This Row],[Coluna1]],Tabela9[[#This Row],[Coluna2]])</f>
        <v>20-Rota</v>
      </c>
    </row>
    <row r="1409" spans="1:7" x14ac:dyDescent="0.25">
      <c r="A1409">
        <v>10618</v>
      </c>
      <c r="B1409">
        <v>206</v>
      </c>
      <c r="C1409" s="1" t="str">
        <f>IF(Tabela8[[#This Row],[SETOR]]="","",IF(Tabela8[[#This Row],[SETOR]]&lt;200,"GV 10",IF(Tabela8[[#This Row],[SETOR]]&lt;300,"GV 20",IF(Tabela8[[#This Row],[SETOR]]&lt;400,"GV 30","S/GV"))))</f>
        <v>GV 20</v>
      </c>
      <c r="E1409" t="s">
        <v>123</v>
      </c>
      <c r="G1409" t="str">
        <f>_xlfn.CONCAT(Tabela9[[#This Row],[Coluna1]],Tabela9[[#This Row],[Coluna2]])</f>
        <v>20-Rota</v>
      </c>
    </row>
    <row r="1410" spans="1:7" x14ac:dyDescent="0.25">
      <c r="A1410">
        <v>10619</v>
      </c>
      <c r="B1410">
        <v>307</v>
      </c>
      <c r="C1410" s="1" t="str">
        <f>IF(Tabela8[[#This Row],[SETOR]]="","",IF(Tabela8[[#This Row],[SETOR]]&lt;200,"GV 10",IF(Tabela8[[#This Row],[SETOR]]&lt;300,"GV 20",IF(Tabela8[[#This Row],[SETOR]]&lt;400,"GV 30","S/GV"))))</f>
        <v>GV 30</v>
      </c>
      <c r="E1410" t="s">
        <v>130</v>
      </c>
      <c r="G1410" t="str">
        <f>_xlfn.CONCAT(Tabela9[[#This Row],[Coluna1]],Tabela9[[#This Row],[Coluna2]])</f>
        <v>21-SUB</v>
      </c>
    </row>
    <row r="1411" spans="1:7" x14ac:dyDescent="0.25">
      <c r="A1411">
        <v>10620</v>
      </c>
      <c r="B1411">
        <v>203</v>
      </c>
      <c r="C1411" s="1" t="str">
        <f>IF(Tabela8[[#This Row],[SETOR]]="","",IF(Tabela8[[#This Row],[SETOR]]&lt;200,"GV 10",IF(Tabela8[[#This Row],[SETOR]]&lt;300,"GV 20",IF(Tabela8[[#This Row],[SETOR]]&lt;400,"GV 30","S/GV"))))</f>
        <v>GV 20</v>
      </c>
      <c r="E1411" t="s">
        <v>123</v>
      </c>
      <c r="G1411" t="str">
        <f>_xlfn.CONCAT(Tabela9[[#This Row],[Coluna1]],Tabela9[[#This Row],[Coluna2]])</f>
        <v>20-Rota</v>
      </c>
    </row>
    <row r="1412" spans="1:7" x14ac:dyDescent="0.25">
      <c r="A1412">
        <v>10628</v>
      </c>
      <c r="B1412">
        <v>306</v>
      </c>
      <c r="C1412" s="1" t="str">
        <f>IF(Tabela8[[#This Row],[SETOR]]="","",IF(Tabela8[[#This Row],[SETOR]]&lt;200,"GV 10",IF(Tabela8[[#This Row],[SETOR]]&lt;300,"GV 20",IF(Tabela8[[#This Row],[SETOR]]&lt;400,"GV 30","S/GV"))))</f>
        <v>GV 30</v>
      </c>
      <c r="E1412" t="s">
        <v>125</v>
      </c>
      <c r="G1412" t="str">
        <f>_xlfn.CONCAT(Tabela9[[#This Row],[Coluna1]],Tabela9[[#This Row],[Coluna2]])</f>
        <v>18-TRAD</v>
      </c>
    </row>
    <row r="1413" spans="1:7" x14ac:dyDescent="0.25">
      <c r="A1413">
        <v>10654</v>
      </c>
      <c r="B1413">
        <v>109</v>
      </c>
      <c r="C1413" s="1" t="str">
        <f>IF(Tabela8[[#This Row],[SETOR]]="","",IF(Tabela8[[#This Row],[SETOR]]&lt;200,"GV 10",IF(Tabela8[[#This Row],[SETOR]]&lt;300,"GV 20",IF(Tabela8[[#This Row],[SETOR]]&lt;400,"GV 30","S/GV"))))</f>
        <v>GV 10</v>
      </c>
      <c r="E1413" t="s">
        <v>123</v>
      </c>
      <c r="G1413" t="str">
        <f>_xlfn.CONCAT(Tabela9[[#This Row],[Coluna1]],Tabela9[[#This Row],[Coluna2]])</f>
        <v>20-Rota</v>
      </c>
    </row>
    <row r="1414" spans="1:7" x14ac:dyDescent="0.25">
      <c r="A1414">
        <v>10658</v>
      </c>
      <c r="B1414">
        <v>201</v>
      </c>
      <c r="C1414" s="1" t="str">
        <f>IF(Tabela8[[#This Row],[SETOR]]="","",IF(Tabela8[[#This Row],[SETOR]]&lt;200,"GV 10",IF(Tabela8[[#This Row],[SETOR]]&lt;300,"GV 20",IF(Tabela8[[#This Row],[SETOR]]&lt;400,"GV 30","S/GV"))))</f>
        <v>GV 20</v>
      </c>
      <c r="E1414" t="s">
        <v>123</v>
      </c>
      <c r="G1414" t="str">
        <f>_xlfn.CONCAT(Tabela9[[#This Row],[Coluna1]],Tabela9[[#This Row],[Coluna2]])</f>
        <v>20-Rota</v>
      </c>
    </row>
    <row r="1415" spans="1:7" x14ac:dyDescent="0.25">
      <c r="A1415">
        <v>10660</v>
      </c>
      <c r="B1415">
        <v>102</v>
      </c>
      <c r="C1415" s="1" t="str">
        <f>IF(Tabela8[[#This Row],[SETOR]]="","",IF(Tabela8[[#This Row],[SETOR]]&lt;200,"GV 10",IF(Tabela8[[#This Row],[SETOR]]&lt;300,"GV 20",IF(Tabela8[[#This Row],[SETOR]]&lt;400,"GV 30","S/GV"))))</f>
        <v>GV 10</v>
      </c>
      <c r="E1415" t="s">
        <v>123</v>
      </c>
      <c r="G1415" t="str">
        <f>_xlfn.CONCAT(Tabela9[[#This Row],[Coluna1]],Tabela9[[#This Row],[Coluna2]])</f>
        <v>20-Rota</v>
      </c>
    </row>
    <row r="1416" spans="1:7" x14ac:dyDescent="0.25">
      <c r="A1416">
        <v>10670</v>
      </c>
      <c r="B1416">
        <v>103</v>
      </c>
      <c r="C1416" s="1" t="str">
        <f>IF(Tabela8[[#This Row],[SETOR]]="","",IF(Tabela8[[#This Row],[SETOR]]&lt;200,"GV 10",IF(Tabela8[[#This Row],[SETOR]]&lt;300,"GV 20",IF(Tabela8[[#This Row],[SETOR]]&lt;400,"GV 30","S/GV"))))</f>
        <v>GV 10</v>
      </c>
      <c r="E1416" t="s">
        <v>123</v>
      </c>
      <c r="G1416" t="str">
        <f>_xlfn.CONCAT(Tabela9[[#This Row],[Coluna1]],Tabela9[[#This Row],[Coluna2]])</f>
        <v>20-Rota</v>
      </c>
    </row>
    <row r="1417" spans="1:7" x14ac:dyDescent="0.25">
      <c r="A1417">
        <v>10673</v>
      </c>
      <c r="B1417">
        <v>302</v>
      </c>
      <c r="C1417" s="1" t="str">
        <f>IF(Tabela8[[#This Row],[SETOR]]="","",IF(Tabela8[[#This Row],[SETOR]]&lt;200,"GV 10",IF(Tabela8[[#This Row],[SETOR]]&lt;300,"GV 20",IF(Tabela8[[#This Row],[SETOR]]&lt;400,"GV 30","S/GV"))))</f>
        <v>GV 30</v>
      </c>
      <c r="E1417" t="s">
        <v>123</v>
      </c>
      <c r="G1417" t="str">
        <f>_xlfn.CONCAT(Tabela9[[#This Row],[Coluna1]],Tabela9[[#This Row],[Coluna2]])</f>
        <v>20-Rota</v>
      </c>
    </row>
    <row r="1418" spans="1:7" x14ac:dyDescent="0.25">
      <c r="A1418">
        <v>10678</v>
      </c>
      <c r="B1418">
        <v>109</v>
      </c>
      <c r="C1418" s="1" t="str">
        <f>IF(Tabela8[[#This Row],[SETOR]]="","",IF(Tabela8[[#This Row],[SETOR]]&lt;200,"GV 10",IF(Tabela8[[#This Row],[SETOR]]&lt;300,"GV 20",IF(Tabela8[[#This Row],[SETOR]]&lt;400,"GV 30","S/GV"))))</f>
        <v>GV 10</v>
      </c>
      <c r="E1418" t="s">
        <v>123</v>
      </c>
      <c r="G1418" t="str">
        <f>_xlfn.CONCAT(Tabela9[[#This Row],[Coluna1]],Tabela9[[#This Row],[Coluna2]])</f>
        <v>20-Rota</v>
      </c>
    </row>
    <row r="1419" spans="1:7" x14ac:dyDescent="0.25">
      <c r="A1419">
        <v>10682</v>
      </c>
      <c r="B1419">
        <v>102</v>
      </c>
      <c r="C1419" s="1" t="str">
        <f>IF(Tabela8[[#This Row],[SETOR]]="","",IF(Tabela8[[#This Row],[SETOR]]&lt;200,"GV 10",IF(Tabela8[[#This Row],[SETOR]]&lt;300,"GV 20",IF(Tabela8[[#This Row],[SETOR]]&lt;400,"GV 30","S/GV"))))</f>
        <v>GV 10</v>
      </c>
      <c r="E1419" t="s">
        <v>123</v>
      </c>
      <c r="G1419" t="str">
        <f>_xlfn.CONCAT(Tabela9[[#This Row],[Coluna1]],Tabela9[[#This Row],[Coluna2]])</f>
        <v>20-Rota</v>
      </c>
    </row>
    <row r="1420" spans="1:7" x14ac:dyDescent="0.25">
      <c r="A1420">
        <v>10685</v>
      </c>
      <c r="B1420">
        <v>305</v>
      </c>
      <c r="C1420" s="1" t="str">
        <f>IF(Tabela8[[#This Row],[SETOR]]="","",IF(Tabela8[[#This Row],[SETOR]]&lt;200,"GV 10",IF(Tabela8[[#This Row],[SETOR]]&lt;300,"GV 20",IF(Tabela8[[#This Row],[SETOR]]&lt;400,"GV 30","S/GV"))))</f>
        <v>GV 30</v>
      </c>
      <c r="E1420" t="s">
        <v>123</v>
      </c>
      <c r="G1420" t="str">
        <f>_xlfn.CONCAT(Tabela9[[#This Row],[Coluna1]],Tabela9[[#This Row],[Coluna2]])</f>
        <v>20-Rota</v>
      </c>
    </row>
    <row r="1421" spans="1:7" x14ac:dyDescent="0.25">
      <c r="A1421">
        <v>10697</v>
      </c>
      <c r="B1421">
        <v>303</v>
      </c>
      <c r="C1421" s="1" t="str">
        <f>IF(Tabela8[[#This Row],[SETOR]]="","",IF(Tabela8[[#This Row],[SETOR]]&lt;200,"GV 10",IF(Tabela8[[#This Row],[SETOR]]&lt;300,"GV 20",IF(Tabela8[[#This Row],[SETOR]]&lt;400,"GV 30","S/GV"))))</f>
        <v>GV 30</v>
      </c>
      <c r="E1421" t="s">
        <v>123</v>
      </c>
      <c r="G1421" t="str">
        <f>_xlfn.CONCAT(Tabela9[[#This Row],[Coluna1]],Tabela9[[#This Row],[Coluna2]])</f>
        <v>20-Rota</v>
      </c>
    </row>
    <row r="1422" spans="1:7" x14ac:dyDescent="0.25">
      <c r="A1422">
        <v>10703</v>
      </c>
      <c r="B1422">
        <v>304</v>
      </c>
      <c r="C1422" s="1" t="str">
        <f>IF(Tabela8[[#This Row],[SETOR]]="","",IF(Tabela8[[#This Row],[SETOR]]&lt;200,"GV 10",IF(Tabela8[[#This Row],[SETOR]]&lt;300,"GV 20",IF(Tabela8[[#This Row],[SETOR]]&lt;400,"GV 30","S/GV"))))</f>
        <v>GV 30</v>
      </c>
      <c r="E1422" t="s">
        <v>124</v>
      </c>
      <c r="G1422" t="str">
        <f>_xlfn.CONCAT(Tabela9[[#This Row],[Coluna1]],Tabela9[[#This Row],[Coluna2]])</f>
        <v>19-VIP</v>
      </c>
    </row>
    <row r="1423" spans="1:7" x14ac:dyDescent="0.25">
      <c r="A1423">
        <v>10725</v>
      </c>
      <c r="B1423">
        <v>306</v>
      </c>
      <c r="C1423" s="1" t="str">
        <f>IF(Tabela8[[#This Row],[SETOR]]="","",IF(Tabela8[[#This Row],[SETOR]]&lt;200,"GV 10",IF(Tabela8[[#This Row],[SETOR]]&lt;300,"GV 20",IF(Tabela8[[#This Row],[SETOR]]&lt;400,"GV 30","S/GV"))))</f>
        <v>GV 30</v>
      </c>
      <c r="E1423" t="s">
        <v>125</v>
      </c>
      <c r="G1423" t="str">
        <f>_xlfn.CONCAT(Tabela9[[#This Row],[Coluna1]],Tabela9[[#This Row],[Coluna2]])</f>
        <v>18-TRAD</v>
      </c>
    </row>
    <row r="1424" spans="1:7" x14ac:dyDescent="0.25">
      <c r="A1424">
        <v>10726</v>
      </c>
      <c r="B1424">
        <v>907</v>
      </c>
      <c r="C1424" s="1" t="str">
        <f>IF(Tabela8[[#This Row],[SETOR]]="","",IF(Tabela8[[#This Row],[SETOR]]&lt;200,"GV 10",IF(Tabela8[[#This Row],[SETOR]]&lt;300,"GV 20",IF(Tabela8[[#This Row],[SETOR]]&lt;400,"GV 30","S/GV"))))</f>
        <v>S/GV</v>
      </c>
      <c r="G1424" t="str">
        <f>_xlfn.CONCAT(Tabela9[[#This Row],[Coluna1]],Tabela9[[#This Row],[Coluna2]])</f>
        <v/>
      </c>
    </row>
    <row r="1425" spans="1:7" x14ac:dyDescent="0.25">
      <c r="A1425">
        <v>10730</v>
      </c>
      <c r="B1425">
        <v>109</v>
      </c>
      <c r="C1425" s="1" t="str">
        <f>IF(Tabela8[[#This Row],[SETOR]]="","",IF(Tabela8[[#This Row],[SETOR]]&lt;200,"GV 10",IF(Tabela8[[#This Row],[SETOR]]&lt;300,"GV 20",IF(Tabela8[[#This Row],[SETOR]]&lt;400,"GV 30","S/GV"))))</f>
        <v>GV 10</v>
      </c>
      <c r="E1425" t="s">
        <v>123</v>
      </c>
      <c r="G1425" t="str">
        <f>_xlfn.CONCAT(Tabela9[[#This Row],[Coluna1]],Tabela9[[#This Row],[Coluna2]])</f>
        <v>20-Rota</v>
      </c>
    </row>
    <row r="1426" spans="1:7" x14ac:dyDescent="0.25">
      <c r="A1426">
        <v>10738</v>
      </c>
      <c r="B1426">
        <v>103</v>
      </c>
      <c r="C1426" s="1" t="str">
        <f>IF(Tabela8[[#This Row],[SETOR]]="","",IF(Tabela8[[#This Row],[SETOR]]&lt;200,"GV 10",IF(Tabela8[[#This Row],[SETOR]]&lt;300,"GV 20",IF(Tabela8[[#This Row],[SETOR]]&lt;400,"GV 30","S/GV"))))</f>
        <v>GV 10</v>
      </c>
      <c r="E1426" t="s">
        <v>123</v>
      </c>
      <c r="G1426" t="str">
        <f>_xlfn.CONCAT(Tabela9[[#This Row],[Coluna1]],Tabela9[[#This Row],[Coluna2]])</f>
        <v>20-Rota</v>
      </c>
    </row>
    <row r="1427" spans="1:7" x14ac:dyDescent="0.25">
      <c r="A1427">
        <v>10746</v>
      </c>
      <c r="B1427">
        <v>203</v>
      </c>
      <c r="C1427" s="1" t="str">
        <f>IF(Tabela8[[#This Row],[SETOR]]="","",IF(Tabela8[[#This Row],[SETOR]]&lt;200,"GV 10",IF(Tabela8[[#This Row],[SETOR]]&lt;300,"GV 20",IF(Tabela8[[#This Row],[SETOR]]&lt;400,"GV 30","S/GV"))))</f>
        <v>GV 20</v>
      </c>
      <c r="E1427" t="s">
        <v>123</v>
      </c>
      <c r="G1427" t="str">
        <f>_xlfn.CONCAT(Tabela9[[#This Row],[Coluna1]],Tabela9[[#This Row],[Coluna2]])</f>
        <v>20-Rota</v>
      </c>
    </row>
    <row r="1428" spans="1:7" x14ac:dyDescent="0.25">
      <c r="A1428">
        <v>10753</v>
      </c>
      <c r="B1428">
        <v>102</v>
      </c>
      <c r="C1428" s="1" t="str">
        <f>IF(Tabela8[[#This Row],[SETOR]]="","",IF(Tabela8[[#This Row],[SETOR]]&lt;200,"GV 10",IF(Tabela8[[#This Row],[SETOR]]&lt;300,"GV 20",IF(Tabela8[[#This Row],[SETOR]]&lt;400,"GV 30","S/GV"))))</f>
        <v>GV 10</v>
      </c>
      <c r="E1428" t="s">
        <v>125</v>
      </c>
      <c r="G1428" t="str">
        <f>_xlfn.CONCAT(Tabela9[[#This Row],[Coluna1]],Tabela9[[#This Row],[Coluna2]])</f>
        <v>18-TRAD</v>
      </c>
    </row>
    <row r="1429" spans="1:7" x14ac:dyDescent="0.25">
      <c r="A1429">
        <v>10764</v>
      </c>
      <c r="B1429">
        <v>304</v>
      </c>
      <c r="C1429" s="1" t="str">
        <f>IF(Tabela8[[#This Row],[SETOR]]="","",IF(Tabela8[[#This Row],[SETOR]]&lt;200,"GV 10",IF(Tabela8[[#This Row],[SETOR]]&lt;300,"GV 20",IF(Tabela8[[#This Row],[SETOR]]&lt;400,"GV 30","S/GV"))))</f>
        <v>GV 30</v>
      </c>
      <c r="E1429" t="s">
        <v>123</v>
      </c>
      <c r="G1429" t="str">
        <f>_xlfn.CONCAT(Tabela9[[#This Row],[Coluna1]],Tabela9[[#This Row],[Coluna2]])</f>
        <v>20-Rota</v>
      </c>
    </row>
    <row r="1430" spans="1:7" x14ac:dyDescent="0.25">
      <c r="A1430">
        <v>10773</v>
      </c>
      <c r="B1430">
        <v>307</v>
      </c>
      <c r="C1430" s="1" t="str">
        <f>IF(Tabela8[[#This Row],[SETOR]]="","",IF(Tabela8[[#This Row],[SETOR]]&lt;200,"GV 10",IF(Tabela8[[#This Row],[SETOR]]&lt;300,"GV 20",IF(Tabela8[[#This Row],[SETOR]]&lt;400,"GV 30","S/GV"))))</f>
        <v>GV 30</v>
      </c>
      <c r="E1430" t="s">
        <v>130</v>
      </c>
      <c r="G1430" t="str">
        <f>_xlfn.CONCAT(Tabela9[[#This Row],[Coluna1]],Tabela9[[#This Row],[Coluna2]])</f>
        <v>21-SUB</v>
      </c>
    </row>
    <row r="1431" spans="1:7" x14ac:dyDescent="0.25">
      <c r="A1431">
        <v>10780</v>
      </c>
      <c r="B1431">
        <v>208</v>
      </c>
      <c r="C1431" s="1" t="str">
        <f>IF(Tabela8[[#This Row],[SETOR]]="","",IF(Tabela8[[#This Row],[SETOR]]&lt;200,"GV 10",IF(Tabela8[[#This Row],[SETOR]]&lt;300,"GV 20",IF(Tabela8[[#This Row],[SETOR]]&lt;400,"GV 30","S/GV"))))</f>
        <v>GV 20</v>
      </c>
      <c r="E1431" t="s">
        <v>131</v>
      </c>
      <c r="F1431" t="s">
        <v>132</v>
      </c>
      <c r="G1431" t="str">
        <f>_xlfn.CONCAT(Tabela9[[#This Row],[Coluna1]],Tabela9[[#This Row],[Coluna2]])</f>
        <v>14-Lj.Conveniência</v>
      </c>
    </row>
    <row r="1432" spans="1:7" x14ac:dyDescent="0.25">
      <c r="A1432">
        <v>10782</v>
      </c>
      <c r="B1432">
        <v>104</v>
      </c>
      <c r="C1432" s="1" t="str">
        <f>IF(Tabela8[[#This Row],[SETOR]]="","",IF(Tabela8[[#This Row],[SETOR]]&lt;200,"GV 10",IF(Tabela8[[#This Row],[SETOR]]&lt;300,"GV 20",IF(Tabela8[[#This Row],[SETOR]]&lt;400,"GV 30","S/GV"))))</f>
        <v>GV 10</v>
      </c>
      <c r="E1432" t="s">
        <v>123</v>
      </c>
      <c r="G1432" t="str">
        <f>_xlfn.CONCAT(Tabela9[[#This Row],[Coluna1]],Tabela9[[#This Row],[Coluna2]])</f>
        <v>20-Rota</v>
      </c>
    </row>
    <row r="1433" spans="1:7" x14ac:dyDescent="0.25">
      <c r="A1433">
        <v>10785</v>
      </c>
      <c r="B1433">
        <v>106</v>
      </c>
      <c r="C1433" s="1" t="str">
        <f>IF(Tabela8[[#This Row],[SETOR]]="","",IF(Tabela8[[#This Row],[SETOR]]&lt;200,"GV 10",IF(Tabela8[[#This Row],[SETOR]]&lt;300,"GV 20",IF(Tabela8[[#This Row],[SETOR]]&lt;400,"GV 30","S/GV"))))</f>
        <v>GV 10</v>
      </c>
      <c r="E1433" t="s">
        <v>125</v>
      </c>
      <c r="G1433" t="str">
        <f>_xlfn.CONCAT(Tabela9[[#This Row],[Coluna1]],Tabela9[[#This Row],[Coluna2]])</f>
        <v>18-TRAD</v>
      </c>
    </row>
    <row r="1434" spans="1:7" x14ac:dyDescent="0.25">
      <c r="A1434">
        <v>10788</v>
      </c>
      <c r="B1434">
        <v>107</v>
      </c>
      <c r="C1434" s="1" t="str">
        <f>IF(Tabela8[[#This Row],[SETOR]]="","",IF(Tabela8[[#This Row],[SETOR]]&lt;200,"GV 10",IF(Tabela8[[#This Row],[SETOR]]&lt;300,"GV 20",IF(Tabela8[[#This Row],[SETOR]]&lt;400,"GV 30","S/GV"))))</f>
        <v>GV 10</v>
      </c>
      <c r="E1434" t="s">
        <v>125</v>
      </c>
      <c r="G1434" t="str">
        <f>_xlfn.CONCAT(Tabela9[[#This Row],[Coluna1]],Tabela9[[#This Row],[Coluna2]])</f>
        <v>18-TRAD</v>
      </c>
    </row>
    <row r="1435" spans="1:7" x14ac:dyDescent="0.25">
      <c r="A1435">
        <v>10789</v>
      </c>
      <c r="B1435">
        <v>101</v>
      </c>
      <c r="C1435" s="1" t="str">
        <f>IF(Tabela8[[#This Row],[SETOR]]="","",IF(Tabela8[[#This Row],[SETOR]]&lt;200,"GV 10",IF(Tabela8[[#This Row],[SETOR]]&lt;300,"GV 20",IF(Tabela8[[#This Row],[SETOR]]&lt;400,"GV 30","S/GV"))))</f>
        <v>GV 10</v>
      </c>
      <c r="E1435" t="s">
        <v>123</v>
      </c>
      <c r="G1435" t="str">
        <f>_xlfn.CONCAT(Tabela9[[#This Row],[Coluna1]],Tabela9[[#This Row],[Coluna2]])</f>
        <v>20-Rota</v>
      </c>
    </row>
    <row r="1436" spans="1:7" x14ac:dyDescent="0.25">
      <c r="A1436">
        <v>10790</v>
      </c>
      <c r="B1436">
        <v>201</v>
      </c>
      <c r="C1436" s="1" t="str">
        <f>IF(Tabela8[[#This Row],[SETOR]]="","",IF(Tabela8[[#This Row],[SETOR]]&lt;200,"GV 10",IF(Tabela8[[#This Row],[SETOR]]&lt;300,"GV 20",IF(Tabela8[[#This Row],[SETOR]]&lt;400,"GV 30","S/GV"))))</f>
        <v>GV 20</v>
      </c>
      <c r="E1436" t="s">
        <v>123</v>
      </c>
      <c r="G1436" t="str">
        <f>_xlfn.CONCAT(Tabela9[[#This Row],[Coluna1]],Tabela9[[#This Row],[Coluna2]])</f>
        <v>20-Rota</v>
      </c>
    </row>
    <row r="1437" spans="1:7" x14ac:dyDescent="0.25">
      <c r="A1437">
        <v>10794</v>
      </c>
      <c r="B1437">
        <v>302</v>
      </c>
      <c r="C1437" s="1" t="str">
        <f>IF(Tabela8[[#This Row],[SETOR]]="","",IF(Tabela8[[#This Row],[SETOR]]&lt;200,"GV 10",IF(Tabela8[[#This Row],[SETOR]]&lt;300,"GV 20",IF(Tabela8[[#This Row],[SETOR]]&lt;400,"GV 30","S/GV"))))</f>
        <v>GV 30</v>
      </c>
      <c r="E1437" t="s">
        <v>123</v>
      </c>
      <c r="G1437" t="str">
        <f>_xlfn.CONCAT(Tabela9[[#This Row],[Coluna1]],Tabela9[[#This Row],[Coluna2]])</f>
        <v>20-Rota</v>
      </c>
    </row>
    <row r="1438" spans="1:7" x14ac:dyDescent="0.25">
      <c r="A1438">
        <v>10797</v>
      </c>
      <c r="B1438">
        <v>307</v>
      </c>
      <c r="C1438" s="1" t="str">
        <f>IF(Tabela8[[#This Row],[SETOR]]="","",IF(Tabela8[[#This Row],[SETOR]]&lt;200,"GV 10",IF(Tabela8[[#This Row],[SETOR]]&lt;300,"GV 20",IF(Tabela8[[#This Row],[SETOR]]&lt;400,"GV 30","S/GV"))))</f>
        <v>GV 30</v>
      </c>
      <c r="E1438" t="s">
        <v>130</v>
      </c>
      <c r="G1438" t="str">
        <f>_xlfn.CONCAT(Tabela9[[#This Row],[Coluna1]],Tabela9[[#This Row],[Coluna2]])</f>
        <v>21-SUB</v>
      </c>
    </row>
    <row r="1439" spans="1:7" x14ac:dyDescent="0.25">
      <c r="A1439">
        <v>10807</v>
      </c>
      <c r="B1439">
        <v>305</v>
      </c>
      <c r="C1439" s="1" t="str">
        <f>IF(Tabela8[[#This Row],[SETOR]]="","",IF(Tabela8[[#This Row],[SETOR]]&lt;200,"GV 10",IF(Tabela8[[#This Row],[SETOR]]&lt;300,"GV 20",IF(Tabela8[[#This Row],[SETOR]]&lt;400,"GV 30","S/GV"))))</f>
        <v>GV 30</v>
      </c>
      <c r="E1439" t="s">
        <v>125</v>
      </c>
      <c r="G1439" t="str">
        <f>_xlfn.CONCAT(Tabela9[[#This Row],[Coluna1]],Tabela9[[#This Row],[Coluna2]])</f>
        <v>18-TRAD</v>
      </c>
    </row>
    <row r="1440" spans="1:7" x14ac:dyDescent="0.25">
      <c r="A1440">
        <v>10809</v>
      </c>
      <c r="B1440">
        <v>303</v>
      </c>
      <c r="C1440" s="1" t="str">
        <f>IF(Tabela8[[#This Row],[SETOR]]="","",IF(Tabela8[[#This Row],[SETOR]]&lt;200,"GV 10",IF(Tabela8[[#This Row],[SETOR]]&lt;300,"GV 20",IF(Tabela8[[#This Row],[SETOR]]&lt;400,"GV 30","S/GV"))))</f>
        <v>GV 30</v>
      </c>
      <c r="E1440" t="s">
        <v>123</v>
      </c>
      <c r="G1440" t="str">
        <f>_xlfn.CONCAT(Tabela9[[#This Row],[Coluna1]],Tabela9[[#This Row],[Coluna2]])</f>
        <v>20-Rota</v>
      </c>
    </row>
    <row r="1441" spans="1:7" x14ac:dyDescent="0.25">
      <c r="A1441">
        <v>10810</v>
      </c>
      <c r="B1441">
        <v>302</v>
      </c>
      <c r="C1441" s="1" t="str">
        <f>IF(Tabela8[[#This Row],[SETOR]]="","",IF(Tabela8[[#This Row],[SETOR]]&lt;200,"GV 10",IF(Tabela8[[#This Row],[SETOR]]&lt;300,"GV 20",IF(Tabela8[[#This Row],[SETOR]]&lt;400,"GV 30","S/GV"))))</f>
        <v>GV 30</v>
      </c>
      <c r="E1441" t="s">
        <v>123</v>
      </c>
      <c r="G1441" t="str">
        <f>_xlfn.CONCAT(Tabela9[[#This Row],[Coluna1]],Tabela9[[#This Row],[Coluna2]])</f>
        <v>20-Rota</v>
      </c>
    </row>
    <row r="1442" spans="1:7" x14ac:dyDescent="0.25">
      <c r="A1442">
        <v>10818</v>
      </c>
      <c r="B1442">
        <v>916</v>
      </c>
      <c r="C1442" s="1" t="str">
        <f>IF(Tabela8[[#This Row],[SETOR]]="","",IF(Tabela8[[#This Row],[SETOR]]&lt;200,"GV 10",IF(Tabela8[[#This Row],[SETOR]]&lt;300,"GV 20",IF(Tabela8[[#This Row],[SETOR]]&lt;400,"GV 30","S/GV"))))</f>
        <v>S/GV</v>
      </c>
      <c r="G1442" t="str">
        <f>_xlfn.CONCAT(Tabela9[[#This Row],[Coluna1]],Tabela9[[#This Row],[Coluna2]])</f>
        <v/>
      </c>
    </row>
    <row r="1443" spans="1:7" x14ac:dyDescent="0.25">
      <c r="A1443">
        <v>10820</v>
      </c>
      <c r="B1443">
        <v>207</v>
      </c>
      <c r="C1443" s="1" t="str">
        <f>IF(Tabela8[[#This Row],[SETOR]]="","",IF(Tabela8[[#This Row],[SETOR]]&lt;200,"GV 10",IF(Tabela8[[#This Row],[SETOR]]&lt;300,"GV 20",IF(Tabela8[[#This Row],[SETOR]]&lt;400,"GV 30","S/GV"))))</f>
        <v>GV 20</v>
      </c>
      <c r="E1443" t="s">
        <v>130</v>
      </c>
      <c r="G1443" t="str">
        <f>_xlfn.CONCAT(Tabela9[[#This Row],[Coluna1]],Tabela9[[#This Row],[Coluna2]])</f>
        <v>21-SUB</v>
      </c>
    </row>
    <row r="1444" spans="1:7" x14ac:dyDescent="0.25">
      <c r="A1444">
        <v>10825</v>
      </c>
      <c r="B1444">
        <v>906</v>
      </c>
      <c r="C1444" s="1" t="str">
        <f>IF(Tabela8[[#This Row],[SETOR]]="","",IF(Tabela8[[#This Row],[SETOR]]&lt;200,"GV 10",IF(Tabela8[[#This Row],[SETOR]]&lt;300,"GV 20",IF(Tabela8[[#This Row],[SETOR]]&lt;400,"GV 30","S/GV"))))</f>
        <v>S/GV</v>
      </c>
      <c r="E1444" t="s">
        <v>123</v>
      </c>
      <c r="G1444" t="str">
        <f>_xlfn.CONCAT(Tabela9[[#This Row],[Coluna1]],Tabela9[[#This Row],[Coluna2]])</f>
        <v>20-Rota</v>
      </c>
    </row>
    <row r="1445" spans="1:7" x14ac:dyDescent="0.25">
      <c r="A1445">
        <v>10836</v>
      </c>
      <c r="B1445">
        <v>102</v>
      </c>
      <c r="C1445" s="1" t="str">
        <f>IF(Tabela8[[#This Row],[SETOR]]="","",IF(Tabela8[[#This Row],[SETOR]]&lt;200,"GV 10",IF(Tabela8[[#This Row],[SETOR]]&lt;300,"GV 20",IF(Tabela8[[#This Row],[SETOR]]&lt;400,"GV 30","S/GV"))))</f>
        <v>GV 10</v>
      </c>
      <c r="E1445" t="s">
        <v>123</v>
      </c>
      <c r="G1445" t="str">
        <f>_xlfn.CONCAT(Tabela9[[#This Row],[Coluna1]],Tabela9[[#This Row],[Coluna2]])</f>
        <v>20-Rota</v>
      </c>
    </row>
    <row r="1446" spans="1:7" x14ac:dyDescent="0.25">
      <c r="A1446">
        <v>10839</v>
      </c>
      <c r="B1446">
        <v>305</v>
      </c>
      <c r="C1446" s="1" t="str">
        <f>IF(Tabela8[[#This Row],[SETOR]]="","",IF(Tabela8[[#This Row],[SETOR]]&lt;200,"GV 10",IF(Tabela8[[#This Row],[SETOR]]&lt;300,"GV 20",IF(Tabela8[[#This Row],[SETOR]]&lt;400,"GV 30","S/GV"))))</f>
        <v>GV 30</v>
      </c>
      <c r="E1446" t="s">
        <v>123</v>
      </c>
      <c r="G1446" t="str">
        <f>_xlfn.CONCAT(Tabela9[[#This Row],[Coluna1]],Tabela9[[#This Row],[Coluna2]])</f>
        <v>20-Rota</v>
      </c>
    </row>
    <row r="1447" spans="1:7" x14ac:dyDescent="0.25">
      <c r="A1447">
        <v>10840</v>
      </c>
      <c r="B1447">
        <v>206</v>
      </c>
      <c r="C1447" s="1" t="str">
        <f>IF(Tabela8[[#This Row],[SETOR]]="","",IF(Tabela8[[#This Row],[SETOR]]&lt;200,"GV 10",IF(Tabela8[[#This Row],[SETOR]]&lt;300,"GV 20",IF(Tabela8[[#This Row],[SETOR]]&lt;400,"GV 30","S/GV"))))</f>
        <v>GV 20</v>
      </c>
      <c r="E1447" t="s">
        <v>123</v>
      </c>
      <c r="G1447" t="str">
        <f>_xlfn.CONCAT(Tabela9[[#This Row],[Coluna1]],Tabela9[[#This Row],[Coluna2]])</f>
        <v>20-Rota</v>
      </c>
    </row>
    <row r="1448" spans="1:7" x14ac:dyDescent="0.25">
      <c r="A1448">
        <v>10841</v>
      </c>
      <c r="B1448">
        <v>304</v>
      </c>
      <c r="C1448" s="1" t="str">
        <f>IF(Tabela8[[#This Row],[SETOR]]="","",IF(Tabela8[[#This Row],[SETOR]]&lt;200,"GV 10",IF(Tabela8[[#This Row],[SETOR]]&lt;300,"GV 20",IF(Tabela8[[#This Row],[SETOR]]&lt;400,"GV 30","S/GV"))))</f>
        <v>GV 30</v>
      </c>
      <c r="E1448" t="s">
        <v>123</v>
      </c>
      <c r="G1448" t="str">
        <f>_xlfn.CONCAT(Tabela9[[#This Row],[Coluna1]],Tabela9[[#This Row],[Coluna2]])</f>
        <v>20-Rota</v>
      </c>
    </row>
    <row r="1449" spans="1:7" x14ac:dyDescent="0.25">
      <c r="A1449">
        <v>10844</v>
      </c>
      <c r="B1449">
        <v>104</v>
      </c>
      <c r="C1449" s="1" t="str">
        <f>IF(Tabela8[[#This Row],[SETOR]]="","",IF(Tabela8[[#This Row],[SETOR]]&lt;200,"GV 10",IF(Tabela8[[#This Row],[SETOR]]&lt;300,"GV 20",IF(Tabela8[[#This Row],[SETOR]]&lt;400,"GV 30","S/GV"))))</f>
        <v>GV 10</v>
      </c>
      <c r="E1449" t="s">
        <v>123</v>
      </c>
      <c r="G1449" t="str">
        <f>_xlfn.CONCAT(Tabela9[[#This Row],[Coluna1]],Tabela9[[#This Row],[Coluna2]])</f>
        <v>20-Rota</v>
      </c>
    </row>
    <row r="1450" spans="1:7" x14ac:dyDescent="0.25">
      <c r="A1450">
        <v>10845</v>
      </c>
      <c r="B1450">
        <v>104</v>
      </c>
      <c r="C1450" s="1" t="str">
        <f>IF(Tabela8[[#This Row],[SETOR]]="","",IF(Tabela8[[#This Row],[SETOR]]&lt;200,"GV 10",IF(Tabela8[[#This Row],[SETOR]]&lt;300,"GV 20",IF(Tabela8[[#This Row],[SETOR]]&lt;400,"GV 30","S/GV"))))</f>
        <v>GV 10</v>
      </c>
      <c r="E1450" t="s">
        <v>123</v>
      </c>
      <c r="G1450" t="str">
        <f>_xlfn.CONCAT(Tabela9[[#This Row],[Coluna1]],Tabela9[[#This Row],[Coluna2]])</f>
        <v>20-Rota</v>
      </c>
    </row>
    <row r="1451" spans="1:7" x14ac:dyDescent="0.25">
      <c r="A1451">
        <v>10856</v>
      </c>
      <c r="B1451">
        <v>101</v>
      </c>
      <c r="C1451" s="1" t="str">
        <f>IF(Tabela8[[#This Row],[SETOR]]="","",IF(Tabela8[[#This Row],[SETOR]]&lt;200,"GV 10",IF(Tabela8[[#This Row],[SETOR]]&lt;300,"GV 20",IF(Tabela8[[#This Row],[SETOR]]&lt;400,"GV 30","S/GV"))))</f>
        <v>GV 10</v>
      </c>
      <c r="E1451" t="s">
        <v>124</v>
      </c>
      <c r="G1451" t="str">
        <f>_xlfn.CONCAT(Tabela9[[#This Row],[Coluna1]],Tabela9[[#This Row],[Coluna2]])</f>
        <v>19-VIP</v>
      </c>
    </row>
    <row r="1452" spans="1:7" x14ac:dyDescent="0.25">
      <c r="A1452">
        <v>10859</v>
      </c>
      <c r="B1452">
        <v>907</v>
      </c>
      <c r="C1452" s="1" t="str">
        <f>IF(Tabela8[[#This Row],[SETOR]]="","",IF(Tabela8[[#This Row],[SETOR]]&lt;200,"GV 10",IF(Tabela8[[#This Row],[SETOR]]&lt;300,"GV 20",IF(Tabela8[[#This Row],[SETOR]]&lt;400,"GV 30","S/GV"))))</f>
        <v>S/GV</v>
      </c>
      <c r="E1452" t="s">
        <v>123</v>
      </c>
      <c r="G1452" t="str">
        <f>_xlfn.CONCAT(Tabela9[[#This Row],[Coluna1]],Tabela9[[#This Row],[Coluna2]])</f>
        <v>20-Rota</v>
      </c>
    </row>
    <row r="1453" spans="1:7" x14ac:dyDescent="0.25">
      <c r="A1453">
        <v>10869</v>
      </c>
      <c r="B1453">
        <v>103</v>
      </c>
      <c r="C1453" s="1" t="str">
        <f>IF(Tabela8[[#This Row],[SETOR]]="","",IF(Tabela8[[#This Row],[SETOR]]&lt;200,"GV 10",IF(Tabela8[[#This Row],[SETOR]]&lt;300,"GV 20",IF(Tabela8[[#This Row],[SETOR]]&lt;400,"GV 30","S/GV"))))</f>
        <v>GV 10</v>
      </c>
      <c r="E1453" t="s">
        <v>123</v>
      </c>
      <c r="G1453" t="str">
        <f>_xlfn.CONCAT(Tabela9[[#This Row],[Coluna1]],Tabela9[[#This Row],[Coluna2]])</f>
        <v>20-Rota</v>
      </c>
    </row>
    <row r="1454" spans="1:7" x14ac:dyDescent="0.25">
      <c r="A1454">
        <v>10874</v>
      </c>
      <c r="B1454">
        <v>107</v>
      </c>
      <c r="C1454" s="1" t="str">
        <f>IF(Tabela8[[#This Row],[SETOR]]="","",IF(Tabela8[[#This Row],[SETOR]]&lt;200,"GV 10",IF(Tabela8[[#This Row],[SETOR]]&lt;300,"GV 20",IF(Tabela8[[#This Row],[SETOR]]&lt;400,"GV 30","S/GV"))))</f>
        <v>GV 10</v>
      </c>
      <c r="E1454" t="s">
        <v>125</v>
      </c>
      <c r="G1454" t="str">
        <f>_xlfn.CONCAT(Tabela9[[#This Row],[Coluna1]],Tabela9[[#This Row],[Coluna2]])</f>
        <v>18-TRAD</v>
      </c>
    </row>
    <row r="1455" spans="1:7" x14ac:dyDescent="0.25">
      <c r="A1455">
        <v>10880</v>
      </c>
      <c r="B1455">
        <v>202</v>
      </c>
      <c r="C1455" s="1" t="str">
        <f>IF(Tabela8[[#This Row],[SETOR]]="","",IF(Tabela8[[#This Row],[SETOR]]&lt;200,"GV 10",IF(Tabela8[[#This Row],[SETOR]]&lt;300,"GV 20",IF(Tabela8[[#This Row],[SETOR]]&lt;400,"GV 30","S/GV"))))</f>
        <v>GV 20</v>
      </c>
      <c r="E1455" t="s">
        <v>125</v>
      </c>
      <c r="G1455" t="str">
        <f>_xlfn.CONCAT(Tabela9[[#This Row],[Coluna1]],Tabela9[[#This Row],[Coluna2]])</f>
        <v>18-TRAD</v>
      </c>
    </row>
    <row r="1456" spans="1:7" x14ac:dyDescent="0.25">
      <c r="A1456">
        <v>10883</v>
      </c>
      <c r="B1456">
        <v>305</v>
      </c>
      <c r="C1456" s="1" t="str">
        <f>IF(Tabela8[[#This Row],[SETOR]]="","",IF(Tabela8[[#This Row],[SETOR]]&lt;200,"GV 10",IF(Tabela8[[#This Row],[SETOR]]&lt;300,"GV 20",IF(Tabela8[[#This Row],[SETOR]]&lt;400,"GV 30","S/GV"))))</f>
        <v>GV 30</v>
      </c>
      <c r="E1456" t="s">
        <v>123</v>
      </c>
      <c r="G1456" t="str">
        <f>_xlfn.CONCAT(Tabela9[[#This Row],[Coluna1]],Tabela9[[#This Row],[Coluna2]])</f>
        <v>20-Rota</v>
      </c>
    </row>
    <row r="1457" spans="1:7" x14ac:dyDescent="0.25">
      <c r="A1457">
        <v>10888</v>
      </c>
      <c r="B1457">
        <v>907</v>
      </c>
      <c r="C1457" s="1" t="str">
        <f>IF(Tabela8[[#This Row],[SETOR]]="","",IF(Tabela8[[#This Row],[SETOR]]&lt;200,"GV 10",IF(Tabela8[[#This Row],[SETOR]]&lt;300,"GV 20",IF(Tabela8[[#This Row],[SETOR]]&lt;400,"GV 30","S/GV"))))</f>
        <v>S/GV</v>
      </c>
      <c r="G1457" t="str">
        <f>_xlfn.CONCAT(Tabela9[[#This Row],[Coluna1]],Tabela9[[#This Row],[Coluna2]])</f>
        <v/>
      </c>
    </row>
    <row r="1458" spans="1:7" x14ac:dyDescent="0.25">
      <c r="A1458">
        <v>10891</v>
      </c>
      <c r="B1458">
        <v>302</v>
      </c>
      <c r="C1458" s="1" t="str">
        <f>IF(Tabela8[[#This Row],[SETOR]]="","",IF(Tabela8[[#This Row],[SETOR]]&lt;200,"GV 10",IF(Tabela8[[#This Row],[SETOR]]&lt;300,"GV 20",IF(Tabela8[[#This Row],[SETOR]]&lt;400,"GV 30","S/GV"))))</f>
        <v>GV 30</v>
      </c>
      <c r="E1458" t="s">
        <v>123</v>
      </c>
      <c r="G1458" t="str">
        <f>_xlfn.CONCAT(Tabela9[[#This Row],[Coluna1]],Tabela9[[#This Row],[Coluna2]])</f>
        <v>20-Rota</v>
      </c>
    </row>
    <row r="1459" spans="1:7" x14ac:dyDescent="0.25">
      <c r="A1459">
        <v>10894</v>
      </c>
      <c r="B1459">
        <v>101</v>
      </c>
      <c r="C1459" s="1" t="str">
        <f>IF(Tabela8[[#This Row],[SETOR]]="","",IF(Tabela8[[#This Row],[SETOR]]&lt;200,"GV 10",IF(Tabela8[[#This Row],[SETOR]]&lt;300,"GV 20",IF(Tabela8[[#This Row],[SETOR]]&lt;400,"GV 30","S/GV"))))</f>
        <v>GV 10</v>
      </c>
      <c r="E1459" t="s">
        <v>123</v>
      </c>
      <c r="G1459" t="str">
        <f>_xlfn.CONCAT(Tabela9[[#This Row],[Coluna1]],Tabela9[[#This Row],[Coluna2]])</f>
        <v>20-Rota</v>
      </c>
    </row>
    <row r="1460" spans="1:7" x14ac:dyDescent="0.25">
      <c r="A1460">
        <v>10895</v>
      </c>
      <c r="B1460">
        <v>202</v>
      </c>
      <c r="C1460" s="1" t="str">
        <f>IF(Tabela8[[#This Row],[SETOR]]="","",IF(Tabela8[[#This Row],[SETOR]]&lt;200,"GV 10",IF(Tabela8[[#This Row],[SETOR]]&lt;300,"GV 20",IF(Tabela8[[#This Row],[SETOR]]&lt;400,"GV 30","S/GV"))))</f>
        <v>GV 20</v>
      </c>
      <c r="E1460" t="s">
        <v>123</v>
      </c>
      <c r="G1460" t="str">
        <f>_xlfn.CONCAT(Tabela9[[#This Row],[Coluna1]],Tabela9[[#This Row],[Coluna2]])</f>
        <v>20-Rota</v>
      </c>
    </row>
    <row r="1461" spans="1:7" x14ac:dyDescent="0.25">
      <c r="A1461">
        <v>10900</v>
      </c>
      <c r="B1461">
        <v>101</v>
      </c>
      <c r="C1461" s="1" t="str">
        <f>IF(Tabela8[[#This Row],[SETOR]]="","",IF(Tabela8[[#This Row],[SETOR]]&lt;200,"GV 10",IF(Tabela8[[#This Row],[SETOR]]&lt;300,"GV 20",IF(Tabela8[[#This Row],[SETOR]]&lt;400,"GV 30","S/GV"))))</f>
        <v>GV 10</v>
      </c>
      <c r="E1461" t="s">
        <v>123</v>
      </c>
      <c r="G1461" t="str">
        <f>_xlfn.CONCAT(Tabela9[[#This Row],[Coluna1]],Tabela9[[#This Row],[Coluna2]])</f>
        <v>20-Rota</v>
      </c>
    </row>
    <row r="1462" spans="1:7" x14ac:dyDescent="0.25">
      <c r="A1462">
        <v>10902</v>
      </c>
      <c r="B1462">
        <v>108</v>
      </c>
      <c r="C1462" s="1" t="str">
        <f>IF(Tabela8[[#This Row],[SETOR]]="","",IF(Tabela8[[#This Row],[SETOR]]&lt;200,"GV 10",IF(Tabela8[[#This Row],[SETOR]]&lt;300,"GV 20",IF(Tabela8[[#This Row],[SETOR]]&lt;400,"GV 30","S/GV"))))</f>
        <v>GV 10</v>
      </c>
      <c r="E1462" t="s">
        <v>126</v>
      </c>
      <c r="F1462" t="s">
        <v>127</v>
      </c>
      <c r="G1462" t="str">
        <f>_xlfn.CONCAT(Tabela9[[#This Row],[Coluna1]],Tabela9[[#This Row],[Coluna2]])</f>
        <v>16-AS(5+)</v>
      </c>
    </row>
    <row r="1463" spans="1:7" x14ac:dyDescent="0.25">
      <c r="A1463">
        <v>10906</v>
      </c>
      <c r="B1463">
        <v>101</v>
      </c>
      <c r="C1463" s="1" t="str">
        <f>IF(Tabela8[[#This Row],[SETOR]]="","",IF(Tabela8[[#This Row],[SETOR]]&lt;200,"GV 10",IF(Tabela8[[#This Row],[SETOR]]&lt;300,"GV 20",IF(Tabela8[[#This Row],[SETOR]]&lt;400,"GV 30","S/GV"))))</f>
        <v>GV 10</v>
      </c>
      <c r="E1463" t="s">
        <v>123</v>
      </c>
      <c r="G1463" t="str">
        <f>_xlfn.CONCAT(Tabela9[[#This Row],[Coluna1]],Tabela9[[#This Row],[Coluna2]])</f>
        <v>20-Rota</v>
      </c>
    </row>
    <row r="1464" spans="1:7" x14ac:dyDescent="0.25">
      <c r="A1464">
        <v>10911</v>
      </c>
      <c r="B1464">
        <v>307</v>
      </c>
      <c r="C1464" s="1" t="str">
        <f>IF(Tabela8[[#This Row],[SETOR]]="","",IF(Tabela8[[#This Row],[SETOR]]&lt;200,"GV 10",IF(Tabela8[[#This Row],[SETOR]]&lt;300,"GV 20",IF(Tabela8[[#This Row],[SETOR]]&lt;400,"GV 30","S/GV"))))</f>
        <v>GV 30</v>
      </c>
      <c r="E1464" t="s">
        <v>130</v>
      </c>
      <c r="G1464" t="str">
        <f>_xlfn.CONCAT(Tabela9[[#This Row],[Coluna1]],Tabela9[[#This Row],[Coluna2]])</f>
        <v>21-SUB</v>
      </c>
    </row>
    <row r="1465" spans="1:7" x14ac:dyDescent="0.25">
      <c r="A1465">
        <v>10912</v>
      </c>
      <c r="B1465">
        <v>309</v>
      </c>
      <c r="C1465" s="1" t="str">
        <f>IF(Tabela8[[#This Row],[SETOR]]="","",IF(Tabela8[[#This Row],[SETOR]]&lt;200,"GV 10",IF(Tabela8[[#This Row],[SETOR]]&lt;300,"GV 20",IF(Tabela8[[#This Row],[SETOR]]&lt;400,"GV 30","S/GV"))))</f>
        <v>GV 30</v>
      </c>
      <c r="E1465" t="s">
        <v>126</v>
      </c>
      <c r="F1465" t="s">
        <v>127</v>
      </c>
      <c r="G1465" t="str">
        <f>_xlfn.CONCAT(Tabela9[[#This Row],[Coluna1]],Tabela9[[#This Row],[Coluna2]])</f>
        <v>16-AS(5+)</v>
      </c>
    </row>
    <row r="1466" spans="1:7" x14ac:dyDescent="0.25">
      <c r="A1466">
        <v>10920</v>
      </c>
      <c r="B1466">
        <v>104</v>
      </c>
      <c r="C1466" s="1" t="str">
        <f>IF(Tabela8[[#This Row],[SETOR]]="","",IF(Tabela8[[#This Row],[SETOR]]&lt;200,"GV 10",IF(Tabela8[[#This Row],[SETOR]]&lt;300,"GV 20",IF(Tabela8[[#This Row],[SETOR]]&lt;400,"GV 30","S/GV"))))</f>
        <v>GV 10</v>
      </c>
      <c r="E1466" t="s">
        <v>123</v>
      </c>
      <c r="G1466" t="str">
        <f>_xlfn.CONCAT(Tabela9[[#This Row],[Coluna1]],Tabela9[[#This Row],[Coluna2]])</f>
        <v>20-Rota</v>
      </c>
    </row>
    <row r="1467" spans="1:7" x14ac:dyDescent="0.25">
      <c r="A1467">
        <v>10922</v>
      </c>
      <c r="B1467">
        <v>101</v>
      </c>
      <c r="C1467" s="1" t="str">
        <f>IF(Tabela8[[#This Row],[SETOR]]="","",IF(Tabela8[[#This Row],[SETOR]]&lt;200,"GV 10",IF(Tabela8[[#This Row],[SETOR]]&lt;300,"GV 20",IF(Tabela8[[#This Row],[SETOR]]&lt;400,"GV 30","S/GV"))))</f>
        <v>GV 10</v>
      </c>
      <c r="E1467" t="s">
        <v>123</v>
      </c>
      <c r="G1467" t="str">
        <f>_xlfn.CONCAT(Tabela9[[#This Row],[Coluna1]],Tabela9[[#This Row],[Coluna2]])</f>
        <v>20-Rota</v>
      </c>
    </row>
    <row r="1468" spans="1:7" x14ac:dyDescent="0.25">
      <c r="A1468">
        <v>10923</v>
      </c>
      <c r="B1468">
        <v>907</v>
      </c>
      <c r="C1468" s="1" t="str">
        <f>IF(Tabela8[[#This Row],[SETOR]]="","",IF(Tabela8[[#This Row],[SETOR]]&lt;200,"GV 10",IF(Tabela8[[#This Row],[SETOR]]&lt;300,"GV 20",IF(Tabela8[[#This Row],[SETOR]]&lt;400,"GV 30","S/GV"))))</f>
        <v>S/GV</v>
      </c>
      <c r="G1468" t="str">
        <f>_xlfn.CONCAT(Tabela9[[#This Row],[Coluna1]],Tabela9[[#This Row],[Coluna2]])</f>
        <v/>
      </c>
    </row>
    <row r="1469" spans="1:7" x14ac:dyDescent="0.25">
      <c r="A1469">
        <v>10926</v>
      </c>
      <c r="B1469">
        <v>307</v>
      </c>
      <c r="C1469" s="1" t="str">
        <f>IF(Tabela8[[#This Row],[SETOR]]="","",IF(Tabela8[[#This Row],[SETOR]]&lt;200,"GV 10",IF(Tabela8[[#This Row],[SETOR]]&lt;300,"GV 20",IF(Tabela8[[#This Row],[SETOR]]&lt;400,"GV 30","S/GV"))))</f>
        <v>GV 30</v>
      </c>
      <c r="E1469" t="s">
        <v>123</v>
      </c>
      <c r="G1469" t="str">
        <f>_xlfn.CONCAT(Tabela9[[#This Row],[Coluna1]],Tabela9[[#This Row],[Coluna2]])</f>
        <v>20-Rota</v>
      </c>
    </row>
    <row r="1470" spans="1:7" x14ac:dyDescent="0.25">
      <c r="A1470">
        <v>10937</v>
      </c>
      <c r="B1470">
        <v>304</v>
      </c>
      <c r="C1470" s="1" t="str">
        <f>IF(Tabela8[[#This Row],[SETOR]]="","",IF(Tabela8[[#This Row],[SETOR]]&lt;200,"GV 10",IF(Tabela8[[#This Row],[SETOR]]&lt;300,"GV 20",IF(Tabela8[[#This Row],[SETOR]]&lt;400,"GV 30","S/GV"))))</f>
        <v>GV 30</v>
      </c>
      <c r="E1470" t="s">
        <v>123</v>
      </c>
      <c r="G1470" t="str">
        <f>_xlfn.CONCAT(Tabela9[[#This Row],[Coluna1]],Tabela9[[#This Row],[Coluna2]])</f>
        <v>20-Rota</v>
      </c>
    </row>
    <row r="1471" spans="1:7" x14ac:dyDescent="0.25">
      <c r="A1471">
        <v>10939</v>
      </c>
      <c r="B1471">
        <v>304</v>
      </c>
      <c r="C1471" s="1" t="str">
        <f>IF(Tabela8[[#This Row],[SETOR]]="","",IF(Tabela8[[#This Row],[SETOR]]&lt;200,"GV 10",IF(Tabela8[[#This Row],[SETOR]]&lt;300,"GV 20",IF(Tabela8[[#This Row],[SETOR]]&lt;400,"GV 30","S/GV"))))</f>
        <v>GV 30</v>
      </c>
      <c r="E1471" t="s">
        <v>123</v>
      </c>
      <c r="G1471" t="str">
        <f>_xlfn.CONCAT(Tabela9[[#This Row],[Coluna1]],Tabela9[[#This Row],[Coluna2]])</f>
        <v>20-Rota</v>
      </c>
    </row>
    <row r="1472" spans="1:7" x14ac:dyDescent="0.25">
      <c r="A1472">
        <v>10945</v>
      </c>
      <c r="B1472">
        <v>306</v>
      </c>
      <c r="C1472" s="1" t="str">
        <f>IF(Tabela8[[#This Row],[SETOR]]="","",IF(Tabela8[[#This Row],[SETOR]]&lt;200,"GV 10",IF(Tabela8[[#This Row],[SETOR]]&lt;300,"GV 20",IF(Tabela8[[#This Row],[SETOR]]&lt;400,"GV 30","S/GV"))))</f>
        <v>GV 30</v>
      </c>
      <c r="E1472" t="s">
        <v>125</v>
      </c>
      <c r="G1472" t="str">
        <f>_xlfn.CONCAT(Tabela9[[#This Row],[Coluna1]],Tabela9[[#This Row],[Coluna2]])</f>
        <v>18-TRAD</v>
      </c>
    </row>
    <row r="1473" spans="1:7" x14ac:dyDescent="0.25">
      <c r="A1473">
        <v>10955</v>
      </c>
      <c r="B1473">
        <v>304</v>
      </c>
      <c r="C1473" s="1" t="str">
        <f>IF(Tabela8[[#This Row],[SETOR]]="","",IF(Tabela8[[#This Row],[SETOR]]&lt;200,"GV 10",IF(Tabela8[[#This Row],[SETOR]]&lt;300,"GV 20",IF(Tabela8[[#This Row],[SETOR]]&lt;400,"GV 30","S/GV"))))</f>
        <v>GV 30</v>
      </c>
      <c r="E1473" t="s">
        <v>123</v>
      </c>
      <c r="G1473" t="str">
        <f>_xlfn.CONCAT(Tabela9[[#This Row],[Coluna1]],Tabela9[[#This Row],[Coluna2]])</f>
        <v>20-Rota</v>
      </c>
    </row>
    <row r="1474" spans="1:7" x14ac:dyDescent="0.25">
      <c r="A1474">
        <v>10956</v>
      </c>
      <c r="B1474">
        <v>303</v>
      </c>
      <c r="C1474" s="1" t="str">
        <f>IF(Tabela8[[#This Row],[SETOR]]="","",IF(Tabela8[[#This Row],[SETOR]]&lt;200,"GV 10",IF(Tabela8[[#This Row],[SETOR]]&lt;300,"GV 20",IF(Tabela8[[#This Row],[SETOR]]&lt;400,"GV 30","S/GV"))))</f>
        <v>GV 30</v>
      </c>
      <c r="E1474" t="s">
        <v>123</v>
      </c>
      <c r="G1474" t="str">
        <f>_xlfn.CONCAT(Tabela9[[#This Row],[Coluna1]],Tabela9[[#This Row],[Coluna2]])</f>
        <v>20-Rota</v>
      </c>
    </row>
    <row r="1475" spans="1:7" x14ac:dyDescent="0.25">
      <c r="A1475">
        <v>10965</v>
      </c>
      <c r="B1475">
        <v>109</v>
      </c>
      <c r="C1475" s="1" t="str">
        <f>IF(Tabela8[[#This Row],[SETOR]]="","",IF(Tabela8[[#This Row],[SETOR]]&lt;200,"GV 10",IF(Tabela8[[#This Row],[SETOR]]&lt;300,"GV 20",IF(Tabela8[[#This Row],[SETOR]]&lt;400,"GV 30","S/GV"))))</f>
        <v>GV 10</v>
      </c>
      <c r="E1475" t="s">
        <v>123</v>
      </c>
      <c r="G1475" t="str">
        <f>_xlfn.CONCAT(Tabela9[[#This Row],[Coluna1]],Tabela9[[#This Row],[Coluna2]])</f>
        <v>20-Rota</v>
      </c>
    </row>
    <row r="1476" spans="1:7" x14ac:dyDescent="0.25">
      <c r="A1476">
        <v>10966</v>
      </c>
      <c r="B1476">
        <v>101</v>
      </c>
      <c r="C1476" s="1" t="str">
        <f>IF(Tabela8[[#This Row],[SETOR]]="","",IF(Tabela8[[#This Row],[SETOR]]&lt;200,"GV 10",IF(Tabela8[[#This Row],[SETOR]]&lt;300,"GV 20",IF(Tabela8[[#This Row],[SETOR]]&lt;400,"GV 30","S/GV"))))</f>
        <v>GV 10</v>
      </c>
      <c r="E1476" t="s">
        <v>123</v>
      </c>
      <c r="G1476" t="str">
        <f>_xlfn.CONCAT(Tabela9[[#This Row],[Coluna1]],Tabela9[[#This Row],[Coluna2]])</f>
        <v>20-Rota</v>
      </c>
    </row>
    <row r="1477" spans="1:7" x14ac:dyDescent="0.25">
      <c r="A1477">
        <v>10969</v>
      </c>
      <c r="B1477">
        <v>308</v>
      </c>
      <c r="C1477" s="1" t="str">
        <f>IF(Tabela8[[#This Row],[SETOR]]="","",IF(Tabela8[[#This Row],[SETOR]]&lt;200,"GV 10",IF(Tabela8[[#This Row],[SETOR]]&lt;300,"GV 20",IF(Tabela8[[#This Row],[SETOR]]&lt;400,"GV 30","S/GV"))))</f>
        <v>GV 30</v>
      </c>
      <c r="E1477" t="s">
        <v>128</v>
      </c>
      <c r="F1477" t="s">
        <v>129</v>
      </c>
      <c r="G1477" t="str">
        <f>_xlfn.CONCAT(Tabela9[[#This Row],[Coluna1]],Tabela9[[#This Row],[Coluna2]])</f>
        <v>15-AS(1-4)</v>
      </c>
    </row>
    <row r="1478" spans="1:7" x14ac:dyDescent="0.25">
      <c r="A1478">
        <v>10976</v>
      </c>
      <c r="B1478">
        <v>102</v>
      </c>
      <c r="C1478" s="1" t="str">
        <f>IF(Tabela8[[#This Row],[SETOR]]="","",IF(Tabela8[[#This Row],[SETOR]]&lt;200,"GV 10",IF(Tabela8[[#This Row],[SETOR]]&lt;300,"GV 20",IF(Tabela8[[#This Row],[SETOR]]&lt;400,"GV 30","S/GV"))))</f>
        <v>GV 10</v>
      </c>
      <c r="E1478" t="s">
        <v>123</v>
      </c>
      <c r="G1478" t="str">
        <f>_xlfn.CONCAT(Tabela9[[#This Row],[Coluna1]],Tabela9[[#This Row],[Coluna2]])</f>
        <v>20-Rota</v>
      </c>
    </row>
    <row r="1479" spans="1:7" x14ac:dyDescent="0.25">
      <c r="A1479">
        <v>10980</v>
      </c>
      <c r="B1479">
        <v>206</v>
      </c>
      <c r="C1479" s="1" t="str">
        <f>IF(Tabela8[[#This Row],[SETOR]]="","",IF(Tabela8[[#This Row],[SETOR]]&lt;200,"GV 10",IF(Tabela8[[#This Row],[SETOR]]&lt;300,"GV 20",IF(Tabela8[[#This Row],[SETOR]]&lt;400,"GV 30","S/GV"))))</f>
        <v>GV 20</v>
      </c>
      <c r="E1479" t="s">
        <v>123</v>
      </c>
      <c r="G1479" t="str">
        <f>_xlfn.CONCAT(Tabela9[[#This Row],[Coluna1]],Tabela9[[#This Row],[Coluna2]])</f>
        <v>20-Rota</v>
      </c>
    </row>
    <row r="1480" spans="1:7" x14ac:dyDescent="0.25">
      <c r="A1480">
        <v>10984</v>
      </c>
      <c r="B1480">
        <v>916</v>
      </c>
      <c r="C1480" s="1" t="str">
        <f>IF(Tabela8[[#This Row],[SETOR]]="","",IF(Tabela8[[#This Row],[SETOR]]&lt;200,"GV 10",IF(Tabela8[[#This Row],[SETOR]]&lt;300,"GV 20",IF(Tabela8[[#This Row],[SETOR]]&lt;400,"GV 30","S/GV"))))</f>
        <v>S/GV</v>
      </c>
      <c r="G1480" t="str">
        <f>_xlfn.CONCAT(Tabela9[[#This Row],[Coluna1]],Tabela9[[#This Row],[Coluna2]])</f>
        <v/>
      </c>
    </row>
    <row r="1481" spans="1:7" x14ac:dyDescent="0.25">
      <c r="A1481">
        <v>10989</v>
      </c>
      <c r="B1481">
        <v>916</v>
      </c>
      <c r="C1481" s="1" t="str">
        <f>IF(Tabela8[[#This Row],[SETOR]]="","",IF(Tabela8[[#This Row],[SETOR]]&lt;200,"GV 10",IF(Tabela8[[#This Row],[SETOR]]&lt;300,"GV 20",IF(Tabela8[[#This Row],[SETOR]]&lt;400,"GV 30","S/GV"))))</f>
        <v>S/GV</v>
      </c>
      <c r="G1481" t="str">
        <f>_xlfn.CONCAT(Tabela9[[#This Row],[Coluna1]],Tabela9[[#This Row],[Coluna2]])</f>
        <v/>
      </c>
    </row>
    <row r="1482" spans="1:7" x14ac:dyDescent="0.25">
      <c r="A1482">
        <v>10991</v>
      </c>
      <c r="B1482">
        <v>907</v>
      </c>
      <c r="C1482" s="1" t="str">
        <f>IF(Tabela8[[#This Row],[SETOR]]="","",IF(Tabela8[[#This Row],[SETOR]]&lt;200,"GV 10",IF(Tabela8[[#This Row],[SETOR]]&lt;300,"GV 20",IF(Tabela8[[#This Row],[SETOR]]&lt;400,"GV 30","S/GV"))))</f>
        <v>S/GV</v>
      </c>
      <c r="G1482" t="str">
        <f>_xlfn.CONCAT(Tabela9[[#This Row],[Coluna1]],Tabela9[[#This Row],[Coluna2]])</f>
        <v/>
      </c>
    </row>
    <row r="1483" spans="1:7" x14ac:dyDescent="0.25">
      <c r="A1483">
        <v>10997</v>
      </c>
      <c r="B1483">
        <v>106</v>
      </c>
      <c r="C1483" s="1" t="str">
        <f>IF(Tabela8[[#This Row],[SETOR]]="","",IF(Tabela8[[#This Row],[SETOR]]&lt;200,"GV 10",IF(Tabela8[[#This Row],[SETOR]]&lt;300,"GV 20",IF(Tabela8[[#This Row],[SETOR]]&lt;400,"GV 30","S/GV"))))</f>
        <v>GV 10</v>
      </c>
      <c r="E1483" t="s">
        <v>125</v>
      </c>
      <c r="G1483" t="str">
        <f>_xlfn.CONCAT(Tabela9[[#This Row],[Coluna1]],Tabela9[[#This Row],[Coluna2]])</f>
        <v>18-TRAD</v>
      </c>
    </row>
    <row r="1484" spans="1:7" x14ac:dyDescent="0.25">
      <c r="A1484">
        <v>11000</v>
      </c>
      <c r="B1484">
        <v>303</v>
      </c>
      <c r="C1484" s="1" t="str">
        <f>IF(Tabela8[[#This Row],[SETOR]]="","",IF(Tabela8[[#This Row],[SETOR]]&lt;200,"GV 10",IF(Tabela8[[#This Row],[SETOR]]&lt;300,"GV 20",IF(Tabela8[[#This Row],[SETOR]]&lt;400,"GV 30","S/GV"))))</f>
        <v>GV 30</v>
      </c>
      <c r="E1484" t="s">
        <v>123</v>
      </c>
      <c r="G1484" t="str">
        <f>_xlfn.CONCAT(Tabela9[[#This Row],[Coluna1]],Tabela9[[#This Row],[Coluna2]])</f>
        <v>20-Rota</v>
      </c>
    </row>
    <row r="1485" spans="1:7" x14ac:dyDescent="0.25">
      <c r="A1485">
        <v>11004</v>
      </c>
      <c r="B1485">
        <v>102</v>
      </c>
      <c r="C1485" s="1" t="str">
        <f>IF(Tabela8[[#This Row],[SETOR]]="","",IF(Tabela8[[#This Row],[SETOR]]&lt;200,"GV 10",IF(Tabela8[[#This Row],[SETOR]]&lt;300,"GV 20",IF(Tabela8[[#This Row],[SETOR]]&lt;400,"GV 30","S/GV"))))</f>
        <v>GV 10</v>
      </c>
      <c r="E1485" t="s">
        <v>123</v>
      </c>
      <c r="G1485" t="str">
        <f>_xlfn.CONCAT(Tabela9[[#This Row],[Coluna1]],Tabela9[[#This Row],[Coluna2]])</f>
        <v>20-Rota</v>
      </c>
    </row>
    <row r="1486" spans="1:7" x14ac:dyDescent="0.25">
      <c r="A1486">
        <v>11006</v>
      </c>
      <c r="B1486">
        <v>302</v>
      </c>
      <c r="C1486" s="1" t="str">
        <f>IF(Tabela8[[#This Row],[SETOR]]="","",IF(Tabela8[[#This Row],[SETOR]]&lt;200,"GV 10",IF(Tabela8[[#This Row],[SETOR]]&lt;300,"GV 20",IF(Tabela8[[#This Row],[SETOR]]&lt;400,"GV 30","S/GV"))))</f>
        <v>GV 30</v>
      </c>
      <c r="E1486" t="s">
        <v>125</v>
      </c>
      <c r="G1486" t="str">
        <f>_xlfn.CONCAT(Tabela9[[#This Row],[Coluna1]],Tabela9[[#This Row],[Coluna2]])</f>
        <v>18-TRAD</v>
      </c>
    </row>
    <row r="1487" spans="1:7" x14ac:dyDescent="0.25">
      <c r="A1487">
        <v>11007</v>
      </c>
      <c r="B1487">
        <v>201</v>
      </c>
      <c r="C1487" s="1" t="str">
        <f>IF(Tabela8[[#This Row],[SETOR]]="","",IF(Tabela8[[#This Row],[SETOR]]&lt;200,"GV 10",IF(Tabela8[[#This Row],[SETOR]]&lt;300,"GV 20",IF(Tabela8[[#This Row],[SETOR]]&lt;400,"GV 30","S/GV"))))</f>
        <v>GV 20</v>
      </c>
      <c r="E1487" t="s">
        <v>123</v>
      </c>
      <c r="G1487" t="str">
        <f>_xlfn.CONCAT(Tabela9[[#This Row],[Coluna1]],Tabela9[[#This Row],[Coluna2]])</f>
        <v>20-Rota</v>
      </c>
    </row>
    <row r="1488" spans="1:7" x14ac:dyDescent="0.25">
      <c r="A1488">
        <v>11011</v>
      </c>
      <c r="B1488">
        <v>301</v>
      </c>
      <c r="C1488" s="1" t="str">
        <f>IF(Tabela8[[#This Row],[SETOR]]="","",IF(Tabela8[[#This Row],[SETOR]]&lt;200,"GV 10",IF(Tabela8[[#This Row],[SETOR]]&lt;300,"GV 20",IF(Tabela8[[#This Row],[SETOR]]&lt;400,"GV 30","S/GV"))))</f>
        <v>GV 30</v>
      </c>
      <c r="E1488" t="s">
        <v>123</v>
      </c>
      <c r="G1488" t="str">
        <f>_xlfn.CONCAT(Tabela9[[#This Row],[Coluna1]],Tabela9[[#This Row],[Coluna2]])</f>
        <v>20-Rota</v>
      </c>
    </row>
    <row r="1489" spans="1:7" x14ac:dyDescent="0.25">
      <c r="A1489">
        <v>11018</v>
      </c>
      <c r="B1489">
        <v>205</v>
      </c>
      <c r="C1489" s="1" t="str">
        <f>IF(Tabela8[[#This Row],[SETOR]]="","",IF(Tabela8[[#This Row],[SETOR]]&lt;200,"GV 10",IF(Tabela8[[#This Row],[SETOR]]&lt;300,"GV 20",IF(Tabela8[[#This Row],[SETOR]]&lt;400,"GV 30","S/GV"))))</f>
        <v>GV 20</v>
      </c>
      <c r="E1489" t="s">
        <v>123</v>
      </c>
      <c r="G1489" t="str">
        <f>_xlfn.CONCAT(Tabela9[[#This Row],[Coluna1]],Tabela9[[#This Row],[Coluna2]])</f>
        <v>20-Rota</v>
      </c>
    </row>
    <row r="1490" spans="1:7" x14ac:dyDescent="0.25">
      <c r="A1490">
        <v>11023</v>
      </c>
      <c r="B1490">
        <v>303</v>
      </c>
      <c r="C1490" s="1" t="str">
        <f>IF(Tabela8[[#This Row],[SETOR]]="","",IF(Tabela8[[#This Row],[SETOR]]&lt;200,"GV 10",IF(Tabela8[[#This Row],[SETOR]]&lt;300,"GV 20",IF(Tabela8[[#This Row],[SETOR]]&lt;400,"GV 30","S/GV"))))</f>
        <v>GV 30</v>
      </c>
      <c r="E1490" t="s">
        <v>123</v>
      </c>
      <c r="G1490" t="str">
        <f>_xlfn.CONCAT(Tabela9[[#This Row],[Coluna1]],Tabela9[[#This Row],[Coluna2]])</f>
        <v>20-Rota</v>
      </c>
    </row>
    <row r="1491" spans="1:7" x14ac:dyDescent="0.25">
      <c r="A1491">
        <v>11026</v>
      </c>
      <c r="B1491">
        <v>907</v>
      </c>
      <c r="C1491" s="1" t="str">
        <f>IF(Tabela8[[#This Row],[SETOR]]="","",IF(Tabela8[[#This Row],[SETOR]]&lt;200,"GV 10",IF(Tabela8[[#This Row],[SETOR]]&lt;300,"GV 20",IF(Tabela8[[#This Row],[SETOR]]&lt;400,"GV 30","S/GV"))))</f>
        <v>S/GV</v>
      </c>
      <c r="G1491" t="str">
        <f>_xlfn.CONCAT(Tabela9[[#This Row],[Coluna1]],Tabela9[[#This Row],[Coluna2]])</f>
        <v/>
      </c>
    </row>
    <row r="1492" spans="1:7" x14ac:dyDescent="0.25">
      <c r="A1492">
        <v>11027</v>
      </c>
      <c r="B1492">
        <v>202</v>
      </c>
      <c r="C1492" s="1" t="str">
        <f>IF(Tabela8[[#This Row],[SETOR]]="","",IF(Tabela8[[#This Row],[SETOR]]&lt;200,"GV 10",IF(Tabela8[[#This Row],[SETOR]]&lt;300,"GV 20",IF(Tabela8[[#This Row],[SETOR]]&lt;400,"GV 30","S/GV"))))</f>
        <v>GV 20</v>
      </c>
      <c r="E1492" t="s">
        <v>123</v>
      </c>
      <c r="G1492" t="str">
        <f>_xlfn.CONCAT(Tabela9[[#This Row],[Coluna1]],Tabela9[[#This Row],[Coluna2]])</f>
        <v>20-Rota</v>
      </c>
    </row>
    <row r="1493" spans="1:7" x14ac:dyDescent="0.25">
      <c r="A1493">
        <v>11030</v>
      </c>
      <c r="B1493">
        <v>301</v>
      </c>
      <c r="C1493" s="1" t="str">
        <f>IF(Tabela8[[#This Row],[SETOR]]="","",IF(Tabela8[[#This Row],[SETOR]]&lt;200,"GV 10",IF(Tabela8[[#This Row],[SETOR]]&lt;300,"GV 20",IF(Tabela8[[#This Row],[SETOR]]&lt;400,"GV 30","S/GV"))))</f>
        <v>GV 30</v>
      </c>
      <c r="E1493" t="s">
        <v>123</v>
      </c>
      <c r="G1493" t="str">
        <f>_xlfn.CONCAT(Tabela9[[#This Row],[Coluna1]],Tabela9[[#This Row],[Coluna2]])</f>
        <v>20-Rota</v>
      </c>
    </row>
    <row r="1494" spans="1:7" x14ac:dyDescent="0.25">
      <c r="A1494">
        <v>11040</v>
      </c>
      <c r="B1494">
        <v>304</v>
      </c>
      <c r="C1494" s="1" t="str">
        <f>IF(Tabela8[[#This Row],[SETOR]]="","",IF(Tabela8[[#This Row],[SETOR]]&lt;200,"GV 10",IF(Tabela8[[#This Row],[SETOR]]&lt;300,"GV 20",IF(Tabela8[[#This Row],[SETOR]]&lt;400,"GV 30","S/GV"))))</f>
        <v>GV 30</v>
      </c>
      <c r="E1494" t="s">
        <v>123</v>
      </c>
      <c r="G1494" t="str">
        <f>_xlfn.CONCAT(Tabela9[[#This Row],[Coluna1]],Tabela9[[#This Row],[Coluna2]])</f>
        <v>20-Rota</v>
      </c>
    </row>
    <row r="1495" spans="1:7" x14ac:dyDescent="0.25">
      <c r="A1495">
        <v>11041</v>
      </c>
      <c r="B1495">
        <v>302</v>
      </c>
      <c r="C1495" s="1" t="str">
        <f>IF(Tabela8[[#This Row],[SETOR]]="","",IF(Tabela8[[#This Row],[SETOR]]&lt;200,"GV 10",IF(Tabela8[[#This Row],[SETOR]]&lt;300,"GV 20",IF(Tabela8[[#This Row],[SETOR]]&lt;400,"GV 30","S/GV"))))</f>
        <v>GV 30</v>
      </c>
      <c r="E1495" t="s">
        <v>123</v>
      </c>
      <c r="G1495" t="str">
        <f>_xlfn.CONCAT(Tabela9[[#This Row],[Coluna1]],Tabela9[[#This Row],[Coluna2]])</f>
        <v>20-Rota</v>
      </c>
    </row>
    <row r="1496" spans="1:7" x14ac:dyDescent="0.25">
      <c r="A1496">
        <v>11042</v>
      </c>
      <c r="B1496">
        <v>106</v>
      </c>
      <c r="C1496" s="1" t="str">
        <f>IF(Tabela8[[#This Row],[SETOR]]="","",IF(Tabela8[[#This Row],[SETOR]]&lt;200,"GV 10",IF(Tabela8[[#This Row],[SETOR]]&lt;300,"GV 20",IF(Tabela8[[#This Row],[SETOR]]&lt;400,"GV 30","S/GV"))))</f>
        <v>GV 10</v>
      </c>
      <c r="E1496" t="s">
        <v>123</v>
      </c>
      <c r="G1496" t="str">
        <f>_xlfn.CONCAT(Tabela9[[#This Row],[Coluna1]],Tabela9[[#This Row],[Coluna2]])</f>
        <v>20-Rota</v>
      </c>
    </row>
    <row r="1497" spans="1:7" x14ac:dyDescent="0.25">
      <c r="A1497">
        <v>11060</v>
      </c>
      <c r="B1497">
        <v>208</v>
      </c>
      <c r="C1497" s="1" t="str">
        <f>IF(Tabela8[[#This Row],[SETOR]]="","",IF(Tabela8[[#This Row],[SETOR]]&lt;200,"GV 10",IF(Tabela8[[#This Row],[SETOR]]&lt;300,"GV 20",IF(Tabela8[[#This Row],[SETOR]]&lt;400,"GV 30","S/GV"))))</f>
        <v>GV 20</v>
      </c>
      <c r="E1497" t="s">
        <v>125</v>
      </c>
      <c r="G1497" t="str">
        <f>_xlfn.CONCAT(Tabela9[[#This Row],[Coluna1]],Tabela9[[#This Row],[Coluna2]])</f>
        <v>18-TRAD</v>
      </c>
    </row>
    <row r="1498" spans="1:7" x14ac:dyDescent="0.25">
      <c r="A1498">
        <v>11081</v>
      </c>
      <c r="B1498">
        <v>307</v>
      </c>
      <c r="C1498" s="1" t="str">
        <f>IF(Tabela8[[#This Row],[SETOR]]="","",IF(Tabela8[[#This Row],[SETOR]]&lt;200,"GV 10",IF(Tabela8[[#This Row],[SETOR]]&lt;300,"GV 20",IF(Tabela8[[#This Row],[SETOR]]&lt;400,"GV 30","S/GV"))))</f>
        <v>GV 30</v>
      </c>
      <c r="E1498" t="s">
        <v>128</v>
      </c>
      <c r="F1498" t="s">
        <v>129</v>
      </c>
      <c r="G1498" t="str">
        <f>_xlfn.CONCAT(Tabela9[[#This Row],[Coluna1]],Tabela9[[#This Row],[Coluna2]])</f>
        <v>15-AS(1-4)</v>
      </c>
    </row>
    <row r="1499" spans="1:7" x14ac:dyDescent="0.25">
      <c r="A1499">
        <v>11082</v>
      </c>
      <c r="B1499">
        <v>302</v>
      </c>
      <c r="C1499" s="1" t="str">
        <f>IF(Tabela8[[#This Row],[SETOR]]="","",IF(Tabela8[[#This Row],[SETOR]]&lt;200,"GV 10",IF(Tabela8[[#This Row],[SETOR]]&lt;300,"GV 20",IF(Tabela8[[#This Row],[SETOR]]&lt;400,"GV 30","S/GV"))))</f>
        <v>GV 30</v>
      </c>
      <c r="E1499" t="s">
        <v>123</v>
      </c>
      <c r="G1499" t="str">
        <f>_xlfn.CONCAT(Tabela9[[#This Row],[Coluna1]],Tabela9[[#This Row],[Coluna2]])</f>
        <v>20-Rota</v>
      </c>
    </row>
    <row r="1500" spans="1:7" x14ac:dyDescent="0.25">
      <c r="A1500">
        <v>11092</v>
      </c>
      <c r="B1500">
        <v>207</v>
      </c>
      <c r="C1500" s="1" t="str">
        <f>IF(Tabela8[[#This Row],[SETOR]]="","",IF(Tabela8[[#This Row],[SETOR]]&lt;200,"GV 10",IF(Tabela8[[#This Row],[SETOR]]&lt;300,"GV 20",IF(Tabela8[[#This Row],[SETOR]]&lt;400,"GV 30","S/GV"))))</f>
        <v>GV 20</v>
      </c>
      <c r="E1500" t="s">
        <v>130</v>
      </c>
      <c r="G1500" t="str">
        <f>_xlfn.CONCAT(Tabela9[[#This Row],[Coluna1]],Tabela9[[#This Row],[Coluna2]])</f>
        <v>21-SUB</v>
      </c>
    </row>
    <row r="1501" spans="1:7" x14ac:dyDescent="0.25">
      <c r="A1501">
        <v>11098</v>
      </c>
      <c r="B1501">
        <v>301</v>
      </c>
      <c r="C1501" s="1" t="str">
        <f>IF(Tabela8[[#This Row],[SETOR]]="","",IF(Tabela8[[#This Row],[SETOR]]&lt;200,"GV 10",IF(Tabela8[[#This Row],[SETOR]]&lt;300,"GV 20",IF(Tabela8[[#This Row],[SETOR]]&lt;400,"GV 30","S/GV"))))</f>
        <v>GV 30</v>
      </c>
      <c r="E1501" t="s">
        <v>123</v>
      </c>
      <c r="G1501" t="str">
        <f>_xlfn.CONCAT(Tabela9[[#This Row],[Coluna1]],Tabela9[[#This Row],[Coluna2]])</f>
        <v>20-Rota</v>
      </c>
    </row>
    <row r="1502" spans="1:7" x14ac:dyDescent="0.25">
      <c r="A1502">
        <v>11099</v>
      </c>
      <c r="B1502">
        <v>306</v>
      </c>
      <c r="C1502" s="1" t="str">
        <f>IF(Tabela8[[#This Row],[SETOR]]="","",IF(Tabela8[[#This Row],[SETOR]]&lt;200,"GV 10",IF(Tabela8[[#This Row],[SETOR]]&lt;300,"GV 20",IF(Tabela8[[#This Row],[SETOR]]&lt;400,"GV 30","S/GV"))))</f>
        <v>GV 30</v>
      </c>
      <c r="E1502" t="s">
        <v>125</v>
      </c>
      <c r="G1502" t="str">
        <f>_xlfn.CONCAT(Tabela9[[#This Row],[Coluna1]],Tabela9[[#This Row],[Coluna2]])</f>
        <v>18-TRAD</v>
      </c>
    </row>
    <row r="1503" spans="1:7" x14ac:dyDescent="0.25">
      <c r="A1503">
        <v>11100</v>
      </c>
      <c r="B1503">
        <v>201</v>
      </c>
      <c r="C1503" s="1" t="str">
        <f>IF(Tabela8[[#This Row],[SETOR]]="","",IF(Tabela8[[#This Row],[SETOR]]&lt;200,"GV 10",IF(Tabela8[[#This Row],[SETOR]]&lt;300,"GV 20",IF(Tabela8[[#This Row],[SETOR]]&lt;400,"GV 30","S/GV"))))</f>
        <v>GV 20</v>
      </c>
      <c r="E1503" t="s">
        <v>123</v>
      </c>
      <c r="G1503" t="str">
        <f>_xlfn.CONCAT(Tabela9[[#This Row],[Coluna1]],Tabela9[[#This Row],[Coluna2]])</f>
        <v>20-Rota</v>
      </c>
    </row>
    <row r="1504" spans="1:7" x14ac:dyDescent="0.25">
      <c r="A1504">
        <v>11106</v>
      </c>
      <c r="B1504">
        <v>207</v>
      </c>
      <c r="C1504" s="1" t="str">
        <f>IF(Tabela8[[#This Row],[SETOR]]="","",IF(Tabela8[[#This Row],[SETOR]]&lt;200,"GV 10",IF(Tabela8[[#This Row],[SETOR]]&lt;300,"GV 20",IF(Tabela8[[#This Row],[SETOR]]&lt;400,"GV 30","S/GV"))))</f>
        <v>GV 20</v>
      </c>
      <c r="E1504" t="s">
        <v>130</v>
      </c>
      <c r="G1504" t="str">
        <f>_xlfn.CONCAT(Tabela9[[#This Row],[Coluna1]],Tabela9[[#This Row],[Coluna2]])</f>
        <v>21-SUB</v>
      </c>
    </row>
    <row r="1505" spans="1:7" x14ac:dyDescent="0.25">
      <c r="A1505">
        <v>11109</v>
      </c>
      <c r="B1505">
        <v>109</v>
      </c>
      <c r="C1505" s="1" t="str">
        <f>IF(Tabela8[[#This Row],[SETOR]]="","",IF(Tabela8[[#This Row],[SETOR]]&lt;200,"GV 10",IF(Tabela8[[#This Row],[SETOR]]&lt;300,"GV 20",IF(Tabela8[[#This Row],[SETOR]]&lt;400,"GV 30","S/GV"))))</f>
        <v>GV 10</v>
      </c>
      <c r="E1505" t="s">
        <v>124</v>
      </c>
      <c r="G1505" t="str">
        <f>_xlfn.CONCAT(Tabela9[[#This Row],[Coluna1]],Tabela9[[#This Row],[Coluna2]])</f>
        <v>19-VIP</v>
      </c>
    </row>
    <row r="1506" spans="1:7" x14ac:dyDescent="0.25">
      <c r="A1506">
        <v>11111</v>
      </c>
      <c r="B1506">
        <v>103</v>
      </c>
      <c r="C1506" s="1" t="str">
        <f>IF(Tabela8[[#This Row],[SETOR]]="","",IF(Tabela8[[#This Row],[SETOR]]&lt;200,"GV 10",IF(Tabela8[[#This Row],[SETOR]]&lt;300,"GV 20",IF(Tabela8[[#This Row],[SETOR]]&lt;400,"GV 30","S/GV"))))</f>
        <v>GV 10</v>
      </c>
      <c r="G1506" t="str">
        <f>_xlfn.CONCAT(Tabela9[[#This Row],[Coluna1]],Tabela9[[#This Row],[Coluna2]])</f>
        <v/>
      </c>
    </row>
    <row r="1507" spans="1:7" x14ac:dyDescent="0.25">
      <c r="A1507">
        <v>11131</v>
      </c>
      <c r="B1507">
        <v>305</v>
      </c>
      <c r="C1507" s="1" t="str">
        <f>IF(Tabela8[[#This Row],[SETOR]]="","",IF(Tabela8[[#This Row],[SETOR]]&lt;200,"GV 10",IF(Tabela8[[#This Row],[SETOR]]&lt;300,"GV 20",IF(Tabela8[[#This Row],[SETOR]]&lt;400,"GV 30","S/GV"))))</f>
        <v>GV 30</v>
      </c>
      <c r="E1507" t="s">
        <v>123</v>
      </c>
      <c r="G1507" t="str">
        <f>_xlfn.CONCAT(Tabela9[[#This Row],[Coluna1]],Tabela9[[#This Row],[Coluna2]])</f>
        <v>20-Rota</v>
      </c>
    </row>
    <row r="1508" spans="1:7" x14ac:dyDescent="0.25">
      <c r="A1508">
        <v>11138</v>
      </c>
      <c r="B1508">
        <v>109</v>
      </c>
      <c r="C1508" s="1" t="str">
        <f>IF(Tabela8[[#This Row],[SETOR]]="","",IF(Tabela8[[#This Row],[SETOR]]&lt;200,"GV 10",IF(Tabela8[[#This Row],[SETOR]]&lt;300,"GV 20",IF(Tabela8[[#This Row],[SETOR]]&lt;400,"GV 30","S/GV"))))</f>
        <v>GV 10</v>
      </c>
      <c r="E1508" t="s">
        <v>123</v>
      </c>
      <c r="G1508" t="str">
        <f>_xlfn.CONCAT(Tabela9[[#This Row],[Coluna1]],Tabela9[[#This Row],[Coluna2]])</f>
        <v>20-Rota</v>
      </c>
    </row>
    <row r="1509" spans="1:7" x14ac:dyDescent="0.25">
      <c r="A1509">
        <v>11153</v>
      </c>
      <c r="B1509">
        <v>203</v>
      </c>
      <c r="C1509" s="1" t="str">
        <f>IF(Tabela8[[#This Row],[SETOR]]="","",IF(Tabela8[[#This Row],[SETOR]]&lt;200,"GV 10",IF(Tabela8[[#This Row],[SETOR]]&lt;300,"GV 20",IF(Tabela8[[#This Row],[SETOR]]&lt;400,"GV 30","S/GV"))))</f>
        <v>GV 20</v>
      </c>
      <c r="E1509" t="s">
        <v>123</v>
      </c>
      <c r="G1509" t="str">
        <f>_xlfn.CONCAT(Tabela9[[#This Row],[Coluna1]],Tabela9[[#This Row],[Coluna2]])</f>
        <v>20-Rota</v>
      </c>
    </row>
    <row r="1510" spans="1:7" x14ac:dyDescent="0.25">
      <c r="A1510">
        <v>11158</v>
      </c>
      <c r="B1510">
        <v>201</v>
      </c>
      <c r="C1510" s="1" t="str">
        <f>IF(Tabela8[[#This Row],[SETOR]]="","",IF(Tabela8[[#This Row],[SETOR]]&lt;200,"GV 10",IF(Tabela8[[#This Row],[SETOR]]&lt;300,"GV 20",IF(Tabela8[[#This Row],[SETOR]]&lt;400,"GV 30","S/GV"))))</f>
        <v>GV 20</v>
      </c>
      <c r="E1510" t="s">
        <v>123</v>
      </c>
      <c r="G1510" t="str">
        <f>_xlfn.CONCAT(Tabela9[[#This Row],[Coluna1]],Tabela9[[#This Row],[Coluna2]])</f>
        <v>20-Rota</v>
      </c>
    </row>
    <row r="1511" spans="1:7" x14ac:dyDescent="0.25">
      <c r="A1511">
        <v>11163</v>
      </c>
      <c r="B1511">
        <v>305</v>
      </c>
      <c r="C1511" s="1" t="str">
        <f>IF(Tabela8[[#This Row],[SETOR]]="","",IF(Tabela8[[#This Row],[SETOR]]&lt;200,"GV 10",IF(Tabela8[[#This Row],[SETOR]]&lt;300,"GV 20",IF(Tabela8[[#This Row],[SETOR]]&lt;400,"GV 30","S/GV"))))</f>
        <v>GV 30</v>
      </c>
      <c r="E1511" t="s">
        <v>123</v>
      </c>
      <c r="G1511" t="str">
        <f>_xlfn.CONCAT(Tabela9[[#This Row],[Coluna1]],Tabela9[[#This Row],[Coluna2]])</f>
        <v>20-Rota</v>
      </c>
    </row>
    <row r="1512" spans="1:7" x14ac:dyDescent="0.25">
      <c r="A1512">
        <v>11164</v>
      </c>
      <c r="B1512">
        <v>302</v>
      </c>
      <c r="C1512" s="1" t="str">
        <f>IF(Tabela8[[#This Row],[SETOR]]="","",IF(Tabela8[[#This Row],[SETOR]]&lt;200,"GV 10",IF(Tabela8[[#This Row],[SETOR]]&lt;300,"GV 20",IF(Tabela8[[#This Row],[SETOR]]&lt;400,"GV 30","S/GV"))))</f>
        <v>GV 30</v>
      </c>
      <c r="E1512" t="s">
        <v>123</v>
      </c>
      <c r="G1512" t="str">
        <f>_xlfn.CONCAT(Tabela9[[#This Row],[Coluna1]],Tabela9[[#This Row],[Coluna2]])</f>
        <v>20-Rota</v>
      </c>
    </row>
    <row r="1513" spans="1:7" x14ac:dyDescent="0.25">
      <c r="A1513">
        <v>11170</v>
      </c>
      <c r="B1513">
        <v>101</v>
      </c>
      <c r="C1513" s="1" t="str">
        <f>IF(Tabela8[[#This Row],[SETOR]]="","",IF(Tabela8[[#This Row],[SETOR]]&lt;200,"GV 10",IF(Tabela8[[#This Row],[SETOR]]&lt;300,"GV 20",IF(Tabela8[[#This Row],[SETOR]]&lt;400,"GV 30","S/GV"))))</f>
        <v>GV 10</v>
      </c>
      <c r="E1513" t="s">
        <v>123</v>
      </c>
      <c r="G1513" t="str">
        <f>_xlfn.CONCAT(Tabela9[[#This Row],[Coluna1]],Tabela9[[#This Row],[Coluna2]])</f>
        <v>20-Rota</v>
      </c>
    </row>
    <row r="1514" spans="1:7" x14ac:dyDescent="0.25">
      <c r="A1514">
        <v>11177</v>
      </c>
      <c r="B1514">
        <v>101</v>
      </c>
      <c r="C1514" s="1" t="str">
        <f>IF(Tabela8[[#This Row],[SETOR]]="","",IF(Tabela8[[#This Row],[SETOR]]&lt;200,"GV 10",IF(Tabela8[[#This Row],[SETOR]]&lt;300,"GV 20",IF(Tabela8[[#This Row],[SETOR]]&lt;400,"GV 30","S/GV"))))</f>
        <v>GV 10</v>
      </c>
      <c r="E1514" t="s">
        <v>123</v>
      </c>
      <c r="G1514" t="str">
        <f>_xlfn.CONCAT(Tabela9[[#This Row],[Coluna1]],Tabela9[[#This Row],[Coluna2]])</f>
        <v>20-Rota</v>
      </c>
    </row>
    <row r="1515" spans="1:7" x14ac:dyDescent="0.25">
      <c r="A1515">
        <v>11178</v>
      </c>
      <c r="B1515">
        <v>303</v>
      </c>
      <c r="C1515" s="1" t="str">
        <f>IF(Tabela8[[#This Row],[SETOR]]="","",IF(Tabela8[[#This Row],[SETOR]]&lt;200,"GV 10",IF(Tabela8[[#This Row],[SETOR]]&lt;300,"GV 20",IF(Tabela8[[#This Row],[SETOR]]&lt;400,"GV 30","S/GV"))))</f>
        <v>GV 30</v>
      </c>
      <c r="E1515" t="s">
        <v>123</v>
      </c>
      <c r="G1515" t="str">
        <f>_xlfn.CONCAT(Tabela9[[#This Row],[Coluna1]],Tabela9[[#This Row],[Coluna2]])</f>
        <v>20-Rota</v>
      </c>
    </row>
    <row r="1516" spans="1:7" x14ac:dyDescent="0.25">
      <c r="A1516">
        <v>11179</v>
      </c>
      <c r="B1516">
        <v>104</v>
      </c>
      <c r="C1516" s="1" t="str">
        <f>IF(Tabela8[[#This Row],[SETOR]]="","",IF(Tabela8[[#This Row],[SETOR]]&lt;200,"GV 10",IF(Tabela8[[#This Row],[SETOR]]&lt;300,"GV 20",IF(Tabela8[[#This Row],[SETOR]]&lt;400,"GV 30","S/GV"))))</f>
        <v>GV 10</v>
      </c>
      <c r="E1516" t="s">
        <v>123</v>
      </c>
      <c r="G1516" t="str">
        <f>_xlfn.CONCAT(Tabela9[[#This Row],[Coluna1]],Tabela9[[#This Row],[Coluna2]])</f>
        <v>20-Rota</v>
      </c>
    </row>
    <row r="1517" spans="1:7" x14ac:dyDescent="0.25">
      <c r="A1517">
        <v>11185</v>
      </c>
      <c r="B1517">
        <v>103</v>
      </c>
      <c r="C1517" s="1" t="str">
        <f>IF(Tabela8[[#This Row],[SETOR]]="","",IF(Tabela8[[#This Row],[SETOR]]&lt;200,"GV 10",IF(Tabela8[[#This Row],[SETOR]]&lt;300,"GV 20",IF(Tabela8[[#This Row],[SETOR]]&lt;400,"GV 30","S/GV"))))</f>
        <v>GV 10</v>
      </c>
      <c r="E1517" t="s">
        <v>123</v>
      </c>
      <c r="G1517" t="str">
        <f>_xlfn.CONCAT(Tabela9[[#This Row],[Coluna1]],Tabela9[[#This Row],[Coluna2]])</f>
        <v>20-Rota</v>
      </c>
    </row>
    <row r="1518" spans="1:7" x14ac:dyDescent="0.25">
      <c r="A1518">
        <v>11189</v>
      </c>
      <c r="B1518">
        <v>102</v>
      </c>
      <c r="C1518" s="1" t="str">
        <f>IF(Tabela8[[#This Row],[SETOR]]="","",IF(Tabela8[[#This Row],[SETOR]]&lt;200,"GV 10",IF(Tabela8[[#This Row],[SETOR]]&lt;300,"GV 20",IF(Tabela8[[#This Row],[SETOR]]&lt;400,"GV 30","S/GV"))))</f>
        <v>GV 10</v>
      </c>
      <c r="E1518" t="s">
        <v>123</v>
      </c>
      <c r="G1518" t="str">
        <f>_xlfn.CONCAT(Tabela9[[#This Row],[Coluna1]],Tabela9[[#This Row],[Coluna2]])</f>
        <v>20-Rota</v>
      </c>
    </row>
    <row r="1519" spans="1:7" x14ac:dyDescent="0.25">
      <c r="A1519">
        <v>11190</v>
      </c>
      <c r="B1519">
        <v>105</v>
      </c>
      <c r="C1519" s="1" t="str">
        <f>IF(Tabela8[[#This Row],[SETOR]]="","",IF(Tabela8[[#This Row],[SETOR]]&lt;200,"GV 10",IF(Tabela8[[#This Row],[SETOR]]&lt;300,"GV 20",IF(Tabela8[[#This Row],[SETOR]]&lt;400,"GV 30","S/GV"))))</f>
        <v>GV 10</v>
      </c>
      <c r="E1519" t="s">
        <v>123</v>
      </c>
      <c r="G1519" t="str">
        <f>_xlfn.CONCAT(Tabela9[[#This Row],[Coluna1]],Tabela9[[#This Row],[Coluna2]])</f>
        <v>20-Rota</v>
      </c>
    </row>
    <row r="1520" spans="1:7" x14ac:dyDescent="0.25">
      <c r="A1520">
        <v>11195</v>
      </c>
      <c r="B1520">
        <v>302</v>
      </c>
      <c r="C1520" s="1" t="str">
        <f>IF(Tabela8[[#This Row],[SETOR]]="","",IF(Tabela8[[#This Row],[SETOR]]&lt;200,"GV 10",IF(Tabela8[[#This Row],[SETOR]]&lt;300,"GV 20",IF(Tabela8[[#This Row],[SETOR]]&lt;400,"GV 30","S/GV"))))</f>
        <v>GV 30</v>
      </c>
      <c r="E1520" t="s">
        <v>125</v>
      </c>
      <c r="G1520" t="str">
        <f>_xlfn.CONCAT(Tabela9[[#This Row],[Coluna1]],Tabela9[[#This Row],[Coluna2]])</f>
        <v>18-TRAD</v>
      </c>
    </row>
    <row r="1521" spans="1:7" x14ac:dyDescent="0.25">
      <c r="A1521">
        <v>11198</v>
      </c>
      <c r="B1521">
        <v>302</v>
      </c>
      <c r="C1521" s="1" t="str">
        <f>IF(Tabela8[[#This Row],[SETOR]]="","",IF(Tabela8[[#This Row],[SETOR]]&lt;200,"GV 10",IF(Tabela8[[#This Row],[SETOR]]&lt;300,"GV 20",IF(Tabela8[[#This Row],[SETOR]]&lt;400,"GV 30","S/GV"))))</f>
        <v>GV 30</v>
      </c>
      <c r="E1521" t="s">
        <v>123</v>
      </c>
      <c r="G1521" t="str">
        <f>_xlfn.CONCAT(Tabela9[[#This Row],[Coluna1]],Tabela9[[#This Row],[Coluna2]])</f>
        <v>20-Rota</v>
      </c>
    </row>
    <row r="1522" spans="1:7" x14ac:dyDescent="0.25">
      <c r="A1522">
        <v>11199</v>
      </c>
      <c r="B1522">
        <v>104</v>
      </c>
      <c r="C1522" s="1" t="str">
        <f>IF(Tabela8[[#This Row],[SETOR]]="","",IF(Tabela8[[#This Row],[SETOR]]&lt;200,"GV 10",IF(Tabela8[[#This Row],[SETOR]]&lt;300,"GV 20",IF(Tabela8[[#This Row],[SETOR]]&lt;400,"GV 30","S/GV"))))</f>
        <v>GV 10</v>
      </c>
      <c r="E1522" t="s">
        <v>123</v>
      </c>
      <c r="G1522" t="str">
        <f>_xlfn.CONCAT(Tabela9[[#This Row],[Coluna1]],Tabela9[[#This Row],[Coluna2]])</f>
        <v>20-Rota</v>
      </c>
    </row>
    <row r="1523" spans="1:7" x14ac:dyDescent="0.25">
      <c r="A1523">
        <v>11207</v>
      </c>
      <c r="B1523">
        <v>201</v>
      </c>
      <c r="C1523" s="1" t="str">
        <f>IF(Tabela8[[#This Row],[SETOR]]="","",IF(Tabela8[[#This Row],[SETOR]]&lt;200,"GV 10",IF(Tabela8[[#This Row],[SETOR]]&lt;300,"GV 20",IF(Tabela8[[#This Row],[SETOR]]&lt;400,"GV 30","S/GV"))))</f>
        <v>GV 20</v>
      </c>
      <c r="E1523" t="s">
        <v>123</v>
      </c>
      <c r="G1523" t="str">
        <f>_xlfn.CONCAT(Tabela9[[#This Row],[Coluna1]],Tabela9[[#This Row],[Coluna2]])</f>
        <v>20-Rota</v>
      </c>
    </row>
    <row r="1524" spans="1:7" x14ac:dyDescent="0.25">
      <c r="A1524">
        <v>11208</v>
      </c>
      <c r="B1524">
        <v>303</v>
      </c>
      <c r="C1524" s="1" t="str">
        <f>IF(Tabela8[[#This Row],[SETOR]]="","",IF(Tabela8[[#This Row],[SETOR]]&lt;200,"GV 10",IF(Tabela8[[#This Row],[SETOR]]&lt;300,"GV 20",IF(Tabela8[[#This Row],[SETOR]]&lt;400,"GV 30","S/GV"))))</f>
        <v>GV 30</v>
      </c>
      <c r="E1524" t="s">
        <v>123</v>
      </c>
      <c r="G1524" t="str">
        <f>_xlfn.CONCAT(Tabela9[[#This Row],[Coluna1]],Tabela9[[#This Row],[Coluna2]])</f>
        <v>20-Rota</v>
      </c>
    </row>
    <row r="1525" spans="1:7" x14ac:dyDescent="0.25">
      <c r="A1525">
        <v>11209</v>
      </c>
      <c r="B1525">
        <v>204</v>
      </c>
      <c r="C1525" s="1" t="str">
        <f>IF(Tabela8[[#This Row],[SETOR]]="","",IF(Tabela8[[#This Row],[SETOR]]&lt;200,"GV 10",IF(Tabela8[[#This Row],[SETOR]]&lt;300,"GV 20",IF(Tabela8[[#This Row],[SETOR]]&lt;400,"GV 30","S/GV"))))</f>
        <v>GV 20</v>
      </c>
      <c r="E1525" t="s">
        <v>123</v>
      </c>
      <c r="G1525" t="str">
        <f>_xlfn.CONCAT(Tabela9[[#This Row],[Coluna1]],Tabela9[[#This Row],[Coluna2]])</f>
        <v>20-Rota</v>
      </c>
    </row>
    <row r="1526" spans="1:7" x14ac:dyDescent="0.25">
      <c r="A1526">
        <v>11212</v>
      </c>
      <c r="B1526">
        <v>201</v>
      </c>
      <c r="C1526" s="1" t="str">
        <f>IF(Tabela8[[#This Row],[SETOR]]="","",IF(Tabela8[[#This Row],[SETOR]]&lt;200,"GV 10",IF(Tabela8[[#This Row],[SETOR]]&lt;300,"GV 20",IF(Tabela8[[#This Row],[SETOR]]&lt;400,"GV 30","S/GV"))))</f>
        <v>GV 20</v>
      </c>
      <c r="E1526" t="s">
        <v>123</v>
      </c>
      <c r="G1526" t="str">
        <f>_xlfn.CONCAT(Tabela9[[#This Row],[Coluna1]],Tabela9[[#This Row],[Coluna2]])</f>
        <v>20-Rota</v>
      </c>
    </row>
    <row r="1527" spans="1:7" x14ac:dyDescent="0.25">
      <c r="A1527">
        <v>11225</v>
      </c>
      <c r="B1527">
        <v>102</v>
      </c>
      <c r="C1527" s="1" t="str">
        <f>IF(Tabela8[[#This Row],[SETOR]]="","",IF(Tabela8[[#This Row],[SETOR]]&lt;200,"GV 10",IF(Tabela8[[#This Row],[SETOR]]&lt;300,"GV 20",IF(Tabela8[[#This Row],[SETOR]]&lt;400,"GV 30","S/GV"))))</f>
        <v>GV 10</v>
      </c>
      <c r="E1527" t="s">
        <v>123</v>
      </c>
      <c r="G1527" t="str">
        <f>_xlfn.CONCAT(Tabela9[[#This Row],[Coluna1]],Tabela9[[#This Row],[Coluna2]])</f>
        <v>20-Rota</v>
      </c>
    </row>
    <row r="1528" spans="1:7" x14ac:dyDescent="0.25">
      <c r="A1528">
        <v>11227</v>
      </c>
      <c r="B1528">
        <v>101</v>
      </c>
      <c r="C1528" s="1" t="str">
        <f>IF(Tabela8[[#This Row],[SETOR]]="","",IF(Tabela8[[#This Row],[SETOR]]&lt;200,"GV 10",IF(Tabela8[[#This Row],[SETOR]]&lt;300,"GV 20",IF(Tabela8[[#This Row],[SETOR]]&lt;400,"GV 30","S/GV"))))</f>
        <v>GV 10</v>
      </c>
      <c r="E1528" t="s">
        <v>123</v>
      </c>
      <c r="G1528" t="str">
        <f>_xlfn.CONCAT(Tabela9[[#This Row],[Coluna1]],Tabela9[[#This Row],[Coluna2]])</f>
        <v>20-Rota</v>
      </c>
    </row>
    <row r="1529" spans="1:7" x14ac:dyDescent="0.25">
      <c r="A1529">
        <v>11235</v>
      </c>
      <c r="B1529">
        <v>303</v>
      </c>
      <c r="C1529" s="1" t="str">
        <f>IF(Tabela8[[#This Row],[SETOR]]="","",IF(Tabela8[[#This Row],[SETOR]]&lt;200,"GV 10",IF(Tabela8[[#This Row],[SETOR]]&lt;300,"GV 20",IF(Tabela8[[#This Row],[SETOR]]&lt;400,"GV 30","S/GV"))))</f>
        <v>GV 30</v>
      </c>
      <c r="E1529" t="s">
        <v>123</v>
      </c>
      <c r="G1529" t="str">
        <f>_xlfn.CONCAT(Tabela9[[#This Row],[Coluna1]],Tabela9[[#This Row],[Coluna2]])</f>
        <v>20-Rota</v>
      </c>
    </row>
    <row r="1530" spans="1:7" x14ac:dyDescent="0.25">
      <c r="A1530">
        <v>11238</v>
      </c>
      <c r="B1530">
        <v>307</v>
      </c>
      <c r="C1530" s="1" t="str">
        <f>IF(Tabela8[[#This Row],[SETOR]]="","",IF(Tabela8[[#This Row],[SETOR]]&lt;200,"GV 10",IF(Tabela8[[#This Row],[SETOR]]&lt;300,"GV 20",IF(Tabela8[[#This Row],[SETOR]]&lt;400,"GV 30","S/GV"))))</f>
        <v>GV 30</v>
      </c>
      <c r="E1530" t="s">
        <v>130</v>
      </c>
      <c r="G1530" t="str">
        <f>_xlfn.CONCAT(Tabela9[[#This Row],[Coluna1]],Tabela9[[#This Row],[Coluna2]])</f>
        <v>21-SUB</v>
      </c>
    </row>
    <row r="1531" spans="1:7" x14ac:dyDescent="0.25">
      <c r="A1531">
        <v>11245</v>
      </c>
      <c r="B1531">
        <v>204</v>
      </c>
      <c r="C1531" s="1" t="str">
        <f>IF(Tabela8[[#This Row],[SETOR]]="","",IF(Tabela8[[#This Row],[SETOR]]&lt;200,"GV 10",IF(Tabela8[[#This Row],[SETOR]]&lt;300,"GV 20",IF(Tabela8[[#This Row],[SETOR]]&lt;400,"GV 30","S/GV"))))</f>
        <v>GV 20</v>
      </c>
      <c r="E1531" t="s">
        <v>123</v>
      </c>
      <c r="G1531" t="str">
        <f>_xlfn.CONCAT(Tabela9[[#This Row],[Coluna1]],Tabela9[[#This Row],[Coluna2]])</f>
        <v>20-Rota</v>
      </c>
    </row>
    <row r="1532" spans="1:7" x14ac:dyDescent="0.25">
      <c r="A1532">
        <v>11246</v>
      </c>
      <c r="B1532">
        <v>304</v>
      </c>
      <c r="C1532" s="1" t="str">
        <f>IF(Tabela8[[#This Row],[SETOR]]="","",IF(Tabela8[[#This Row],[SETOR]]&lt;200,"GV 10",IF(Tabela8[[#This Row],[SETOR]]&lt;300,"GV 20",IF(Tabela8[[#This Row],[SETOR]]&lt;400,"GV 30","S/GV"))))</f>
        <v>GV 30</v>
      </c>
      <c r="E1532" t="s">
        <v>123</v>
      </c>
      <c r="G1532" t="str">
        <f>_xlfn.CONCAT(Tabela9[[#This Row],[Coluna1]],Tabela9[[#This Row],[Coluna2]])</f>
        <v>20-Rota</v>
      </c>
    </row>
    <row r="1533" spans="1:7" x14ac:dyDescent="0.25">
      <c r="A1533">
        <v>11247</v>
      </c>
      <c r="B1533">
        <v>102</v>
      </c>
      <c r="C1533" s="1" t="str">
        <f>IF(Tabela8[[#This Row],[SETOR]]="","",IF(Tabela8[[#This Row],[SETOR]]&lt;200,"GV 10",IF(Tabela8[[#This Row],[SETOR]]&lt;300,"GV 20",IF(Tabela8[[#This Row],[SETOR]]&lt;400,"GV 30","S/GV"))))</f>
        <v>GV 10</v>
      </c>
      <c r="E1533" t="s">
        <v>123</v>
      </c>
      <c r="G1533" t="str">
        <f>_xlfn.CONCAT(Tabela9[[#This Row],[Coluna1]],Tabela9[[#This Row],[Coluna2]])</f>
        <v>20-Rota</v>
      </c>
    </row>
    <row r="1534" spans="1:7" x14ac:dyDescent="0.25">
      <c r="A1534">
        <v>11249</v>
      </c>
      <c r="B1534">
        <v>303</v>
      </c>
      <c r="C1534" s="1" t="str">
        <f>IF(Tabela8[[#This Row],[SETOR]]="","",IF(Tabela8[[#This Row],[SETOR]]&lt;200,"GV 10",IF(Tabela8[[#This Row],[SETOR]]&lt;300,"GV 20",IF(Tabela8[[#This Row],[SETOR]]&lt;400,"GV 30","S/GV"))))</f>
        <v>GV 30</v>
      </c>
      <c r="E1534" t="s">
        <v>123</v>
      </c>
      <c r="G1534" t="str">
        <f>_xlfn.CONCAT(Tabela9[[#This Row],[Coluna1]],Tabela9[[#This Row],[Coluna2]])</f>
        <v>20-Rota</v>
      </c>
    </row>
    <row r="1535" spans="1:7" x14ac:dyDescent="0.25">
      <c r="A1535">
        <v>11256</v>
      </c>
      <c r="B1535">
        <v>305</v>
      </c>
      <c r="C1535" s="1" t="str">
        <f>IF(Tabela8[[#This Row],[SETOR]]="","",IF(Tabela8[[#This Row],[SETOR]]&lt;200,"GV 10",IF(Tabela8[[#This Row],[SETOR]]&lt;300,"GV 20",IF(Tabela8[[#This Row],[SETOR]]&lt;400,"GV 30","S/GV"))))</f>
        <v>GV 30</v>
      </c>
      <c r="E1535" t="s">
        <v>123</v>
      </c>
      <c r="G1535" t="str">
        <f>_xlfn.CONCAT(Tabela9[[#This Row],[Coluna1]],Tabela9[[#This Row],[Coluna2]])</f>
        <v>20-Rota</v>
      </c>
    </row>
    <row r="1536" spans="1:7" x14ac:dyDescent="0.25">
      <c r="A1536">
        <v>11257</v>
      </c>
      <c r="B1536">
        <v>305</v>
      </c>
      <c r="C1536" s="1" t="str">
        <f>IF(Tabela8[[#This Row],[SETOR]]="","",IF(Tabela8[[#This Row],[SETOR]]&lt;200,"GV 10",IF(Tabela8[[#This Row],[SETOR]]&lt;300,"GV 20",IF(Tabela8[[#This Row],[SETOR]]&lt;400,"GV 30","S/GV"))))</f>
        <v>GV 30</v>
      </c>
      <c r="E1536" t="s">
        <v>123</v>
      </c>
      <c r="G1536" t="str">
        <f>_xlfn.CONCAT(Tabela9[[#This Row],[Coluna1]],Tabela9[[#This Row],[Coluna2]])</f>
        <v>20-Rota</v>
      </c>
    </row>
    <row r="1537" spans="1:7" x14ac:dyDescent="0.25">
      <c r="A1537">
        <v>11262</v>
      </c>
      <c r="B1537">
        <v>303</v>
      </c>
      <c r="C1537" s="1" t="str">
        <f>IF(Tabela8[[#This Row],[SETOR]]="","",IF(Tabela8[[#This Row],[SETOR]]&lt;200,"GV 10",IF(Tabela8[[#This Row],[SETOR]]&lt;300,"GV 20",IF(Tabela8[[#This Row],[SETOR]]&lt;400,"GV 30","S/GV"))))</f>
        <v>GV 30</v>
      </c>
      <c r="E1537" t="s">
        <v>123</v>
      </c>
      <c r="G1537" t="str">
        <f>_xlfn.CONCAT(Tabela9[[#This Row],[Coluna1]],Tabela9[[#This Row],[Coluna2]])</f>
        <v>20-Rota</v>
      </c>
    </row>
    <row r="1538" spans="1:7" x14ac:dyDescent="0.25">
      <c r="A1538">
        <v>11269</v>
      </c>
      <c r="B1538">
        <v>102</v>
      </c>
      <c r="C1538" s="1" t="str">
        <f>IF(Tabela8[[#This Row],[SETOR]]="","",IF(Tabela8[[#This Row],[SETOR]]&lt;200,"GV 10",IF(Tabela8[[#This Row],[SETOR]]&lt;300,"GV 20",IF(Tabela8[[#This Row],[SETOR]]&lt;400,"GV 30","S/GV"))))</f>
        <v>GV 10</v>
      </c>
      <c r="E1538" t="s">
        <v>123</v>
      </c>
      <c r="G1538" t="str">
        <f>_xlfn.CONCAT(Tabela9[[#This Row],[Coluna1]],Tabela9[[#This Row],[Coluna2]])</f>
        <v>20-Rota</v>
      </c>
    </row>
    <row r="1539" spans="1:7" x14ac:dyDescent="0.25">
      <c r="A1539">
        <v>11273</v>
      </c>
      <c r="B1539">
        <v>104</v>
      </c>
      <c r="C1539" s="1" t="str">
        <f>IF(Tabela8[[#This Row],[SETOR]]="","",IF(Tabela8[[#This Row],[SETOR]]&lt;200,"GV 10",IF(Tabela8[[#This Row],[SETOR]]&lt;300,"GV 20",IF(Tabela8[[#This Row],[SETOR]]&lt;400,"GV 30","S/GV"))))</f>
        <v>GV 10</v>
      </c>
      <c r="E1539" t="s">
        <v>123</v>
      </c>
      <c r="G1539" t="str">
        <f>_xlfn.CONCAT(Tabela9[[#This Row],[Coluna1]],Tabela9[[#This Row],[Coluna2]])</f>
        <v>20-Rota</v>
      </c>
    </row>
    <row r="1540" spans="1:7" x14ac:dyDescent="0.25">
      <c r="A1540">
        <v>11275</v>
      </c>
      <c r="B1540">
        <v>201</v>
      </c>
      <c r="C1540" s="1" t="str">
        <f>IF(Tabela8[[#This Row],[SETOR]]="","",IF(Tabela8[[#This Row],[SETOR]]&lt;200,"GV 10",IF(Tabela8[[#This Row],[SETOR]]&lt;300,"GV 20",IF(Tabela8[[#This Row],[SETOR]]&lt;400,"GV 30","S/GV"))))</f>
        <v>GV 20</v>
      </c>
      <c r="E1540" t="s">
        <v>123</v>
      </c>
      <c r="G1540" t="str">
        <f>_xlfn.CONCAT(Tabela9[[#This Row],[Coluna1]],Tabela9[[#This Row],[Coluna2]])</f>
        <v>20-Rota</v>
      </c>
    </row>
    <row r="1541" spans="1:7" x14ac:dyDescent="0.25">
      <c r="A1541">
        <v>11281</v>
      </c>
      <c r="B1541">
        <v>305</v>
      </c>
      <c r="C1541" s="1" t="str">
        <f>IF(Tabela8[[#This Row],[SETOR]]="","",IF(Tabela8[[#This Row],[SETOR]]&lt;200,"GV 10",IF(Tabela8[[#This Row],[SETOR]]&lt;300,"GV 20",IF(Tabela8[[#This Row],[SETOR]]&lt;400,"GV 30","S/GV"))))</f>
        <v>GV 30</v>
      </c>
      <c r="E1541" t="s">
        <v>123</v>
      </c>
      <c r="G1541" t="str">
        <f>_xlfn.CONCAT(Tabela9[[#This Row],[Coluna1]],Tabela9[[#This Row],[Coluna2]])</f>
        <v>20-Rota</v>
      </c>
    </row>
    <row r="1542" spans="1:7" x14ac:dyDescent="0.25">
      <c r="A1542">
        <v>11284</v>
      </c>
      <c r="B1542">
        <v>303</v>
      </c>
      <c r="C1542" s="1" t="str">
        <f>IF(Tabela8[[#This Row],[SETOR]]="","",IF(Tabela8[[#This Row],[SETOR]]&lt;200,"GV 10",IF(Tabela8[[#This Row],[SETOR]]&lt;300,"GV 20",IF(Tabela8[[#This Row],[SETOR]]&lt;400,"GV 30","S/GV"))))</f>
        <v>GV 30</v>
      </c>
      <c r="E1542" t="s">
        <v>123</v>
      </c>
      <c r="G1542" t="str">
        <f>_xlfn.CONCAT(Tabela9[[#This Row],[Coluna1]],Tabela9[[#This Row],[Coluna2]])</f>
        <v>20-Rota</v>
      </c>
    </row>
    <row r="1543" spans="1:7" x14ac:dyDescent="0.25">
      <c r="A1543">
        <v>11285</v>
      </c>
      <c r="B1543">
        <v>201</v>
      </c>
      <c r="C1543" s="1" t="str">
        <f>IF(Tabela8[[#This Row],[SETOR]]="","",IF(Tabela8[[#This Row],[SETOR]]&lt;200,"GV 10",IF(Tabela8[[#This Row],[SETOR]]&lt;300,"GV 20",IF(Tabela8[[#This Row],[SETOR]]&lt;400,"GV 30","S/GV"))))</f>
        <v>GV 20</v>
      </c>
      <c r="E1543" t="s">
        <v>125</v>
      </c>
      <c r="G1543" t="str">
        <f>_xlfn.CONCAT(Tabela9[[#This Row],[Coluna1]],Tabela9[[#This Row],[Coluna2]])</f>
        <v>18-TRAD</v>
      </c>
    </row>
    <row r="1544" spans="1:7" x14ac:dyDescent="0.25">
      <c r="A1544">
        <v>11286</v>
      </c>
      <c r="B1544">
        <v>304</v>
      </c>
      <c r="C1544" s="1" t="str">
        <f>IF(Tabela8[[#This Row],[SETOR]]="","",IF(Tabela8[[#This Row],[SETOR]]&lt;200,"GV 10",IF(Tabela8[[#This Row],[SETOR]]&lt;300,"GV 20",IF(Tabela8[[#This Row],[SETOR]]&lt;400,"GV 30","S/GV"))))</f>
        <v>GV 30</v>
      </c>
      <c r="E1544" t="s">
        <v>123</v>
      </c>
      <c r="G1544" t="str">
        <f>_xlfn.CONCAT(Tabela9[[#This Row],[Coluna1]],Tabela9[[#This Row],[Coluna2]])</f>
        <v>20-Rota</v>
      </c>
    </row>
    <row r="1545" spans="1:7" x14ac:dyDescent="0.25">
      <c r="A1545">
        <v>11288</v>
      </c>
      <c r="B1545">
        <v>302</v>
      </c>
      <c r="C1545" s="1" t="str">
        <f>IF(Tabela8[[#This Row],[SETOR]]="","",IF(Tabela8[[#This Row],[SETOR]]&lt;200,"GV 10",IF(Tabela8[[#This Row],[SETOR]]&lt;300,"GV 20",IF(Tabela8[[#This Row],[SETOR]]&lt;400,"GV 30","S/GV"))))</f>
        <v>GV 30</v>
      </c>
      <c r="E1545" t="s">
        <v>123</v>
      </c>
      <c r="G1545" t="str">
        <f>_xlfn.CONCAT(Tabela9[[#This Row],[Coluna1]],Tabela9[[#This Row],[Coluna2]])</f>
        <v>20-Rota</v>
      </c>
    </row>
    <row r="1546" spans="1:7" x14ac:dyDescent="0.25">
      <c r="A1546">
        <v>11303</v>
      </c>
      <c r="B1546">
        <v>916</v>
      </c>
      <c r="C1546" s="1" t="str">
        <f>IF(Tabela8[[#This Row],[SETOR]]="","",IF(Tabela8[[#This Row],[SETOR]]&lt;200,"GV 10",IF(Tabela8[[#This Row],[SETOR]]&lt;300,"GV 20",IF(Tabela8[[#This Row],[SETOR]]&lt;400,"GV 30","S/GV"))))</f>
        <v>S/GV</v>
      </c>
      <c r="G1546" t="str">
        <f>_xlfn.CONCAT(Tabela9[[#This Row],[Coluna1]],Tabela9[[#This Row],[Coluna2]])</f>
        <v/>
      </c>
    </row>
    <row r="1547" spans="1:7" x14ac:dyDescent="0.25">
      <c r="A1547">
        <v>11305</v>
      </c>
      <c r="B1547">
        <v>907</v>
      </c>
      <c r="C1547" s="1" t="str">
        <f>IF(Tabela8[[#This Row],[SETOR]]="","",IF(Tabela8[[#This Row],[SETOR]]&lt;200,"GV 10",IF(Tabela8[[#This Row],[SETOR]]&lt;300,"GV 20",IF(Tabela8[[#This Row],[SETOR]]&lt;400,"GV 30","S/GV"))))</f>
        <v>S/GV</v>
      </c>
      <c r="G1547" t="str">
        <f>_xlfn.CONCAT(Tabela9[[#This Row],[Coluna1]],Tabela9[[#This Row],[Coluna2]])</f>
        <v/>
      </c>
    </row>
    <row r="1548" spans="1:7" x14ac:dyDescent="0.25">
      <c r="A1548">
        <v>11310</v>
      </c>
      <c r="B1548">
        <v>307</v>
      </c>
      <c r="C1548" s="1" t="str">
        <f>IF(Tabela8[[#This Row],[SETOR]]="","",IF(Tabela8[[#This Row],[SETOR]]&lt;200,"GV 10",IF(Tabela8[[#This Row],[SETOR]]&lt;300,"GV 20",IF(Tabela8[[#This Row],[SETOR]]&lt;400,"GV 30","S/GV"))))</f>
        <v>GV 30</v>
      </c>
      <c r="E1548" t="s">
        <v>130</v>
      </c>
      <c r="G1548" t="str">
        <f>_xlfn.CONCAT(Tabela9[[#This Row],[Coluna1]],Tabela9[[#This Row],[Coluna2]])</f>
        <v>21-SUB</v>
      </c>
    </row>
    <row r="1549" spans="1:7" x14ac:dyDescent="0.25">
      <c r="A1549">
        <v>11314</v>
      </c>
      <c r="B1549">
        <v>201</v>
      </c>
      <c r="C1549" s="1" t="str">
        <f>IF(Tabela8[[#This Row],[SETOR]]="","",IF(Tabela8[[#This Row],[SETOR]]&lt;200,"GV 10",IF(Tabela8[[#This Row],[SETOR]]&lt;300,"GV 20",IF(Tabela8[[#This Row],[SETOR]]&lt;400,"GV 30","S/GV"))))</f>
        <v>GV 20</v>
      </c>
      <c r="E1549" t="s">
        <v>123</v>
      </c>
      <c r="G1549" t="str">
        <f>_xlfn.CONCAT(Tabela9[[#This Row],[Coluna1]],Tabela9[[#This Row],[Coluna2]])</f>
        <v>20-Rota</v>
      </c>
    </row>
    <row r="1550" spans="1:7" x14ac:dyDescent="0.25">
      <c r="A1550">
        <v>11323</v>
      </c>
      <c r="B1550">
        <v>204</v>
      </c>
      <c r="C1550" s="1" t="str">
        <f>IF(Tabela8[[#This Row],[SETOR]]="","",IF(Tabela8[[#This Row],[SETOR]]&lt;200,"GV 10",IF(Tabela8[[#This Row],[SETOR]]&lt;300,"GV 20",IF(Tabela8[[#This Row],[SETOR]]&lt;400,"GV 30","S/GV"))))</f>
        <v>GV 20</v>
      </c>
      <c r="E1550" t="s">
        <v>123</v>
      </c>
      <c r="G1550" t="str">
        <f>_xlfn.CONCAT(Tabela9[[#This Row],[Coluna1]],Tabela9[[#This Row],[Coluna2]])</f>
        <v>20-Rota</v>
      </c>
    </row>
    <row r="1551" spans="1:7" x14ac:dyDescent="0.25">
      <c r="A1551">
        <v>11326</v>
      </c>
      <c r="B1551">
        <v>201</v>
      </c>
      <c r="C1551" s="1" t="str">
        <f>IF(Tabela8[[#This Row],[SETOR]]="","",IF(Tabela8[[#This Row],[SETOR]]&lt;200,"GV 10",IF(Tabela8[[#This Row],[SETOR]]&lt;300,"GV 20",IF(Tabela8[[#This Row],[SETOR]]&lt;400,"GV 30","S/GV"))))</f>
        <v>GV 20</v>
      </c>
      <c r="E1551" t="s">
        <v>123</v>
      </c>
      <c r="G1551" t="str">
        <f>_xlfn.CONCAT(Tabela9[[#This Row],[Coluna1]],Tabela9[[#This Row],[Coluna2]])</f>
        <v>20-Rota</v>
      </c>
    </row>
    <row r="1552" spans="1:7" x14ac:dyDescent="0.25">
      <c r="A1552">
        <v>11330</v>
      </c>
      <c r="B1552">
        <v>201</v>
      </c>
      <c r="C1552" s="1" t="str">
        <f>IF(Tabela8[[#This Row],[SETOR]]="","",IF(Tabela8[[#This Row],[SETOR]]&lt;200,"GV 10",IF(Tabela8[[#This Row],[SETOR]]&lt;300,"GV 20",IF(Tabela8[[#This Row],[SETOR]]&lt;400,"GV 30","S/GV"))))</f>
        <v>GV 20</v>
      </c>
      <c r="E1552" t="s">
        <v>123</v>
      </c>
      <c r="G1552" t="str">
        <f>_xlfn.CONCAT(Tabela9[[#This Row],[Coluna1]],Tabela9[[#This Row],[Coluna2]])</f>
        <v>20-Rota</v>
      </c>
    </row>
    <row r="1553" spans="1:7" x14ac:dyDescent="0.25">
      <c r="A1553">
        <v>11332</v>
      </c>
      <c r="B1553">
        <v>907</v>
      </c>
      <c r="C1553" s="1" t="str">
        <f>IF(Tabela8[[#This Row],[SETOR]]="","",IF(Tabela8[[#This Row],[SETOR]]&lt;200,"GV 10",IF(Tabela8[[#This Row],[SETOR]]&lt;300,"GV 20",IF(Tabela8[[#This Row],[SETOR]]&lt;400,"GV 30","S/GV"))))</f>
        <v>S/GV</v>
      </c>
      <c r="G1553" t="str">
        <f>_xlfn.CONCAT(Tabela9[[#This Row],[Coluna1]],Tabela9[[#This Row],[Coluna2]])</f>
        <v/>
      </c>
    </row>
    <row r="1554" spans="1:7" x14ac:dyDescent="0.25">
      <c r="A1554">
        <v>11335</v>
      </c>
      <c r="B1554">
        <v>301</v>
      </c>
      <c r="C1554" s="1" t="str">
        <f>IF(Tabela8[[#This Row],[SETOR]]="","",IF(Tabela8[[#This Row],[SETOR]]&lt;200,"GV 10",IF(Tabela8[[#This Row],[SETOR]]&lt;300,"GV 20",IF(Tabela8[[#This Row],[SETOR]]&lt;400,"GV 30","S/GV"))))</f>
        <v>GV 30</v>
      </c>
      <c r="E1554" t="s">
        <v>123</v>
      </c>
      <c r="G1554" t="str">
        <f>_xlfn.CONCAT(Tabela9[[#This Row],[Coluna1]],Tabela9[[#This Row],[Coluna2]])</f>
        <v>20-Rota</v>
      </c>
    </row>
    <row r="1555" spans="1:7" x14ac:dyDescent="0.25">
      <c r="A1555">
        <v>11340</v>
      </c>
      <c r="B1555">
        <v>105</v>
      </c>
      <c r="C1555" s="1" t="str">
        <f>IF(Tabela8[[#This Row],[SETOR]]="","",IF(Tabela8[[#This Row],[SETOR]]&lt;200,"GV 10",IF(Tabela8[[#This Row],[SETOR]]&lt;300,"GV 20",IF(Tabela8[[#This Row],[SETOR]]&lt;400,"GV 30","S/GV"))))</f>
        <v>GV 10</v>
      </c>
      <c r="E1555" t="s">
        <v>123</v>
      </c>
      <c r="G1555" t="str">
        <f>_xlfn.CONCAT(Tabela9[[#This Row],[Coluna1]],Tabela9[[#This Row],[Coluna2]])</f>
        <v>20-Rota</v>
      </c>
    </row>
    <row r="1556" spans="1:7" x14ac:dyDescent="0.25">
      <c r="A1556">
        <v>11341</v>
      </c>
      <c r="B1556">
        <v>105</v>
      </c>
      <c r="C1556" s="1" t="str">
        <f>IF(Tabela8[[#This Row],[SETOR]]="","",IF(Tabela8[[#This Row],[SETOR]]&lt;200,"GV 10",IF(Tabela8[[#This Row],[SETOR]]&lt;300,"GV 20",IF(Tabela8[[#This Row],[SETOR]]&lt;400,"GV 30","S/GV"))))</f>
        <v>GV 10</v>
      </c>
      <c r="E1556" t="s">
        <v>123</v>
      </c>
      <c r="G1556" t="str">
        <f>_xlfn.CONCAT(Tabela9[[#This Row],[Coluna1]],Tabela9[[#This Row],[Coluna2]])</f>
        <v>20-Rota</v>
      </c>
    </row>
    <row r="1557" spans="1:7" x14ac:dyDescent="0.25">
      <c r="A1557">
        <v>11344</v>
      </c>
      <c r="B1557">
        <v>304</v>
      </c>
      <c r="C1557" s="1" t="str">
        <f>IF(Tabela8[[#This Row],[SETOR]]="","",IF(Tabela8[[#This Row],[SETOR]]&lt;200,"GV 10",IF(Tabela8[[#This Row],[SETOR]]&lt;300,"GV 20",IF(Tabela8[[#This Row],[SETOR]]&lt;400,"GV 30","S/GV"))))</f>
        <v>GV 30</v>
      </c>
      <c r="E1557" t="s">
        <v>123</v>
      </c>
      <c r="G1557" t="str">
        <f>_xlfn.CONCAT(Tabela9[[#This Row],[Coluna1]],Tabela9[[#This Row],[Coluna2]])</f>
        <v>20-Rota</v>
      </c>
    </row>
    <row r="1558" spans="1:7" x14ac:dyDescent="0.25">
      <c r="A1558">
        <v>11345</v>
      </c>
      <c r="B1558">
        <v>906</v>
      </c>
      <c r="C1558" s="1" t="str">
        <f>IF(Tabela8[[#This Row],[SETOR]]="","",IF(Tabela8[[#This Row],[SETOR]]&lt;200,"GV 10",IF(Tabela8[[#This Row],[SETOR]]&lt;300,"GV 20",IF(Tabela8[[#This Row],[SETOR]]&lt;400,"GV 30","S/GV"))))</f>
        <v>S/GV</v>
      </c>
      <c r="E1558" t="s">
        <v>123</v>
      </c>
      <c r="G1558" t="str">
        <f>_xlfn.CONCAT(Tabela9[[#This Row],[Coluna1]],Tabela9[[#This Row],[Coluna2]])</f>
        <v>20-Rota</v>
      </c>
    </row>
    <row r="1559" spans="1:7" x14ac:dyDescent="0.25">
      <c r="A1559">
        <v>11348</v>
      </c>
      <c r="B1559">
        <v>307</v>
      </c>
      <c r="C1559" s="1" t="str">
        <f>IF(Tabela8[[#This Row],[SETOR]]="","",IF(Tabela8[[#This Row],[SETOR]]&lt;200,"GV 10",IF(Tabela8[[#This Row],[SETOR]]&lt;300,"GV 20",IF(Tabela8[[#This Row],[SETOR]]&lt;400,"GV 30","S/GV"))))</f>
        <v>GV 30</v>
      </c>
      <c r="E1559" t="s">
        <v>125</v>
      </c>
      <c r="G1559" t="str">
        <f>_xlfn.CONCAT(Tabela9[[#This Row],[Coluna1]],Tabela9[[#This Row],[Coluna2]])</f>
        <v>18-TRAD</v>
      </c>
    </row>
    <row r="1560" spans="1:7" x14ac:dyDescent="0.25">
      <c r="A1560">
        <v>11351</v>
      </c>
      <c r="B1560">
        <v>303</v>
      </c>
      <c r="C1560" s="1" t="str">
        <f>IF(Tabela8[[#This Row],[SETOR]]="","",IF(Tabela8[[#This Row],[SETOR]]&lt;200,"GV 10",IF(Tabela8[[#This Row],[SETOR]]&lt;300,"GV 20",IF(Tabela8[[#This Row],[SETOR]]&lt;400,"GV 30","S/GV"))))</f>
        <v>GV 30</v>
      </c>
      <c r="E1560" t="s">
        <v>123</v>
      </c>
      <c r="G1560" t="str">
        <f>_xlfn.CONCAT(Tabela9[[#This Row],[Coluna1]],Tabela9[[#This Row],[Coluna2]])</f>
        <v>20-Rota</v>
      </c>
    </row>
    <row r="1561" spans="1:7" x14ac:dyDescent="0.25">
      <c r="A1561">
        <v>11352</v>
      </c>
      <c r="B1561">
        <v>301</v>
      </c>
      <c r="C1561" s="1" t="str">
        <f>IF(Tabela8[[#This Row],[SETOR]]="","",IF(Tabela8[[#This Row],[SETOR]]&lt;200,"GV 10",IF(Tabela8[[#This Row],[SETOR]]&lt;300,"GV 20",IF(Tabela8[[#This Row],[SETOR]]&lt;400,"GV 30","S/GV"))))</f>
        <v>GV 30</v>
      </c>
      <c r="E1561" t="s">
        <v>123</v>
      </c>
      <c r="G1561" t="str">
        <f>_xlfn.CONCAT(Tabela9[[#This Row],[Coluna1]],Tabela9[[#This Row],[Coluna2]])</f>
        <v>20-Rota</v>
      </c>
    </row>
    <row r="1562" spans="1:7" x14ac:dyDescent="0.25">
      <c r="A1562">
        <v>11359</v>
      </c>
      <c r="B1562">
        <v>307</v>
      </c>
      <c r="C1562" s="1" t="str">
        <f>IF(Tabela8[[#This Row],[SETOR]]="","",IF(Tabela8[[#This Row],[SETOR]]&lt;200,"GV 10",IF(Tabela8[[#This Row],[SETOR]]&lt;300,"GV 20",IF(Tabela8[[#This Row],[SETOR]]&lt;400,"GV 30","S/GV"))))</f>
        <v>GV 30</v>
      </c>
      <c r="E1562" t="s">
        <v>130</v>
      </c>
      <c r="G1562" t="str">
        <f>_xlfn.CONCAT(Tabela9[[#This Row],[Coluna1]],Tabela9[[#This Row],[Coluna2]])</f>
        <v>21-SUB</v>
      </c>
    </row>
    <row r="1563" spans="1:7" x14ac:dyDescent="0.25">
      <c r="A1563">
        <v>11360</v>
      </c>
      <c r="B1563">
        <v>106</v>
      </c>
      <c r="C1563" s="1" t="str">
        <f>IF(Tabela8[[#This Row],[SETOR]]="","",IF(Tabela8[[#This Row],[SETOR]]&lt;200,"GV 10",IF(Tabela8[[#This Row],[SETOR]]&lt;300,"GV 20",IF(Tabela8[[#This Row],[SETOR]]&lt;400,"GV 30","S/GV"))))</f>
        <v>GV 10</v>
      </c>
      <c r="E1563" t="s">
        <v>123</v>
      </c>
      <c r="G1563" t="str">
        <f>_xlfn.CONCAT(Tabela9[[#This Row],[Coluna1]],Tabela9[[#This Row],[Coluna2]])</f>
        <v>20-Rota</v>
      </c>
    </row>
    <row r="1564" spans="1:7" x14ac:dyDescent="0.25">
      <c r="A1564">
        <v>11365</v>
      </c>
      <c r="B1564">
        <v>304</v>
      </c>
      <c r="C1564" s="1" t="str">
        <f>IF(Tabela8[[#This Row],[SETOR]]="","",IF(Tabela8[[#This Row],[SETOR]]&lt;200,"GV 10",IF(Tabela8[[#This Row],[SETOR]]&lt;300,"GV 20",IF(Tabela8[[#This Row],[SETOR]]&lt;400,"GV 30","S/GV"))))</f>
        <v>GV 30</v>
      </c>
      <c r="E1564" t="s">
        <v>123</v>
      </c>
      <c r="G1564" t="str">
        <f>_xlfn.CONCAT(Tabela9[[#This Row],[Coluna1]],Tabela9[[#This Row],[Coluna2]])</f>
        <v>20-Rota</v>
      </c>
    </row>
    <row r="1565" spans="1:7" x14ac:dyDescent="0.25">
      <c r="A1565">
        <v>11371</v>
      </c>
      <c r="B1565">
        <v>304</v>
      </c>
      <c r="C1565" s="1" t="str">
        <f>IF(Tabela8[[#This Row],[SETOR]]="","",IF(Tabela8[[#This Row],[SETOR]]&lt;200,"GV 10",IF(Tabela8[[#This Row],[SETOR]]&lt;300,"GV 20",IF(Tabela8[[#This Row],[SETOR]]&lt;400,"GV 30","S/GV"))))</f>
        <v>GV 30</v>
      </c>
      <c r="E1565" t="s">
        <v>123</v>
      </c>
      <c r="G1565" t="str">
        <f>_xlfn.CONCAT(Tabela9[[#This Row],[Coluna1]],Tabela9[[#This Row],[Coluna2]])</f>
        <v>20-Rota</v>
      </c>
    </row>
    <row r="1566" spans="1:7" x14ac:dyDescent="0.25">
      <c r="A1566">
        <v>11373</v>
      </c>
      <c r="B1566">
        <v>107</v>
      </c>
      <c r="C1566" s="1" t="str">
        <f>IF(Tabela8[[#This Row],[SETOR]]="","",IF(Tabela8[[#This Row],[SETOR]]&lt;200,"GV 10",IF(Tabela8[[#This Row],[SETOR]]&lt;300,"GV 20",IF(Tabela8[[#This Row],[SETOR]]&lt;400,"GV 30","S/GV"))))</f>
        <v>GV 10</v>
      </c>
      <c r="E1566" t="s">
        <v>130</v>
      </c>
      <c r="G1566" t="str">
        <f>_xlfn.CONCAT(Tabela9[[#This Row],[Coluna1]],Tabela9[[#This Row],[Coluna2]])</f>
        <v>21-SUB</v>
      </c>
    </row>
    <row r="1567" spans="1:7" x14ac:dyDescent="0.25">
      <c r="A1567">
        <v>11375</v>
      </c>
      <c r="B1567">
        <v>108</v>
      </c>
      <c r="C1567" s="1" t="str">
        <f>IF(Tabela8[[#This Row],[SETOR]]="","",IF(Tabela8[[#This Row],[SETOR]]&lt;200,"GV 10",IF(Tabela8[[#This Row],[SETOR]]&lt;300,"GV 20",IF(Tabela8[[#This Row],[SETOR]]&lt;400,"GV 30","S/GV"))))</f>
        <v>GV 10</v>
      </c>
      <c r="E1567" t="s">
        <v>125</v>
      </c>
      <c r="G1567" t="str">
        <f>_xlfn.CONCAT(Tabela9[[#This Row],[Coluna1]],Tabela9[[#This Row],[Coluna2]])</f>
        <v>18-TRAD</v>
      </c>
    </row>
    <row r="1568" spans="1:7" x14ac:dyDescent="0.25">
      <c r="A1568">
        <v>11385</v>
      </c>
      <c r="B1568">
        <v>305</v>
      </c>
      <c r="C1568" s="1" t="str">
        <f>IF(Tabela8[[#This Row],[SETOR]]="","",IF(Tabela8[[#This Row],[SETOR]]&lt;200,"GV 10",IF(Tabela8[[#This Row],[SETOR]]&lt;300,"GV 20",IF(Tabela8[[#This Row],[SETOR]]&lt;400,"GV 30","S/GV"))))</f>
        <v>GV 30</v>
      </c>
      <c r="E1568" t="s">
        <v>123</v>
      </c>
      <c r="G1568" t="str">
        <f>_xlfn.CONCAT(Tabela9[[#This Row],[Coluna1]],Tabela9[[#This Row],[Coluna2]])</f>
        <v>20-Rota</v>
      </c>
    </row>
    <row r="1569" spans="1:7" x14ac:dyDescent="0.25">
      <c r="A1569">
        <v>11388</v>
      </c>
      <c r="B1569">
        <v>105</v>
      </c>
      <c r="C1569" s="1" t="str">
        <f>IF(Tabela8[[#This Row],[SETOR]]="","",IF(Tabela8[[#This Row],[SETOR]]&lt;200,"GV 10",IF(Tabela8[[#This Row],[SETOR]]&lt;300,"GV 20",IF(Tabela8[[#This Row],[SETOR]]&lt;400,"GV 30","S/GV"))))</f>
        <v>GV 10</v>
      </c>
      <c r="E1569" t="s">
        <v>123</v>
      </c>
      <c r="G1569" t="str">
        <f>_xlfn.CONCAT(Tabela9[[#This Row],[Coluna1]],Tabela9[[#This Row],[Coluna2]])</f>
        <v>20-Rota</v>
      </c>
    </row>
    <row r="1570" spans="1:7" x14ac:dyDescent="0.25">
      <c r="A1570">
        <v>11389</v>
      </c>
      <c r="B1570">
        <v>106</v>
      </c>
      <c r="C1570" s="1" t="str">
        <f>IF(Tabela8[[#This Row],[SETOR]]="","",IF(Tabela8[[#This Row],[SETOR]]&lt;200,"GV 10",IF(Tabela8[[#This Row],[SETOR]]&lt;300,"GV 20",IF(Tabela8[[#This Row],[SETOR]]&lt;400,"GV 30","S/GV"))))</f>
        <v>GV 10</v>
      </c>
      <c r="E1570" t="s">
        <v>125</v>
      </c>
      <c r="G1570" t="str">
        <f>_xlfn.CONCAT(Tabela9[[#This Row],[Coluna1]],Tabela9[[#This Row],[Coluna2]])</f>
        <v>18-TRAD</v>
      </c>
    </row>
    <row r="1571" spans="1:7" x14ac:dyDescent="0.25">
      <c r="A1571">
        <v>11391</v>
      </c>
      <c r="B1571">
        <v>304</v>
      </c>
      <c r="C1571" s="1" t="str">
        <f>IF(Tabela8[[#This Row],[SETOR]]="","",IF(Tabela8[[#This Row],[SETOR]]&lt;200,"GV 10",IF(Tabela8[[#This Row],[SETOR]]&lt;300,"GV 20",IF(Tabela8[[#This Row],[SETOR]]&lt;400,"GV 30","S/GV"))))</f>
        <v>GV 30</v>
      </c>
      <c r="E1571" t="s">
        <v>123</v>
      </c>
      <c r="G1571" t="str">
        <f>_xlfn.CONCAT(Tabela9[[#This Row],[Coluna1]],Tabela9[[#This Row],[Coluna2]])</f>
        <v>20-Rota</v>
      </c>
    </row>
    <row r="1572" spans="1:7" x14ac:dyDescent="0.25">
      <c r="A1572">
        <v>11392</v>
      </c>
      <c r="B1572">
        <v>104</v>
      </c>
      <c r="C1572" s="1" t="str">
        <f>IF(Tabela8[[#This Row],[SETOR]]="","",IF(Tabela8[[#This Row],[SETOR]]&lt;200,"GV 10",IF(Tabela8[[#This Row],[SETOR]]&lt;300,"GV 20",IF(Tabela8[[#This Row],[SETOR]]&lt;400,"GV 30","S/GV"))))</f>
        <v>GV 10</v>
      </c>
      <c r="E1572" t="s">
        <v>123</v>
      </c>
      <c r="G1572" t="str">
        <f>_xlfn.CONCAT(Tabela9[[#This Row],[Coluna1]],Tabela9[[#This Row],[Coluna2]])</f>
        <v>20-Rota</v>
      </c>
    </row>
    <row r="1573" spans="1:7" x14ac:dyDescent="0.25">
      <c r="A1573">
        <v>11394</v>
      </c>
      <c r="B1573">
        <v>103</v>
      </c>
      <c r="C1573" s="1" t="str">
        <f>IF(Tabela8[[#This Row],[SETOR]]="","",IF(Tabela8[[#This Row],[SETOR]]&lt;200,"GV 10",IF(Tabela8[[#This Row],[SETOR]]&lt;300,"GV 20",IF(Tabela8[[#This Row],[SETOR]]&lt;400,"GV 30","S/GV"))))</f>
        <v>GV 10</v>
      </c>
      <c r="E1573" t="s">
        <v>123</v>
      </c>
      <c r="G1573" t="str">
        <f>_xlfn.CONCAT(Tabela9[[#This Row],[Coluna1]],Tabela9[[#This Row],[Coluna2]])</f>
        <v>20-Rota</v>
      </c>
    </row>
    <row r="1574" spans="1:7" x14ac:dyDescent="0.25">
      <c r="A1574">
        <v>11395</v>
      </c>
      <c r="B1574">
        <v>103</v>
      </c>
      <c r="C1574" s="1" t="str">
        <f>IF(Tabela8[[#This Row],[SETOR]]="","",IF(Tabela8[[#This Row],[SETOR]]&lt;200,"GV 10",IF(Tabela8[[#This Row],[SETOR]]&lt;300,"GV 20",IF(Tabela8[[#This Row],[SETOR]]&lt;400,"GV 30","S/GV"))))</f>
        <v>GV 10</v>
      </c>
      <c r="E1574" t="s">
        <v>123</v>
      </c>
      <c r="G1574" t="str">
        <f>_xlfn.CONCAT(Tabela9[[#This Row],[Coluna1]],Tabela9[[#This Row],[Coluna2]])</f>
        <v>20-Rota</v>
      </c>
    </row>
    <row r="1575" spans="1:7" x14ac:dyDescent="0.25">
      <c r="A1575">
        <v>11398</v>
      </c>
      <c r="B1575">
        <v>102</v>
      </c>
      <c r="C1575" s="1" t="str">
        <f>IF(Tabela8[[#This Row],[SETOR]]="","",IF(Tabela8[[#This Row],[SETOR]]&lt;200,"GV 10",IF(Tabela8[[#This Row],[SETOR]]&lt;300,"GV 20",IF(Tabela8[[#This Row],[SETOR]]&lt;400,"GV 30","S/GV"))))</f>
        <v>GV 10</v>
      </c>
      <c r="E1575" t="s">
        <v>123</v>
      </c>
      <c r="G1575" t="str">
        <f>_xlfn.CONCAT(Tabela9[[#This Row],[Coluna1]],Tabela9[[#This Row],[Coluna2]])</f>
        <v>20-Rota</v>
      </c>
    </row>
    <row r="1576" spans="1:7" x14ac:dyDescent="0.25">
      <c r="A1576">
        <v>11401</v>
      </c>
      <c r="B1576">
        <v>307</v>
      </c>
      <c r="C1576" s="1" t="str">
        <f>IF(Tabela8[[#This Row],[SETOR]]="","",IF(Tabela8[[#This Row],[SETOR]]&lt;200,"GV 10",IF(Tabela8[[#This Row],[SETOR]]&lt;300,"GV 20",IF(Tabela8[[#This Row],[SETOR]]&lt;400,"GV 30","S/GV"))))</f>
        <v>GV 30</v>
      </c>
      <c r="E1576" t="s">
        <v>130</v>
      </c>
      <c r="G1576" t="str">
        <f>_xlfn.CONCAT(Tabela9[[#This Row],[Coluna1]],Tabela9[[#This Row],[Coluna2]])</f>
        <v>21-SUB</v>
      </c>
    </row>
    <row r="1577" spans="1:7" x14ac:dyDescent="0.25">
      <c r="A1577">
        <v>11415</v>
      </c>
      <c r="B1577">
        <v>204</v>
      </c>
      <c r="C1577" s="1" t="str">
        <f>IF(Tabela8[[#This Row],[SETOR]]="","",IF(Tabela8[[#This Row],[SETOR]]&lt;200,"GV 10",IF(Tabela8[[#This Row],[SETOR]]&lt;300,"GV 20",IF(Tabela8[[#This Row],[SETOR]]&lt;400,"GV 30","S/GV"))))</f>
        <v>GV 20</v>
      </c>
      <c r="E1577" t="s">
        <v>123</v>
      </c>
      <c r="G1577" t="str">
        <f>_xlfn.CONCAT(Tabela9[[#This Row],[Coluna1]],Tabela9[[#This Row],[Coluna2]])</f>
        <v>20-Rota</v>
      </c>
    </row>
    <row r="1578" spans="1:7" x14ac:dyDescent="0.25">
      <c r="A1578">
        <v>11418</v>
      </c>
      <c r="B1578">
        <v>107</v>
      </c>
      <c r="C1578" s="1" t="str">
        <f>IF(Tabela8[[#This Row],[SETOR]]="","",IF(Tabela8[[#This Row],[SETOR]]&lt;200,"GV 10",IF(Tabela8[[#This Row],[SETOR]]&lt;300,"GV 20",IF(Tabela8[[#This Row],[SETOR]]&lt;400,"GV 30","S/GV"))))</f>
        <v>GV 10</v>
      </c>
      <c r="E1578" t="s">
        <v>125</v>
      </c>
      <c r="G1578" t="str">
        <f>_xlfn.CONCAT(Tabela9[[#This Row],[Coluna1]],Tabela9[[#This Row],[Coluna2]])</f>
        <v>18-TRAD</v>
      </c>
    </row>
    <row r="1579" spans="1:7" x14ac:dyDescent="0.25">
      <c r="A1579">
        <v>11419</v>
      </c>
      <c r="B1579">
        <v>201</v>
      </c>
      <c r="C1579" s="1" t="str">
        <f>IF(Tabela8[[#This Row],[SETOR]]="","",IF(Tabela8[[#This Row],[SETOR]]&lt;200,"GV 10",IF(Tabela8[[#This Row],[SETOR]]&lt;300,"GV 20",IF(Tabela8[[#This Row],[SETOR]]&lt;400,"GV 30","S/GV"))))</f>
        <v>GV 20</v>
      </c>
      <c r="E1579" t="s">
        <v>123</v>
      </c>
      <c r="G1579" t="str">
        <f>_xlfn.CONCAT(Tabela9[[#This Row],[Coluna1]],Tabela9[[#This Row],[Coluna2]])</f>
        <v>20-Rota</v>
      </c>
    </row>
    <row r="1580" spans="1:7" x14ac:dyDescent="0.25">
      <c r="A1580">
        <v>11420</v>
      </c>
      <c r="B1580">
        <v>107</v>
      </c>
      <c r="C1580" s="1" t="str">
        <f>IF(Tabela8[[#This Row],[SETOR]]="","",IF(Tabela8[[#This Row],[SETOR]]&lt;200,"GV 10",IF(Tabela8[[#This Row],[SETOR]]&lt;300,"GV 20",IF(Tabela8[[#This Row],[SETOR]]&lt;400,"GV 30","S/GV"))))</f>
        <v>GV 10</v>
      </c>
      <c r="E1580" t="s">
        <v>130</v>
      </c>
      <c r="G1580" t="str">
        <f>_xlfn.CONCAT(Tabela9[[#This Row],[Coluna1]],Tabela9[[#This Row],[Coluna2]])</f>
        <v>21-SUB</v>
      </c>
    </row>
    <row r="1581" spans="1:7" x14ac:dyDescent="0.25">
      <c r="A1581">
        <v>11423</v>
      </c>
      <c r="B1581">
        <v>305</v>
      </c>
      <c r="C1581" s="1" t="str">
        <f>IF(Tabela8[[#This Row],[SETOR]]="","",IF(Tabela8[[#This Row],[SETOR]]&lt;200,"GV 10",IF(Tabela8[[#This Row],[SETOR]]&lt;300,"GV 20",IF(Tabela8[[#This Row],[SETOR]]&lt;400,"GV 30","S/GV"))))</f>
        <v>GV 30</v>
      </c>
      <c r="E1581" t="s">
        <v>123</v>
      </c>
      <c r="G1581" t="str">
        <f>_xlfn.CONCAT(Tabela9[[#This Row],[Coluna1]],Tabela9[[#This Row],[Coluna2]])</f>
        <v>20-Rota</v>
      </c>
    </row>
    <row r="1582" spans="1:7" x14ac:dyDescent="0.25">
      <c r="A1582">
        <v>11425</v>
      </c>
      <c r="B1582">
        <v>303</v>
      </c>
      <c r="C1582" s="1" t="str">
        <f>IF(Tabela8[[#This Row],[SETOR]]="","",IF(Tabela8[[#This Row],[SETOR]]&lt;200,"GV 10",IF(Tabela8[[#This Row],[SETOR]]&lt;300,"GV 20",IF(Tabela8[[#This Row],[SETOR]]&lt;400,"GV 30","S/GV"))))</f>
        <v>GV 30</v>
      </c>
      <c r="E1582" t="s">
        <v>123</v>
      </c>
      <c r="G1582" t="str">
        <f>_xlfn.CONCAT(Tabela9[[#This Row],[Coluna1]],Tabela9[[#This Row],[Coluna2]])</f>
        <v>20-Rota</v>
      </c>
    </row>
    <row r="1583" spans="1:7" x14ac:dyDescent="0.25">
      <c r="A1583">
        <v>11427</v>
      </c>
      <c r="B1583">
        <v>304</v>
      </c>
      <c r="C1583" s="1" t="str">
        <f>IF(Tabela8[[#This Row],[SETOR]]="","",IF(Tabela8[[#This Row],[SETOR]]&lt;200,"GV 10",IF(Tabela8[[#This Row],[SETOR]]&lt;300,"GV 20",IF(Tabela8[[#This Row],[SETOR]]&lt;400,"GV 30","S/GV"))))</f>
        <v>GV 30</v>
      </c>
      <c r="E1583" t="s">
        <v>123</v>
      </c>
      <c r="G1583" t="str">
        <f>_xlfn.CONCAT(Tabela9[[#This Row],[Coluna1]],Tabela9[[#This Row],[Coluna2]])</f>
        <v>20-Rota</v>
      </c>
    </row>
    <row r="1584" spans="1:7" x14ac:dyDescent="0.25">
      <c r="A1584">
        <v>11433</v>
      </c>
      <c r="B1584">
        <v>302</v>
      </c>
      <c r="C1584" s="1" t="str">
        <f>IF(Tabela8[[#This Row],[SETOR]]="","",IF(Tabela8[[#This Row],[SETOR]]&lt;200,"GV 10",IF(Tabela8[[#This Row],[SETOR]]&lt;300,"GV 20",IF(Tabela8[[#This Row],[SETOR]]&lt;400,"GV 30","S/GV"))))</f>
        <v>GV 30</v>
      </c>
      <c r="E1584" t="s">
        <v>123</v>
      </c>
      <c r="G1584" t="str">
        <f>_xlfn.CONCAT(Tabela9[[#This Row],[Coluna1]],Tabela9[[#This Row],[Coluna2]])</f>
        <v>20-Rota</v>
      </c>
    </row>
    <row r="1585" spans="1:7" x14ac:dyDescent="0.25">
      <c r="A1585">
        <v>11434</v>
      </c>
      <c r="B1585">
        <v>302</v>
      </c>
      <c r="C1585" s="1" t="str">
        <f>IF(Tabela8[[#This Row],[SETOR]]="","",IF(Tabela8[[#This Row],[SETOR]]&lt;200,"GV 10",IF(Tabela8[[#This Row],[SETOR]]&lt;300,"GV 20",IF(Tabela8[[#This Row],[SETOR]]&lt;400,"GV 30","S/GV"))))</f>
        <v>GV 30</v>
      </c>
      <c r="E1585" t="s">
        <v>123</v>
      </c>
      <c r="G1585" t="str">
        <f>_xlfn.CONCAT(Tabela9[[#This Row],[Coluna1]],Tabela9[[#This Row],[Coluna2]])</f>
        <v>20-Rota</v>
      </c>
    </row>
    <row r="1586" spans="1:7" x14ac:dyDescent="0.25">
      <c r="A1586">
        <v>11435</v>
      </c>
      <c r="B1586">
        <v>305</v>
      </c>
      <c r="C1586" s="1" t="str">
        <f>IF(Tabela8[[#This Row],[SETOR]]="","",IF(Tabela8[[#This Row],[SETOR]]&lt;200,"GV 10",IF(Tabela8[[#This Row],[SETOR]]&lt;300,"GV 20",IF(Tabela8[[#This Row],[SETOR]]&lt;400,"GV 30","S/GV"))))</f>
        <v>GV 30</v>
      </c>
      <c r="E1586" t="s">
        <v>123</v>
      </c>
      <c r="G1586" t="str">
        <f>_xlfn.CONCAT(Tabela9[[#This Row],[Coluna1]],Tabela9[[#This Row],[Coluna2]])</f>
        <v>20-Rota</v>
      </c>
    </row>
    <row r="1587" spans="1:7" x14ac:dyDescent="0.25">
      <c r="A1587">
        <v>11444</v>
      </c>
      <c r="B1587">
        <v>207</v>
      </c>
      <c r="C1587" s="1" t="str">
        <f>IF(Tabela8[[#This Row],[SETOR]]="","",IF(Tabela8[[#This Row],[SETOR]]&lt;200,"GV 10",IF(Tabela8[[#This Row],[SETOR]]&lt;300,"GV 20",IF(Tabela8[[#This Row],[SETOR]]&lt;400,"GV 30","S/GV"))))</f>
        <v>GV 20</v>
      </c>
      <c r="E1587" t="s">
        <v>125</v>
      </c>
      <c r="G1587" t="str">
        <f>_xlfn.CONCAT(Tabela9[[#This Row],[Coluna1]],Tabela9[[#This Row],[Coluna2]])</f>
        <v>18-TRAD</v>
      </c>
    </row>
    <row r="1588" spans="1:7" x14ac:dyDescent="0.25">
      <c r="A1588">
        <v>11451</v>
      </c>
      <c r="B1588">
        <v>204</v>
      </c>
      <c r="C1588" s="1" t="str">
        <f>IF(Tabela8[[#This Row],[SETOR]]="","",IF(Tabela8[[#This Row],[SETOR]]&lt;200,"GV 10",IF(Tabela8[[#This Row],[SETOR]]&lt;300,"GV 20",IF(Tabela8[[#This Row],[SETOR]]&lt;400,"GV 30","S/GV"))))</f>
        <v>GV 20</v>
      </c>
      <c r="E1588" t="s">
        <v>123</v>
      </c>
      <c r="G1588" t="str">
        <f>_xlfn.CONCAT(Tabela9[[#This Row],[Coluna1]],Tabela9[[#This Row],[Coluna2]])</f>
        <v>20-Rota</v>
      </c>
    </row>
    <row r="1589" spans="1:7" x14ac:dyDescent="0.25">
      <c r="A1589">
        <v>11453</v>
      </c>
      <c r="B1589">
        <v>305</v>
      </c>
      <c r="C1589" s="1" t="str">
        <f>IF(Tabela8[[#This Row],[SETOR]]="","",IF(Tabela8[[#This Row],[SETOR]]&lt;200,"GV 10",IF(Tabela8[[#This Row],[SETOR]]&lt;300,"GV 20",IF(Tabela8[[#This Row],[SETOR]]&lt;400,"GV 30","S/GV"))))</f>
        <v>GV 30</v>
      </c>
      <c r="E1589" t="s">
        <v>123</v>
      </c>
      <c r="G1589" t="str">
        <f>_xlfn.CONCAT(Tabela9[[#This Row],[Coluna1]],Tabela9[[#This Row],[Coluna2]])</f>
        <v>20-Rota</v>
      </c>
    </row>
    <row r="1590" spans="1:7" x14ac:dyDescent="0.25">
      <c r="A1590">
        <v>11455</v>
      </c>
      <c r="B1590">
        <v>916</v>
      </c>
      <c r="C1590" s="1" t="str">
        <f>IF(Tabela8[[#This Row],[SETOR]]="","",IF(Tabela8[[#This Row],[SETOR]]&lt;200,"GV 10",IF(Tabela8[[#This Row],[SETOR]]&lt;300,"GV 20",IF(Tabela8[[#This Row],[SETOR]]&lt;400,"GV 30","S/GV"))))</f>
        <v>S/GV</v>
      </c>
      <c r="G1590" t="str">
        <f>_xlfn.CONCAT(Tabela9[[#This Row],[Coluna1]],Tabela9[[#This Row],[Coluna2]])</f>
        <v/>
      </c>
    </row>
    <row r="1591" spans="1:7" x14ac:dyDescent="0.25">
      <c r="A1591">
        <v>11456</v>
      </c>
      <c r="B1591">
        <v>109</v>
      </c>
      <c r="C1591" s="1" t="str">
        <f>IF(Tabela8[[#This Row],[SETOR]]="","",IF(Tabela8[[#This Row],[SETOR]]&lt;200,"GV 10",IF(Tabela8[[#This Row],[SETOR]]&lt;300,"GV 20",IF(Tabela8[[#This Row],[SETOR]]&lt;400,"GV 30","S/GV"))))</f>
        <v>GV 10</v>
      </c>
      <c r="E1591" t="s">
        <v>123</v>
      </c>
      <c r="G1591" t="str">
        <f>_xlfn.CONCAT(Tabela9[[#This Row],[Coluna1]],Tabela9[[#This Row],[Coluna2]])</f>
        <v>20-Rota</v>
      </c>
    </row>
    <row r="1592" spans="1:7" x14ac:dyDescent="0.25">
      <c r="A1592">
        <v>11461</v>
      </c>
      <c r="B1592">
        <v>106</v>
      </c>
      <c r="C1592" s="1" t="str">
        <f>IF(Tabela8[[#This Row],[SETOR]]="","",IF(Tabela8[[#This Row],[SETOR]]&lt;200,"GV 10",IF(Tabela8[[#This Row],[SETOR]]&lt;300,"GV 20",IF(Tabela8[[#This Row],[SETOR]]&lt;400,"GV 30","S/GV"))))</f>
        <v>GV 10</v>
      </c>
      <c r="E1592" t="s">
        <v>125</v>
      </c>
      <c r="G1592" t="str">
        <f>_xlfn.CONCAT(Tabela9[[#This Row],[Coluna1]],Tabela9[[#This Row],[Coluna2]])</f>
        <v>18-TRAD</v>
      </c>
    </row>
    <row r="1593" spans="1:7" x14ac:dyDescent="0.25">
      <c r="A1593">
        <v>11464</v>
      </c>
      <c r="B1593">
        <v>207</v>
      </c>
      <c r="C1593" s="1" t="str">
        <f>IF(Tabela8[[#This Row],[SETOR]]="","",IF(Tabela8[[#This Row],[SETOR]]&lt;200,"GV 10",IF(Tabela8[[#This Row],[SETOR]]&lt;300,"GV 20",IF(Tabela8[[#This Row],[SETOR]]&lt;400,"GV 30","S/GV"))))</f>
        <v>GV 20</v>
      </c>
      <c r="E1593" t="s">
        <v>130</v>
      </c>
      <c r="G1593" t="str">
        <f>_xlfn.CONCAT(Tabela9[[#This Row],[Coluna1]],Tabela9[[#This Row],[Coluna2]])</f>
        <v>21-SUB</v>
      </c>
    </row>
    <row r="1594" spans="1:7" x14ac:dyDescent="0.25">
      <c r="A1594">
        <v>11468</v>
      </c>
      <c r="B1594">
        <v>106</v>
      </c>
      <c r="C1594" s="1" t="str">
        <f>IF(Tabela8[[#This Row],[SETOR]]="","",IF(Tabela8[[#This Row],[SETOR]]&lt;200,"GV 10",IF(Tabela8[[#This Row],[SETOR]]&lt;300,"GV 20",IF(Tabela8[[#This Row],[SETOR]]&lt;400,"GV 30","S/GV"))))</f>
        <v>GV 10</v>
      </c>
      <c r="E1594" t="s">
        <v>125</v>
      </c>
      <c r="G1594" t="str">
        <f>_xlfn.CONCAT(Tabela9[[#This Row],[Coluna1]],Tabela9[[#This Row],[Coluna2]])</f>
        <v>18-TRAD</v>
      </c>
    </row>
    <row r="1595" spans="1:7" x14ac:dyDescent="0.25">
      <c r="A1595">
        <v>11469</v>
      </c>
      <c r="B1595">
        <v>106</v>
      </c>
      <c r="C1595" s="1" t="str">
        <f>IF(Tabela8[[#This Row],[SETOR]]="","",IF(Tabela8[[#This Row],[SETOR]]&lt;200,"GV 10",IF(Tabela8[[#This Row],[SETOR]]&lt;300,"GV 20",IF(Tabela8[[#This Row],[SETOR]]&lt;400,"GV 30","S/GV"))))</f>
        <v>GV 10</v>
      </c>
      <c r="E1595" t="s">
        <v>123</v>
      </c>
      <c r="G1595" t="str">
        <f>_xlfn.CONCAT(Tabela9[[#This Row],[Coluna1]],Tabela9[[#This Row],[Coluna2]])</f>
        <v>20-Rota</v>
      </c>
    </row>
    <row r="1596" spans="1:7" x14ac:dyDescent="0.25">
      <c r="A1596">
        <v>11471</v>
      </c>
      <c r="B1596">
        <v>106</v>
      </c>
      <c r="C1596" s="1" t="str">
        <f>IF(Tabela8[[#This Row],[SETOR]]="","",IF(Tabela8[[#This Row],[SETOR]]&lt;200,"GV 10",IF(Tabela8[[#This Row],[SETOR]]&lt;300,"GV 20",IF(Tabela8[[#This Row],[SETOR]]&lt;400,"GV 30","S/GV"))))</f>
        <v>GV 10</v>
      </c>
      <c r="E1596" t="s">
        <v>123</v>
      </c>
      <c r="G1596" t="str">
        <f>_xlfn.CONCAT(Tabela9[[#This Row],[Coluna1]],Tabela9[[#This Row],[Coluna2]])</f>
        <v>20-Rota</v>
      </c>
    </row>
    <row r="1597" spans="1:7" x14ac:dyDescent="0.25">
      <c r="A1597">
        <v>11494</v>
      </c>
      <c r="B1597">
        <v>107</v>
      </c>
      <c r="C1597" s="1" t="str">
        <f>IF(Tabela8[[#This Row],[SETOR]]="","",IF(Tabela8[[#This Row],[SETOR]]&lt;200,"GV 10",IF(Tabela8[[#This Row],[SETOR]]&lt;300,"GV 20",IF(Tabela8[[#This Row],[SETOR]]&lt;400,"GV 30","S/GV"))))</f>
        <v>GV 10</v>
      </c>
      <c r="E1597" t="s">
        <v>130</v>
      </c>
      <c r="G1597" t="str">
        <f>_xlfn.CONCAT(Tabela9[[#This Row],[Coluna1]],Tabela9[[#This Row],[Coluna2]])</f>
        <v>21-SUB</v>
      </c>
    </row>
    <row r="1598" spans="1:7" x14ac:dyDescent="0.25">
      <c r="A1598">
        <v>11505</v>
      </c>
      <c r="B1598">
        <v>303</v>
      </c>
      <c r="C1598" s="1" t="str">
        <f>IF(Tabela8[[#This Row],[SETOR]]="","",IF(Tabela8[[#This Row],[SETOR]]&lt;200,"GV 10",IF(Tabela8[[#This Row],[SETOR]]&lt;300,"GV 20",IF(Tabela8[[#This Row],[SETOR]]&lt;400,"GV 30","S/GV"))))</f>
        <v>GV 30</v>
      </c>
      <c r="E1598" t="s">
        <v>123</v>
      </c>
      <c r="G1598" t="str">
        <f>_xlfn.CONCAT(Tabela9[[#This Row],[Coluna1]],Tabela9[[#This Row],[Coluna2]])</f>
        <v>20-Rota</v>
      </c>
    </row>
    <row r="1599" spans="1:7" x14ac:dyDescent="0.25">
      <c r="A1599">
        <v>11507</v>
      </c>
      <c r="B1599">
        <v>206</v>
      </c>
      <c r="C1599" s="1" t="str">
        <f>IF(Tabela8[[#This Row],[SETOR]]="","",IF(Tabela8[[#This Row],[SETOR]]&lt;200,"GV 10",IF(Tabela8[[#This Row],[SETOR]]&lt;300,"GV 20",IF(Tabela8[[#This Row],[SETOR]]&lt;400,"GV 30","S/GV"))))</f>
        <v>GV 20</v>
      </c>
      <c r="E1599" t="s">
        <v>123</v>
      </c>
      <c r="G1599" t="str">
        <f>_xlfn.CONCAT(Tabela9[[#This Row],[Coluna1]],Tabela9[[#This Row],[Coluna2]])</f>
        <v>20-Rota</v>
      </c>
    </row>
    <row r="1600" spans="1:7" x14ac:dyDescent="0.25">
      <c r="A1600">
        <v>11508</v>
      </c>
      <c r="B1600">
        <v>303</v>
      </c>
      <c r="C1600" s="1" t="str">
        <f>IF(Tabela8[[#This Row],[SETOR]]="","",IF(Tabela8[[#This Row],[SETOR]]&lt;200,"GV 10",IF(Tabela8[[#This Row],[SETOR]]&lt;300,"GV 20",IF(Tabela8[[#This Row],[SETOR]]&lt;400,"GV 30","S/GV"))))</f>
        <v>GV 30</v>
      </c>
      <c r="E1600" t="s">
        <v>123</v>
      </c>
      <c r="G1600" t="str">
        <f>_xlfn.CONCAT(Tabela9[[#This Row],[Coluna1]],Tabela9[[#This Row],[Coluna2]])</f>
        <v>20-Rota</v>
      </c>
    </row>
    <row r="1601" spans="1:7" x14ac:dyDescent="0.25">
      <c r="A1601">
        <v>11509</v>
      </c>
      <c r="B1601">
        <v>303</v>
      </c>
      <c r="C1601" s="1" t="str">
        <f>IF(Tabela8[[#This Row],[SETOR]]="","",IF(Tabela8[[#This Row],[SETOR]]&lt;200,"GV 10",IF(Tabela8[[#This Row],[SETOR]]&lt;300,"GV 20",IF(Tabela8[[#This Row],[SETOR]]&lt;400,"GV 30","S/GV"))))</f>
        <v>GV 30</v>
      </c>
      <c r="E1601" t="s">
        <v>123</v>
      </c>
      <c r="G1601" t="str">
        <f>_xlfn.CONCAT(Tabela9[[#This Row],[Coluna1]],Tabela9[[#This Row],[Coluna2]])</f>
        <v>20-Rota</v>
      </c>
    </row>
    <row r="1602" spans="1:7" x14ac:dyDescent="0.25">
      <c r="A1602">
        <v>11522</v>
      </c>
      <c r="B1602">
        <v>305</v>
      </c>
      <c r="C1602" s="1" t="str">
        <f>IF(Tabela8[[#This Row],[SETOR]]="","",IF(Tabela8[[#This Row],[SETOR]]&lt;200,"GV 10",IF(Tabela8[[#This Row],[SETOR]]&lt;300,"GV 20",IF(Tabela8[[#This Row],[SETOR]]&lt;400,"GV 30","S/GV"))))</f>
        <v>GV 30</v>
      </c>
      <c r="E1602" t="s">
        <v>123</v>
      </c>
      <c r="G1602" t="str">
        <f>_xlfn.CONCAT(Tabela9[[#This Row],[Coluna1]],Tabela9[[#This Row],[Coluna2]])</f>
        <v>20-Rota</v>
      </c>
    </row>
    <row r="1603" spans="1:7" x14ac:dyDescent="0.25">
      <c r="A1603">
        <v>11525</v>
      </c>
      <c r="B1603">
        <v>305</v>
      </c>
      <c r="C1603" s="1" t="str">
        <f>IF(Tabela8[[#This Row],[SETOR]]="","",IF(Tabela8[[#This Row],[SETOR]]&lt;200,"GV 10",IF(Tabela8[[#This Row],[SETOR]]&lt;300,"GV 20",IF(Tabela8[[#This Row],[SETOR]]&lt;400,"GV 30","S/GV"))))</f>
        <v>GV 30</v>
      </c>
      <c r="E1603" t="s">
        <v>123</v>
      </c>
      <c r="G1603" t="str">
        <f>_xlfn.CONCAT(Tabela9[[#This Row],[Coluna1]],Tabela9[[#This Row],[Coluna2]])</f>
        <v>20-Rota</v>
      </c>
    </row>
    <row r="1604" spans="1:7" x14ac:dyDescent="0.25">
      <c r="A1604">
        <v>11532</v>
      </c>
      <c r="B1604">
        <v>302</v>
      </c>
      <c r="C1604" s="1" t="str">
        <f>IF(Tabela8[[#This Row],[SETOR]]="","",IF(Tabela8[[#This Row],[SETOR]]&lt;200,"GV 10",IF(Tabela8[[#This Row],[SETOR]]&lt;300,"GV 20",IF(Tabela8[[#This Row],[SETOR]]&lt;400,"GV 30","S/GV"))))</f>
        <v>GV 30</v>
      </c>
      <c r="E1604" t="s">
        <v>123</v>
      </c>
      <c r="G1604" t="str">
        <f>_xlfn.CONCAT(Tabela9[[#This Row],[Coluna1]],Tabela9[[#This Row],[Coluna2]])</f>
        <v>20-Rota</v>
      </c>
    </row>
    <row r="1605" spans="1:7" x14ac:dyDescent="0.25">
      <c r="A1605">
        <v>11533</v>
      </c>
      <c r="B1605">
        <v>301</v>
      </c>
      <c r="C1605" s="1" t="str">
        <f>IF(Tabela8[[#This Row],[SETOR]]="","",IF(Tabela8[[#This Row],[SETOR]]&lt;200,"GV 10",IF(Tabela8[[#This Row],[SETOR]]&lt;300,"GV 20",IF(Tabela8[[#This Row],[SETOR]]&lt;400,"GV 30","S/GV"))))</f>
        <v>GV 30</v>
      </c>
      <c r="E1605" t="s">
        <v>123</v>
      </c>
      <c r="G1605" t="str">
        <f>_xlfn.CONCAT(Tabela9[[#This Row],[Coluna1]],Tabela9[[#This Row],[Coluna2]])</f>
        <v>20-Rota</v>
      </c>
    </row>
    <row r="1606" spans="1:7" x14ac:dyDescent="0.25">
      <c r="A1606">
        <v>11535</v>
      </c>
      <c r="B1606">
        <v>306</v>
      </c>
      <c r="C1606" s="1" t="str">
        <f>IF(Tabela8[[#This Row],[SETOR]]="","",IF(Tabela8[[#This Row],[SETOR]]&lt;200,"GV 10",IF(Tabela8[[#This Row],[SETOR]]&lt;300,"GV 20",IF(Tabela8[[#This Row],[SETOR]]&lt;400,"GV 30","S/GV"))))</f>
        <v>GV 30</v>
      </c>
      <c r="E1606" t="s">
        <v>125</v>
      </c>
      <c r="G1606" t="str">
        <f>_xlfn.CONCAT(Tabela9[[#This Row],[Coluna1]],Tabela9[[#This Row],[Coluna2]])</f>
        <v>18-TRAD</v>
      </c>
    </row>
    <row r="1607" spans="1:7" x14ac:dyDescent="0.25">
      <c r="A1607">
        <v>11541</v>
      </c>
      <c r="B1607">
        <v>109</v>
      </c>
      <c r="C1607" s="1" t="str">
        <f>IF(Tabela8[[#This Row],[SETOR]]="","",IF(Tabela8[[#This Row],[SETOR]]&lt;200,"GV 10",IF(Tabela8[[#This Row],[SETOR]]&lt;300,"GV 20",IF(Tabela8[[#This Row],[SETOR]]&lt;400,"GV 30","S/GV"))))</f>
        <v>GV 10</v>
      </c>
      <c r="E1607" t="s">
        <v>123</v>
      </c>
      <c r="G1607" t="str">
        <f>_xlfn.CONCAT(Tabela9[[#This Row],[Coluna1]],Tabela9[[#This Row],[Coluna2]])</f>
        <v>20-Rota</v>
      </c>
    </row>
    <row r="1608" spans="1:7" x14ac:dyDescent="0.25">
      <c r="A1608">
        <v>11549</v>
      </c>
      <c r="B1608">
        <v>104</v>
      </c>
      <c r="C1608" s="1" t="str">
        <f>IF(Tabela8[[#This Row],[SETOR]]="","",IF(Tabela8[[#This Row],[SETOR]]&lt;200,"GV 10",IF(Tabela8[[#This Row],[SETOR]]&lt;300,"GV 20",IF(Tabela8[[#This Row],[SETOR]]&lt;400,"GV 30","S/GV"))))</f>
        <v>GV 10</v>
      </c>
      <c r="E1608" t="s">
        <v>123</v>
      </c>
      <c r="G1608" t="str">
        <f>_xlfn.CONCAT(Tabela9[[#This Row],[Coluna1]],Tabela9[[#This Row],[Coluna2]])</f>
        <v>20-Rota</v>
      </c>
    </row>
    <row r="1609" spans="1:7" x14ac:dyDescent="0.25">
      <c r="A1609">
        <v>11550</v>
      </c>
      <c r="B1609">
        <v>303</v>
      </c>
      <c r="C1609" s="1" t="str">
        <f>IF(Tabela8[[#This Row],[SETOR]]="","",IF(Tabela8[[#This Row],[SETOR]]&lt;200,"GV 10",IF(Tabela8[[#This Row],[SETOR]]&lt;300,"GV 20",IF(Tabela8[[#This Row],[SETOR]]&lt;400,"GV 30","S/GV"))))</f>
        <v>GV 30</v>
      </c>
      <c r="E1609" t="s">
        <v>123</v>
      </c>
      <c r="G1609" t="str">
        <f>_xlfn.CONCAT(Tabela9[[#This Row],[Coluna1]],Tabela9[[#This Row],[Coluna2]])</f>
        <v>20-Rota</v>
      </c>
    </row>
    <row r="1610" spans="1:7" x14ac:dyDescent="0.25">
      <c r="A1610">
        <v>11554</v>
      </c>
      <c r="B1610">
        <v>103</v>
      </c>
      <c r="C1610" s="1" t="str">
        <f>IF(Tabela8[[#This Row],[SETOR]]="","",IF(Tabela8[[#This Row],[SETOR]]&lt;200,"GV 10",IF(Tabela8[[#This Row],[SETOR]]&lt;300,"GV 20",IF(Tabela8[[#This Row],[SETOR]]&lt;400,"GV 30","S/GV"))))</f>
        <v>GV 10</v>
      </c>
      <c r="E1610" t="s">
        <v>123</v>
      </c>
      <c r="G1610" t="str">
        <f>_xlfn.CONCAT(Tabela9[[#This Row],[Coluna1]],Tabela9[[#This Row],[Coluna2]])</f>
        <v>20-Rota</v>
      </c>
    </row>
    <row r="1611" spans="1:7" x14ac:dyDescent="0.25">
      <c r="A1611">
        <v>11558</v>
      </c>
      <c r="B1611">
        <v>301</v>
      </c>
      <c r="C1611" s="1" t="str">
        <f>IF(Tabela8[[#This Row],[SETOR]]="","",IF(Tabela8[[#This Row],[SETOR]]&lt;200,"GV 10",IF(Tabela8[[#This Row],[SETOR]]&lt;300,"GV 20",IF(Tabela8[[#This Row],[SETOR]]&lt;400,"GV 30","S/GV"))))</f>
        <v>GV 30</v>
      </c>
      <c r="E1611" t="s">
        <v>123</v>
      </c>
      <c r="G1611" t="str">
        <f>_xlfn.CONCAT(Tabela9[[#This Row],[Coluna1]],Tabela9[[#This Row],[Coluna2]])</f>
        <v>20-Rota</v>
      </c>
    </row>
    <row r="1612" spans="1:7" x14ac:dyDescent="0.25">
      <c r="A1612">
        <v>11559</v>
      </c>
      <c r="B1612">
        <v>101</v>
      </c>
      <c r="C1612" s="1" t="str">
        <f>IF(Tabela8[[#This Row],[SETOR]]="","",IF(Tabela8[[#This Row],[SETOR]]&lt;200,"GV 10",IF(Tabela8[[#This Row],[SETOR]]&lt;300,"GV 20",IF(Tabela8[[#This Row],[SETOR]]&lt;400,"GV 30","S/GV"))))</f>
        <v>GV 10</v>
      </c>
      <c r="E1612" t="s">
        <v>123</v>
      </c>
      <c r="G1612" t="str">
        <f>_xlfn.CONCAT(Tabela9[[#This Row],[Coluna1]],Tabela9[[#This Row],[Coluna2]])</f>
        <v>20-Rota</v>
      </c>
    </row>
    <row r="1613" spans="1:7" x14ac:dyDescent="0.25">
      <c r="A1613">
        <v>11565</v>
      </c>
      <c r="B1613">
        <v>302</v>
      </c>
      <c r="C1613" s="1" t="str">
        <f>IF(Tabela8[[#This Row],[SETOR]]="","",IF(Tabela8[[#This Row],[SETOR]]&lt;200,"GV 10",IF(Tabela8[[#This Row],[SETOR]]&lt;300,"GV 20",IF(Tabela8[[#This Row],[SETOR]]&lt;400,"GV 30","S/GV"))))</f>
        <v>GV 30</v>
      </c>
      <c r="E1613" t="s">
        <v>123</v>
      </c>
      <c r="G1613" t="str">
        <f>_xlfn.CONCAT(Tabela9[[#This Row],[Coluna1]],Tabela9[[#This Row],[Coluna2]])</f>
        <v>20-Rota</v>
      </c>
    </row>
    <row r="1614" spans="1:7" x14ac:dyDescent="0.25">
      <c r="A1614">
        <v>11566</v>
      </c>
      <c r="B1614">
        <v>303</v>
      </c>
      <c r="C1614" s="1" t="str">
        <f>IF(Tabela8[[#This Row],[SETOR]]="","",IF(Tabela8[[#This Row],[SETOR]]&lt;200,"GV 10",IF(Tabela8[[#This Row],[SETOR]]&lt;300,"GV 20",IF(Tabela8[[#This Row],[SETOR]]&lt;400,"GV 30","S/GV"))))</f>
        <v>GV 30</v>
      </c>
      <c r="E1614" t="s">
        <v>123</v>
      </c>
      <c r="G1614" t="str">
        <f>_xlfn.CONCAT(Tabela9[[#This Row],[Coluna1]],Tabela9[[#This Row],[Coluna2]])</f>
        <v>20-Rota</v>
      </c>
    </row>
    <row r="1615" spans="1:7" x14ac:dyDescent="0.25">
      <c r="A1615">
        <v>11567</v>
      </c>
      <c r="B1615">
        <v>306</v>
      </c>
      <c r="C1615" s="1" t="str">
        <f>IF(Tabela8[[#This Row],[SETOR]]="","",IF(Tabela8[[#This Row],[SETOR]]&lt;200,"GV 10",IF(Tabela8[[#This Row],[SETOR]]&lt;300,"GV 20",IF(Tabela8[[#This Row],[SETOR]]&lt;400,"GV 30","S/GV"))))</f>
        <v>GV 30</v>
      </c>
      <c r="E1615" t="s">
        <v>125</v>
      </c>
      <c r="G1615" t="str">
        <f>_xlfn.CONCAT(Tabela9[[#This Row],[Coluna1]],Tabela9[[#This Row],[Coluna2]])</f>
        <v>18-TRAD</v>
      </c>
    </row>
    <row r="1616" spans="1:7" x14ac:dyDescent="0.25">
      <c r="A1616">
        <v>11568</v>
      </c>
      <c r="B1616">
        <v>305</v>
      </c>
      <c r="C1616" s="1" t="str">
        <f>IF(Tabela8[[#This Row],[SETOR]]="","",IF(Tabela8[[#This Row],[SETOR]]&lt;200,"GV 10",IF(Tabela8[[#This Row],[SETOR]]&lt;300,"GV 20",IF(Tabela8[[#This Row],[SETOR]]&lt;400,"GV 30","S/GV"))))</f>
        <v>GV 30</v>
      </c>
      <c r="E1616" t="s">
        <v>123</v>
      </c>
      <c r="G1616" t="str">
        <f>_xlfn.CONCAT(Tabela9[[#This Row],[Coluna1]],Tabela9[[#This Row],[Coluna2]])</f>
        <v>20-Rota</v>
      </c>
    </row>
    <row r="1617" spans="1:7" x14ac:dyDescent="0.25">
      <c r="A1617">
        <v>11569</v>
      </c>
      <c r="B1617">
        <v>301</v>
      </c>
      <c r="C1617" s="1" t="str">
        <f>IF(Tabela8[[#This Row],[SETOR]]="","",IF(Tabela8[[#This Row],[SETOR]]&lt;200,"GV 10",IF(Tabela8[[#This Row],[SETOR]]&lt;300,"GV 20",IF(Tabela8[[#This Row],[SETOR]]&lt;400,"GV 30","S/GV"))))</f>
        <v>GV 30</v>
      </c>
      <c r="E1617" t="s">
        <v>123</v>
      </c>
      <c r="G1617" t="str">
        <f>_xlfn.CONCAT(Tabela9[[#This Row],[Coluna1]],Tabela9[[#This Row],[Coluna2]])</f>
        <v>20-Rota</v>
      </c>
    </row>
    <row r="1618" spans="1:7" x14ac:dyDescent="0.25">
      <c r="A1618">
        <v>11577</v>
      </c>
      <c r="B1618">
        <v>302</v>
      </c>
      <c r="C1618" s="1" t="str">
        <f>IF(Tabela8[[#This Row],[SETOR]]="","",IF(Tabela8[[#This Row],[SETOR]]&lt;200,"GV 10",IF(Tabela8[[#This Row],[SETOR]]&lt;300,"GV 20",IF(Tabela8[[#This Row],[SETOR]]&lt;400,"GV 30","S/GV"))))</f>
        <v>GV 30</v>
      </c>
      <c r="E1618" t="s">
        <v>123</v>
      </c>
      <c r="G1618" t="str">
        <f>_xlfn.CONCAT(Tabela9[[#This Row],[Coluna1]],Tabela9[[#This Row],[Coluna2]])</f>
        <v>20-Rota</v>
      </c>
    </row>
    <row r="1619" spans="1:7" x14ac:dyDescent="0.25">
      <c r="A1619">
        <v>11579</v>
      </c>
      <c r="B1619">
        <v>307</v>
      </c>
      <c r="C1619" s="1" t="str">
        <f>IF(Tabela8[[#This Row],[SETOR]]="","",IF(Tabela8[[#This Row],[SETOR]]&lt;200,"GV 10",IF(Tabela8[[#This Row],[SETOR]]&lt;300,"GV 20",IF(Tabela8[[#This Row],[SETOR]]&lt;400,"GV 30","S/GV"))))</f>
        <v>GV 30</v>
      </c>
      <c r="E1619" t="s">
        <v>128</v>
      </c>
      <c r="F1619" t="s">
        <v>129</v>
      </c>
      <c r="G1619" t="str">
        <f>_xlfn.CONCAT(Tabela9[[#This Row],[Coluna1]],Tabela9[[#This Row],[Coluna2]])</f>
        <v>15-AS(1-4)</v>
      </c>
    </row>
    <row r="1620" spans="1:7" x14ac:dyDescent="0.25">
      <c r="A1620">
        <v>11588</v>
      </c>
      <c r="B1620">
        <v>301</v>
      </c>
      <c r="C1620" s="1" t="str">
        <f>IF(Tabela8[[#This Row],[SETOR]]="","",IF(Tabela8[[#This Row],[SETOR]]&lt;200,"GV 10",IF(Tabela8[[#This Row],[SETOR]]&lt;300,"GV 20",IF(Tabela8[[#This Row],[SETOR]]&lt;400,"GV 30","S/GV"))))</f>
        <v>GV 30</v>
      </c>
      <c r="E1620" t="s">
        <v>123</v>
      </c>
      <c r="G1620" t="str">
        <f>_xlfn.CONCAT(Tabela9[[#This Row],[Coluna1]],Tabela9[[#This Row],[Coluna2]])</f>
        <v>20-Rota</v>
      </c>
    </row>
    <row r="1621" spans="1:7" x14ac:dyDescent="0.25">
      <c r="A1621">
        <v>11591</v>
      </c>
      <c r="B1621">
        <v>907</v>
      </c>
      <c r="C1621" s="1" t="str">
        <f>IF(Tabela8[[#This Row],[SETOR]]="","",IF(Tabela8[[#This Row],[SETOR]]&lt;200,"GV 10",IF(Tabela8[[#This Row],[SETOR]]&lt;300,"GV 20",IF(Tabela8[[#This Row],[SETOR]]&lt;400,"GV 30","S/GV"))))</f>
        <v>S/GV</v>
      </c>
      <c r="G1621" t="str">
        <f>_xlfn.CONCAT(Tabela9[[#This Row],[Coluna1]],Tabela9[[#This Row],[Coluna2]])</f>
        <v/>
      </c>
    </row>
    <row r="1622" spans="1:7" x14ac:dyDescent="0.25">
      <c r="A1622">
        <v>11602</v>
      </c>
      <c r="B1622">
        <v>109</v>
      </c>
      <c r="C1622" s="1" t="str">
        <f>IF(Tabela8[[#This Row],[SETOR]]="","",IF(Tabela8[[#This Row],[SETOR]]&lt;200,"GV 10",IF(Tabela8[[#This Row],[SETOR]]&lt;300,"GV 20",IF(Tabela8[[#This Row],[SETOR]]&lt;400,"GV 30","S/GV"))))</f>
        <v>GV 10</v>
      </c>
      <c r="E1622" t="s">
        <v>123</v>
      </c>
      <c r="G1622" t="str">
        <f>_xlfn.CONCAT(Tabela9[[#This Row],[Coluna1]],Tabela9[[#This Row],[Coluna2]])</f>
        <v>20-Rota</v>
      </c>
    </row>
    <row r="1623" spans="1:7" x14ac:dyDescent="0.25">
      <c r="A1623">
        <v>11603</v>
      </c>
      <c r="B1623">
        <v>202</v>
      </c>
      <c r="C1623" s="1" t="str">
        <f>IF(Tabela8[[#This Row],[SETOR]]="","",IF(Tabela8[[#This Row],[SETOR]]&lt;200,"GV 10",IF(Tabela8[[#This Row],[SETOR]]&lt;300,"GV 20",IF(Tabela8[[#This Row],[SETOR]]&lt;400,"GV 30","S/GV"))))</f>
        <v>GV 20</v>
      </c>
      <c r="E1623" t="s">
        <v>123</v>
      </c>
      <c r="G1623" t="str">
        <f>_xlfn.CONCAT(Tabela9[[#This Row],[Coluna1]],Tabela9[[#This Row],[Coluna2]])</f>
        <v>20-Rota</v>
      </c>
    </row>
    <row r="1624" spans="1:7" x14ac:dyDescent="0.25">
      <c r="A1624">
        <v>11607</v>
      </c>
      <c r="B1624">
        <v>108</v>
      </c>
      <c r="C1624" s="1" t="str">
        <f>IF(Tabela8[[#This Row],[SETOR]]="","",IF(Tabela8[[#This Row],[SETOR]]&lt;200,"GV 10",IF(Tabela8[[#This Row],[SETOR]]&lt;300,"GV 20",IF(Tabela8[[#This Row],[SETOR]]&lt;400,"GV 30","S/GV"))))</f>
        <v>GV 10</v>
      </c>
      <c r="E1624" t="s">
        <v>128</v>
      </c>
      <c r="F1624" t="s">
        <v>129</v>
      </c>
      <c r="G1624" t="str">
        <f>_xlfn.CONCAT(Tabela9[[#This Row],[Coluna1]],Tabela9[[#This Row],[Coluna2]])</f>
        <v>15-AS(1-4)</v>
      </c>
    </row>
    <row r="1625" spans="1:7" x14ac:dyDescent="0.25">
      <c r="A1625">
        <v>11608</v>
      </c>
      <c r="B1625">
        <v>103</v>
      </c>
      <c r="C1625" s="1" t="str">
        <f>IF(Tabela8[[#This Row],[SETOR]]="","",IF(Tabela8[[#This Row],[SETOR]]&lt;200,"GV 10",IF(Tabela8[[#This Row],[SETOR]]&lt;300,"GV 20",IF(Tabela8[[#This Row],[SETOR]]&lt;400,"GV 30","S/GV"))))</f>
        <v>GV 10</v>
      </c>
      <c r="E1625" t="s">
        <v>123</v>
      </c>
      <c r="G1625" t="str">
        <f>_xlfn.CONCAT(Tabela9[[#This Row],[Coluna1]],Tabela9[[#This Row],[Coluna2]])</f>
        <v>20-Rota</v>
      </c>
    </row>
    <row r="1626" spans="1:7" x14ac:dyDescent="0.25">
      <c r="A1626">
        <v>11612</v>
      </c>
      <c r="B1626">
        <v>202</v>
      </c>
      <c r="C1626" s="1" t="str">
        <f>IF(Tabela8[[#This Row],[SETOR]]="","",IF(Tabela8[[#This Row],[SETOR]]&lt;200,"GV 10",IF(Tabela8[[#This Row],[SETOR]]&lt;300,"GV 20",IF(Tabela8[[#This Row],[SETOR]]&lt;400,"GV 30","S/GV"))))</f>
        <v>GV 20</v>
      </c>
      <c r="E1626" t="s">
        <v>123</v>
      </c>
      <c r="G1626" t="str">
        <f>_xlfn.CONCAT(Tabela9[[#This Row],[Coluna1]],Tabela9[[#This Row],[Coluna2]])</f>
        <v>20-Rota</v>
      </c>
    </row>
    <row r="1627" spans="1:7" x14ac:dyDescent="0.25">
      <c r="A1627">
        <v>11614</v>
      </c>
      <c r="B1627">
        <v>306</v>
      </c>
      <c r="C1627" s="1" t="str">
        <f>IF(Tabela8[[#This Row],[SETOR]]="","",IF(Tabela8[[#This Row],[SETOR]]&lt;200,"GV 10",IF(Tabela8[[#This Row],[SETOR]]&lt;300,"GV 20",IF(Tabela8[[#This Row],[SETOR]]&lt;400,"GV 30","S/GV"))))</f>
        <v>GV 30</v>
      </c>
      <c r="E1627" t="s">
        <v>128</v>
      </c>
      <c r="F1627" t="s">
        <v>129</v>
      </c>
      <c r="G1627" t="str">
        <f>_xlfn.CONCAT(Tabela9[[#This Row],[Coluna1]],Tabela9[[#This Row],[Coluna2]])</f>
        <v>15-AS(1-4)</v>
      </c>
    </row>
    <row r="1628" spans="1:7" x14ac:dyDescent="0.25">
      <c r="A1628">
        <v>11633</v>
      </c>
      <c r="B1628">
        <v>305</v>
      </c>
      <c r="C1628" s="1" t="str">
        <f>IF(Tabela8[[#This Row],[SETOR]]="","",IF(Tabela8[[#This Row],[SETOR]]&lt;200,"GV 10",IF(Tabela8[[#This Row],[SETOR]]&lt;300,"GV 20",IF(Tabela8[[#This Row],[SETOR]]&lt;400,"GV 30","S/GV"))))</f>
        <v>GV 30</v>
      </c>
      <c r="E1628" t="s">
        <v>123</v>
      </c>
      <c r="G1628" t="str">
        <f>_xlfn.CONCAT(Tabela9[[#This Row],[Coluna1]],Tabela9[[#This Row],[Coluna2]])</f>
        <v>20-Rota</v>
      </c>
    </row>
    <row r="1629" spans="1:7" x14ac:dyDescent="0.25">
      <c r="A1629">
        <v>11636</v>
      </c>
      <c r="B1629">
        <v>107</v>
      </c>
      <c r="C1629" s="1" t="str">
        <f>IF(Tabela8[[#This Row],[SETOR]]="","",IF(Tabela8[[#This Row],[SETOR]]&lt;200,"GV 10",IF(Tabela8[[#This Row],[SETOR]]&lt;300,"GV 20",IF(Tabela8[[#This Row],[SETOR]]&lt;400,"GV 30","S/GV"))))</f>
        <v>GV 10</v>
      </c>
      <c r="E1629" t="s">
        <v>130</v>
      </c>
      <c r="G1629" t="str">
        <f>_xlfn.CONCAT(Tabela9[[#This Row],[Coluna1]],Tabela9[[#This Row],[Coluna2]])</f>
        <v>21-SUB</v>
      </c>
    </row>
    <row r="1630" spans="1:7" x14ac:dyDescent="0.25">
      <c r="A1630">
        <v>11646</v>
      </c>
      <c r="B1630">
        <v>305</v>
      </c>
      <c r="C1630" s="1" t="str">
        <f>IF(Tabela8[[#This Row],[SETOR]]="","",IF(Tabela8[[#This Row],[SETOR]]&lt;200,"GV 10",IF(Tabela8[[#This Row],[SETOR]]&lt;300,"GV 20",IF(Tabela8[[#This Row],[SETOR]]&lt;400,"GV 30","S/GV"))))</f>
        <v>GV 30</v>
      </c>
      <c r="E1630" t="s">
        <v>123</v>
      </c>
      <c r="G1630" t="str">
        <f>_xlfn.CONCAT(Tabela9[[#This Row],[Coluna1]],Tabela9[[#This Row],[Coluna2]])</f>
        <v>20-Rota</v>
      </c>
    </row>
    <row r="1631" spans="1:7" x14ac:dyDescent="0.25">
      <c r="A1631">
        <v>11651</v>
      </c>
      <c r="B1631">
        <v>101</v>
      </c>
      <c r="C1631" s="1" t="str">
        <f>IF(Tabela8[[#This Row],[SETOR]]="","",IF(Tabela8[[#This Row],[SETOR]]&lt;200,"GV 10",IF(Tabela8[[#This Row],[SETOR]]&lt;300,"GV 20",IF(Tabela8[[#This Row],[SETOR]]&lt;400,"GV 30","S/GV"))))</f>
        <v>GV 10</v>
      </c>
      <c r="E1631" t="s">
        <v>123</v>
      </c>
      <c r="G1631" t="str">
        <f>_xlfn.CONCAT(Tabela9[[#This Row],[Coluna1]],Tabela9[[#This Row],[Coluna2]])</f>
        <v>20-Rota</v>
      </c>
    </row>
    <row r="1632" spans="1:7" x14ac:dyDescent="0.25">
      <c r="A1632">
        <v>11653</v>
      </c>
      <c r="B1632">
        <v>907</v>
      </c>
      <c r="C1632" s="1" t="str">
        <f>IF(Tabela8[[#This Row],[SETOR]]="","",IF(Tabela8[[#This Row],[SETOR]]&lt;200,"GV 10",IF(Tabela8[[#This Row],[SETOR]]&lt;300,"GV 20",IF(Tabela8[[#This Row],[SETOR]]&lt;400,"GV 30","S/GV"))))</f>
        <v>S/GV</v>
      </c>
      <c r="G1632" t="str">
        <f>_xlfn.CONCAT(Tabela9[[#This Row],[Coluna1]],Tabela9[[#This Row],[Coluna2]])</f>
        <v/>
      </c>
    </row>
    <row r="1633" spans="1:7" x14ac:dyDescent="0.25">
      <c r="A1633">
        <v>11655</v>
      </c>
      <c r="B1633">
        <v>107</v>
      </c>
      <c r="C1633" s="1" t="str">
        <f>IF(Tabela8[[#This Row],[SETOR]]="","",IF(Tabela8[[#This Row],[SETOR]]&lt;200,"GV 10",IF(Tabela8[[#This Row],[SETOR]]&lt;300,"GV 20",IF(Tabela8[[#This Row],[SETOR]]&lt;400,"GV 30","S/GV"))))</f>
        <v>GV 10</v>
      </c>
      <c r="E1633" t="s">
        <v>130</v>
      </c>
      <c r="G1633" t="str">
        <f>_xlfn.CONCAT(Tabela9[[#This Row],[Coluna1]],Tabela9[[#This Row],[Coluna2]])</f>
        <v>21-SUB</v>
      </c>
    </row>
    <row r="1634" spans="1:7" x14ac:dyDescent="0.25">
      <c r="A1634">
        <v>11666</v>
      </c>
      <c r="B1634">
        <v>105</v>
      </c>
      <c r="C1634" s="1" t="str">
        <f>IF(Tabela8[[#This Row],[SETOR]]="","",IF(Tabela8[[#This Row],[SETOR]]&lt;200,"GV 10",IF(Tabela8[[#This Row],[SETOR]]&lt;300,"GV 20",IF(Tabela8[[#This Row],[SETOR]]&lt;400,"GV 30","S/GV"))))</f>
        <v>GV 10</v>
      </c>
      <c r="E1634" t="s">
        <v>123</v>
      </c>
      <c r="G1634" t="str">
        <f>_xlfn.CONCAT(Tabela9[[#This Row],[Coluna1]],Tabela9[[#This Row],[Coluna2]])</f>
        <v>20-Rota</v>
      </c>
    </row>
    <row r="1635" spans="1:7" x14ac:dyDescent="0.25">
      <c r="A1635">
        <v>11668</v>
      </c>
      <c r="B1635">
        <v>916</v>
      </c>
      <c r="C1635" s="1" t="str">
        <f>IF(Tabela8[[#This Row],[SETOR]]="","",IF(Tabela8[[#This Row],[SETOR]]&lt;200,"GV 10",IF(Tabela8[[#This Row],[SETOR]]&lt;300,"GV 20",IF(Tabela8[[#This Row],[SETOR]]&lt;400,"GV 30","S/GV"))))</f>
        <v>S/GV</v>
      </c>
      <c r="G1635" t="str">
        <f>_xlfn.CONCAT(Tabela9[[#This Row],[Coluna1]],Tabela9[[#This Row],[Coluna2]])</f>
        <v/>
      </c>
    </row>
    <row r="1636" spans="1:7" x14ac:dyDescent="0.25">
      <c r="A1636">
        <v>11669</v>
      </c>
      <c r="B1636">
        <v>907</v>
      </c>
      <c r="C1636" s="1" t="str">
        <f>IF(Tabela8[[#This Row],[SETOR]]="","",IF(Tabela8[[#This Row],[SETOR]]&lt;200,"GV 10",IF(Tabela8[[#This Row],[SETOR]]&lt;300,"GV 20",IF(Tabela8[[#This Row],[SETOR]]&lt;400,"GV 30","S/GV"))))</f>
        <v>S/GV</v>
      </c>
      <c r="G1636" t="str">
        <f>_xlfn.CONCAT(Tabela9[[#This Row],[Coluna1]],Tabela9[[#This Row],[Coluna2]])</f>
        <v/>
      </c>
    </row>
    <row r="1637" spans="1:7" x14ac:dyDescent="0.25">
      <c r="A1637">
        <v>11670</v>
      </c>
      <c r="B1637">
        <v>109</v>
      </c>
      <c r="C1637" s="1" t="str">
        <f>IF(Tabela8[[#This Row],[SETOR]]="","",IF(Tabela8[[#This Row],[SETOR]]&lt;200,"GV 10",IF(Tabela8[[#This Row],[SETOR]]&lt;300,"GV 20",IF(Tabela8[[#This Row],[SETOR]]&lt;400,"GV 30","S/GV"))))</f>
        <v>GV 10</v>
      </c>
      <c r="E1637" t="s">
        <v>123</v>
      </c>
      <c r="G1637" t="str">
        <f>_xlfn.CONCAT(Tabela9[[#This Row],[Coluna1]],Tabela9[[#This Row],[Coluna2]])</f>
        <v>20-Rota</v>
      </c>
    </row>
    <row r="1638" spans="1:7" x14ac:dyDescent="0.25">
      <c r="A1638">
        <v>11679</v>
      </c>
      <c r="B1638">
        <v>207</v>
      </c>
      <c r="C1638" s="1" t="str">
        <f>IF(Tabela8[[#This Row],[SETOR]]="","",IF(Tabela8[[#This Row],[SETOR]]&lt;200,"GV 10",IF(Tabela8[[#This Row],[SETOR]]&lt;300,"GV 20",IF(Tabela8[[#This Row],[SETOR]]&lt;400,"GV 30","S/GV"))))</f>
        <v>GV 20</v>
      </c>
      <c r="E1638" t="s">
        <v>130</v>
      </c>
      <c r="G1638" t="str">
        <f>_xlfn.CONCAT(Tabela9[[#This Row],[Coluna1]],Tabela9[[#This Row],[Coluna2]])</f>
        <v>21-SUB</v>
      </c>
    </row>
    <row r="1639" spans="1:7" x14ac:dyDescent="0.25">
      <c r="A1639">
        <v>11695</v>
      </c>
      <c r="B1639">
        <v>305</v>
      </c>
      <c r="C1639" s="1" t="str">
        <f>IF(Tabela8[[#This Row],[SETOR]]="","",IF(Tabela8[[#This Row],[SETOR]]&lt;200,"GV 10",IF(Tabela8[[#This Row],[SETOR]]&lt;300,"GV 20",IF(Tabela8[[#This Row],[SETOR]]&lt;400,"GV 30","S/GV"))))</f>
        <v>GV 30</v>
      </c>
      <c r="E1639" t="s">
        <v>123</v>
      </c>
      <c r="G1639" t="str">
        <f>_xlfn.CONCAT(Tabela9[[#This Row],[Coluna1]],Tabela9[[#This Row],[Coluna2]])</f>
        <v>20-Rota</v>
      </c>
    </row>
    <row r="1640" spans="1:7" x14ac:dyDescent="0.25">
      <c r="A1640">
        <v>11707</v>
      </c>
      <c r="B1640">
        <v>207</v>
      </c>
      <c r="C1640" s="1" t="str">
        <f>IF(Tabela8[[#This Row],[SETOR]]="","",IF(Tabela8[[#This Row],[SETOR]]&lt;200,"GV 10",IF(Tabela8[[#This Row],[SETOR]]&lt;300,"GV 20",IF(Tabela8[[#This Row],[SETOR]]&lt;400,"GV 30","S/GV"))))</f>
        <v>GV 20</v>
      </c>
      <c r="E1640" t="s">
        <v>130</v>
      </c>
      <c r="G1640" t="str">
        <f>_xlfn.CONCAT(Tabela9[[#This Row],[Coluna1]],Tabela9[[#This Row],[Coluna2]])</f>
        <v>21-SUB</v>
      </c>
    </row>
    <row r="1641" spans="1:7" x14ac:dyDescent="0.25">
      <c r="A1641">
        <v>11711</v>
      </c>
      <c r="B1641">
        <v>102</v>
      </c>
      <c r="C1641" s="1" t="str">
        <f>IF(Tabela8[[#This Row],[SETOR]]="","",IF(Tabela8[[#This Row],[SETOR]]&lt;200,"GV 10",IF(Tabela8[[#This Row],[SETOR]]&lt;300,"GV 20",IF(Tabela8[[#This Row],[SETOR]]&lt;400,"GV 30","S/GV"))))</f>
        <v>GV 10</v>
      </c>
      <c r="E1641" t="s">
        <v>123</v>
      </c>
      <c r="G1641" t="str">
        <f>_xlfn.CONCAT(Tabela9[[#This Row],[Coluna1]],Tabela9[[#This Row],[Coluna2]])</f>
        <v>20-Rota</v>
      </c>
    </row>
    <row r="1642" spans="1:7" x14ac:dyDescent="0.25">
      <c r="A1642">
        <v>11714</v>
      </c>
      <c r="B1642">
        <v>302</v>
      </c>
      <c r="C1642" s="1" t="str">
        <f>IF(Tabela8[[#This Row],[SETOR]]="","",IF(Tabela8[[#This Row],[SETOR]]&lt;200,"GV 10",IF(Tabela8[[#This Row],[SETOR]]&lt;300,"GV 20",IF(Tabela8[[#This Row],[SETOR]]&lt;400,"GV 30","S/GV"))))</f>
        <v>GV 30</v>
      </c>
      <c r="E1642" t="s">
        <v>123</v>
      </c>
      <c r="G1642" t="str">
        <f>_xlfn.CONCAT(Tabela9[[#This Row],[Coluna1]],Tabela9[[#This Row],[Coluna2]])</f>
        <v>20-Rota</v>
      </c>
    </row>
    <row r="1643" spans="1:7" x14ac:dyDescent="0.25">
      <c r="A1643">
        <v>11717</v>
      </c>
      <c r="B1643">
        <v>103</v>
      </c>
      <c r="C1643" s="1" t="str">
        <f>IF(Tabela8[[#This Row],[SETOR]]="","",IF(Tabela8[[#This Row],[SETOR]]&lt;200,"GV 10",IF(Tabela8[[#This Row],[SETOR]]&lt;300,"GV 20",IF(Tabela8[[#This Row],[SETOR]]&lt;400,"GV 30","S/GV"))))</f>
        <v>GV 10</v>
      </c>
      <c r="E1643" t="s">
        <v>123</v>
      </c>
      <c r="G1643" t="str">
        <f>_xlfn.CONCAT(Tabela9[[#This Row],[Coluna1]],Tabela9[[#This Row],[Coluna2]])</f>
        <v>20-Rota</v>
      </c>
    </row>
    <row r="1644" spans="1:7" x14ac:dyDescent="0.25">
      <c r="A1644">
        <v>11721</v>
      </c>
      <c r="B1644">
        <v>305</v>
      </c>
      <c r="C1644" s="1" t="str">
        <f>IF(Tabela8[[#This Row],[SETOR]]="","",IF(Tabela8[[#This Row],[SETOR]]&lt;200,"GV 10",IF(Tabela8[[#This Row],[SETOR]]&lt;300,"GV 20",IF(Tabela8[[#This Row],[SETOR]]&lt;400,"GV 30","S/GV"))))</f>
        <v>GV 30</v>
      </c>
      <c r="E1644" t="s">
        <v>123</v>
      </c>
      <c r="G1644" t="str">
        <f>_xlfn.CONCAT(Tabela9[[#This Row],[Coluna1]],Tabela9[[#This Row],[Coluna2]])</f>
        <v>20-Rota</v>
      </c>
    </row>
    <row r="1645" spans="1:7" x14ac:dyDescent="0.25">
      <c r="A1645">
        <v>11723</v>
      </c>
      <c r="B1645">
        <v>309</v>
      </c>
      <c r="C1645" s="1" t="str">
        <f>IF(Tabela8[[#This Row],[SETOR]]="","",IF(Tabela8[[#This Row],[SETOR]]&lt;200,"GV 10",IF(Tabela8[[#This Row],[SETOR]]&lt;300,"GV 20",IF(Tabela8[[#This Row],[SETOR]]&lt;400,"GV 30","S/GV"))))</f>
        <v>GV 30</v>
      </c>
      <c r="E1645" t="s">
        <v>128</v>
      </c>
      <c r="F1645" t="s">
        <v>129</v>
      </c>
      <c r="G1645" t="str">
        <f>_xlfn.CONCAT(Tabela9[[#This Row],[Coluna1]],Tabela9[[#This Row],[Coluna2]])</f>
        <v>15-AS(1-4)</v>
      </c>
    </row>
    <row r="1646" spans="1:7" x14ac:dyDescent="0.25">
      <c r="A1646">
        <v>11725</v>
      </c>
      <c r="B1646">
        <v>308</v>
      </c>
      <c r="C1646" s="1" t="str">
        <f>IF(Tabela8[[#This Row],[SETOR]]="","",IF(Tabela8[[#This Row],[SETOR]]&lt;200,"GV 10",IF(Tabela8[[#This Row],[SETOR]]&lt;300,"GV 20",IF(Tabela8[[#This Row],[SETOR]]&lt;400,"GV 30","S/GV"))))</f>
        <v>GV 30</v>
      </c>
      <c r="E1646" t="s">
        <v>128</v>
      </c>
      <c r="F1646" t="s">
        <v>129</v>
      </c>
      <c r="G1646" t="str">
        <f>_xlfn.CONCAT(Tabela9[[#This Row],[Coluna1]],Tabela9[[#This Row],[Coluna2]])</f>
        <v>15-AS(1-4)</v>
      </c>
    </row>
    <row r="1647" spans="1:7" x14ac:dyDescent="0.25">
      <c r="A1647">
        <v>11730</v>
      </c>
      <c r="B1647">
        <v>907</v>
      </c>
      <c r="C1647" s="1" t="str">
        <f>IF(Tabela8[[#This Row],[SETOR]]="","",IF(Tabela8[[#This Row],[SETOR]]&lt;200,"GV 10",IF(Tabela8[[#This Row],[SETOR]]&lt;300,"GV 20",IF(Tabela8[[#This Row],[SETOR]]&lt;400,"GV 30","S/GV"))))</f>
        <v>S/GV</v>
      </c>
      <c r="G1647" t="str">
        <f>_xlfn.CONCAT(Tabela9[[#This Row],[Coluna1]],Tabela9[[#This Row],[Coluna2]])</f>
        <v/>
      </c>
    </row>
    <row r="1648" spans="1:7" x14ac:dyDescent="0.25">
      <c r="A1648">
        <v>11735</v>
      </c>
      <c r="B1648">
        <v>301</v>
      </c>
      <c r="C1648" s="1" t="str">
        <f>IF(Tabela8[[#This Row],[SETOR]]="","",IF(Tabela8[[#This Row],[SETOR]]&lt;200,"GV 10",IF(Tabela8[[#This Row],[SETOR]]&lt;300,"GV 20",IF(Tabela8[[#This Row],[SETOR]]&lt;400,"GV 30","S/GV"))))</f>
        <v>GV 30</v>
      </c>
      <c r="E1648" t="s">
        <v>123</v>
      </c>
      <c r="G1648" t="str">
        <f>_xlfn.CONCAT(Tabela9[[#This Row],[Coluna1]],Tabela9[[#This Row],[Coluna2]])</f>
        <v>20-Rota</v>
      </c>
    </row>
    <row r="1649" spans="1:7" x14ac:dyDescent="0.25">
      <c r="A1649">
        <v>11739</v>
      </c>
      <c r="B1649">
        <v>907</v>
      </c>
      <c r="C1649" s="1" t="str">
        <f>IF(Tabela8[[#This Row],[SETOR]]="","",IF(Tabela8[[#This Row],[SETOR]]&lt;200,"GV 10",IF(Tabela8[[#This Row],[SETOR]]&lt;300,"GV 20",IF(Tabela8[[#This Row],[SETOR]]&lt;400,"GV 30","S/GV"))))</f>
        <v>S/GV</v>
      </c>
      <c r="G1649" t="str">
        <f>_xlfn.CONCAT(Tabela9[[#This Row],[Coluna1]],Tabela9[[#This Row],[Coluna2]])</f>
        <v/>
      </c>
    </row>
    <row r="1650" spans="1:7" x14ac:dyDescent="0.25">
      <c r="A1650">
        <v>11741</v>
      </c>
      <c r="B1650">
        <v>109</v>
      </c>
      <c r="C1650" s="1" t="str">
        <f>IF(Tabela8[[#This Row],[SETOR]]="","",IF(Tabela8[[#This Row],[SETOR]]&lt;200,"GV 10",IF(Tabela8[[#This Row],[SETOR]]&lt;300,"GV 20",IF(Tabela8[[#This Row],[SETOR]]&lt;400,"GV 30","S/GV"))))</f>
        <v>GV 10</v>
      </c>
      <c r="E1650" t="s">
        <v>123</v>
      </c>
      <c r="G1650" t="str">
        <f>_xlfn.CONCAT(Tabela9[[#This Row],[Coluna1]],Tabela9[[#This Row],[Coluna2]])</f>
        <v>20-Rota</v>
      </c>
    </row>
    <row r="1651" spans="1:7" x14ac:dyDescent="0.25">
      <c r="A1651">
        <v>11742</v>
      </c>
      <c r="B1651">
        <v>103</v>
      </c>
      <c r="C1651" s="1" t="str">
        <f>IF(Tabela8[[#This Row],[SETOR]]="","",IF(Tabela8[[#This Row],[SETOR]]&lt;200,"GV 10",IF(Tabela8[[#This Row],[SETOR]]&lt;300,"GV 20",IF(Tabela8[[#This Row],[SETOR]]&lt;400,"GV 30","S/GV"))))</f>
        <v>GV 10</v>
      </c>
      <c r="E1651" t="s">
        <v>123</v>
      </c>
      <c r="G1651" t="str">
        <f>_xlfn.CONCAT(Tabela9[[#This Row],[Coluna1]],Tabela9[[#This Row],[Coluna2]])</f>
        <v>20-Rota</v>
      </c>
    </row>
    <row r="1652" spans="1:7" x14ac:dyDescent="0.25">
      <c r="A1652">
        <v>11746</v>
      </c>
      <c r="B1652">
        <v>202</v>
      </c>
      <c r="C1652" s="1" t="str">
        <f>IF(Tabela8[[#This Row],[SETOR]]="","",IF(Tabela8[[#This Row],[SETOR]]&lt;200,"GV 10",IF(Tabela8[[#This Row],[SETOR]]&lt;300,"GV 20",IF(Tabela8[[#This Row],[SETOR]]&lt;400,"GV 30","S/GV"))))</f>
        <v>GV 20</v>
      </c>
      <c r="E1652" t="s">
        <v>125</v>
      </c>
      <c r="G1652" t="str">
        <f>_xlfn.CONCAT(Tabela9[[#This Row],[Coluna1]],Tabela9[[#This Row],[Coluna2]])</f>
        <v>18-TRAD</v>
      </c>
    </row>
    <row r="1653" spans="1:7" x14ac:dyDescent="0.25">
      <c r="A1653">
        <v>11749</v>
      </c>
      <c r="B1653">
        <v>104</v>
      </c>
      <c r="C1653" s="1" t="str">
        <f>IF(Tabela8[[#This Row],[SETOR]]="","",IF(Tabela8[[#This Row],[SETOR]]&lt;200,"GV 10",IF(Tabela8[[#This Row],[SETOR]]&lt;300,"GV 20",IF(Tabela8[[#This Row],[SETOR]]&lt;400,"GV 30","S/GV"))))</f>
        <v>GV 10</v>
      </c>
      <c r="E1653" t="s">
        <v>123</v>
      </c>
      <c r="G1653" t="str">
        <f>_xlfn.CONCAT(Tabela9[[#This Row],[Coluna1]],Tabela9[[#This Row],[Coluna2]])</f>
        <v>20-Rota</v>
      </c>
    </row>
    <row r="1654" spans="1:7" x14ac:dyDescent="0.25">
      <c r="A1654">
        <v>11755</v>
      </c>
      <c r="B1654">
        <v>108</v>
      </c>
      <c r="C1654" s="1" t="str">
        <f>IF(Tabela8[[#This Row],[SETOR]]="","",IF(Tabela8[[#This Row],[SETOR]]&lt;200,"GV 10",IF(Tabela8[[#This Row],[SETOR]]&lt;300,"GV 20",IF(Tabela8[[#This Row],[SETOR]]&lt;400,"GV 30","S/GV"))))</f>
        <v>GV 10</v>
      </c>
      <c r="E1654" t="s">
        <v>131</v>
      </c>
      <c r="F1654" t="s">
        <v>132</v>
      </c>
      <c r="G1654" t="str">
        <f>_xlfn.CONCAT(Tabela9[[#This Row],[Coluna1]],Tabela9[[#This Row],[Coluna2]])</f>
        <v>14-Lj.Conveniência</v>
      </c>
    </row>
    <row r="1655" spans="1:7" x14ac:dyDescent="0.25">
      <c r="A1655">
        <v>11756</v>
      </c>
      <c r="B1655">
        <v>302</v>
      </c>
      <c r="C1655" s="1" t="str">
        <f>IF(Tabela8[[#This Row],[SETOR]]="","",IF(Tabela8[[#This Row],[SETOR]]&lt;200,"GV 10",IF(Tabela8[[#This Row],[SETOR]]&lt;300,"GV 20",IF(Tabela8[[#This Row],[SETOR]]&lt;400,"GV 30","S/GV"))))</f>
        <v>GV 30</v>
      </c>
      <c r="E1655" t="s">
        <v>123</v>
      </c>
      <c r="G1655" t="str">
        <f>_xlfn.CONCAT(Tabela9[[#This Row],[Coluna1]],Tabela9[[#This Row],[Coluna2]])</f>
        <v>20-Rota</v>
      </c>
    </row>
    <row r="1656" spans="1:7" x14ac:dyDescent="0.25">
      <c r="A1656">
        <v>11758</v>
      </c>
      <c r="B1656">
        <v>109</v>
      </c>
      <c r="C1656" s="1" t="str">
        <f>IF(Tabela8[[#This Row],[SETOR]]="","",IF(Tabela8[[#This Row],[SETOR]]&lt;200,"GV 10",IF(Tabela8[[#This Row],[SETOR]]&lt;300,"GV 20",IF(Tabela8[[#This Row],[SETOR]]&lt;400,"GV 30","S/GV"))))</f>
        <v>GV 10</v>
      </c>
      <c r="E1656" t="s">
        <v>123</v>
      </c>
      <c r="G1656" t="str">
        <f>_xlfn.CONCAT(Tabela9[[#This Row],[Coluna1]],Tabela9[[#This Row],[Coluna2]])</f>
        <v>20-Rota</v>
      </c>
    </row>
    <row r="1657" spans="1:7" x14ac:dyDescent="0.25">
      <c r="A1657">
        <v>11764</v>
      </c>
      <c r="B1657">
        <v>102</v>
      </c>
      <c r="C1657" s="1" t="str">
        <f>IF(Tabela8[[#This Row],[SETOR]]="","",IF(Tabela8[[#This Row],[SETOR]]&lt;200,"GV 10",IF(Tabela8[[#This Row],[SETOR]]&lt;300,"GV 20",IF(Tabela8[[#This Row],[SETOR]]&lt;400,"GV 30","S/GV"))))</f>
        <v>GV 10</v>
      </c>
      <c r="E1657" t="s">
        <v>123</v>
      </c>
      <c r="G1657" t="str">
        <f>_xlfn.CONCAT(Tabela9[[#This Row],[Coluna1]],Tabela9[[#This Row],[Coluna2]])</f>
        <v>20-Rota</v>
      </c>
    </row>
    <row r="1658" spans="1:7" x14ac:dyDescent="0.25">
      <c r="A1658">
        <v>11765</v>
      </c>
      <c r="B1658">
        <v>304</v>
      </c>
      <c r="C1658" s="1" t="str">
        <f>IF(Tabela8[[#This Row],[SETOR]]="","",IF(Tabela8[[#This Row],[SETOR]]&lt;200,"GV 10",IF(Tabela8[[#This Row],[SETOR]]&lt;300,"GV 20",IF(Tabela8[[#This Row],[SETOR]]&lt;400,"GV 30","S/GV"))))</f>
        <v>GV 30</v>
      </c>
      <c r="E1658" t="s">
        <v>123</v>
      </c>
      <c r="G1658" t="str">
        <f>_xlfn.CONCAT(Tabela9[[#This Row],[Coluna1]],Tabela9[[#This Row],[Coluna2]])</f>
        <v>20-Rota</v>
      </c>
    </row>
    <row r="1659" spans="1:7" x14ac:dyDescent="0.25">
      <c r="A1659">
        <v>11767</v>
      </c>
      <c r="B1659">
        <v>101</v>
      </c>
      <c r="C1659" s="1" t="str">
        <f>IF(Tabela8[[#This Row],[SETOR]]="","",IF(Tabela8[[#This Row],[SETOR]]&lt;200,"GV 10",IF(Tabela8[[#This Row],[SETOR]]&lt;300,"GV 20",IF(Tabela8[[#This Row],[SETOR]]&lt;400,"GV 30","S/GV"))))</f>
        <v>GV 10</v>
      </c>
      <c r="E1659" t="s">
        <v>123</v>
      </c>
      <c r="G1659" t="str">
        <f>_xlfn.CONCAT(Tabela9[[#This Row],[Coluna1]],Tabela9[[#This Row],[Coluna2]])</f>
        <v>20-Rota</v>
      </c>
    </row>
    <row r="1660" spans="1:7" x14ac:dyDescent="0.25">
      <c r="A1660">
        <v>11771</v>
      </c>
      <c r="B1660">
        <v>106</v>
      </c>
      <c r="C1660" s="1" t="str">
        <f>IF(Tabela8[[#This Row],[SETOR]]="","",IF(Tabela8[[#This Row],[SETOR]]&lt;200,"GV 10",IF(Tabela8[[#This Row],[SETOR]]&lt;300,"GV 20",IF(Tabela8[[#This Row],[SETOR]]&lt;400,"GV 30","S/GV"))))</f>
        <v>GV 10</v>
      </c>
      <c r="E1660" t="s">
        <v>123</v>
      </c>
      <c r="G1660" t="str">
        <f>_xlfn.CONCAT(Tabela9[[#This Row],[Coluna1]],Tabela9[[#This Row],[Coluna2]])</f>
        <v>20-Rota</v>
      </c>
    </row>
    <row r="1661" spans="1:7" x14ac:dyDescent="0.25">
      <c r="A1661">
        <v>11772</v>
      </c>
      <c r="B1661">
        <v>106</v>
      </c>
      <c r="C1661" s="1" t="str">
        <f>IF(Tabela8[[#This Row],[SETOR]]="","",IF(Tabela8[[#This Row],[SETOR]]&lt;200,"GV 10",IF(Tabela8[[#This Row],[SETOR]]&lt;300,"GV 20",IF(Tabela8[[#This Row],[SETOR]]&lt;400,"GV 30","S/GV"))))</f>
        <v>GV 10</v>
      </c>
      <c r="E1661" t="s">
        <v>123</v>
      </c>
      <c r="G1661" t="str">
        <f>_xlfn.CONCAT(Tabela9[[#This Row],[Coluna1]],Tabela9[[#This Row],[Coluna2]])</f>
        <v>20-Rota</v>
      </c>
    </row>
    <row r="1662" spans="1:7" x14ac:dyDescent="0.25">
      <c r="A1662">
        <v>11775</v>
      </c>
      <c r="B1662">
        <v>106</v>
      </c>
      <c r="C1662" s="1" t="str">
        <f>IF(Tabela8[[#This Row],[SETOR]]="","",IF(Tabela8[[#This Row],[SETOR]]&lt;200,"GV 10",IF(Tabela8[[#This Row],[SETOR]]&lt;300,"GV 20",IF(Tabela8[[#This Row],[SETOR]]&lt;400,"GV 30","S/GV"))))</f>
        <v>GV 10</v>
      </c>
      <c r="E1662" t="s">
        <v>123</v>
      </c>
      <c r="G1662" t="str">
        <f>_xlfn.CONCAT(Tabela9[[#This Row],[Coluna1]],Tabela9[[#This Row],[Coluna2]])</f>
        <v>20-Rota</v>
      </c>
    </row>
    <row r="1663" spans="1:7" x14ac:dyDescent="0.25">
      <c r="A1663">
        <v>11779</v>
      </c>
      <c r="B1663">
        <v>109</v>
      </c>
      <c r="C1663" s="1" t="str">
        <f>IF(Tabela8[[#This Row],[SETOR]]="","",IF(Tabela8[[#This Row],[SETOR]]&lt;200,"GV 10",IF(Tabela8[[#This Row],[SETOR]]&lt;300,"GV 20",IF(Tabela8[[#This Row],[SETOR]]&lt;400,"GV 30","S/GV"))))</f>
        <v>GV 10</v>
      </c>
      <c r="E1663" t="s">
        <v>123</v>
      </c>
      <c r="G1663" t="str">
        <f>_xlfn.CONCAT(Tabela9[[#This Row],[Coluna1]],Tabela9[[#This Row],[Coluna2]])</f>
        <v>20-Rota</v>
      </c>
    </row>
    <row r="1664" spans="1:7" x14ac:dyDescent="0.25">
      <c r="A1664">
        <v>11785</v>
      </c>
      <c r="B1664">
        <v>103</v>
      </c>
      <c r="C1664" s="1" t="str">
        <f>IF(Tabela8[[#This Row],[SETOR]]="","",IF(Tabela8[[#This Row],[SETOR]]&lt;200,"GV 10",IF(Tabela8[[#This Row],[SETOR]]&lt;300,"GV 20",IF(Tabela8[[#This Row],[SETOR]]&lt;400,"GV 30","S/GV"))))</f>
        <v>GV 10</v>
      </c>
      <c r="E1664" t="s">
        <v>123</v>
      </c>
      <c r="G1664" t="str">
        <f>_xlfn.CONCAT(Tabela9[[#This Row],[Coluna1]],Tabela9[[#This Row],[Coluna2]])</f>
        <v>20-Rota</v>
      </c>
    </row>
    <row r="1665" spans="1:7" x14ac:dyDescent="0.25">
      <c r="A1665">
        <v>11788</v>
      </c>
      <c r="B1665">
        <v>105</v>
      </c>
      <c r="C1665" s="1" t="str">
        <f>IF(Tabela8[[#This Row],[SETOR]]="","",IF(Tabela8[[#This Row],[SETOR]]&lt;200,"GV 10",IF(Tabela8[[#This Row],[SETOR]]&lt;300,"GV 20",IF(Tabela8[[#This Row],[SETOR]]&lt;400,"GV 30","S/GV"))))</f>
        <v>GV 10</v>
      </c>
      <c r="E1665" t="s">
        <v>123</v>
      </c>
      <c r="G1665" t="str">
        <f>_xlfn.CONCAT(Tabela9[[#This Row],[Coluna1]],Tabela9[[#This Row],[Coluna2]])</f>
        <v>20-Rota</v>
      </c>
    </row>
    <row r="1666" spans="1:7" x14ac:dyDescent="0.25">
      <c r="A1666">
        <v>11790</v>
      </c>
      <c r="B1666">
        <v>308</v>
      </c>
      <c r="C1666" s="1" t="str">
        <f>IF(Tabela8[[#This Row],[SETOR]]="","",IF(Tabela8[[#This Row],[SETOR]]&lt;200,"GV 10",IF(Tabela8[[#This Row],[SETOR]]&lt;300,"GV 20",IF(Tabela8[[#This Row],[SETOR]]&lt;400,"GV 30","S/GV"))))</f>
        <v>GV 30</v>
      </c>
      <c r="E1666" t="s">
        <v>128</v>
      </c>
      <c r="F1666" t="s">
        <v>129</v>
      </c>
      <c r="G1666" t="str">
        <f>_xlfn.CONCAT(Tabela9[[#This Row],[Coluna1]],Tabela9[[#This Row],[Coluna2]])</f>
        <v>15-AS(1-4)</v>
      </c>
    </row>
    <row r="1667" spans="1:7" x14ac:dyDescent="0.25">
      <c r="A1667">
        <v>11797</v>
      </c>
      <c r="B1667">
        <v>303</v>
      </c>
      <c r="C1667" s="1" t="str">
        <f>IF(Tabela8[[#This Row],[SETOR]]="","",IF(Tabela8[[#This Row],[SETOR]]&lt;200,"GV 10",IF(Tabela8[[#This Row],[SETOR]]&lt;300,"GV 20",IF(Tabela8[[#This Row],[SETOR]]&lt;400,"GV 30","S/GV"))))</f>
        <v>GV 30</v>
      </c>
      <c r="E1667" t="s">
        <v>123</v>
      </c>
      <c r="G1667" t="str">
        <f>_xlfn.CONCAT(Tabela9[[#This Row],[Coluna1]],Tabela9[[#This Row],[Coluna2]])</f>
        <v>20-Rota</v>
      </c>
    </row>
    <row r="1668" spans="1:7" x14ac:dyDescent="0.25">
      <c r="A1668">
        <v>11812</v>
      </c>
      <c r="B1668">
        <v>102</v>
      </c>
      <c r="C1668" s="1" t="str">
        <f>IF(Tabela8[[#This Row],[SETOR]]="","",IF(Tabela8[[#This Row],[SETOR]]&lt;200,"GV 10",IF(Tabela8[[#This Row],[SETOR]]&lt;300,"GV 20",IF(Tabela8[[#This Row],[SETOR]]&lt;400,"GV 30","S/GV"))))</f>
        <v>GV 10</v>
      </c>
      <c r="E1668" t="s">
        <v>123</v>
      </c>
      <c r="G1668" t="str">
        <f>_xlfn.CONCAT(Tabela9[[#This Row],[Coluna1]],Tabela9[[#This Row],[Coluna2]])</f>
        <v>20-Rota</v>
      </c>
    </row>
    <row r="1669" spans="1:7" x14ac:dyDescent="0.25">
      <c r="A1669">
        <v>11814</v>
      </c>
      <c r="B1669">
        <v>204</v>
      </c>
      <c r="C1669" s="1" t="str">
        <f>IF(Tabela8[[#This Row],[SETOR]]="","",IF(Tabela8[[#This Row],[SETOR]]&lt;200,"GV 10",IF(Tabela8[[#This Row],[SETOR]]&lt;300,"GV 20",IF(Tabela8[[#This Row],[SETOR]]&lt;400,"GV 30","S/GV"))))</f>
        <v>GV 20</v>
      </c>
      <c r="E1669" t="s">
        <v>123</v>
      </c>
      <c r="G1669" t="str">
        <f>_xlfn.CONCAT(Tabela9[[#This Row],[Coluna1]],Tabela9[[#This Row],[Coluna2]])</f>
        <v>20-Rota</v>
      </c>
    </row>
    <row r="1670" spans="1:7" x14ac:dyDescent="0.25">
      <c r="A1670">
        <v>11815</v>
      </c>
      <c r="B1670">
        <v>102</v>
      </c>
      <c r="C1670" s="1" t="str">
        <f>IF(Tabela8[[#This Row],[SETOR]]="","",IF(Tabela8[[#This Row],[SETOR]]&lt;200,"GV 10",IF(Tabela8[[#This Row],[SETOR]]&lt;300,"GV 20",IF(Tabela8[[#This Row],[SETOR]]&lt;400,"GV 30","S/GV"))))</f>
        <v>GV 10</v>
      </c>
      <c r="E1670" t="s">
        <v>123</v>
      </c>
      <c r="G1670" t="str">
        <f>_xlfn.CONCAT(Tabela9[[#This Row],[Coluna1]],Tabela9[[#This Row],[Coluna2]])</f>
        <v>20-Rota</v>
      </c>
    </row>
    <row r="1671" spans="1:7" x14ac:dyDescent="0.25">
      <c r="A1671">
        <v>11827</v>
      </c>
      <c r="B1671">
        <v>305</v>
      </c>
      <c r="C1671" s="1" t="str">
        <f>IF(Tabela8[[#This Row],[SETOR]]="","",IF(Tabela8[[#This Row],[SETOR]]&lt;200,"GV 10",IF(Tabela8[[#This Row],[SETOR]]&lt;300,"GV 20",IF(Tabela8[[#This Row],[SETOR]]&lt;400,"GV 30","S/GV"))))</f>
        <v>GV 30</v>
      </c>
      <c r="E1671" t="s">
        <v>123</v>
      </c>
      <c r="G1671" t="str">
        <f>_xlfn.CONCAT(Tabela9[[#This Row],[Coluna1]],Tabela9[[#This Row],[Coluna2]])</f>
        <v>20-Rota</v>
      </c>
    </row>
    <row r="1672" spans="1:7" x14ac:dyDescent="0.25">
      <c r="A1672">
        <v>11829</v>
      </c>
      <c r="B1672">
        <v>304</v>
      </c>
      <c r="C1672" s="1" t="str">
        <f>IF(Tabela8[[#This Row],[SETOR]]="","",IF(Tabela8[[#This Row],[SETOR]]&lt;200,"GV 10",IF(Tabela8[[#This Row],[SETOR]]&lt;300,"GV 20",IF(Tabela8[[#This Row],[SETOR]]&lt;400,"GV 30","S/GV"))))</f>
        <v>GV 30</v>
      </c>
      <c r="E1672" t="s">
        <v>123</v>
      </c>
      <c r="G1672" t="str">
        <f>_xlfn.CONCAT(Tabela9[[#This Row],[Coluna1]],Tabela9[[#This Row],[Coluna2]])</f>
        <v>20-Rota</v>
      </c>
    </row>
    <row r="1673" spans="1:7" x14ac:dyDescent="0.25">
      <c r="A1673">
        <v>11845</v>
      </c>
      <c r="B1673">
        <v>304</v>
      </c>
      <c r="C1673" s="1" t="str">
        <f>IF(Tabela8[[#This Row],[SETOR]]="","",IF(Tabela8[[#This Row],[SETOR]]&lt;200,"GV 10",IF(Tabela8[[#This Row],[SETOR]]&lt;300,"GV 20",IF(Tabela8[[#This Row],[SETOR]]&lt;400,"GV 30","S/GV"))))</f>
        <v>GV 30</v>
      </c>
      <c r="E1673" t="s">
        <v>123</v>
      </c>
      <c r="G1673" t="str">
        <f>_xlfn.CONCAT(Tabela9[[#This Row],[Coluna1]],Tabela9[[#This Row],[Coluna2]])</f>
        <v>20-Rota</v>
      </c>
    </row>
    <row r="1674" spans="1:7" x14ac:dyDescent="0.25">
      <c r="A1674">
        <v>11851</v>
      </c>
      <c r="B1674">
        <v>305</v>
      </c>
      <c r="C1674" s="1" t="str">
        <f>IF(Tabela8[[#This Row],[SETOR]]="","",IF(Tabela8[[#This Row],[SETOR]]&lt;200,"GV 10",IF(Tabela8[[#This Row],[SETOR]]&lt;300,"GV 20",IF(Tabela8[[#This Row],[SETOR]]&lt;400,"GV 30","S/GV"))))</f>
        <v>GV 30</v>
      </c>
      <c r="E1674" t="s">
        <v>123</v>
      </c>
      <c r="G1674" t="str">
        <f>_xlfn.CONCAT(Tabela9[[#This Row],[Coluna1]],Tabela9[[#This Row],[Coluna2]])</f>
        <v>20-Rota</v>
      </c>
    </row>
    <row r="1675" spans="1:7" x14ac:dyDescent="0.25">
      <c r="A1675">
        <v>11852</v>
      </c>
      <c r="B1675">
        <v>105</v>
      </c>
      <c r="C1675" s="1" t="str">
        <f>IF(Tabela8[[#This Row],[SETOR]]="","",IF(Tabela8[[#This Row],[SETOR]]&lt;200,"GV 10",IF(Tabela8[[#This Row],[SETOR]]&lt;300,"GV 20",IF(Tabela8[[#This Row],[SETOR]]&lt;400,"GV 30","S/GV"))))</f>
        <v>GV 10</v>
      </c>
      <c r="E1675" t="s">
        <v>125</v>
      </c>
      <c r="G1675" t="str">
        <f>_xlfn.CONCAT(Tabela9[[#This Row],[Coluna1]],Tabela9[[#This Row],[Coluna2]])</f>
        <v>18-TRAD</v>
      </c>
    </row>
    <row r="1676" spans="1:7" x14ac:dyDescent="0.25">
      <c r="A1676">
        <v>11857</v>
      </c>
      <c r="B1676">
        <v>304</v>
      </c>
      <c r="C1676" s="1" t="str">
        <f>IF(Tabela8[[#This Row],[SETOR]]="","",IF(Tabela8[[#This Row],[SETOR]]&lt;200,"GV 10",IF(Tabela8[[#This Row],[SETOR]]&lt;300,"GV 20",IF(Tabela8[[#This Row],[SETOR]]&lt;400,"GV 30","S/GV"))))</f>
        <v>GV 30</v>
      </c>
      <c r="E1676" t="s">
        <v>123</v>
      </c>
      <c r="G1676" t="str">
        <f>_xlfn.CONCAT(Tabela9[[#This Row],[Coluna1]],Tabela9[[#This Row],[Coluna2]])</f>
        <v>20-Rota</v>
      </c>
    </row>
    <row r="1677" spans="1:7" x14ac:dyDescent="0.25">
      <c r="A1677">
        <v>11862</v>
      </c>
      <c r="B1677">
        <v>306</v>
      </c>
      <c r="C1677" s="1" t="str">
        <f>IF(Tabela8[[#This Row],[SETOR]]="","",IF(Tabela8[[#This Row],[SETOR]]&lt;200,"GV 10",IF(Tabela8[[#This Row],[SETOR]]&lt;300,"GV 20",IF(Tabela8[[#This Row],[SETOR]]&lt;400,"GV 30","S/GV"))))</f>
        <v>GV 30</v>
      </c>
      <c r="E1677" t="s">
        <v>125</v>
      </c>
      <c r="G1677" t="str">
        <f>_xlfn.CONCAT(Tabela9[[#This Row],[Coluna1]],Tabela9[[#This Row],[Coluna2]])</f>
        <v>18-TRAD</v>
      </c>
    </row>
    <row r="1678" spans="1:7" x14ac:dyDescent="0.25">
      <c r="A1678">
        <v>11871</v>
      </c>
      <c r="B1678">
        <v>103</v>
      </c>
      <c r="C1678" s="1" t="str">
        <f>IF(Tabela8[[#This Row],[SETOR]]="","",IF(Tabela8[[#This Row],[SETOR]]&lt;200,"GV 10",IF(Tabela8[[#This Row],[SETOR]]&lt;300,"GV 20",IF(Tabela8[[#This Row],[SETOR]]&lt;400,"GV 30","S/GV"))))</f>
        <v>GV 10</v>
      </c>
      <c r="E1678" t="s">
        <v>123</v>
      </c>
      <c r="G1678" t="str">
        <f>_xlfn.CONCAT(Tabela9[[#This Row],[Coluna1]],Tabela9[[#This Row],[Coluna2]])</f>
        <v>20-Rota</v>
      </c>
    </row>
    <row r="1679" spans="1:7" x14ac:dyDescent="0.25">
      <c r="A1679">
        <v>11880</v>
      </c>
      <c r="B1679">
        <v>301</v>
      </c>
      <c r="C1679" s="1" t="str">
        <f>IF(Tabela8[[#This Row],[SETOR]]="","",IF(Tabela8[[#This Row],[SETOR]]&lt;200,"GV 10",IF(Tabela8[[#This Row],[SETOR]]&lt;300,"GV 20",IF(Tabela8[[#This Row],[SETOR]]&lt;400,"GV 30","S/GV"))))</f>
        <v>GV 30</v>
      </c>
      <c r="E1679" t="s">
        <v>123</v>
      </c>
      <c r="G1679" t="str">
        <f>_xlfn.CONCAT(Tabela9[[#This Row],[Coluna1]],Tabela9[[#This Row],[Coluna2]])</f>
        <v>20-Rota</v>
      </c>
    </row>
    <row r="1680" spans="1:7" x14ac:dyDescent="0.25">
      <c r="A1680">
        <v>11887</v>
      </c>
      <c r="B1680">
        <v>301</v>
      </c>
      <c r="C1680" s="1" t="str">
        <f>IF(Tabela8[[#This Row],[SETOR]]="","",IF(Tabela8[[#This Row],[SETOR]]&lt;200,"GV 10",IF(Tabela8[[#This Row],[SETOR]]&lt;300,"GV 20",IF(Tabela8[[#This Row],[SETOR]]&lt;400,"GV 30","S/GV"))))</f>
        <v>GV 30</v>
      </c>
      <c r="E1680" t="s">
        <v>123</v>
      </c>
      <c r="G1680" t="str">
        <f>_xlfn.CONCAT(Tabela9[[#This Row],[Coluna1]],Tabela9[[#This Row],[Coluna2]])</f>
        <v>20-Rota</v>
      </c>
    </row>
    <row r="1681" spans="1:7" x14ac:dyDescent="0.25">
      <c r="A1681">
        <v>11894</v>
      </c>
      <c r="B1681">
        <v>303</v>
      </c>
      <c r="C1681" s="1" t="str">
        <f>IF(Tabela8[[#This Row],[SETOR]]="","",IF(Tabela8[[#This Row],[SETOR]]&lt;200,"GV 10",IF(Tabela8[[#This Row],[SETOR]]&lt;300,"GV 20",IF(Tabela8[[#This Row],[SETOR]]&lt;400,"GV 30","S/GV"))))</f>
        <v>GV 30</v>
      </c>
      <c r="E1681" t="s">
        <v>123</v>
      </c>
      <c r="G1681" t="str">
        <f>_xlfn.CONCAT(Tabela9[[#This Row],[Coluna1]],Tabela9[[#This Row],[Coluna2]])</f>
        <v>20-Rota</v>
      </c>
    </row>
    <row r="1682" spans="1:7" x14ac:dyDescent="0.25">
      <c r="A1682">
        <v>11895</v>
      </c>
      <c r="B1682">
        <v>305</v>
      </c>
      <c r="C1682" s="1" t="str">
        <f>IF(Tabela8[[#This Row],[SETOR]]="","",IF(Tabela8[[#This Row],[SETOR]]&lt;200,"GV 10",IF(Tabela8[[#This Row],[SETOR]]&lt;300,"GV 20",IF(Tabela8[[#This Row],[SETOR]]&lt;400,"GV 30","S/GV"))))</f>
        <v>GV 30</v>
      </c>
      <c r="E1682" t="s">
        <v>123</v>
      </c>
      <c r="G1682" t="str">
        <f>_xlfn.CONCAT(Tabela9[[#This Row],[Coluna1]],Tabela9[[#This Row],[Coluna2]])</f>
        <v>20-Rota</v>
      </c>
    </row>
    <row r="1683" spans="1:7" x14ac:dyDescent="0.25">
      <c r="A1683">
        <v>11906</v>
      </c>
      <c r="B1683">
        <v>304</v>
      </c>
      <c r="C1683" s="1" t="str">
        <f>IF(Tabela8[[#This Row],[SETOR]]="","",IF(Tabela8[[#This Row],[SETOR]]&lt;200,"GV 10",IF(Tabela8[[#This Row],[SETOR]]&lt;300,"GV 20",IF(Tabela8[[#This Row],[SETOR]]&lt;400,"GV 30","S/GV"))))</f>
        <v>GV 30</v>
      </c>
      <c r="E1683" t="s">
        <v>123</v>
      </c>
      <c r="G1683" t="str">
        <f>_xlfn.CONCAT(Tabela9[[#This Row],[Coluna1]],Tabela9[[#This Row],[Coluna2]])</f>
        <v>20-Rota</v>
      </c>
    </row>
    <row r="1684" spans="1:7" x14ac:dyDescent="0.25">
      <c r="A1684">
        <v>11907</v>
      </c>
      <c r="B1684">
        <v>304</v>
      </c>
      <c r="C1684" s="1" t="str">
        <f>IF(Tabela8[[#This Row],[SETOR]]="","",IF(Tabela8[[#This Row],[SETOR]]&lt;200,"GV 10",IF(Tabela8[[#This Row],[SETOR]]&lt;300,"GV 20",IF(Tabela8[[#This Row],[SETOR]]&lt;400,"GV 30","S/GV"))))</f>
        <v>GV 30</v>
      </c>
      <c r="E1684" t="s">
        <v>123</v>
      </c>
      <c r="G1684" t="str">
        <f>_xlfn.CONCAT(Tabela9[[#This Row],[Coluna1]],Tabela9[[#This Row],[Coluna2]])</f>
        <v>20-Rota</v>
      </c>
    </row>
    <row r="1685" spans="1:7" x14ac:dyDescent="0.25">
      <c r="A1685">
        <v>11909</v>
      </c>
      <c r="B1685">
        <v>109</v>
      </c>
      <c r="C1685" s="1" t="str">
        <f>IF(Tabela8[[#This Row],[SETOR]]="","",IF(Tabela8[[#This Row],[SETOR]]&lt;200,"GV 10",IF(Tabela8[[#This Row],[SETOR]]&lt;300,"GV 20",IF(Tabela8[[#This Row],[SETOR]]&lt;400,"GV 30","S/GV"))))</f>
        <v>GV 10</v>
      </c>
      <c r="E1685" t="s">
        <v>123</v>
      </c>
      <c r="G1685" t="str">
        <f>_xlfn.CONCAT(Tabela9[[#This Row],[Coluna1]],Tabela9[[#This Row],[Coluna2]])</f>
        <v>20-Rota</v>
      </c>
    </row>
    <row r="1686" spans="1:7" x14ac:dyDescent="0.25">
      <c r="A1686">
        <v>11910</v>
      </c>
      <c r="B1686">
        <v>302</v>
      </c>
      <c r="C1686" s="1" t="str">
        <f>IF(Tabela8[[#This Row],[SETOR]]="","",IF(Tabela8[[#This Row],[SETOR]]&lt;200,"GV 10",IF(Tabela8[[#This Row],[SETOR]]&lt;300,"GV 20",IF(Tabela8[[#This Row],[SETOR]]&lt;400,"GV 30","S/GV"))))</f>
        <v>GV 30</v>
      </c>
      <c r="E1686" t="s">
        <v>123</v>
      </c>
      <c r="G1686" t="str">
        <f>_xlfn.CONCAT(Tabela9[[#This Row],[Coluna1]],Tabela9[[#This Row],[Coluna2]])</f>
        <v>20-Rota</v>
      </c>
    </row>
    <row r="1687" spans="1:7" x14ac:dyDescent="0.25">
      <c r="A1687">
        <v>11914</v>
      </c>
      <c r="B1687">
        <v>101</v>
      </c>
      <c r="C1687" s="1" t="str">
        <f>IF(Tabela8[[#This Row],[SETOR]]="","",IF(Tabela8[[#This Row],[SETOR]]&lt;200,"GV 10",IF(Tabela8[[#This Row],[SETOR]]&lt;300,"GV 20",IF(Tabela8[[#This Row],[SETOR]]&lt;400,"GV 30","S/GV"))))</f>
        <v>GV 10</v>
      </c>
      <c r="E1687" t="s">
        <v>123</v>
      </c>
      <c r="G1687" t="str">
        <f>_xlfn.CONCAT(Tabela9[[#This Row],[Coluna1]],Tabela9[[#This Row],[Coluna2]])</f>
        <v>20-Rota</v>
      </c>
    </row>
    <row r="1688" spans="1:7" x14ac:dyDescent="0.25">
      <c r="A1688">
        <v>11921</v>
      </c>
      <c r="B1688">
        <v>907</v>
      </c>
      <c r="C1688" s="1" t="str">
        <f>IF(Tabela8[[#This Row],[SETOR]]="","",IF(Tabela8[[#This Row],[SETOR]]&lt;200,"GV 10",IF(Tabela8[[#This Row],[SETOR]]&lt;300,"GV 20",IF(Tabela8[[#This Row],[SETOR]]&lt;400,"GV 30","S/GV"))))</f>
        <v>S/GV</v>
      </c>
      <c r="G1688" t="str">
        <f>_xlfn.CONCAT(Tabela9[[#This Row],[Coluna1]],Tabela9[[#This Row],[Coluna2]])</f>
        <v/>
      </c>
    </row>
    <row r="1689" spans="1:7" x14ac:dyDescent="0.25">
      <c r="A1689">
        <v>11924</v>
      </c>
      <c r="B1689">
        <v>208</v>
      </c>
      <c r="C1689" s="1" t="str">
        <f>IF(Tabela8[[#This Row],[SETOR]]="","",IF(Tabela8[[#This Row],[SETOR]]&lt;200,"GV 10",IF(Tabela8[[#This Row],[SETOR]]&lt;300,"GV 20",IF(Tabela8[[#This Row],[SETOR]]&lt;400,"GV 30","S/GV"))))</f>
        <v>GV 20</v>
      </c>
      <c r="E1689" t="s">
        <v>126</v>
      </c>
      <c r="F1689" t="s">
        <v>127</v>
      </c>
      <c r="G1689" t="str">
        <f>_xlfn.CONCAT(Tabela9[[#This Row],[Coluna1]],Tabela9[[#This Row],[Coluna2]])</f>
        <v>16-AS(5+)</v>
      </c>
    </row>
    <row r="1690" spans="1:7" x14ac:dyDescent="0.25">
      <c r="A1690">
        <v>11934</v>
      </c>
      <c r="B1690">
        <v>907</v>
      </c>
      <c r="C1690" s="1" t="str">
        <f>IF(Tabela8[[#This Row],[SETOR]]="","",IF(Tabela8[[#This Row],[SETOR]]&lt;200,"GV 10",IF(Tabela8[[#This Row],[SETOR]]&lt;300,"GV 20",IF(Tabela8[[#This Row],[SETOR]]&lt;400,"GV 30","S/GV"))))</f>
        <v>S/GV</v>
      </c>
      <c r="G1690" t="str">
        <f>_xlfn.CONCAT(Tabela9[[#This Row],[Coluna1]],Tabela9[[#This Row],[Coluna2]])</f>
        <v/>
      </c>
    </row>
    <row r="1691" spans="1:7" x14ac:dyDescent="0.25">
      <c r="A1691">
        <v>11936</v>
      </c>
      <c r="B1691">
        <v>916</v>
      </c>
      <c r="C1691" s="1" t="str">
        <f>IF(Tabela8[[#This Row],[SETOR]]="","",IF(Tabela8[[#This Row],[SETOR]]&lt;200,"GV 10",IF(Tabela8[[#This Row],[SETOR]]&lt;300,"GV 20",IF(Tabela8[[#This Row],[SETOR]]&lt;400,"GV 30","S/GV"))))</f>
        <v>S/GV</v>
      </c>
      <c r="G1691" t="str">
        <f>_xlfn.CONCAT(Tabela9[[#This Row],[Coluna1]],Tabela9[[#This Row],[Coluna2]])</f>
        <v/>
      </c>
    </row>
    <row r="1692" spans="1:7" x14ac:dyDescent="0.25">
      <c r="A1692">
        <v>11939</v>
      </c>
      <c r="B1692">
        <v>916</v>
      </c>
      <c r="C1692" s="1" t="str">
        <f>IF(Tabela8[[#This Row],[SETOR]]="","",IF(Tabela8[[#This Row],[SETOR]]&lt;200,"GV 10",IF(Tabela8[[#This Row],[SETOR]]&lt;300,"GV 20",IF(Tabela8[[#This Row],[SETOR]]&lt;400,"GV 30","S/GV"))))</f>
        <v>S/GV</v>
      </c>
      <c r="G1692" t="str">
        <f>_xlfn.CONCAT(Tabela9[[#This Row],[Coluna1]],Tabela9[[#This Row],[Coluna2]])</f>
        <v/>
      </c>
    </row>
    <row r="1693" spans="1:7" x14ac:dyDescent="0.25">
      <c r="A1693">
        <v>11940</v>
      </c>
      <c r="B1693">
        <v>916</v>
      </c>
      <c r="C1693" s="1" t="str">
        <f>IF(Tabela8[[#This Row],[SETOR]]="","",IF(Tabela8[[#This Row],[SETOR]]&lt;200,"GV 10",IF(Tabela8[[#This Row],[SETOR]]&lt;300,"GV 20",IF(Tabela8[[#This Row],[SETOR]]&lt;400,"GV 30","S/GV"))))</f>
        <v>S/GV</v>
      </c>
      <c r="G1693" t="str">
        <f>_xlfn.CONCAT(Tabela9[[#This Row],[Coluna1]],Tabela9[[#This Row],[Coluna2]])</f>
        <v/>
      </c>
    </row>
    <row r="1694" spans="1:7" x14ac:dyDescent="0.25">
      <c r="A1694">
        <v>11943</v>
      </c>
      <c r="B1694">
        <v>303</v>
      </c>
      <c r="C1694" s="1" t="str">
        <f>IF(Tabela8[[#This Row],[SETOR]]="","",IF(Tabela8[[#This Row],[SETOR]]&lt;200,"GV 10",IF(Tabela8[[#This Row],[SETOR]]&lt;300,"GV 20",IF(Tabela8[[#This Row],[SETOR]]&lt;400,"GV 30","S/GV"))))</f>
        <v>GV 30</v>
      </c>
      <c r="E1694" t="s">
        <v>123</v>
      </c>
      <c r="G1694" t="str">
        <f>_xlfn.CONCAT(Tabela9[[#This Row],[Coluna1]],Tabela9[[#This Row],[Coluna2]])</f>
        <v>20-Rota</v>
      </c>
    </row>
    <row r="1695" spans="1:7" x14ac:dyDescent="0.25">
      <c r="A1695">
        <v>11955</v>
      </c>
      <c r="B1695">
        <v>108</v>
      </c>
      <c r="C1695" s="1" t="str">
        <f>IF(Tabela8[[#This Row],[SETOR]]="","",IF(Tabela8[[#This Row],[SETOR]]&lt;200,"GV 10",IF(Tabela8[[#This Row],[SETOR]]&lt;300,"GV 20",IF(Tabela8[[#This Row],[SETOR]]&lt;400,"GV 30","S/GV"))))</f>
        <v>GV 10</v>
      </c>
      <c r="E1695" t="s">
        <v>128</v>
      </c>
      <c r="F1695" t="s">
        <v>129</v>
      </c>
      <c r="G1695" t="str">
        <f>_xlfn.CONCAT(Tabela9[[#This Row],[Coluna1]],Tabela9[[#This Row],[Coluna2]])</f>
        <v>15-AS(1-4)</v>
      </c>
    </row>
    <row r="1696" spans="1:7" x14ac:dyDescent="0.25">
      <c r="A1696">
        <v>11959</v>
      </c>
      <c r="B1696">
        <v>303</v>
      </c>
      <c r="C1696" s="1" t="str">
        <f>IF(Tabela8[[#This Row],[SETOR]]="","",IF(Tabela8[[#This Row],[SETOR]]&lt;200,"GV 10",IF(Tabela8[[#This Row],[SETOR]]&lt;300,"GV 20",IF(Tabela8[[#This Row],[SETOR]]&lt;400,"GV 30","S/GV"))))</f>
        <v>GV 30</v>
      </c>
      <c r="E1696" t="s">
        <v>123</v>
      </c>
      <c r="G1696" t="str">
        <f>_xlfn.CONCAT(Tabela9[[#This Row],[Coluna1]],Tabela9[[#This Row],[Coluna2]])</f>
        <v>20-Rota</v>
      </c>
    </row>
    <row r="1697" spans="1:7" x14ac:dyDescent="0.25">
      <c r="A1697">
        <v>11962</v>
      </c>
      <c r="B1697">
        <v>104</v>
      </c>
      <c r="C1697" s="1" t="str">
        <f>IF(Tabela8[[#This Row],[SETOR]]="","",IF(Tabela8[[#This Row],[SETOR]]&lt;200,"GV 10",IF(Tabela8[[#This Row],[SETOR]]&lt;300,"GV 20",IF(Tabela8[[#This Row],[SETOR]]&lt;400,"GV 30","S/GV"))))</f>
        <v>GV 10</v>
      </c>
      <c r="E1697" t="s">
        <v>123</v>
      </c>
      <c r="G1697" t="str">
        <f>_xlfn.CONCAT(Tabela9[[#This Row],[Coluna1]],Tabela9[[#This Row],[Coluna2]])</f>
        <v>20-Rota</v>
      </c>
    </row>
    <row r="1698" spans="1:7" x14ac:dyDescent="0.25">
      <c r="A1698">
        <v>11966</v>
      </c>
      <c r="B1698">
        <v>104</v>
      </c>
      <c r="C1698" s="1" t="str">
        <f>IF(Tabela8[[#This Row],[SETOR]]="","",IF(Tabela8[[#This Row],[SETOR]]&lt;200,"GV 10",IF(Tabela8[[#This Row],[SETOR]]&lt;300,"GV 20",IF(Tabela8[[#This Row],[SETOR]]&lt;400,"GV 30","S/GV"))))</f>
        <v>GV 10</v>
      </c>
      <c r="E1698" t="s">
        <v>123</v>
      </c>
      <c r="G1698" t="str">
        <f>_xlfn.CONCAT(Tabela9[[#This Row],[Coluna1]],Tabela9[[#This Row],[Coluna2]])</f>
        <v>20-Rota</v>
      </c>
    </row>
    <row r="1699" spans="1:7" x14ac:dyDescent="0.25">
      <c r="A1699">
        <v>11968</v>
      </c>
      <c r="B1699">
        <v>103</v>
      </c>
      <c r="C1699" s="1" t="str">
        <f>IF(Tabela8[[#This Row],[SETOR]]="","",IF(Tabela8[[#This Row],[SETOR]]&lt;200,"GV 10",IF(Tabela8[[#This Row],[SETOR]]&lt;300,"GV 20",IF(Tabela8[[#This Row],[SETOR]]&lt;400,"GV 30","S/GV"))))</f>
        <v>GV 10</v>
      </c>
      <c r="E1699" t="s">
        <v>123</v>
      </c>
      <c r="G1699" t="str">
        <f>_xlfn.CONCAT(Tabela9[[#This Row],[Coluna1]],Tabela9[[#This Row],[Coluna2]])</f>
        <v>20-Rota</v>
      </c>
    </row>
    <row r="1700" spans="1:7" x14ac:dyDescent="0.25">
      <c r="A1700">
        <v>11972</v>
      </c>
      <c r="B1700">
        <v>907</v>
      </c>
      <c r="C1700" s="1" t="str">
        <f>IF(Tabela8[[#This Row],[SETOR]]="","",IF(Tabela8[[#This Row],[SETOR]]&lt;200,"GV 10",IF(Tabela8[[#This Row],[SETOR]]&lt;300,"GV 20",IF(Tabela8[[#This Row],[SETOR]]&lt;400,"GV 30","S/GV"))))</f>
        <v>S/GV</v>
      </c>
      <c r="G1700" t="str">
        <f>_xlfn.CONCAT(Tabela9[[#This Row],[Coluna1]],Tabela9[[#This Row],[Coluna2]])</f>
        <v/>
      </c>
    </row>
    <row r="1701" spans="1:7" x14ac:dyDescent="0.25">
      <c r="A1701">
        <v>11973</v>
      </c>
      <c r="B1701">
        <v>105</v>
      </c>
      <c r="C1701" s="1" t="str">
        <f>IF(Tabela8[[#This Row],[SETOR]]="","",IF(Tabela8[[#This Row],[SETOR]]&lt;200,"GV 10",IF(Tabela8[[#This Row],[SETOR]]&lt;300,"GV 20",IF(Tabela8[[#This Row],[SETOR]]&lt;400,"GV 30","S/GV"))))</f>
        <v>GV 10</v>
      </c>
      <c r="E1701" t="s">
        <v>123</v>
      </c>
      <c r="G1701" t="str">
        <f>_xlfn.CONCAT(Tabela9[[#This Row],[Coluna1]],Tabela9[[#This Row],[Coluna2]])</f>
        <v>20-Rota</v>
      </c>
    </row>
    <row r="1702" spans="1:7" x14ac:dyDescent="0.25">
      <c r="A1702">
        <v>11977</v>
      </c>
      <c r="B1702">
        <v>304</v>
      </c>
      <c r="C1702" s="1" t="str">
        <f>IF(Tabela8[[#This Row],[SETOR]]="","",IF(Tabela8[[#This Row],[SETOR]]&lt;200,"GV 10",IF(Tabela8[[#This Row],[SETOR]]&lt;300,"GV 20",IF(Tabela8[[#This Row],[SETOR]]&lt;400,"GV 30","S/GV"))))</f>
        <v>GV 30</v>
      </c>
      <c r="E1702" t="s">
        <v>123</v>
      </c>
      <c r="G1702" t="str">
        <f>_xlfn.CONCAT(Tabela9[[#This Row],[Coluna1]],Tabela9[[#This Row],[Coluna2]])</f>
        <v>20-Rota</v>
      </c>
    </row>
    <row r="1703" spans="1:7" x14ac:dyDescent="0.25">
      <c r="A1703">
        <v>11981</v>
      </c>
      <c r="B1703">
        <v>205</v>
      </c>
      <c r="C1703" s="1" t="str">
        <f>IF(Tabela8[[#This Row],[SETOR]]="","",IF(Tabela8[[#This Row],[SETOR]]&lt;200,"GV 10",IF(Tabela8[[#This Row],[SETOR]]&lt;300,"GV 20",IF(Tabela8[[#This Row],[SETOR]]&lt;400,"GV 30","S/GV"))))</f>
        <v>GV 20</v>
      </c>
      <c r="E1703" t="s">
        <v>123</v>
      </c>
      <c r="G1703" t="str">
        <f>_xlfn.CONCAT(Tabela9[[#This Row],[Coluna1]],Tabela9[[#This Row],[Coluna2]])</f>
        <v>20-Rota</v>
      </c>
    </row>
    <row r="1704" spans="1:7" x14ac:dyDescent="0.25">
      <c r="A1704">
        <v>11995</v>
      </c>
      <c r="B1704">
        <v>906</v>
      </c>
      <c r="C1704" s="1" t="str">
        <f>IF(Tabela8[[#This Row],[SETOR]]="","",IF(Tabela8[[#This Row],[SETOR]]&lt;200,"GV 10",IF(Tabela8[[#This Row],[SETOR]]&lt;300,"GV 20",IF(Tabela8[[#This Row],[SETOR]]&lt;400,"GV 30","S/GV"))))</f>
        <v>S/GV</v>
      </c>
      <c r="G1704" t="str">
        <f>_xlfn.CONCAT(Tabela9[[#This Row],[Coluna1]],Tabela9[[#This Row],[Coluna2]])</f>
        <v/>
      </c>
    </row>
    <row r="1705" spans="1:7" x14ac:dyDescent="0.25">
      <c r="A1705">
        <v>12000</v>
      </c>
      <c r="B1705">
        <v>916</v>
      </c>
      <c r="C1705" s="1" t="str">
        <f>IF(Tabela8[[#This Row],[SETOR]]="","",IF(Tabela8[[#This Row],[SETOR]]&lt;200,"GV 10",IF(Tabela8[[#This Row],[SETOR]]&lt;300,"GV 20",IF(Tabela8[[#This Row],[SETOR]]&lt;400,"GV 30","S/GV"))))</f>
        <v>S/GV</v>
      </c>
      <c r="G1705" t="str">
        <f>_xlfn.CONCAT(Tabela9[[#This Row],[Coluna1]],Tabela9[[#This Row],[Coluna2]])</f>
        <v/>
      </c>
    </row>
    <row r="1706" spans="1:7" x14ac:dyDescent="0.25">
      <c r="A1706">
        <v>12002</v>
      </c>
      <c r="B1706">
        <v>106</v>
      </c>
      <c r="C1706" s="1" t="str">
        <f>IF(Tabela8[[#This Row],[SETOR]]="","",IF(Tabela8[[#This Row],[SETOR]]&lt;200,"GV 10",IF(Tabela8[[#This Row],[SETOR]]&lt;300,"GV 20",IF(Tabela8[[#This Row],[SETOR]]&lt;400,"GV 30","S/GV"))))</f>
        <v>GV 10</v>
      </c>
      <c r="E1706" t="s">
        <v>123</v>
      </c>
      <c r="G1706" t="str">
        <f>_xlfn.CONCAT(Tabela9[[#This Row],[Coluna1]],Tabela9[[#This Row],[Coluna2]])</f>
        <v>20-Rota</v>
      </c>
    </row>
    <row r="1707" spans="1:7" x14ac:dyDescent="0.25">
      <c r="A1707">
        <v>12021</v>
      </c>
      <c r="B1707">
        <v>916</v>
      </c>
      <c r="C1707" s="1" t="str">
        <f>IF(Tabela8[[#This Row],[SETOR]]="","",IF(Tabela8[[#This Row],[SETOR]]&lt;200,"GV 10",IF(Tabela8[[#This Row],[SETOR]]&lt;300,"GV 20",IF(Tabela8[[#This Row],[SETOR]]&lt;400,"GV 30","S/GV"))))</f>
        <v>S/GV</v>
      </c>
      <c r="G1707" t="str">
        <f>_xlfn.CONCAT(Tabela9[[#This Row],[Coluna1]],Tabela9[[#This Row],[Coluna2]])</f>
        <v/>
      </c>
    </row>
    <row r="1708" spans="1:7" x14ac:dyDescent="0.25">
      <c r="A1708">
        <v>12023</v>
      </c>
      <c r="B1708">
        <v>108</v>
      </c>
      <c r="C1708" s="1" t="str">
        <f>IF(Tabela8[[#This Row],[SETOR]]="","",IF(Tabela8[[#This Row],[SETOR]]&lt;200,"GV 10",IF(Tabela8[[#This Row],[SETOR]]&lt;300,"GV 20",IF(Tabela8[[#This Row],[SETOR]]&lt;400,"GV 30","S/GV"))))</f>
        <v>GV 10</v>
      </c>
      <c r="E1708" t="s">
        <v>128</v>
      </c>
      <c r="F1708" t="s">
        <v>129</v>
      </c>
      <c r="G1708" t="str">
        <f>_xlfn.CONCAT(Tabela9[[#This Row],[Coluna1]],Tabela9[[#This Row],[Coluna2]])</f>
        <v>15-AS(1-4)</v>
      </c>
    </row>
    <row r="1709" spans="1:7" x14ac:dyDescent="0.25">
      <c r="A1709">
        <v>12030</v>
      </c>
      <c r="B1709">
        <v>309</v>
      </c>
      <c r="C1709" s="1" t="str">
        <f>IF(Tabela8[[#This Row],[SETOR]]="","",IF(Tabela8[[#This Row],[SETOR]]&lt;200,"GV 10",IF(Tabela8[[#This Row],[SETOR]]&lt;300,"GV 20",IF(Tabela8[[#This Row],[SETOR]]&lt;400,"GV 30","S/GV"))))</f>
        <v>GV 30</v>
      </c>
      <c r="E1709" t="s">
        <v>126</v>
      </c>
      <c r="F1709" t="s">
        <v>127</v>
      </c>
      <c r="G1709" t="str">
        <f>_xlfn.CONCAT(Tabela9[[#This Row],[Coluna1]],Tabela9[[#This Row],[Coluna2]])</f>
        <v>16-AS(5+)</v>
      </c>
    </row>
    <row r="1710" spans="1:7" x14ac:dyDescent="0.25">
      <c r="A1710">
        <v>12035</v>
      </c>
      <c r="B1710">
        <v>305</v>
      </c>
      <c r="C1710" s="1" t="str">
        <f>IF(Tabela8[[#This Row],[SETOR]]="","",IF(Tabela8[[#This Row],[SETOR]]&lt;200,"GV 10",IF(Tabela8[[#This Row],[SETOR]]&lt;300,"GV 20",IF(Tabela8[[#This Row],[SETOR]]&lt;400,"GV 30","S/GV"))))</f>
        <v>GV 30</v>
      </c>
      <c r="E1710" t="s">
        <v>123</v>
      </c>
      <c r="G1710" t="str">
        <f>_xlfn.CONCAT(Tabela9[[#This Row],[Coluna1]],Tabela9[[#This Row],[Coluna2]])</f>
        <v>20-Rota</v>
      </c>
    </row>
    <row r="1711" spans="1:7" x14ac:dyDescent="0.25">
      <c r="A1711">
        <v>12044</v>
      </c>
      <c r="B1711">
        <v>906</v>
      </c>
      <c r="C1711" s="1" t="str">
        <f>IF(Tabela8[[#This Row],[SETOR]]="","",IF(Tabela8[[#This Row],[SETOR]]&lt;200,"GV 10",IF(Tabela8[[#This Row],[SETOR]]&lt;300,"GV 20",IF(Tabela8[[#This Row],[SETOR]]&lt;400,"GV 30","S/GV"))))</f>
        <v>S/GV</v>
      </c>
      <c r="E1711" t="s">
        <v>123</v>
      </c>
      <c r="G1711" t="str">
        <f>_xlfn.CONCAT(Tabela9[[#This Row],[Coluna1]],Tabela9[[#This Row],[Coluna2]])</f>
        <v>20-Rota</v>
      </c>
    </row>
    <row r="1712" spans="1:7" x14ac:dyDescent="0.25">
      <c r="A1712">
        <v>12056</v>
      </c>
      <c r="B1712">
        <v>102</v>
      </c>
      <c r="C1712" s="1" t="str">
        <f>IF(Tabela8[[#This Row],[SETOR]]="","",IF(Tabela8[[#This Row],[SETOR]]&lt;200,"GV 10",IF(Tabela8[[#This Row],[SETOR]]&lt;300,"GV 20",IF(Tabela8[[#This Row],[SETOR]]&lt;400,"GV 30","S/GV"))))</f>
        <v>GV 10</v>
      </c>
      <c r="E1712" t="s">
        <v>123</v>
      </c>
      <c r="G1712" t="str">
        <f>_xlfn.CONCAT(Tabela9[[#This Row],[Coluna1]],Tabela9[[#This Row],[Coluna2]])</f>
        <v>20-Rota</v>
      </c>
    </row>
    <row r="1713" spans="1:7" x14ac:dyDescent="0.25">
      <c r="A1713">
        <v>12063</v>
      </c>
      <c r="B1713">
        <v>201</v>
      </c>
      <c r="C1713" s="1" t="str">
        <f>IF(Tabela8[[#This Row],[SETOR]]="","",IF(Tabela8[[#This Row],[SETOR]]&lt;200,"GV 10",IF(Tabela8[[#This Row],[SETOR]]&lt;300,"GV 20",IF(Tabela8[[#This Row],[SETOR]]&lt;400,"GV 30","S/GV"))))</f>
        <v>GV 20</v>
      </c>
      <c r="E1713" t="s">
        <v>123</v>
      </c>
      <c r="G1713" t="str">
        <f>_xlfn.CONCAT(Tabela9[[#This Row],[Coluna1]],Tabela9[[#This Row],[Coluna2]])</f>
        <v>20-Rota</v>
      </c>
    </row>
    <row r="1714" spans="1:7" x14ac:dyDescent="0.25">
      <c r="A1714">
        <v>12074</v>
      </c>
      <c r="B1714">
        <v>205</v>
      </c>
      <c r="C1714" s="1" t="str">
        <f>IF(Tabela8[[#This Row],[SETOR]]="","",IF(Tabela8[[#This Row],[SETOR]]&lt;200,"GV 10",IF(Tabela8[[#This Row],[SETOR]]&lt;300,"GV 20",IF(Tabela8[[#This Row],[SETOR]]&lt;400,"GV 30","S/GV"))))</f>
        <v>GV 20</v>
      </c>
      <c r="E1714" t="s">
        <v>123</v>
      </c>
      <c r="G1714" t="str">
        <f>_xlfn.CONCAT(Tabela9[[#This Row],[Coluna1]],Tabela9[[#This Row],[Coluna2]])</f>
        <v>20-Rota</v>
      </c>
    </row>
    <row r="1715" spans="1:7" x14ac:dyDescent="0.25">
      <c r="A1715">
        <v>12075</v>
      </c>
      <c r="B1715">
        <v>303</v>
      </c>
      <c r="C1715" s="1" t="str">
        <f>IF(Tabela8[[#This Row],[SETOR]]="","",IF(Tabela8[[#This Row],[SETOR]]&lt;200,"GV 10",IF(Tabela8[[#This Row],[SETOR]]&lt;300,"GV 20",IF(Tabela8[[#This Row],[SETOR]]&lt;400,"GV 30","S/GV"))))</f>
        <v>GV 30</v>
      </c>
      <c r="E1715" t="s">
        <v>125</v>
      </c>
      <c r="G1715" t="str">
        <f>_xlfn.CONCAT(Tabela9[[#This Row],[Coluna1]],Tabela9[[#This Row],[Coluna2]])</f>
        <v>18-TRAD</v>
      </c>
    </row>
    <row r="1716" spans="1:7" x14ac:dyDescent="0.25">
      <c r="A1716">
        <v>12084</v>
      </c>
      <c r="B1716">
        <v>207</v>
      </c>
      <c r="C1716" s="1" t="str">
        <f>IF(Tabela8[[#This Row],[SETOR]]="","",IF(Tabela8[[#This Row],[SETOR]]&lt;200,"GV 10",IF(Tabela8[[#This Row],[SETOR]]&lt;300,"GV 20",IF(Tabela8[[#This Row],[SETOR]]&lt;400,"GV 30","S/GV"))))</f>
        <v>GV 20</v>
      </c>
      <c r="E1716" t="s">
        <v>125</v>
      </c>
      <c r="G1716" t="str">
        <f>_xlfn.CONCAT(Tabela9[[#This Row],[Coluna1]],Tabela9[[#This Row],[Coluna2]])</f>
        <v>18-TRAD</v>
      </c>
    </row>
    <row r="1717" spans="1:7" x14ac:dyDescent="0.25">
      <c r="A1717">
        <v>12097</v>
      </c>
      <c r="B1717">
        <v>207</v>
      </c>
      <c r="C1717" s="1" t="str">
        <f>IF(Tabela8[[#This Row],[SETOR]]="","",IF(Tabela8[[#This Row],[SETOR]]&lt;200,"GV 10",IF(Tabela8[[#This Row],[SETOR]]&lt;300,"GV 20",IF(Tabela8[[#This Row],[SETOR]]&lt;400,"GV 30","S/GV"))))</f>
        <v>GV 20</v>
      </c>
      <c r="E1717" t="s">
        <v>130</v>
      </c>
      <c r="G1717" t="str">
        <f>_xlfn.CONCAT(Tabela9[[#This Row],[Coluna1]],Tabela9[[#This Row],[Coluna2]])</f>
        <v>21-SUB</v>
      </c>
    </row>
    <row r="1718" spans="1:7" x14ac:dyDescent="0.25">
      <c r="A1718">
        <v>12098</v>
      </c>
      <c r="B1718">
        <v>202</v>
      </c>
      <c r="C1718" s="1" t="str">
        <f>IF(Tabela8[[#This Row],[SETOR]]="","",IF(Tabela8[[#This Row],[SETOR]]&lt;200,"GV 10",IF(Tabela8[[#This Row],[SETOR]]&lt;300,"GV 20",IF(Tabela8[[#This Row],[SETOR]]&lt;400,"GV 30","S/GV"))))</f>
        <v>GV 20</v>
      </c>
      <c r="E1718" t="s">
        <v>123</v>
      </c>
      <c r="G1718" t="str">
        <f>_xlfn.CONCAT(Tabela9[[#This Row],[Coluna1]],Tabela9[[#This Row],[Coluna2]])</f>
        <v>20-Rota</v>
      </c>
    </row>
    <row r="1719" spans="1:7" x14ac:dyDescent="0.25">
      <c r="A1719">
        <v>12101</v>
      </c>
      <c r="B1719">
        <v>107</v>
      </c>
      <c r="C1719" s="1" t="str">
        <f>IF(Tabela8[[#This Row],[SETOR]]="","",IF(Tabela8[[#This Row],[SETOR]]&lt;200,"GV 10",IF(Tabela8[[#This Row],[SETOR]]&lt;300,"GV 20",IF(Tabela8[[#This Row],[SETOR]]&lt;400,"GV 30","S/GV"))))</f>
        <v>GV 10</v>
      </c>
      <c r="E1719" t="s">
        <v>128</v>
      </c>
      <c r="F1719" t="s">
        <v>129</v>
      </c>
      <c r="G1719" t="str">
        <f>_xlfn.CONCAT(Tabela9[[#This Row],[Coluna1]],Tabela9[[#This Row],[Coluna2]])</f>
        <v>15-AS(1-4)</v>
      </c>
    </row>
    <row r="1720" spans="1:7" x14ac:dyDescent="0.25">
      <c r="A1720">
        <v>12102</v>
      </c>
      <c r="B1720">
        <v>203</v>
      </c>
      <c r="C1720" s="1" t="str">
        <f>IF(Tabela8[[#This Row],[SETOR]]="","",IF(Tabela8[[#This Row],[SETOR]]&lt;200,"GV 10",IF(Tabela8[[#This Row],[SETOR]]&lt;300,"GV 20",IF(Tabela8[[#This Row],[SETOR]]&lt;400,"GV 30","S/GV"))))</f>
        <v>GV 20</v>
      </c>
      <c r="E1720" t="s">
        <v>123</v>
      </c>
      <c r="G1720" t="str">
        <f>_xlfn.CONCAT(Tabela9[[#This Row],[Coluna1]],Tabela9[[#This Row],[Coluna2]])</f>
        <v>20-Rota</v>
      </c>
    </row>
    <row r="1721" spans="1:7" x14ac:dyDescent="0.25">
      <c r="A1721">
        <v>12108</v>
      </c>
      <c r="B1721">
        <v>202</v>
      </c>
      <c r="C1721" s="1" t="str">
        <f>IF(Tabela8[[#This Row],[SETOR]]="","",IF(Tabela8[[#This Row],[SETOR]]&lt;200,"GV 10",IF(Tabela8[[#This Row],[SETOR]]&lt;300,"GV 20",IF(Tabela8[[#This Row],[SETOR]]&lt;400,"GV 30","S/GV"))))</f>
        <v>GV 20</v>
      </c>
      <c r="E1721" t="s">
        <v>123</v>
      </c>
      <c r="G1721" t="str">
        <f>_xlfn.CONCAT(Tabela9[[#This Row],[Coluna1]],Tabela9[[#This Row],[Coluna2]])</f>
        <v>20-Rota</v>
      </c>
    </row>
    <row r="1722" spans="1:7" x14ac:dyDescent="0.25">
      <c r="A1722">
        <v>12110</v>
      </c>
      <c r="B1722">
        <v>104</v>
      </c>
      <c r="C1722" s="1" t="str">
        <f>IF(Tabela8[[#This Row],[SETOR]]="","",IF(Tabela8[[#This Row],[SETOR]]&lt;200,"GV 10",IF(Tabela8[[#This Row],[SETOR]]&lt;300,"GV 20",IF(Tabela8[[#This Row],[SETOR]]&lt;400,"GV 30","S/GV"))))</f>
        <v>GV 10</v>
      </c>
      <c r="E1722" t="s">
        <v>123</v>
      </c>
      <c r="G1722" t="str">
        <f>_xlfn.CONCAT(Tabela9[[#This Row],[Coluna1]],Tabela9[[#This Row],[Coluna2]])</f>
        <v>20-Rota</v>
      </c>
    </row>
    <row r="1723" spans="1:7" x14ac:dyDescent="0.25">
      <c r="A1723">
        <v>12112</v>
      </c>
      <c r="B1723">
        <v>201</v>
      </c>
      <c r="C1723" s="1" t="str">
        <f>IF(Tabela8[[#This Row],[SETOR]]="","",IF(Tabela8[[#This Row],[SETOR]]&lt;200,"GV 10",IF(Tabela8[[#This Row],[SETOR]]&lt;300,"GV 20",IF(Tabela8[[#This Row],[SETOR]]&lt;400,"GV 30","S/GV"))))</f>
        <v>GV 20</v>
      </c>
      <c r="E1723" t="s">
        <v>123</v>
      </c>
      <c r="G1723" t="str">
        <f>_xlfn.CONCAT(Tabela9[[#This Row],[Coluna1]],Tabela9[[#This Row],[Coluna2]])</f>
        <v>20-Rota</v>
      </c>
    </row>
    <row r="1724" spans="1:7" x14ac:dyDescent="0.25">
      <c r="A1724">
        <v>12118</v>
      </c>
      <c r="B1724">
        <v>305</v>
      </c>
      <c r="C1724" s="1" t="str">
        <f>IF(Tabela8[[#This Row],[SETOR]]="","",IF(Tabela8[[#This Row],[SETOR]]&lt;200,"GV 10",IF(Tabela8[[#This Row],[SETOR]]&lt;300,"GV 20",IF(Tabela8[[#This Row],[SETOR]]&lt;400,"GV 30","S/GV"))))</f>
        <v>GV 30</v>
      </c>
      <c r="E1724" t="s">
        <v>123</v>
      </c>
      <c r="G1724" t="str">
        <f>_xlfn.CONCAT(Tabela9[[#This Row],[Coluna1]],Tabela9[[#This Row],[Coluna2]])</f>
        <v>20-Rota</v>
      </c>
    </row>
    <row r="1725" spans="1:7" x14ac:dyDescent="0.25">
      <c r="A1725">
        <v>12134</v>
      </c>
      <c r="B1725">
        <v>108</v>
      </c>
      <c r="C1725" s="1" t="str">
        <f>IF(Tabela8[[#This Row],[SETOR]]="","",IF(Tabela8[[#This Row],[SETOR]]&lt;200,"GV 10",IF(Tabela8[[#This Row],[SETOR]]&lt;300,"GV 20",IF(Tabela8[[#This Row],[SETOR]]&lt;400,"GV 30","S/GV"))))</f>
        <v>GV 10</v>
      </c>
      <c r="E1725" t="s">
        <v>126</v>
      </c>
      <c r="F1725" t="s">
        <v>127</v>
      </c>
      <c r="G1725" t="str">
        <f>_xlfn.CONCAT(Tabela9[[#This Row],[Coluna1]],Tabela9[[#This Row],[Coluna2]])</f>
        <v>16-AS(5+)</v>
      </c>
    </row>
    <row r="1726" spans="1:7" x14ac:dyDescent="0.25">
      <c r="A1726">
        <v>12139</v>
      </c>
      <c r="B1726">
        <v>105</v>
      </c>
      <c r="C1726" s="1" t="str">
        <f>IF(Tabela8[[#This Row],[SETOR]]="","",IF(Tabela8[[#This Row],[SETOR]]&lt;200,"GV 10",IF(Tabela8[[#This Row],[SETOR]]&lt;300,"GV 20",IF(Tabela8[[#This Row],[SETOR]]&lt;400,"GV 30","S/GV"))))</f>
        <v>GV 10</v>
      </c>
      <c r="E1726" t="s">
        <v>123</v>
      </c>
      <c r="G1726" t="str">
        <f>_xlfn.CONCAT(Tabela9[[#This Row],[Coluna1]],Tabela9[[#This Row],[Coluna2]])</f>
        <v>20-Rota</v>
      </c>
    </row>
    <row r="1727" spans="1:7" x14ac:dyDescent="0.25">
      <c r="A1727">
        <v>12144</v>
      </c>
      <c r="B1727">
        <v>106</v>
      </c>
      <c r="C1727" s="1" t="str">
        <f>IF(Tabela8[[#This Row],[SETOR]]="","",IF(Tabela8[[#This Row],[SETOR]]&lt;200,"GV 10",IF(Tabela8[[#This Row],[SETOR]]&lt;300,"GV 20",IF(Tabela8[[#This Row],[SETOR]]&lt;400,"GV 30","S/GV"))))</f>
        <v>GV 10</v>
      </c>
      <c r="E1727" t="s">
        <v>123</v>
      </c>
      <c r="G1727" t="str">
        <f>_xlfn.CONCAT(Tabela9[[#This Row],[Coluna1]],Tabela9[[#This Row],[Coluna2]])</f>
        <v>20-Rota</v>
      </c>
    </row>
    <row r="1728" spans="1:7" x14ac:dyDescent="0.25">
      <c r="A1728">
        <v>12169</v>
      </c>
      <c r="B1728">
        <v>912</v>
      </c>
      <c r="C1728" s="1" t="str">
        <f>IF(Tabela8[[#This Row],[SETOR]]="","",IF(Tabela8[[#This Row],[SETOR]]&lt;200,"GV 10",IF(Tabela8[[#This Row],[SETOR]]&lt;300,"GV 20",IF(Tabela8[[#This Row],[SETOR]]&lt;400,"GV 30","S/GV"))))</f>
        <v>S/GV</v>
      </c>
      <c r="G1728" t="str">
        <f>_xlfn.CONCAT(Tabela9[[#This Row],[Coluna1]],Tabela9[[#This Row],[Coluna2]])</f>
        <v/>
      </c>
    </row>
    <row r="1729" spans="1:7" x14ac:dyDescent="0.25">
      <c r="A1729">
        <v>12172</v>
      </c>
      <c r="B1729">
        <v>103</v>
      </c>
      <c r="C1729" s="1" t="str">
        <f>IF(Tabela8[[#This Row],[SETOR]]="","",IF(Tabela8[[#This Row],[SETOR]]&lt;200,"GV 10",IF(Tabela8[[#This Row],[SETOR]]&lt;300,"GV 20",IF(Tabela8[[#This Row],[SETOR]]&lt;400,"GV 30","S/GV"))))</f>
        <v>GV 10</v>
      </c>
      <c r="E1729" t="s">
        <v>123</v>
      </c>
      <c r="G1729" t="str">
        <f>_xlfn.CONCAT(Tabela9[[#This Row],[Coluna1]],Tabela9[[#This Row],[Coluna2]])</f>
        <v>20-Rota</v>
      </c>
    </row>
    <row r="1730" spans="1:7" x14ac:dyDescent="0.25">
      <c r="A1730">
        <v>12176</v>
      </c>
      <c r="B1730">
        <v>101</v>
      </c>
      <c r="C1730" s="1" t="str">
        <f>IF(Tabela8[[#This Row],[SETOR]]="","",IF(Tabela8[[#This Row],[SETOR]]&lt;200,"GV 10",IF(Tabela8[[#This Row],[SETOR]]&lt;300,"GV 20",IF(Tabela8[[#This Row],[SETOR]]&lt;400,"GV 30","S/GV"))))</f>
        <v>GV 10</v>
      </c>
      <c r="E1730" t="s">
        <v>123</v>
      </c>
      <c r="G1730" t="str">
        <f>_xlfn.CONCAT(Tabela9[[#This Row],[Coluna1]],Tabela9[[#This Row],[Coluna2]])</f>
        <v>20-Rota</v>
      </c>
    </row>
    <row r="1731" spans="1:7" x14ac:dyDescent="0.25">
      <c r="A1731">
        <v>12178</v>
      </c>
      <c r="B1731">
        <v>301</v>
      </c>
      <c r="C1731" s="1" t="str">
        <f>IF(Tabela8[[#This Row],[SETOR]]="","",IF(Tabela8[[#This Row],[SETOR]]&lt;200,"GV 10",IF(Tabela8[[#This Row],[SETOR]]&lt;300,"GV 20",IF(Tabela8[[#This Row],[SETOR]]&lt;400,"GV 30","S/GV"))))</f>
        <v>GV 30</v>
      </c>
      <c r="E1731" t="s">
        <v>123</v>
      </c>
      <c r="G1731" t="str">
        <f>_xlfn.CONCAT(Tabela9[[#This Row],[Coluna1]],Tabela9[[#This Row],[Coluna2]])</f>
        <v>20-Rota</v>
      </c>
    </row>
    <row r="1732" spans="1:7" x14ac:dyDescent="0.25">
      <c r="A1732">
        <v>12179</v>
      </c>
      <c r="B1732">
        <v>304</v>
      </c>
      <c r="C1732" s="1" t="str">
        <f>IF(Tabela8[[#This Row],[SETOR]]="","",IF(Tabela8[[#This Row],[SETOR]]&lt;200,"GV 10",IF(Tabela8[[#This Row],[SETOR]]&lt;300,"GV 20",IF(Tabela8[[#This Row],[SETOR]]&lt;400,"GV 30","S/GV"))))</f>
        <v>GV 30</v>
      </c>
      <c r="E1732" t="s">
        <v>123</v>
      </c>
      <c r="G1732" t="str">
        <f>_xlfn.CONCAT(Tabela9[[#This Row],[Coluna1]],Tabela9[[#This Row],[Coluna2]])</f>
        <v>20-Rota</v>
      </c>
    </row>
    <row r="1733" spans="1:7" x14ac:dyDescent="0.25">
      <c r="A1733">
        <v>12182</v>
      </c>
      <c r="B1733">
        <v>103</v>
      </c>
      <c r="C1733" s="1" t="str">
        <f>IF(Tabela8[[#This Row],[SETOR]]="","",IF(Tabela8[[#This Row],[SETOR]]&lt;200,"GV 10",IF(Tabela8[[#This Row],[SETOR]]&lt;300,"GV 20",IF(Tabela8[[#This Row],[SETOR]]&lt;400,"GV 30","S/GV"))))</f>
        <v>GV 10</v>
      </c>
      <c r="E1733" t="s">
        <v>123</v>
      </c>
      <c r="G1733" t="str">
        <f>_xlfn.CONCAT(Tabela9[[#This Row],[Coluna1]],Tabela9[[#This Row],[Coluna2]])</f>
        <v>20-Rota</v>
      </c>
    </row>
    <row r="1734" spans="1:7" x14ac:dyDescent="0.25">
      <c r="A1734">
        <v>12189</v>
      </c>
      <c r="B1734">
        <v>109</v>
      </c>
      <c r="C1734" s="1" t="str">
        <f>IF(Tabela8[[#This Row],[SETOR]]="","",IF(Tabela8[[#This Row],[SETOR]]&lt;200,"GV 10",IF(Tabela8[[#This Row],[SETOR]]&lt;300,"GV 20",IF(Tabela8[[#This Row],[SETOR]]&lt;400,"GV 30","S/GV"))))</f>
        <v>GV 10</v>
      </c>
      <c r="E1734" t="s">
        <v>123</v>
      </c>
      <c r="G1734" t="str">
        <f>_xlfn.CONCAT(Tabela9[[#This Row],[Coluna1]],Tabela9[[#This Row],[Coluna2]])</f>
        <v>20-Rota</v>
      </c>
    </row>
    <row r="1735" spans="1:7" x14ac:dyDescent="0.25">
      <c r="A1735">
        <v>12193</v>
      </c>
      <c r="B1735">
        <v>105</v>
      </c>
      <c r="C1735" s="1" t="str">
        <f>IF(Tabela8[[#This Row],[SETOR]]="","",IF(Tabela8[[#This Row],[SETOR]]&lt;200,"GV 10",IF(Tabela8[[#This Row],[SETOR]]&lt;300,"GV 20",IF(Tabela8[[#This Row],[SETOR]]&lt;400,"GV 30","S/GV"))))</f>
        <v>GV 10</v>
      </c>
      <c r="E1735" t="s">
        <v>123</v>
      </c>
      <c r="G1735" t="str">
        <f>_xlfn.CONCAT(Tabela9[[#This Row],[Coluna1]],Tabela9[[#This Row],[Coluna2]])</f>
        <v>20-Rota</v>
      </c>
    </row>
    <row r="1736" spans="1:7" x14ac:dyDescent="0.25">
      <c r="A1736">
        <v>12197</v>
      </c>
      <c r="B1736">
        <v>107</v>
      </c>
      <c r="C1736" s="1" t="str">
        <f>IF(Tabela8[[#This Row],[SETOR]]="","",IF(Tabela8[[#This Row],[SETOR]]&lt;200,"GV 10",IF(Tabela8[[#This Row],[SETOR]]&lt;300,"GV 20",IF(Tabela8[[#This Row],[SETOR]]&lt;400,"GV 30","S/GV"))))</f>
        <v>GV 10</v>
      </c>
      <c r="E1736" t="s">
        <v>130</v>
      </c>
      <c r="G1736" t="str">
        <f>_xlfn.CONCAT(Tabela9[[#This Row],[Coluna1]],Tabela9[[#This Row],[Coluna2]])</f>
        <v>21-SUB</v>
      </c>
    </row>
    <row r="1737" spans="1:7" x14ac:dyDescent="0.25">
      <c r="A1737">
        <v>12204</v>
      </c>
      <c r="B1737">
        <v>101</v>
      </c>
      <c r="C1737" s="1" t="str">
        <f>IF(Tabela8[[#This Row],[SETOR]]="","",IF(Tabela8[[#This Row],[SETOR]]&lt;200,"GV 10",IF(Tabela8[[#This Row],[SETOR]]&lt;300,"GV 20",IF(Tabela8[[#This Row],[SETOR]]&lt;400,"GV 30","S/GV"))))</f>
        <v>GV 10</v>
      </c>
      <c r="E1737" t="s">
        <v>123</v>
      </c>
      <c r="G1737" t="str">
        <f>_xlfn.CONCAT(Tabela9[[#This Row],[Coluna1]],Tabela9[[#This Row],[Coluna2]])</f>
        <v>20-Rota</v>
      </c>
    </row>
    <row r="1738" spans="1:7" x14ac:dyDescent="0.25">
      <c r="A1738">
        <v>12207</v>
      </c>
      <c r="B1738">
        <v>916</v>
      </c>
      <c r="C1738" s="1" t="str">
        <f>IF(Tabela8[[#This Row],[SETOR]]="","",IF(Tabela8[[#This Row],[SETOR]]&lt;200,"GV 10",IF(Tabela8[[#This Row],[SETOR]]&lt;300,"GV 20",IF(Tabela8[[#This Row],[SETOR]]&lt;400,"GV 30","S/GV"))))</f>
        <v>S/GV</v>
      </c>
      <c r="G1738" t="str">
        <f>_xlfn.CONCAT(Tabela9[[#This Row],[Coluna1]],Tabela9[[#This Row],[Coluna2]])</f>
        <v/>
      </c>
    </row>
    <row r="1739" spans="1:7" x14ac:dyDescent="0.25">
      <c r="A1739">
        <v>12209</v>
      </c>
      <c r="B1739">
        <v>102</v>
      </c>
      <c r="C1739" s="1" t="str">
        <f>IF(Tabela8[[#This Row],[SETOR]]="","",IF(Tabela8[[#This Row],[SETOR]]&lt;200,"GV 10",IF(Tabela8[[#This Row],[SETOR]]&lt;300,"GV 20",IF(Tabela8[[#This Row],[SETOR]]&lt;400,"GV 30","S/GV"))))</f>
        <v>GV 10</v>
      </c>
      <c r="E1739" t="s">
        <v>123</v>
      </c>
      <c r="G1739" t="str">
        <f>_xlfn.CONCAT(Tabela9[[#This Row],[Coluna1]],Tabela9[[#This Row],[Coluna2]])</f>
        <v>20-Rota</v>
      </c>
    </row>
    <row r="1740" spans="1:7" x14ac:dyDescent="0.25">
      <c r="A1740">
        <v>12211</v>
      </c>
      <c r="B1740">
        <v>302</v>
      </c>
      <c r="C1740" s="1" t="str">
        <f>IF(Tabela8[[#This Row],[SETOR]]="","",IF(Tabela8[[#This Row],[SETOR]]&lt;200,"GV 10",IF(Tabela8[[#This Row],[SETOR]]&lt;300,"GV 20",IF(Tabela8[[#This Row],[SETOR]]&lt;400,"GV 30","S/GV"))))</f>
        <v>GV 30</v>
      </c>
      <c r="E1740" t="s">
        <v>123</v>
      </c>
      <c r="G1740" t="str">
        <f>_xlfn.CONCAT(Tabela9[[#This Row],[Coluna1]],Tabela9[[#This Row],[Coluna2]])</f>
        <v>20-Rota</v>
      </c>
    </row>
    <row r="1741" spans="1:7" x14ac:dyDescent="0.25">
      <c r="A1741">
        <v>12219</v>
      </c>
      <c r="B1741">
        <v>303</v>
      </c>
      <c r="C1741" s="1" t="str">
        <f>IF(Tabela8[[#This Row],[SETOR]]="","",IF(Tabela8[[#This Row],[SETOR]]&lt;200,"GV 10",IF(Tabela8[[#This Row],[SETOR]]&lt;300,"GV 20",IF(Tabela8[[#This Row],[SETOR]]&lt;400,"GV 30","S/GV"))))</f>
        <v>GV 30</v>
      </c>
      <c r="E1741" t="s">
        <v>123</v>
      </c>
      <c r="G1741" t="str">
        <f>_xlfn.CONCAT(Tabela9[[#This Row],[Coluna1]],Tabela9[[#This Row],[Coluna2]])</f>
        <v>20-Rota</v>
      </c>
    </row>
    <row r="1742" spans="1:7" x14ac:dyDescent="0.25">
      <c r="A1742">
        <v>12221</v>
      </c>
      <c r="B1742">
        <v>303</v>
      </c>
      <c r="C1742" s="1" t="str">
        <f>IF(Tabela8[[#This Row],[SETOR]]="","",IF(Tabela8[[#This Row],[SETOR]]&lt;200,"GV 10",IF(Tabela8[[#This Row],[SETOR]]&lt;300,"GV 20",IF(Tabela8[[#This Row],[SETOR]]&lt;400,"GV 30","S/GV"))))</f>
        <v>GV 30</v>
      </c>
      <c r="E1742" t="s">
        <v>123</v>
      </c>
      <c r="G1742" t="str">
        <f>_xlfn.CONCAT(Tabela9[[#This Row],[Coluna1]],Tabela9[[#This Row],[Coluna2]])</f>
        <v>20-Rota</v>
      </c>
    </row>
    <row r="1743" spans="1:7" x14ac:dyDescent="0.25">
      <c r="A1743">
        <v>12225</v>
      </c>
      <c r="B1743">
        <v>302</v>
      </c>
      <c r="C1743" s="1" t="str">
        <f>IF(Tabela8[[#This Row],[SETOR]]="","",IF(Tabela8[[#This Row],[SETOR]]&lt;200,"GV 10",IF(Tabela8[[#This Row],[SETOR]]&lt;300,"GV 20",IF(Tabela8[[#This Row],[SETOR]]&lt;400,"GV 30","S/GV"))))</f>
        <v>GV 30</v>
      </c>
      <c r="E1743" t="s">
        <v>123</v>
      </c>
      <c r="G1743" t="str">
        <f>_xlfn.CONCAT(Tabela9[[#This Row],[Coluna1]],Tabela9[[#This Row],[Coluna2]])</f>
        <v>20-Rota</v>
      </c>
    </row>
    <row r="1744" spans="1:7" x14ac:dyDescent="0.25">
      <c r="A1744">
        <v>12226</v>
      </c>
      <c r="B1744">
        <v>102</v>
      </c>
      <c r="C1744" s="1" t="str">
        <f>IF(Tabela8[[#This Row],[SETOR]]="","",IF(Tabela8[[#This Row],[SETOR]]&lt;200,"GV 10",IF(Tabela8[[#This Row],[SETOR]]&lt;300,"GV 20",IF(Tabela8[[#This Row],[SETOR]]&lt;400,"GV 30","S/GV"))))</f>
        <v>GV 10</v>
      </c>
      <c r="E1744" t="s">
        <v>123</v>
      </c>
      <c r="G1744" t="str">
        <f>_xlfn.CONCAT(Tabela9[[#This Row],[Coluna1]],Tabela9[[#This Row],[Coluna2]])</f>
        <v>20-Rota</v>
      </c>
    </row>
    <row r="1745" spans="1:7" x14ac:dyDescent="0.25">
      <c r="A1745">
        <v>12230</v>
      </c>
      <c r="B1745">
        <v>305</v>
      </c>
      <c r="C1745" s="1" t="str">
        <f>IF(Tabela8[[#This Row],[SETOR]]="","",IF(Tabela8[[#This Row],[SETOR]]&lt;200,"GV 10",IF(Tabela8[[#This Row],[SETOR]]&lt;300,"GV 20",IF(Tabela8[[#This Row],[SETOR]]&lt;400,"GV 30","S/GV"))))</f>
        <v>GV 30</v>
      </c>
      <c r="E1745" t="s">
        <v>123</v>
      </c>
      <c r="G1745" t="str">
        <f>_xlfn.CONCAT(Tabela9[[#This Row],[Coluna1]],Tabela9[[#This Row],[Coluna2]])</f>
        <v>20-Rota</v>
      </c>
    </row>
    <row r="1746" spans="1:7" x14ac:dyDescent="0.25">
      <c r="A1746">
        <v>12245</v>
      </c>
      <c r="B1746">
        <v>305</v>
      </c>
      <c r="C1746" s="1" t="str">
        <f>IF(Tabela8[[#This Row],[SETOR]]="","",IF(Tabela8[[#This Row],[SETOR]]&lt;200,"GV 10",IF(Tabela8[[#This Row],[SETOR]]&lt;300,"GV 20",IF(Tabela8[[#This Row],[SETOR]]&lt;400,"GV 30","S/GV"))))</f>
        <v>GV 30</v>
      </c>
      <c r="E1746" t="s">
        <v>123</v>
      </c>
      <c r="G1746" t="str">
        <f>_xlfn.CONCAT(Tabela9[[#This Row],[Coluna1]],Tabela9[[#This Row],[Coluna2]])</f>
        <v>20-Rota</v>
      </c>
    </row>
    <row r="1747" spans="1:7" x14ac:dyDescent="0.25">
      <c r="A1747">
        <v>12252</v>
      </c>
      <c r="B1747">
        <v>202</v>
      </c>
      <c r="C1747" s="1" t="str">
        <f>IF(Tabela8[[#This Row],[SETOR]]="","",IF(Tabela8[[#This Row],[SETOR]]&lt;200,"GV 10",IF(Tabela8[[#This Row],[SETOR]]&lt;300,"GV 20",IF(Tabela8[[#This Row],[SETOR]]&lt;400,"GV 30","S/GV"))))</f>
        <v>GV 20</v>
      </c>
      <c r="E1747" t="s">
        <v>123</v>
      </c>
      <c r="G1747" t="str">
        <f>_xlfn.CONCAT(Tabela9[[#This Row],[Coluna1]],Tabela9[[#This Row],[Coluna2]])</f>
        <v>20-Rota</v>
      </c>
    </row>
    <row r="1748" spans="1:7" x14ac:dyDescent="0.25">
      <c r="A1748">
        <v>12253</v>
      </c>
      <c r="B1748">
        <v>109</v>
      </c>
      <c r="C1748" s="1" t="str">
        <f>IF(Tabela8[[#This Row],[SETOR]]="","",IF(Tabela8[[#This Row],[SETOR]]&lt;200,"GV 10",IF(Tabela8[[#This Row],[SETOR]]&lt;300,"GV 20",IF(Tabela8[[#This Row],[SETOR]]&lt;400,"GV 30","S/GV"))))</f>
        <v>GV 10</v>
      </c>
      <c r="E1748" t="s">
        <v>123</v>
      </c>
      <c r="G1748" t="str">
        <f>_xlfn.CONCAT(Tabela9[[#This Row],[Coluna1]],Tabela9[[#This Row],[Coluna2]])</f>
        <v>20-Rota</v>
      </c>
    </row>
    <row r="1749" spans="1:7" x14ac:dyDescent="0.25">
      <c r="A1749">
        <v>12254</v>
      </c>
      <c r="B1749">
        <v>303</v>
      </c>
      <c r="C1749" s="1" t="str">
        <f>IF(Tabela8[[#This Row],[SETOR]]="","",IF(Tabela8[[#This Row],[SETOR]]&lt;200,"GV 10",IF(Tabela8[[#This Row],[SETOR]]&lt;300,"GV 20",IF(Tabela8[[#This Row],[SETOR]]&lt;400,"GV 30","S/GV"))))</f>
        <v>GV 30</v>
      </c>
      <c r="E1749" t="s">
        <v>123</v>
      </c>
      <c r="G1749" t="str">
        <f>_xlfn.CONCAT(Tabela9[[#This Row],[Coluna1]],Tabela9[[#This Row],[Coluna2]])</f>
        <v>20-Rota</v>
      </c>
    </row>
    <row r="1750" spans="1:7" x14ac:dyDescent="0.25">
      <c r="A1750">
        <v>12256</v>
      </c>
      <c r="B1750">
        <v>106</v>
      </c>
      <c r="C1750" s="1" t="str">
        <f>IF(Tabela8[[#This Row],[SETOR]]="","",IF(Tabela8[[#This Row],[SETOR]]&lt;200,"GV 10",IF(Tabela8[[#This Row],[SETOR]]&lt;300,"GV 20",IF(Tabela8[[#This Row],[SETOR]]&lt;400,"GV 30","S/GV"))))</f>
        <v>GV 10</v>
      </c>
      <c r="E1750" t="s">
        <v>123</v>
      </c>
      <c r="G1750" t="str">
        <f>_xlfn.CONCAT(Tabela9[[#This Row],[Coluna1]],Tabela9[[#This Row],[Coluna2]])</f>
        <v>20-Rota</v>
      </c>
    </row>
    <row r="1751" spans="1:7" x14ac:dyDescent="0.25">
      <c r="A1751">
        <v>12261</v>
      </c>
      <c r="B1751">
        <v>301</v>
      </c>
      <c r="C1751" s="1" t="str">
        <f>IF(Tabela8[[#This Row],[SETOR]]="","",IF(Tabela8[[#This Row],[SETOR]]&lt;200,"GV 10",IF(Tabela8[[#This Row],[SETOR]]&lt;300,"GV 20",IF(Tabela8[[#This Row],[SETOR]]&lt;400,"GV 30","S/GV"))))</f>
        <v>GV 30</v>
      </c>
      <c r="E1751" t="s">
        <v>123</v>
      </c>
      <c r="G1751" t="str">
        <f>_xlfn.CONCAT(Tabela9[[#This Row],[Coluna1]],Tabela9[[#This Row],[Coluna2]])</f>
        <v>20-Rota</v>
      </c>
    </row>
    <row r="1752" spans="1:7" x14ac:dyDescent="0.25">
      <c r="A1752">
        <v>12263</v>
      </c>
      <c r="B1752">
        <v>103</v>
      </c>
      <c r="C1752" s="1" t="str">
        <f>IF(Tabela8[[#This Row],[SETOR]]="","",IF(Tabela8[[#This Row],[SETOR]]&lt;200,"GV 10",IF(Tabela8[[#This Row],[SETOR]]&lt;300,"GV 20",IF(Tabela8[[#This Row],[SETOR]]&lt;400,"GV 30","S/GV"))))</f>
        <v>GV 10</v>
      </c>
      <c r="E1752" t="s">
        <v>123</v>
      </c>
      <c r="G1752" t="str">
        <f>_xlfn.CONCAT(Tabela9[[#This Row],[Coluna1]],Tabela9[[#This Row],[Coluna2]])</f>
        <v>20-Rota</v>
      </c>
    </row>
    <row r="1753" spans="1:7" x14ac:dyDescent="0.25">
      <c r="A1753">
        <v>12265</v>
      </c>
      <c r="B1753">
        <v>305</v>
      </c>
      <c r="C1753" s="1" t="str">
        <f>IF(Tabela8[[#This Row],[SETOR]]="","",IF(Tabela8[[#This Row],[SETOR]]&lt;200,"GV 10",IF(Tabela8[[#This Row],[SETOR]]&lt;300,"GV 20",IF(Tabela8[[#This Row],[SETOR]]&lt;400,"GV 30","S/GV"))))</f>
        <v>GV 30</v>
      </c>
      <c r="E1753" t="s">
        <v>123</v>
      </c>
      <c r="G1753" t="str">
        <f>_xlfn.CONCAT(Tabela9[[#This Row],[Coluna1]],Tabela9[[#This Row],[Coluna2]])</f>
        <v>20-Rota</v>
      </c>
    </row>
    <row r="1754" spans="1:7" x14ac:dyDescent="0.25">
      <c r="A1754">
        <v>12276</v>
      </c>
      <c r="B1754">
        <v>304</v>
      </c>
      <c r="C1754" s="1" t="str">
        <f>IF(Tabela8[[#This Row],[SETOR]]="","",IF(Tabela8[[#This Row],[SETOR]]&lt;200,"GV 10",IF(Tabela8[[#This Row],[SETOR]]&lt;300,"GV 20",IF(Tabela8[[#This Row],[SETOR]]&lt;400,"GV 30","S/GV"))))</f>
        <v>GV 30</v>
      </c>
      <c r="E1754" t="s">
        <v>123</v>
      </c>
      <c r="G1754" t="str">
        <f>_xlfn.CONCAT(Tabela9[[#This Row],[Coluna1]],Tabela9[[#This Row],[Coluna2]])</f>
        <v>20-Rota</v>
      </c>
    </row>
    <row r="1755" spans="1:7" x14ac:dyDescent="0.25">
      <c r="A1755">
        <v>12284</v>
      </c>
      <c r="B1755">
        <v>109</v>
      </c>
      <c r="C1755" s="1" t="str">
        <f>IF(Tabela8[[#This Row],[SETOR]]="","",IF(Tabela8[[#This Row],[SETOR]]&lt;200,"GV 10",IF(Tabela8[[#This Row],[SETOR]]&lt;300,"GV 20",IF(Tabela8[[#This Row],[SETOR]]&lt;400,"GV 30","S/GV"))))</f>
        <v>GV 10</v>
      </c>
      <c r="E1755" t="s">
        <v>123</v>
      </c>
      <c r="G1755" t="str">
        <f>_xlfn.CONCAT(Tabela9[[#This Row],[Coluna1]],Tabela9[[#This Row],[Coluna2]])</f>
        <v>20-Rota</v>
      </c>
    </row>
    <row r="1756" spans="1:7" x14ac:dyDescent="0.25">
      <c r="A1756">
        <v>12286</v>
      </c>
      <c r="B1756">
        <v>305</v>
      </c>
      <c r="C1756" s="1" t="str">
        <f>IF(Tabela8[[#This Row],[SETOR]]="","",IF(Tabela8[[#This Row],[SETOR]]&lt;200,"GV 10",IF(Tabela8[[#This Row],[SETOR]]&lt;300,"GV 20",IF(Tabela8[[#This Row],[SETOR]]&lt;400,"GV 30","S/GV"))))</f>
        <v>GV 30</v>
      </c>
      <c r="E1756" t="s">
        <v>123</v>
      </c>
      <c r="G1756" t="str">
        <f>_xlfn.CONCAT(Tabela9[[#This Row],[Coluna1]],Tabela9[[#This Row],[Coluna2]])</f>
        <v>20-Rota</v>
      </c>
    </row>
    <row r="1757" spans="1:7" x14ac:dyDescent="0.25">
      <c r="A1757">
        <v>12287</v>
      </c>
      <c r="B1757">
        <v>102</v>
      </c>
      <c r="C1757" s="1" t="str">
        <f>IF(Tabela8[[#This Row],[SETOR]]="","",IF(Tabela8[[#This Row],[SETOR]]&lt;200,"GV 10",IF(Tabela8[[#This Row],[SETOR]]&lt;300,"GV 20",IF(Tabela8[[#This Row],[SETOR]]&lt;400,"GV 30","S/GV"))))</f>
        <v>GV 10</v>
      </c>
      <c r="E1757" t="s">
        <v>123</v>
      </c>
      <c r="G1757" t="str">
        <f>_xlfn.CONCAT(Tabela9[[#This Row],[Coluna1]],Tabela9[[#This Row],[Coluna2]])</f>
        <v>20-Rota</v>
      </c>
    </row>
    <row r="1758" spans="1:7" x14ac:dyDescent="0.25">
      <c r="A1758">
        <v>12293</v>
      </c>
      <c r="B1758">
        <v>101</v>
      </c>
      <c r="C1758" s="1" t="str">
        <f>IF(Tabela8[[#This Row],[SETOR]]="","",IF(Tabela8[[#This Row],[SETOR]]&lt;200,"GV 10",IF(Tabela8[[#This Row],[SETOR]]&lt;300,"GV 20",IF(Tabela8[[#This Row],[SETOR]]&lt;400,"GV 30","S/GV"))))</f>
        <v>GV 10</v>
      </c>
      <c r="E1758" t="s">
        <v>123</v>
      </c>
      <c r="G1758" t="str">
        <f>_xlfn.CONCAT(Tabela9[[#This Row],[Coluna1]],Tabela9[[#This Row],[Coluna2]])</f>
        <v>20-Rota</v>
      </c>
    </row>
    <row r="1759" spans="1:7" x14ac:dyDescent="0.25">
      <c r="A1759">
        <v>12294</v>
      </c>
      <c r="B1759">
        <v>308</v>
      </c>
      <c r="C1759" s="1" t="str">
        <f>IF(Tabela8[[#This Row],[SETOR]]="","",IF(Tabela8[[#This Row],[SETOR]]&lt;200,"GV 10",IF(Tabela8[[#This Row],[SETOR]]&lt;300,"GV 20",IF(Tabela8[[#This Row],[SETOR]]&lt;400,"GV 30","S/GV"))))</f>
        <v>GV 30</v>
      </c>
      <c r="E1759" t="s">
        <v>128</v>
      </c>
      <c r="F1759" t="s">
        <v>129</v>
      </c>
      <c r="G1759" t="str">
        <f>_xlfn.CONCAT(Tabela9[[#This Row],[Coluna1]],Tabela9[[#This Row],[Coluna2]])</f>
        <v>15-AS(1-4)</v>
      </c>
    </row>
    <row r="1760" spans="1:7" x14ac:dyDescent="0.25">
      <c r="A1760">
        <v>12296</v>
      </c>
      <c r="B1760">
        <v>106</v>
      </c>
      <c r="C1760" s="1" t="str">
        <f>IF(Tabela8[[#This Row],[SETOR]]="","",IF(Tabela8[[#This Row],[SETOR]]&lt;200,"GV 10",IF(Tabela8[[#This Row],[SETOR]]&lt;300,"GV 20",IF(Tabela8[[#This Row],[SETOR]]&lt;400,"GV 30","S/GV"))))</f>
        <v>GV 10</v>
      </c>
      <c r="E1760" t="s">
        <v>123</v>
      </c>
      <c r="G1760" t="str">
        <f>_xlfn.CONCAT(Tabela9[[#This Row],[Coluna1]],Tabela9[[#This Row],[Coluna2]])</f>
        <v>20-Rota</v>
      </c>
    </row>
    <row r="1761" spans="1:7" x14ac:dyDescent="0.25">
      <c r="A1761">
        <v>12301</v>
      </c>
      <c r="B1761">
        <v>302</v>
      </c>
      <c r="C1761" s="1" t="str">
        <f>IF(Tabela8[[#This Row],[SETOR]]="","",IF(Tabela8[[#This Row],[SETOR]]&lt;200,"GV 10",IF(Tabela8[[#This Row],[SETOR]]&lt;300,"GV 20",IF(Tabela8[[#This Row],[SETOR]]&lt;400,"GV 30","S/GV"))))</f>
        <v>GV 30</v>
      </c>
      <c r="E1761" t="s">
        <v>123</v>
      </c>
      <c r="G1761" t="str">
        <f>_xlfn.CONCAT(Tabela9[[#This Row],[Coluna1]],Tabela9[[#This Row],[Coluna2]])</f>
        <v>20-Rota</v>
      </c>
    </row>
    <row r="1762" spans="1:7" x14ac:dyDescent="0.25">
      <c r="A1762">
        <v>12303</v>
      </c>
      <c r="B1762">
        <v>301</v>
      </c>
      <c r="C1762" s="1" t="str">
        <f>IF(Tabela8[[#This Row],[SETOR]]="","",IF(Tabela8[[#This Row],[SETOR]]&lt;200,"GV 10",IF(Tabela8[[#This Row],[SETOR]]&lt;300,"GV 20",IF(Tabela8[[#This Row],[SETOR]]&lt;400,"GV 30","S/GV"))))</f>
        <v>GV 30</v>
      </c>
      <c r="E1762" t="s">
        <v>123</v>
      </c>
      <c r="G1762" t="str">
        <f>_xlfn.CONCAT(Tabela9[[#This Row],[Coluna1]],Tabela9[[#This Row],[Coluna2]])</f>
        <v>20-Rota</v>
      </c>
    </row>
    <row r="1763" spans="1:7" x14ac:dyDescent="0.25">
      <c r="A1763">
        <v>12305</v>
      </c>
      <c r="B1763">
        <v>308</v>
      </c>
      <c r="C1763" s="1" t="str">
        <f>IF(Tabela8[[#This Row],[SETOR]]="","",IF(Tabela8[[#This Row],[SETOR]]&lt;200,"GV 10",IF(Tabela8[[#This Row],[SETOR]]&lt;300,"GV 20",IF(Tabela8[[#This Row],[SETOR]]&lt;400,"GV 30","S/GV"))))</f>
        <v>GV 30</v>
      </c>
      <c r="E1763" t="s">
        <v>128</v>
      </c>
      <c r="F1763" t="s">
        <v>129</v>
      </c>
      <c r="G1763" t="str">
        <f>_xlfn.CONCAT(Tabela9[[#This Row],[Coluna1]],Tabela9[[#This Row],[Coluna2]])</f>
        <v>15-AS(1-4)</v>
      </c>
    </row>
    <row r="1764" spans="1:7" x14ac:dyDescent="0.25">
      <c r="A1764">
        <v>12308</v>
      </c>
      <c r="B1764">
        <v>305</v>
      </c>
      <c r="C1764" s="1" t="str">
        <f>IF(Tabela8[[#This Row],[SETOR]]="","",IF(Tabela8[[#This Row],[SETOR]]&lt;200,"GV 10",IF(Tabela8[[#This Row],[SETOR]]&lt;300,"GV 20",IF(Tabela8[[#This Row],[SETOR]]&lt;400,"GV 30","S/GV"))))</f>
        <v>GV 30</v>
      </c>
      <c r="E1764" t="s">
        <v>123</v>
      </c>
      <c r="G1764" t="str">
        <f>_xlfn.CONCAT(Tabela9[[#This Row],[Coluna1]],Tabela9[[#This Row],[Coluna2]])</f>
        <v>20-Rota</v>
      </c>
    </row>
    <row r="1765" spans="1:7" x14ac:dyDescent="0.25">
      <c r="A1765">
        <v>12316</v>
      </c>
      <c r="B1765">
        <v>202</v>
      </c>
      <c r="C1765" s="1" t="str">
        <f>IF(Tabela8[[#This Row],[SETOR]]="","",IF(Tabela8[[#This Row],[SETOR]]&lt;200,"GV 10",IF(Tabela8[[#This Row],[SETOR]]&lt;300,"GV 20",IF(Tabela8[[#This Row],[SETOR]]&lt;400,"GV 30","S/GV"))))</f>
        <v>GV 20</v>
      </c>
      <c r="E1765" t="s">
        <v>123</v>
      </c>
      <c r="G1765" t="str">
        <f>_xlfn.CONCAT(Tabela9[[#This Row],[Coluna1]],Tabela9[[#This Row],[Coluna2]])</f>
        <v>20-Rota</v>
      </c>
    </row>
    <row r="1766" spans="1:7" x14ac:dyDescent="0.25">
      <c r="A1766">
        <v>12324</v>
      </c>
      <c r="B1766">
        <v>303</v>
      </c>
      <c r="C1766" s="1" t="str">
        <f>IF(Tabela8[[#This Row],[SETOR]]="","",IF(Tabela8[[#This Row],[SETOR]]&lt;200,"GV 10",IF(Tabela8[[#This Row],[SETOR]]&lt;300,"GV 20",IF(Tabela8[[#This Row],[SETOR]]&lt;400,"GV 30","S/GV"))))</f>
        <v>GV 30</v>
      </c>
      <c r="E1766" t="s">
        <v>123</v>
      </c>
      <c r="G1766" t="str">
        <f>_xlfn.CONCAT(Tabela9[[#This Row],[Coluna1]],Tabela9[[#This Row],[Coluna2]])</f>
        <v>20-Rota</v>
      </c>
    </row>
    <row r="1767" spans="1:7" x14ac:dyDescent="0.25">
      <c r="A1767">
        <v>12335</v>
      </c>
      <c r="B1767">
        <v>105</v>
      </c>
      <c r="C1767" s="1" t="str">
        <f>IF(Tabela8[[#This Row],[SETOR]]="","",IF(Tabela8[[#This Row],[SETOR]]&lt;200,"GV 10",IF(Tabela8[[#This Row],[SETOR]]&lt;300,"GV 20",IF(Tabela8[[#This Row],[SETOR]]&lt;400,"GV 30","S/GV"))))</f>
        <v>GV 10</v>
      </c>
      <c r="E1767" t="s">
        <v>123</v>
      </c>
      <c r="G1767" t="str">
        <f>_xlfn.CONCAT(Tabela9[[#This Row],[Coluna1]],Tabela9[[#This Row],[Coluna2]])</f>
        <v>20-Rota</v>
      </c>
    </row>
    <row r="1768" spans="1:7" x14ac:dyDescent="0.25">
      <c r="A1768">
        <v>12342</v>
      </c>
      <c r="B1768">
        <v>107</v>
      </c>
      <c r="C1768" s="1" t="str">
        <f>IF(Tabela8[[#This Row],[SETOR]]="","",IF(Tabela8[[#This Row],[SETOR]]&lt;200,"GV 10",IF(Tabela8[[#This Row],[SETOR]]&lt;300,"GV 20",IF(Tabela8[[#This Row],[SETOR]]&lt;400,"GV 30","S/GV"))))</f>
        <v>GV 10</v>
      </c>
      <c r="E1768" t="s">
        <v>130</v>
      </c>
      <c r="G1768" t="str">
        <f>_xlfn.CONCAT(Tabela9[[#This Row],[Coluna1]],Tabela9[[#This Row],[Coluna2]])</f>
        <v>21-SUB</v>
      </c>
    </row>
    <row r="1769" spans="1:7" x14ac:dyDescent="0.25">
      <c r="A1769">
        <v>12355</v>
      </c>
      <c r="B1769">
        <v>109</v>
      </c>
      <c r="C1769" s="1" t="str">
        <f>IF(Tabela8[[#This Row],[SETOR]]="","",IF(Tabela8[[#This Row],[SETOR]]&lt;200,"GV 10",IF(Tabela8[[#This Row],[SETOR]]&lt;300,"GV 20",IF(Tabela8[[#This Row],[SETOR]]&lt;400,"GV 30","S/GV"))))</f>
        <v>GV 10</v>
      </c>
      <c r="E1769" t="s">
        <v>123</v>
      </c>
      <c r="G1769" t="str">
        <f>_xlfn.CONCAT(Tabela9[[#This Row],[Coluna1]],Tabela9[[#This Row],[Coluna2]])</f>
        <v>20-Rota</v>
      </c>
    </row>
    <row r="1770" spans="1:7" x14ac:dyDescent="0.25">
      <c r="A1770">
        <v>12358</v>
      </c>
      <c r="B1770">
        <v>204</v>
      </c>
      <c r="C1770" s="1" t="str">
        <f>IF(Tabela8[[#This Row],[SETOR]]="","",IF(Tabela8[[#This Row],[SETOR]]&lt;200,"GV 10",IF(Tabela8[[#This Row],[SETOR]]&lt;300,"GV 20",IF(Tabela8[[#This Row],[SETOR]]&lt;400,"GV 30","S/GV"))))</f>
        <v>GV 20</v>
      </c>
      <c r="E1770" t="s">
        <v>123</v>
      </c>
      <c r="G1770" t="str">
        <f>_xlfn.CONCAT(Tabela9[[#This Row],[Coluna1]],Tabela9[[#This Row],[Coluna2]])</f>
        <v>20-Rota</v>
      </c>
    </row>
    <row r="1771" spans="1:7" x14ac:dyDescent="0.25">
      <c r="A1771">
        <v>12360</v>
      </c>
      <c r="B1771">
        <v>303</v>
      </c>
      <c r="C1771" s="1" t="str">
        <f>IF(Tabela8[[#This Row],[SETOR]]="","",IF(Tabela8[[#This Row],[SETOR]]&lt;200,"GV 10",IF(Tabela8[[#This Row],[SETOR]]&lt;300,"GV 20",IF(Tabela8[[#This Row],[SETOR]]&lt;400,"GV 30","S/GV"))))</f>
        <v>GV 30</v>
      </c>
      <c r="E1771" t="s">
        <v>123</v>
      </c>
      <c r="G1771" t="str">
        <f>_xlfn.CONCAT(Tabela9[[#This Row],[Coluna1]],Tabela9[[#This Row],[Coluna2]])</f>
        <v>20-Rota</v>
      </c>
    </row>
    <row r="1772" spans="1:7" x14ac:dyDescent="0.25">
      <c r="A1772">
        <v>12366</v>
      </c>
      <c r="B1772">
        <v>103</v>
      </c>
      <c r="C1772" s="1" t="str">
        <f>IF(Tabela8[[#This Row],[SETOR]]="","",IF(Tabela8[[#This Row],[SETOR]]&lt;200,"GV 10",IF(Tabela8[[#This Row],[SETOR]]&lt;300,"GV 20",IF(Tabela8[[#This Row],[SETOR]]&lt;400,"GV 30","S/GV"))))</f>
        <v>GV 10</v>
      </c>
      <c r="E1772" t="s">
        <v>123</v>
      </c>
      <c r="G1772" t="str">
        <f>_xlfn.CONCAT(Tabela9[[#This Row],[Coluna1]],Tabela9[[#This Row],[Coluna2]])</f>
        <v>20-Rota</v>
      </c>
    </row>
    <row r="1773" spans="1:7" x14ac:dyDescent="0.25">
      <c r="A1773">
        <v>12370</v>
      </c>
      <c r="B1773">
        <v>302</v>
      </c>
      <c r="C1773" s="1" t="str">
        <f>IF(Tabela8[[#This Row],[SETOR]]="","",IF(Tabela8[[#This Row],[SETOR]]&lt;200,"GV 10",IF(Tabela8[[#This Row],[SETOR]]&lt;300,"GV 20",IF(Tabela8[[#This Row],[SETOR]]&lt;400,"GV 30","S/GV"))))</f>
        <v>GV 30</v>
      </c>
      <c r="E1773" t="s">
        <v>123</v>
      </c>
      <c r="G1773" t="str">
        <f>_xlfn.CONCAT(Tabela9[[#This Row],[Coluna1]],Tabela9[[#This Row],[Coluna2]])</f>
        <v>20-Rota</v>
      </c>
    </row>
    <row r="1774" spans="1:7" x14ac:dyDescent="0.25">
      <c r="A1774">
        <v>12380</v>
      </c>
      <c r="B1774">
        <v>907</v>
      </c>
      <c r="C1774" s="1" t="str">
        <f>IF(Tabela8[[#This Row],[SETOR]]="","",IF(Tabela8[[#This Row],[SETOR]]&lt;200,"GV 10",IF(Tabela8[[#This Row],[SETOR]]&lt;300,"GV 20",IF(Tabela8[[#This Row],[SETOR]]&lt;400,"GV 30","S/GV"))))</f>
        <v>S/GV</v>
      </c>
      <c r="G1774" t="str">
        <f>_xlfn.CONCAT(Tabela9[[#This Row],[Coluna1]],Tabela9[[#This Row],[Coluna2]])</f>
        <v/>
      </c>
    </row>
    <row r="1775" spans="1:7" x14ac:dyDescent="0.25">
      <c r="A1775">
        <v>12393</v>
      </c>
      <c r="B1775">
        <v>302</v>
      </c>
      <c r="C1775" s="1" t="str">
        <f>IF(Tabela8[[#This Row],[SETOR]]="","",IF(Tabela8[[#This Row],[SETOR]]&lt;200,"GV 10",IF(Tabela8[[#This Row],[SETOR]]&lt;300,"GV 20",IF(Tabela8[[#This Row],[SETOR]]&lt;400,"GV 30","S/GV"))))</f>
        <v>GV 30</v>
      </c>
      <c r="E1775" t="s">
        <v>123</v>
      </c>
      <c r="G1775" t="str">
        <f>_xlfn.CONCAT(Tabela9[[#This Row],[Coluna1]],Tabela9[[#This Row],[Coluna2]])</f>
        <v>20-Rota</v>
      </c>
    </row>
    <row r="1776" spans="1:7" x14ac:dyDescent="0.25">
      <c r="A1776">
        <v>12400</v>
      </c>
      <c r="B1776">
        <v>106</v>
      </c>
      <c r="C1776" s="1" t="str">
        <f>IF(Tabela8[[#This Row],[SETOR]]="","",IF(Tabela8[[#This Row],[SETOR]]&lt;200,"GV 10",IF(Tabela8[[#This Row],[SETOR]]&lt;300,"GV 20",IF(Tabela8[[#This Row],[SETOR]]&lt;400,"GV 30","S/GV"))))</f>
        <v>GV 10</v>
      </c>
      <c r="E1776" t="s">
        <v>123</v>
      </c>
      <c r="G1776" t="str">
        <f>_xlfn.CONCAT(Tabela9[[#This Row],[Coluna1]],Tabela9[[#This Row],[Coluna2]])</f>
        <v>20-Rota</v>
      </c>
    </row>
    <row r="1777" spans="1:7" x14ac:dyDescent="0.25">
      <c r="A1777">
        <v>12408</v>
      </c>
      <c r="B1777">
        <v>202</v>
      </c>
      <c r="C1777" s="1" t="str">
        <f>IF(Tabela8[[#This Row],[SETOR]]="","",IF(Tabela8[[#This Row],[SETOR]]&lt;200,"GV 10",IF(Tabela8[[#This Row],[SETOR]]&lt;300,"GV 20",IF(Tabela8[[#This Row],[SETOR]]&lt;400,"GV 30","S/GV"))))</f>
        <v>GV 20</v>
      </c>
      <c r="E1777" t="s">
        <v>123</v>
      </c>
      <c r="G1777" t="str">
        <f>_xlfn.CONCAT(Tabela9[[#This Row],[Coluna1]],Tabela9[[#This Row],[Coluna2]])</f>
        <v>20-Rota</v>
      </c>
    </row>
    <row r="1778" spans="1:7" x14ac:dyDescent="0.25">
      <c r="A1778">
        <v>12420</v>
      </c>
      <c r="B1778">
        <v>303</v>
      </c>
      <c r="C1778" s="1" t="str">
        <f>IF(Tabela8[[#This Row],[SETOR]]="","",IF(Tabela8[[#This Row],[SETOR]]&lt;200,"GV 10",IF(Tabela8[[#This Row],[SETOR]]&lt;300,"GV 20",IF(Tabela8[[#This Row],[SETOR]]&lt;400,"GV 30","S/GV"))))</f>
        <v>GV 30</v>
      </c>
      <c r="E1778" t="s">
        <v>123</v>
      </c>
      <c r="G1778" t="str">
        <f>_xlfn.CONCAT(Tabela9[[#This Row],[Coluna1]],Tabela9[[#This Row],[Coluna2]])</f>
        <v>20-Rota</v>
      </c>
    </row>
    <row r="1779" spans="1:7" x14ac:dyDescent="0.25">
      <c r="A1779">
        <v>12428</v>
      </c>
      <c r="B1779">
        <v>302</v>
      </c>
      <c r="C1779" s="1" t="str">
        <f>IF(Tabela8[[#This Row],[SETOR]]="","",IF(Tabela8[[#This Row],[SETOR]]&lt;200,"GV 10",IF(Tabela8[[#This Row],[SETOR]]&lt;300,"GV 20",IF(Tabela8[[#This Row],[SETOR]]&lt;400,"GV 30","S/GV"))))</f>
        <v>GV 30</v>
      </c>
      <c r="E1779" t="s">
        <v>123</v>
      </c>
      <c r="G1779" t="str">
        <f>_xlfn.CONCAT(Tabela9[[#This Row],[Coluna1]],Tabela9[[#This Row],[Coluna2]])</f>
        <v>20-Rota</v>
      </c>
    </row>
    <row r="1780" spans="1:7" x14ac:dyDescent="0.25">
      <c r="A1780">
        <v>12440</v>
      </c>
      <c r="B1780">
        <v>103</v>
      </c>
      <c r="C1780" s="1" t="str">
        <f>IF(Tabela8[[#This Row],[SETOR]]="","",IF(Tabela8[[#This Row],[SETOR]]&lt;200,"GV 10",IF(Tabela8[[#This Row],[SETOR]]&lt;300,"GV 20",IF(Tabela8[[#This Row],[SETOR]]&lt;400,"GV 30","S/GV"))))</f>
        <v>GV 10</v>
      </c>
      <c r="E1780" t="s">
        <v>123</v>
      </c>
      <c r="G1780" t="str">
        <f>_xlfn.CONCAT(Tabela9[[#This Row],[Coluna1]],Tabela9[[#This Row],[Coluna2]])</f>
        <v>20-Rota</v>
      </c>
    </row>
    <row r="1781" spans="1:7" x14ac:dyDescent="0.25">
      <c r="A1781">
        <v>12443</v>
      </c>
      <c r="B1781">
        <v>305</v>
      </c>
      <c r="C1781" s="1" t="str">
        <f>IF(Tabela8[[#This Row],[SETOR]]="","",IF(Tabela8[[#This Row],[SETOR]]&lt;200,"GV 10",IF(Tabela8[[#This Row],[SETOR]]&lt;300,"GV 20",IF(Tabela8[[#This Row],[SETOR]]&lt;400,"GV 30","S/GV"))))</f>
        <v>GV 30</v>
      </c>
      <c r="E1781" t="s">
        <v>123</v>
      </c>
      <c r="G1781" t="str">
        <f>_xlfn.CONCAT(Tabela9[[#This Row],[Coluna1]],Tabela9[[#This Row],[Coluna2]])</f>
        <v>20-Rota</v>
      </c>
    </row>
    <row r="1782" spans="1:7" x14ac:dyDescent="0.25">
      <c r="A1782">
        <v>12447</v>
      </c>
      <c r="B1782">
        <v>302</v>
      </c>
      <c r="C1782" s="1" t="str">
        <f>IF(Tabela8[[#This Row],[SETOR]]="","",IF(Tabela8[[#This Row],[SETOR]]&lt;200,"GV 10",IF(Tabela8[[#This Row],[SETOR]]&lt;300,"GV 20",IF(Tabela8[[#This Row],[SETOR]]&lt;400,"GV 30","S/GV"))))</f>
        <v>GV 30</v>
      </c>
      <c r="E1782" t="s">
        <v>123</v>
      </c>
      <c r="G1782" t="str">
        <f>_xlfn.CONCAT(Tabela9[[#This Row],[Coluna1]],Tabela9[[#This Row],[Coluna2]])</f>
        <v>20-Rota</v>
      </c>
    </row>
    <row r="1783" spans="1:7" x14ac:dyDescent="0.25">
      <c r="A1783">
        <v>12450</v>
      </c>
      <c r="B1783">
        <v>906</v>
      </c>
      <c r="C1783" s="1" t="str">
        <f>IF(Tabela8[[#This Row],[SETOR]]="","",IF(Tabela8[[#This Row],[SETOR]]&lt;200,"GV 10",IF(Tabela8[[#This Row],[SETOR]]&lt;300,"GV 20",IF(Tabela8[[#This Row],[SETOR]]&lt;400,"GV 30","S/GV"))))</f>
        <v>S/GV</v>
      </c>
      <c r="E1783" t="s">
        <v>123</v>
      </c>
      <c r="G1783" t="str">
        <f>_xlfn.CONCAT(Tabela9[[#This Row],[Coluna1]],Tabela9[[#This Row],[Coluna2]])</f>
        <v>20-Rota</v>
      </c>
    </row>
    <row r="1784" spans="1:7" x14ac:dyDescent="0.25">
      <c r="A1784">
        <v>12454</v>
      </c>
      <c r="B1784">
        <v>201</v>
      </c>
      <c r="C1784" s="1" t="str">
        <f>IF(Tabela8[[#This Row],[SETOR]]="","",IF(Tabela8[[#This Row],[SETOR]]&lt;200,"GV 10",IF(Tabela8[[#This Row],[SETOR]]&lt;300,"GV 20",IF(Tabela8[[#This Row],[SETOR]]&lt;400,"GV 30","S/GV"))))</f>
        <v>GV 20</v>
      </c>
      <c r="E1784" t="s">
        <v>123</v>
      </c>
      <c r="G1784" t="str">
        <f>_xlfn.CONCAT(Tabela9[[#This Row],[Coluna1]],Tabela9[[#This Row],[Coluna2]])</f>
        <v>20-Rota</v>
      </c>
    </row>
    <row r="1785" spans="1:7" x14ac:dyDescent="0.25">
      <c r="A1785">
        <v>12462</v>
      </c>
      <c r="B1785">
        <v>102</v>
      </c>
      <c r="C1785" s="1" t="str">
        <f>IF(Tabela8[[#This Row],[SETOR]]="","",IF(Tabela8[[#This Row],[SETOR]]&lt;200,"GV 10",IF(Tabela8[[#This Row],[SETOR]]&lt;300,"GV 20",IF(Tabela8[[#This Row],[SETOR]]&lt;400,"GV 30","S/GV"))))</f>
        <v>GV 10</v>
      </c>
      <c r="E1785" t="s">
        <v>123</v>
      </c>
      <c r="G1785" t="str">
        <f>_xlfn.CONCAT(Tabela9[[#This Row],[Coluna1]],Tabela9[[#This Row],[Coluna2]])</f>
        <v>20-Rota</v>
      </c>
    </row>
    <row r="1786" spans="1:7" x14ac:dyDescent="0.25">
      <c r="A1786">
        <v>12463</v>
      </c>
      <c r="B1786">
        <v>107</v>
      </c>
      <c r="C1786" s="1" t="str">
        <f>IF(Tabela8[[#This Row],[SETOR]]="","",IF(Tabela8[[#This Row],[SETOR]]&lt;200,"GV 10",IF(Tabela8[[#This Row],[SETOR]]&lt;300,"GV 20",IF(Tabela8[[#This Row],[SETOR]]&lt;400,"GV 30","S/GV"))))</f>
        <v>GV 10</v>
      </c>
      <c r="E1786" t="s">
        <v>130</v>
      </c>
      <c r="G1786" t="str">
        <f>_xlfn.CONCAT(Tabela9[[#This Row],[Coluna1]],Tabela9[[#This Row],[Coluna2]])</f>
        <v>21-SUB</v>
      </c>
    </row>
    <row r="1787" spans="1:7" x14ac:dyDescent="0.25">
      <c r="A1787">
        <v>12465</v>
      </c>
      <c r="B1787">
        <v>104</v>
      </c>
      <c r="C1787" s="1" t="str">
        <f>IF(Tabela8[[#This Row],[SETOR]]="","",IF(Tabela8[[#This Row],[SETOR]]&lt;200,"GV 10",IF(Tabela8[[#This Row],[SETOR]]&lt;300,"GV 20",IF(Tabela8[[#This Row],[SETOR]]&lt;400,"GV 30","S/GV"))))</f>
        <v>GV 10</v>
      </c>
      <c r="E1787" t="s">
        <v>123</v>
      </c>
      <c r="G1787" t="str">
        <f>_xlfn.CONCAT(Tabela9[[#This Row],[Coluna1]],Tabela9[[#This Row],[Coluna2]])</f>
        <v>20-Rota</v>
      </c>
    </row>
    <row r="1788" spans="1:7" x14ac:dyDescent="0.25">
      <c r="A1788">
        <v>12470</v>
      </c>
      <c r="B1788">
        <v>301</v>
      </c>
      <c r="C1788" s="1" t="str">
        <f>IF(Tabela8[[#This Row],[SETOR]]="","",IF(Tabela8[[#This Row],[SETOR]]&lt;200,"GV 10",IF(Tabela8[[#This Row],[SETOR]]&lt;300,"GV 20",IF(Tabela8[[#This Row],[SETOR]]&lt;400,"GV 30","S/GV"))))</f>
        <v>GV 30</v>
      </c>
      <c r="E1788" t="s">
        <v>123</v>
      </c>
      <c r="G1788" t="str">
        <f>_xlfn.CONCAT(Tabela9[[#This Row],[Coluna1]],Tabela9[[#This Row],[Coluna2]])</f>
        <v>20-Rota</v>
      </c>
    </row>
    <row r="1789" spans="1:7" x14ac:dyDescent="0.25">
      <c r="A1789">
        <v>12477</v>
      </c>
      <c r="B1789">
        <v>303</v>
      </c>
      <c r="C1789" s="1" t="str">
        <f>IF(Tabela8[[#This Row],[SETOR]]="","",IF(Tabela8[[#This Row],[SETOR]]&lt;200,"GV 10",IF(Tabela8[[#This Row],[SETOR]]&lt;300,"GV 20",IF(Tabela8[[#This Row],[SETOR]]&lt;400,"GV 30","S/GV"))))</f>
        <v>GV 30</v>
      </c>
      <c r="E1789" t="s">
        <v>123</v>
      </c>
      <c r="G1789" t="str">
        <f>_xlfn.CONCAT(Tabela9[[#This Row],[Coluna1]],Tabela9[[#This Row],[Coluna2]])</f>
        <v>20-Rota</v>
      </c>
    </row>
    <row r="1790" spans="1:7" x14ac:dyDescent="0.25">
      <c r="A1790">
        <v>12486</v>
      </c>
      <c r="B1790">
        <v>304</v>
      </c>
      <c r="C1790" s="1" t="str">
        <f>IF(Tabela8[[#This Row],[SETOR]]="","",IF(Tabela8[[#This Row],[SETOR]]&lt;200,"GV 10",IF(Tabela8[[#This Row],[SETOR]]&lt;300,"GV 20",IF(Tabela8[[#This Row],[SETOR]]&lt;400,"GV 30","S/GV"))))</f>
        <v>GV 30</v>
      </c>
      <c r="E1790" t="s">
        <v>123</v>
      </c>
      <c r="G1790" t="str">
        <f>_xlfn.CONCAT(Tabela9[[#This Row],[Coluna1]],Tabela9[[#This Row],[Coluna2]])</f>
        <v>20-Rota</v>
      </c>
    </row>
    <row r="1791" spans="1:7" x14ac:dyDescent="0.25">
      <c r="A1791">
        <v>12501</v>
      </c>
      <c r="B1791">
        <v>102</v>
      </c>
      <c r="C1791" s="1" t="str">
        <f>IF(Tabela8[[#This Row],[SETOR]]="","",IF(Tabela8[[#This Row],[SETOR]]&lt;200,"GV 10",IF(Tabela8[[#This Row],[SETOR]]&lt;300,"GV 20",IF(Tabela8[[#This Row],[SETOR]]&lt;400,"GV 30","S/GV"))))</f>
        <v>GV 10</v>
      </c>
      <c r="E1791" t="s">
        <v>123</v>
      </c>
      <c r="G1791" t="str">
        <f>_xlfn.CONCAT(Tabela9[[#This Row],[Coluna1]],Tabela9[[#This Row],[Coluna2]])</f>
        <v>20-Rota</v>
      </c>
    </row>
    <row r="1792" spans="1:7" x14ac:dyDescent="0.25">
      <c r="A1792">
        <v>12503</v>
      </c>
      <c r="B1792">
        <v>101</v>
      </c>
      <c r="C1792" s="1" t="str">
        <f>IF(Tabela8[[#This Row],[SETOR]]="","",IF(Tabela8[[#This Row],[SETOR]]&lt;200,"GV 10",IF(Tabela8[[#This Row],[SETOR]]&lt;300,"GV 20",IF(Tabela8[[#This Row],[SETOR]]&lt;400,"GV 30","S/GV"))))</f>
        <v>GV 10</v>
      </c>
      <c r="E1792" t="s">
        <v>123</v>
      </c>
      <c r="G1792" t="str">
        <f>_xlfn.CONCAT(Tabela9[[#This Row],[Coluna1]],Tabela9[[#This Row],[Coluna2]])</f>
        <v>20-Rota</v>
      </c>
    </row>
    <row r="1793" spans="1:7" x14ac:dyDescent="0.25">
      <c r="A1793">
        <v>12509</v>
      </c>
      <c r="B1793">
        <v>206</v>
      </c>
      <c r="C1793" s="1" t="str">
        <f>IF(Tabela8[[#This Row],[SETOR]]="","",IF(Tabela8[[#This Row],[SETOR]]&lt;200,"GV 10",IF(Tabela8[[#This Row],[SETOR]]&lt;300,"GV 20",IF(Tabela8[[#This Row],[SETOR]]&lt;400,"GV 30","S/GV"))))</f>
        <v>GV 20</v>
      </c>
      <c r="E1793" t="s">
        <v>125</v>
      </c>
      <c r="G1793" t="str">
        <f>_xlfn.CONCAT(Tabela9[[#This Row],[Coluna1]],Tabela9[[#This Row],[Coluna2]])</f>
        <v>18-TRAD</v>
      </c>
    </row>
    <row r="1794" spans="1:7" x14ac:dyDescent="0.25">
      <c r="A1794">
        <v>12515</v>
      </c>
      <c r="B1794">
        <v>302</v>
      </c>
      <c r="C1794" s="1" t="str">
        <f>IF(Tabela8[[#This Row],[SETOR]]="","",IF(Tabela8[[#This Row],[SETOR]]&lt;200,"GV 10",IF(Tabela8[[#This Row],[SETOR]]&lt;300,"GV 20",IF(Tabela8[[#This Row],[SETOR]]&lt;400,"GV 30","S/GV"))))</f>
        <v>GV 30</v>
      </c>
      <c r="E1794" t="s">
        <v>123</v>
      </c>
      <c r="G1794" t="str">
        <f>_xlfn.CONCAT(Tabela9[[#This Row],[Coluna1]],Tabela9[[#This Row],[Coluna2]])</f>
        <v>20-Rota</v>
      </c>
    </row>
    <row r="1795" spans="1:7" x14ac:dyDescent="0.25">
      <c r="A1795">
        <v>12518</v>
      </c>
      <c r="B1795">
        <v>103</v>
      </c>
      <c r="C1795" s="1" t="str">
        <f>IF(Tabela8[[#This Row],[SETOR]]="","",IF(Tabela8[[#This Row],[SETOR]]&lt;200,"GV 10",IF(Tabela8[[#This Row],[SETOR]]&lt;300,"GV 20",IF(Tabela8[[#This Row],[SETOR]]&lt;400,"GV 30","S/GV"))))</f>
        <v>GV 10</v>
      </c>
      <c r="E1795" t="s">
        <v>123</v>
      </c>
      <c r="G1795" t="str">
        <f>_xlfn.CONCAT(Tabela9[[#This Row],[Coluna1]],Tabela9[[#This Row],[Coluna2]])</f>
        <v>20-Rota</v>
      </c>
    </row>
    <row r="1796" spans="1:7" x14ac:dyDescent="0.25">
      <c r="A1796">
        <v>12528</v>
      </c>
      <c r="B1796">
        <v>203</v>
      </c>
      <c r="C1796" s="1" t="str">
        <f>IF(Tabela8[[#This Row],[SETOR]]="","",IF(Tabela8[[#This Row],[SETOR]]&lt;200,"GV 10",IF(Tabela8[[#This Row],[SETOR]]&lt;300,"GV 20",IF(Tabela8[[#This Row],[SETOR]]&lt;400,"GV 30","S/GV"))))</f>
        <v>GV 20</v>
      </c>
      <c r="E1796" t="s">
        <v>123</v>
      </c>
      <c r="G1796" t="str">
        <f>_xlfn.CONCAT(Tabela9[[#This Row],[Coluna1]],Tabela9[[#This Row],[Coluna2]])</f>
        <v>20-Rota</v>
      </c>
    </row>
    <row r="1797" spans="1:7" x14ac:dyDescent="0.25">
      <c r="A1797">
        <v>12535</v>
      </c>
      <c r="B1797">
        <v>201</v>
      </c>
      <c r="C1797" s="1" t="str">
        <f>IF(Tabela8[[#This Row],[SETOR]]="","",IF(Tabela8[[#This Row],[SETOR]]&lt;200,"GV 10",IF(Tabela8[[#This Row],[SETOR]]&lt;300,"GV 20",IF(Tabela8[[#This Row],[SETOR]]&lt;400,"GV 30","S/GV"))))</f>
        <v>GV 20</v>
      </c>
      <c r="E1797" t="s">
        <v>123</v>
      </c>
      <c r="G1797" t="str">
        <f>_xlfn.CONCAT(Tabela9[[#This Row],[Coluna1]],Tabela9[[#This Row],[Coluna2]])</f>
        <v>20-Rota</v>
      </c>
    </row>
    <row r="1798" spans="1:7" x14ac:dyDescent="0.25">
      <c r="A1798">
        <v>12546</v>
      </c>
      <c r="B1798">
        <v>303</v>
      </c>
      <c r="C1798" s="1" t="str">
        <f>IF(Tabela8[[#This Row],[SETOR]]="","",IF(Tabela8[[#This Row],[SETOR]]&lt;200,"GV 10",IF(Tabela8[[#This Row],[SETOR]]&lt;300,"GV 20",IF(Tabela8[[#This Row],[SETOR]]&lt;400,"GV 30","S/GV"))))</f>
        <v>GV 30</v>
      </c>
      <c r="E1798" t="s">
        <v>123</v>
      </c>
      <c r="G1798" t="str">
        <f>_xlfn.CONCAT(Tabela9[[#This Row],[Coluna1]],Tabela9[[#This Row],[Coluna2]])</f>
        <v>20-Rota</v>
      </c>
    </row>
    <row r="1799" spans="1:7" x14ac:dyDescent="0.25">
      <c r="A1799">
        <v>12551</v>
      </c>
      <c r="B1799">
        <v>203</v>
      </c>
      <c r="C1799" s="1" t="str">
        <f>IF(Tabela8[[#This Row],[SETOR]]="","",IF(Tabela8[[#This Row],[SETOR]]&lt;200,"GV 10",IF(Tabela8[[#This Row],[SETOR]]&lt;300,"GV 20",IF(Tabela8[[#This Row],[SETOR]]&lt;400,"GV 30","S/GV"))))</f>
        <v>GV 20</v>
      </c>
      <c r="E1799" t="s">
        <v>123</v>
      </c>
      <c r="G1799" t="str">
        <f>_xlfn.CONCAT(Tabela9[[#This Row],[Coluna1]],Tabela9[[#This Row],[Coluna2]])</f>
        <v>20-Rota</v>
      </c>
    </row>
    <row r="1800" spans="1:7" x14ac:dyDescent="0.25">
      <c r="A1800">
        <v>12552</v>
      </c>
      <c r="B1800">
        <v>105</v>
      </c>
      <c r="C1800" s="1" t="str">
        <f>IF(Tabela8[[#This Row],[SETOR]]="","",IF(Tabela8[[#This Row],[SETOR]]&lt;200,"GV 10",IF(Tabela8[[#This Row],[SETOR]]&lt;300,"GV 20",IF(Tabela8[[#This Row],[SETOR]]&lt;400,"GV 30","S/GV"))))</f>
        <v>GV 10</v>
      </c>
      <c r="E1800" t="s">
        <v>123</v>
      </c>
      <c r="G1800" t="str">
        <f>_xlfn.CONCAT(Tabela9[[#This Row],[Coluna1]],Tabela9[[#This Row],[Coluna2]])</f>
        <v>20-Rota</v>
      </c>
    </row>
    <row r="1801" spans="1:7" x14ac:dyDescent="0.25">
      <c r="A1801">
        <v>12555</v>
      </c>
      <c r="B1801">
        <v>308</v>
      </c>
      <c r="C1801" s="1" t="str">
        <f>IF(Tabela8[[#This Row],[SETOR]]="","",IF(Tabela8[[#This Row],[SETOR]]&lt;200,"GV 10",IF(Tabela8[[#This Row],[SETOR]]&lt;300,"GV 20",IF(Tabela8[[#This Row],[SETOR]]&lt;400,"GV 30","S/GV"))))</f>
        <v>GV 30</v>
      </c>
      <c r="E1801" t="s">
        <v>128</v>
      </c>
      <c r="F1801" t="s">
        <v>129</v>
      </c>
      <c r="G1801" t="str">
        <f>_xlfn.CONCAT(Tabela9[[#This Row],[Coluna1]],Tabela9[[#This Row],[Coluna2]])</f>
        <v>15-AS(1-4)</v>
      </c>
    </row>
    <row r="1802" spans="1:7" x14ac:dyDescent="0.25">
      <c r="A1802">
        <v>12557</v>
      </c>
      <c r="B1802">
        <v>106</v>
      </c>
      <c r="C1802" s="1" t="str">
        <f>IF(Tabela8[[#This Row],[SETOR]]="","",IF(Tabela8[[#This Row],[SETOR]]&lt;200,"GV 10",IF(Tabela8[[#This Row],[SETOR]]&lt;300,"GV 20",IF(Tabela8[[#This Row],[SETOR]]&lt;400,"GV 30","S/GV"))))</f>
        <v>GV 10</v>
      </c>
      <c r="E1802" t="s">
        <v>123</v>
      </c>
      <c r="G1802" t="str">
        <f>_xlfn.CONCAT(Tabela9[[#This Row],[Coluna1]],Tabela9[[#This Row],[Coluna2]])</f>
        <v>20-Rota</v>
      </c>
    </row>
    <row r="1803" spans="1:7" x14ac:dyDescent="0.25">
      <c r="A1803">
        <v>12559</v>
      </c>
      <c r="B1803">
        <v>109</v>
      </c>
      <c r="C1803" s="1" t="str">
        <f>IF(Tabela8[[#This Row],[SETOR]]="","",IF(Tabela8[[#This Row],[SETOR]]&lt;200,"GV 10",IF(Tabela8[[#This Row],[SETOR]]&lt;300,"GV 20",IF(Tabela8[[#This Row],[SETOR]]&lt;400,"GV 30","S/GV"))))</f>
        <v>GV 10</v>
      </c>
      <c r="E1803" t="s">
        <v>123</v>
      </c>
      <c r="G1803" t="str">
        <f>_xlfn.CONCAT(Tabela9[[#This Row],[Coluna1]],Tabela9[[#This Row],[Coluna2]])</f>
        <v>20-Rota</v>
      </c>
    </row>
    <row r="1804" spans="1:7" x14ac:dyDescent="0.25">
      <c r="A1804">
        <v>12577</v>
      </c>
      <c r="B1804">
        <v>103</v>
      </c>
      <c r="C1804" s="1" t="str">
        <f>IF(Tabela8[[#This Row],[SETOR]]="","",IF(Tabela8[[#This Row],[SETOR]]&lt;200,"GV 10",IF(Tabela8[[#This Row],[SETOR]]&lt;300,"GV 20",IF(Tabela8[[#This Row],[SETOR]]&lt;400,"GV 30","S/GV"))))</f>
        <v>GV 10</v>
      </c>
      <c r="E1804" t="s">
        <v>123</v>
      </c>
      <c r="G1804" t="str">
        <f>_xlfn.CONCAT(Tabela9[[#This Row],[Coluna1]],Tabela9[[#This Row],[Coluna2]])</f>
        <v>20-Rota</v>
      </c>
    </row>
    <row r="1805" spans="1:7" x14ac:dyDescent="0.25">
      <c r="A1805">
        <v>12580</v>
      </c>
      <c r="B1805">
        <v>307</v>
      </c>
      <c r="C1805" s="1" t="str">
        <f>IF(Tabela8[[#This Row],[SETOR]]="","",IF(Tabela8[[#This Row],[SETOR]]&lt;200,"GV 10",IF(Tabela8[[#This Row],[SETOR]]&lt;300,"GV 20",IF(Tabela8[[#This Row],[SETOR]]&lt;400,"GV 30","S/GV"))))</f>
        <v>GV 30</v>
      </c>
      <c r="E1805" t="s">
        <v>123</v>
      </c>
      <c r="G1805" t="str">
        <f>_xlfn.CONCAT(Tabela9[[#This Row],[Coluna1]],Tabela9[[#This Row],[Coluna2]])</f>
        <v>20-Rota</v>
      </c>
    </row>
    <row r="1806" spans="1:7" x14ac:dyDescent="0.25">
      <c r="A1806">
        <v>12588</v>
      </c>
      <c r="B1806">
        <v>202</v>
      </c>
      <c r="C1806" s="1" t="str">
        <f>IF(Tabela8[[#This Row],[SETOR]]="","",IF(Tabela8[[#This Row],[SETOR]]&lt;200,"GV 10",IF(Tabela8[[#This Row],[SETOR]]&lt;300,"GV 20",IF(Tabela8[[#This Row],[SETOR]]&lt;400,"GV 30","S/GV"))))</f>
        <v>GV 20</v>
      </c>
      <c r="E1806" t="s">
        <v>123</v>
      </c>
      <c r="G1806" t="str">
        <f>_xlfn.CONCAT(Tabela9[[#This Row],[Coluna1]],Tabela9[[#This Row],[Coluna2]])</f>
        <v>20-Rota</v>
      </c>
    </row>
    <row r="1807" spans="1:7" x14ac:dyDescent="0.25">
      <c r="A1807">
        <v>12589</v>
      </c>
      <c r="B1807">
        <v>304</v>
      </c>
      <c r="C1807" s="1" t="str">
        <f>IF(Tabela8[[#This Row],[SETOR]]="","",IF(Tabela8[[#This Row],[SETOR]]&lt;200,"GV 10",IF(Tabela8[[#This Row],[SETOR]]&lt;300,"GV 20",IF(Tabela8[[#This Row],[SETOR]]&lt;400,"GV 30","S/GV"))))</f>
        <v>GV 30</v>
      </c>
      <c r="E1807" t="s">
        <v>123</v>
      </c>
      <c r="G1807" t="str">
        <f>_xlfn.CONCAT(Tabela9[[#This Row],[Coluna1]],Tabela9[[#This Row],[Coluna2]])</f>
        <v>20-Rota</v>
      </c>
    </row>
    <row r="1808" spans="1:7" x14ac:dyDescent="0.25">
      <c r="A1808">
        <v>12597</v>
      </c>
      <c r="B1808">
        <v>307</v>
      </c>
      <c r="C1808" s="1" t="str">
        <f>IF(Tabela8[[#This Row],[SETOR]]="","",IF(Tabela8[[#This Row],[SETOR]]&lt;200,"GV 10",IF(Tabela8[[#This Row],[SETOR]]&lt;300,"GV 20",IF(Tabela8[[#This Row],[SETOR]]&lt;400,"GV 30","S/GV"))))</f>
        <v>GV 30</v>
      </c>
      <c r="E1808" t="s">
        <v>130</v>
      </c>
      <c r="G1808" t="str">
        <f>_xlfn.CONCAT(Tabela9[[#This Row],[Coluna1]],Tabela9[[#This Row],[Coluna2]])</f>
        <v>21-SUB</v>
      </c>
    </row>
    <row r="1809" spans="1:7" x14ac:dyDescent="0.25">
      <c r="A1809">
        <v>12607</v>
      </c>
      <c r="B1809">
        <v>916</v>
      </c>
      <c r="C1809" s="1" t="str">
        <f>IF(Tabela8[[#This Row],[SETOR]]="","",IF(Tabela8[[#This Row],[SETOR]]&lt;200,"GV 10",IF(Tabela8[[#This Row],[SETOR]]&lt;300,"GV 20",IF(Tabela8[[#This Row],[SETOR]]&lt;400,"GV 30","S/GV"))))</f>
        <v>S/GV</v>
      </c>
      <c r="G1809" t="str">
        <f>_xlfn.CONCAT(Tabela9[[#This Row],[Coluna1]],Tabela9[[#This Row],[Coluna2]])</f>
        <v/>
      </c>
    </row>
    <row r="1810" spans="1:7" x14ac:dyDescent="0.25">
      <c r="A1810">
        <v>12612</v>
      </c>
      <c r="B1810">
        <v>916</v>
      </c>
      <c r="C1810" s="1" t="str">
        <f>IF(Tabela8[[#This Row],[SETOR]]="","",IF(Tabela8[[#This Row],[SETOR]]&lt;200,"GV 10",IF(Tabela8[[#This Row],[SETOR]]&lt;300,"GV 20",IF(Tabela8[[#This Row],[SETOR]]&lt;400,"GV 30","S/GV"))))</f>
        <v>S/GV</v>
      </c>
      <c r="G1810" t="str">
        <f>_xlfn.CONCAT(Tabela9[[#This Row],[Coluna1]],Tabela9[[#This Row],[Coluna2]])</f>
        <v/>
      </c>
    </row>
    <row r="1811" spans="1:7" x14ac:dyDescent="0.25">
      <c r="A1811">
        <v>12614</v>
      </c>
      <c r="B1811">
        <v>204</v>
      </c>
      <c r="C1811" s="1" t="str">
        <f>IF(Tabela8[[#This Row],[SETOR]]="","",IF(Tabela8[[#This Row],[SETOR]]&lt;200,"GV 10",IF(Tabela8[[#This Row],[SETOR]]&lt;300,"GV 20",IF(Tabela8[[#This Row],[SETOR]]&lt;400,"GV 30","S/GV"))))</f>
        <v>GV 20</v>
      </c>
      <c r="E1811" t="s">
        <v>123</v>
      </c>
      <c r="G1811" t="str">
        <f>_xlfn.CONCAT(Tabela9[[#This Row],[Coluna1]],Tabela9[[#This Row],[Coluna2]])</f>
        <v>20-Rota</v>
      </c>
    </row>
    <row r="1812" spans="1:7" x14ac:dyDescent="0.25">
      <c r="A1812">
        <v>12628</v>
      </c>
      <c r="B1812">
        <v>102</v>
      </c>
      <c r="C1812" s="1" t="str">
        <f>IF(Tabela8[[#This Row],[SETOR]]="","",IF(Tabela8[[#This Row],[SETOR]]&lt;200,"GV 10",IF(Tabela8[[#This Row],[SETOR]]&lt;300,"GV 20",IF(Tabela8[[#This Row],[SETOR]]&lt;400,"GV 30","S/GV"))))</f>
        <v>GV 10</v>
      </c>
      <c r="E1812" t="s">
        <v>125</v>
      </c>
      <c r="G1812" t="str">
        <f>_xlfn.CONCAT(Tabela9[[#This Row],[Coluna1]],Tabela9[[#This Row],[Coluna2]])</f>
        <v>18-TRAD</v>
      </c>
    </row>
    <row r="1813" spans="1:7" x14ac:dyDescent="0.25">
      <c r="A1813">
        <v>12629</v>
      </c>
      <c r="B1813">
        <v>102</v>
      </c>
      <c r="C1813" s="1" t="str">
        <f>IF(Tabela8[[#This Row],[SETOR]]="","",IF(Tabela8[[#This Row],[SETOR]]&lt;200,"GV 10",IF(Tabela8[[#This Row],[SETOR]]&lt;300,"GV 20",IF(Tabela8[[#This Row],[SETOR]]&lt;400,"GV 30","S/GV"))))</f>
        <v>GV 10</v>
      </c>
      <c r="E1813" t="s">
        <v>123</v>
      </c>
      <c r="G1813" t="str">
        <f>_xlfn.CONCAT(Tabela9[[#This Row],[Coluna1]],Tabela9[[#This Row],[Coluna2]])</f>
        <v>20-Rota</v>
      </c>
    </row>
    <row r="1814" spans="1:7" x14ac:dyDescent="0.25">
      <c r="A1814">
        <v>12637</v>
      </c>
      <c r="B1814">
        <v>109</v>
      </c>
      <c r="C1814" s="1" t="str">
        <f>IF(Tabela8[[#This Row],[SETOR]]="","",IF(Tabela8[[#This Row],[SETOR]]&lt;200,"GV 10",IF(Tabela8[[#This Row],[SETOR]]&lt;300,"GV 20",IF(Tabela8[[#This Row],[SETOR]]&lt;400,"GV 30","S/GV"))))</f>
        <v>GV 10</v>
      </c>
      <c r="E1814" t="s">
        <v>123</v>
      </c>
      <c r="G1814" t="str">
        <f>_xlfn.CONCAT(Tabela9[[#This Row],[Coluna1]],Tabela9[[#This Row],[Coluna2]])</f>
        <v>20-Rota</v>
      </c>
    </row>
    <row r="1815" spans="1:7" x14ac:dyDescent="0.25">
      <c r="A1815">
        <v>12640</v>
      </c>
      <c r="B1815">
        <v>907</v>
      </c>
      <c r="C1815" s="1" t="str">
        <f>IF(Tabela8[[#This Row],[SETOR]]="","",IF(Tabela8[[#This Row],[SETOR]]&lt;200,"GV 10",IF(Tabela8[[#This Row],[SETOR]]&lt;300,"GV 20",IF(Tabela8[[#This Row],[SETOR]]&lt;400,"GV 30","S/GV"))))</f>
        <v>S/GV</v>
      </c>
      <c r="G1815" t="str">
        <f>_xlfn.CONCAT(Tabela9[[#This Row],[Coluna1]],Tabela9[[#This Row],[Coluna2]])</f>
        <v/>
      </c>
    </row>
    <row r="1816" spans="1:7" x14ac:dyDescent="0.25">
      <c r="A1816">
        <v>12641</v>
      </c>
      <c r="B1816">
        <v>907</v>
      </c>
      <c r="C1816" s="1" t="str">
        <f>IF(Tabela8[[#This Row],[SETOR]]="","",IF(Tabela8[[#This Row],[SETOR]]&lt;200,"GV 10",IF(Tabela8[[#This Row],[SETOR]]&lt;300,"GV 20",IF(Tabela8[[#This Row],[SETOR]]&lt;400,"GV 30","S/GV"))))</f>
        <v>S/GV</v>
      </c>
      <c r="G1816" t="str">
        <f>_xlfn.CONCAT(Tabela9[[#This Row],[Coluna1]],Tabela9[[#This Row],[Coluna2]])</f>
        <v/>
      </c>
    </row>
    <row r="1817" spans="1:7" x14ac:dyDescent="0.25">
      <c r="A1817">
        <v>12642</v>
      </c>
      <c r="B1817">
        <v>107</v>
      </c>
      <c r="C1817" s="1" t="str">
        <f>IF(Tabela8[[#This Row],[SETOR]]="","",IF(Tabela8[[#This Row],[SETOR]]&lt;200,"GV 10",IF(Tabela8[[#This Row],[SETOR]]&lt;300,"GV 20",IF(Tabela8[[#This Row],[SETOR]]&lt;400,"GV 30","S/GV"))))</f>
        <v>GV 10</v>
      </c>
      <c r="E1817" t="s">
        <v>130</v>
      </c>
      <c r="G1817" t="str">
        <f>_xlfn.CONCAT(Tabela9[[#This Row],[Coluna1]],Tabela9[[#This Row],[Coluna2]])</f>
        <v>21-SUB</v>
      </c>
    </row>
    <row r="1818" spans="1:7" x14ac:dyDescent="0.25">
      <c r="A1818">
        <v>12643</v>
      </c>
      <c r="B1818">
        <v>204</v>
      </c>
      <c r="C1818" s="1" t="str">
        <f>IF(Tabela8[[#This Row],[SETOR]]="","",IF(Tabela8[[#This Row],[SETOR]]&lt;200,"GV 10",IF(Tabela8[[#This Row],[SETOR]]&lt;300,"GV 20",IF(Tabela8[[#This Row],[SETOR]]&lt;400,"GV 30","S/GV"))))</f>
        <v>GV 20</v>
      </c>
      <c r="E1818" t="s">
        <v>123</v>
      </c>
      <c r="G1818" t="str">
        <f>_xlfn.CONCAT(Tabela9[[#This Row],[Coluna1]],Tabela9[[#This Row],[Coluna2]])</f>
        <v>20-Rota</v>
      </c>
    </row>
    <row r="1819" spans="1:7" x14ac:dyDescent="0.25">
      <c r="A1819">
        <v>12647</v>
      </c>
      <c r="B1819">
        <v>301</v>
      </c>
      <c r="C1819" s="1" t="str">
        <f>IF(Tabela8[[#This Row],[SETOR]]="","",IF(Tabela8[[#This Row],[SETOR]]&lt;200,"GV 10",IF(Tabela8[[#This Row],[SETOR]]&lt;300,"GV 20",IF(Tabela8[[#This Row],[SETOR]]&lt;400,"GV 30","S/GV"))))</f>
        <v>GV 30</v>
      </c>
      <c r="E1819" t="s">
        <v>123</v>
      </c>
      <c r="G1819" t="str">
        <f>_xlfn.CONCAT(Tabela9[[#This Row],[Coluna1]],Tabela9[[#This Row],[Coluna2]])</f>
        <v>20-Rota</v>
      </c>
    </row>
    <row r="1820" spans="1:7" x14ac:dyDescent="0.25">
      <c r="A1820">
        <v>12648</v>
      </c>
      <c r="B1820">
        <v>302</v>
      </c>
      <c r="C1820" s="1" t="str">
        <f>IF(Tabela8[[#This Row],[SETOR]]="","",IF(Tabela8[[#This Row],[SETOR]]&lt;200,"GV 10",IF(Tabela8[[#This Row],[SETOR]]&lt;300,"GV 20",IF(Tabela8[[#This Row],[SETOR]]&lt;400,"GV 30","S/GV"))))</f>
        <v>GV 30</v>
      </c>
      <c r="E1820" t="s">
        <v>123</v>
      </c>
      <c r="G1820" t="str">
        <f>_xlfn.CONCAT(Tabela9[[#This Row],[Coluna1]],Tabela9[[#This Row],[Coluna2]])</f>
        <v>20-Rota</v>
      </c>
    </row>
    <row r="1821" spans="1:7" x14ac:dyDescent="0.25">
      <c r="A1821">
        <v>12650</v>
      </c>
      <c r="B1821">
        <v>303</v>
      </c>
      <c r="C1821" s="1" t="str">
        <f>IF(Tabela8[[#This Row],[SETOR]]="","",IF(Tabela8[[#This Row],[SETOR]]&lt;200,"GV 10",IF(Tabela8[[#This Row],[SETOR]]&lt;300,"GV 20",IF(Tabela8[[#This Row],[SETOR]]&lt;400,"GV 30","S/GV"))))</f>
        <v>GV 30</v>
      </c>
      <c r="E1821" t="s">
        <v>123</v>
      </c>
      <c r="G1821" t="str">
        <f>_xlfn.CONCAT(Tabela9[[#This Row],[Coluna1]],Tabela9[[#This Row],[Coluna2]])</f>
        <v>20-Rota</v>
      </c>
    </row>
    <row r="1822" spans="1:7" x14ac:dyDescent="0.25">
      <c r="A1822">
        <v>12658</v>
      </c>
      <c r="B1822">
        <v>301</v>
      </c>
      <c r="C1822" s="1" t="str">
        <f>IF(Tabela8[[#This Row],[SETOR]]="","",IF(Tabela8[[#This Row],[SETOR]]&lt;200,"GV 10",IF(Tabela8[[#This Row],[SETOR]]&lt;300,"GV 20",IF(Tabela8[[#This Row],[SETOR]]&lt;400,"GV 30","S/GV"))))</f>
        <v>GV 30</v>
      </c>
      <c r="E1822" t="s">
        <v>123</v>
      </c>
      <c r="G1822" t="str">
        <f>_xlfn.CONCAT(Tabela9[[#This Row],[Coluna1]],Tabela9[[#This Row],[Coluna2]])</f>
        <v>20-Rota</v>
      </c>
    </row>
    <row r="1823" spans="1:7" x14ac:dyDescent="0.25">
      <c r="A1823">
        <v>12665</v>
      </c>
      <c r="B1823">
        <v>105</v>
      </c>
      <c r="C1823" s="1" t="str">
        <f>IF(Tabela8[[#This Row],[SETOR]]="","",IF(Tabela8[[#This Row],[SETOR]]&lt;200,"GV 10",IF(Tabela8[[#This Row],[SETOR]]&lt;300,"GV 20",IF(Tabela8[[#This Row],[SETOR]]&lt;400,"GV 30","S/GV"))))</f>
        <v>GV 10</v>
      </c>
      <c r="E1823" t="s">
        <v>125</v>
      </c>
      <c r="G1823" t="str">
        <f>_xlfn.CONCAT(Tabela9[[#This Row],[Coluna1]],Tabela9[[#This Row],[Coluna2]])</f>
        <v>18-TRAD</v>
      </c>
    </row>
    <row r="1824" spans="1:7" x14ac:dyDescent="0.25">
      <c r="A1824">
        <v>12666</v>
      </c>
      <c r="B1824">
        <v>301</v>
      </c>
      <c r="C1824" s="1" t="str">
        <f>IF(Tabela8[[#This Row],[SETOR]]="","",IF(Tabela8[[#This Row],[SETOR]]&lt;200,"GV 10",IF(Tabela8[[#This Row],[SETOR]]&lt;300,"GV 20",IF(Tabela8[[#This Row],[SETOR]]&lt;400,"GV 30","S/GV"))))</f>
        <v>GV 30</v>
      </c>
      <c r="E1824" t="s">
        <v>123</v>
      </c>
      <c r="G1824" t="str">
        <f>_xlfn.CONCAT(Tabela9[[#This Row],[Coluna1]],Tabela9[[#This Row],[Coluna2]])</f>
        <v>20-Rota</v>
      </c>
    </row>
    <row r="1825" spans="1:7" x14ac:dyDescent="0.25">
      <c r="A1825">
        <v>12670</v>
      </c>
      <c r="B1825">
        <v>202</v>
      </c>
      <c r="C1825" s="1" t="str">
        <f>IF(Tabela8[[#This Row],[SETOR]]="","",IF(Tabela8[[#This Row],[SETOR]]&lt;200,"GV 10",IF(Tabela8[[#This Row],[SETOR]]&lt;300,"GV 20",IF(Tabela8[[#This Row],[SETOR]]&lt;400,"GV 30","S/GV"))))</f>
        <v>GV 20</v>
      </c>
      <c r="E1825" t="s">
        <v>123</v>
      </c>
      <c r="G1825" t="str">
        <f>_xlfn.CONCAT(Tabela9[[#This Row],[Coluna1]],Tabela9[[#This Row],[Coluna2]])</f>
        <v>20-Rota</v>
      </c>
    </row>
    <row r="1826" spans="1:7" x14ac:dyDescent="0.25">
      <c r="A1826">
        <v>12673</v>
      </c>
      <c r="B1826">
        <v>101</v>
      </c>
      <c r="C1826" s="1" t="str">
        <f>IF(Tabela8[[#This Row],[SETOR]]="","",IF(Tabela8[[#This Row],[SETOR]]&lt;200,"GV 10",IF(Tabela8[[#This Row],[SETOR]]&lt;300,"GV 20",IF(Tabela8[[#This Row],[SETOR]]&lt;400,"GV 30","S/GV"))))</f>
        <v>GV 10</v>
      </c>
      <c r="E1826" t="s">
        <v>123</v>
      </c>
      <c r="G1826" t="str">
        <f>_xlfn.CONCAT(Tabela9[[#This Row],[Coluna1]],Tabela9[[#This Row],[Coluna2]])</f>
        <v>20-Rota</v>
      </c>
    </row>
    <row r="1827" spans="1:7" x14ac:dyDescent="0.25">
      <c r="A1827">
        <v>12676</v>
      </c>
      <c r="B1827">
        <v>203</v>
      </c>
      <c r="C1827" s="1" t="str">
        <f>IF(Tabela8[[#This Row],[SETOR]]="","",IF(Tabela8[[#This Row],[SETOR]]&lt;200,"GV 10",IF(Tabela8[[#This Row],[SETOR]]&lt;300,"GV 20",IF(Tabela8[[#This Row],[SETOR]]&lt;400,"GV 30","S/GV"))))</f>
        <v>GV 20</v>
      </c>
      <c r="E1827" t="s">
        <v>123</v>
      </c>
      <c r="G1827" t="str">
        <f>_xlfn.CONCAT(Tabela9[[#This Row],[Coluna1]],Tabela9[[#This Row],[Coluna2]])</f>
        <v>20-Rota</v>
      </c>
    </row>
    <row r="1828" spans="1:7" x14ac:dyDescent="0.25">
      <c r="A1828">
        <v>12678</v>
      </c>
      <c r="B1828">
        <v>107</v>
      </c>
      <c r="C1828" s="1" t="str">
        <f>IF(Tabela8[[#This Row],[SETOR]]="","",IF(Tabela8[[#This Row],[SETOR]]&lt;200,"GV 10",IF(Tabela8[[#This Row],[SETOR]]&lt;300,"GV 20",IF(Tabela8[[#This Row],[SETOR]]&lt;400,"GV 30","S/GV"))))</f>
        <v>GV 10</v>
      </c>
      <c r="E1828" t="s">
        <v>130</v>
      </c>
      <c r="G1828" t="str">
        <f>_xlfn.CONCAT(Tabela9[[#This Row],[Coluna1]],Tabela9[[#This Row],[Coluna2]])</f>
        <v>21-SUB</v>
      </c>
    </row>
    <row r="1829" spans="1:7" x14ac:dyDescent="0.25">
      <c r="A1829">
        <v>12683</v>
      </c>
      <c r="B1829">
        <v>916</v>
      </c>
      <c r="C1829" s="1" t="str">
        <f>IF(Tabela8[[#This Row],[SETOR]]="","",IF(Tabela8[[#This Row],[SETOR]]&lt;200,"GV 10",IF(Tabela8[[#This Row],[SETOR]]&lt;300,"GV 20",IF(Tabela8[[#This Row],[SETOR]]&lt;400,"GV 30","S/GV"))))</f>
        <v>S/GV</v>
      </c>
      <c r="G1829" t="str">
        <f>_xlfn.CONCAT(Tabela9[[#This Row],[Coluna1]],Tabela9[[#This Row],[Coluna2]])</f>
        <v/>
      </c>
    </row>
    <row r="1830" spans="1:7" x14ac:dyDescent="0.25">
      <c r="A1830">
        <v>12700</v>
      </c>
      <c r="B1830">
        <v>304</v>
      </c>
      <c r="C1830" s="1" t="str">
        <f>IF(Tabela8[[#This Row],[SETOR]]="","",IF(Tabela8[[#This Row],[SETOR]]&lt;200,"GV 10",IF(Tabela8[[#This Row],[SETOR]]&lt;300,"GV 20",IF(Tabela8[[#This Row],[SETOR]]&lt;400,"GV 30","S/GV"))))</f>
        <v>GV 30</v>
      </c>
      <c r="E1830" t="s">
        <v>123</v>
      </c>
      <c r="G1830" t="str">
        <f>_xlfn.CONCAT(Tabela9[[#This Row],[Coluna1]],Tabela9[[#This Row],[Coluna2]])</f>
        <v>20-Rota</v>
      </c>
    </row>
    <row r="1831" spans="1:7" x14ac:dyDescent="0.25">
      <c r="A1831">
        <v>12704</v>
      </c>
      <c r="B1831">
        <v>106</v>
      </c>
      <c r="C1831" s="1" t="str">
        <f>IF(Tabela8[[#This Row],[SETOR]]="","",IF(Tabela8[[#This Row],[SETOR]]&lt;200,"GV 10",IF(Tabela8[[#This Row],[SETOR]]&lt;300,"GV 20",IF(Tabela8[[#This Row],[SETOR]]&lt;400,"GV 30","S/GV"))))</f>
        <v>GV 10</v>
      </c>
      <c r="E1831" t="s">
        <v>123</v>
      </c>
      <c r="G1831" t="str">
        <f>_xlfn.CONCAT(Tabela9[[#This Row],[Coluna1]],Tabela9[[#This Row],[Coluna2]])</f>
        <v>20-Rota</v>
      </c>
    </row>
    <row r="1832" spans="1:7" x14ac:dyDescent="0.25">
      <c r="A1832">
        <v>12705</v>
      </c>
      <c r="B1832">
        <v>208</v>
      </c>
      <c r="C1832" s="1" t="str">
        <f>IF(Tabela8[[#This Row],[SETOR]]="","",IF(Tabela8[[#This Row],[SETOR]]&lt;200,"GV 10",IF(Tabela8[[#This Row],[SETOR]]&lt;300,"GV 20",IF(Tabela8[[#This Row],[SETOR]]&lt;400,"GV 30","S/GV"))))</f>
        <v>GV 20</v>
      </c>
      <c r="E1832" t="s">
        <v>128</v>
      </c>
      <c r="F1832" t="s">
        <v>129</v>
      </c>
      <c r="G1832" t="str">
        <f>_xlfn.CONCAT(Tabela9[[#This Row],[Coluna1]],Tabela9[[#This Row],[Coluna2]])</f>
        <v>15-AS(1-4)</v>
      </c>
    </row>
    <row r="1833" spans="1:7" x14ac:dyDescent="0.25">
      <c r="A1833">
        <v>12711</v>
      </c>
      <c r="B1833">
        <v>205</v>
      </c>
      <c r="C1833" s="1" t="str">
        <f>IF(Tabela8[[#This Row],[SETOR]]="","",IF(Tabela8[[#This Row],[SETOR]]&lt;200,"GV 10",IF(Tabela8[[#This Row],[SETOR]]&lt;300,"GV 20",IF(Tabela8[[#This Row],[SETOR]]&lt;400,"GV 30","S/GV"))))</f>
        <v>GV 20</v>
      </c>
      <c r="E1833" t="s">
        <v>128</v>
      </c>
      <c r="F1833" t="s">
        <v>129</v>
      </c>
      <c r="G1833" t="str">
        <f>_xlfn.CONCAT(Tabela9[[#This Row],[Coluna1]],Tabela9[[#This Row],[Coluna2]])</f>
        <v>15-AS(1-4)</v>
      </c>
    </row>
    <row r="1834" spans="1:7" x14ac:dyDescent="0.25">
      <c r="A1834">
        <v>12714</v>
      </c>
      <c r="B1834">
        <v>305</v>
      </c>
      <c r="C1834" s="1" t="str">
        <f>IF(Tabela8[[#This Row],[SETOR]]="","",IF(Tabela8[[#This Row],[SETOR]]&lt;200,"GV 10",IF(Tabela8[[#This Row],[SETOR]]&lt;300,"GV 20",IF(Tabela8[[#This Row],[SETOR]]&lt;400,"GV 30","S/GV"))))</f>
        <v>GV 30</v>
      </c>
      <c r="E1834" t="s">
        <v>123</v>
      </c>
      <c r="G1834" t="str">
        <f>_xlfn.CONCAT(Tabela9[[#This Row],[Coluna1]],Tabela9[[#This Row],[Coluna2]])</f>
        <v>20-Rota</v>
      </c>
    </row>
    <row r="1835" spans="1:7" x14ac:dyDescent="0.25">
      <c r="A1835">
        <v>12715</v>
      </c>
      <c r="B1835">
        <v>101</v>
      </c>
      <c r="C1835" s="1" t="str">
        <f>IF(Tabela8[[#This Row],[SETOR]]="","",IF(Tabela8[[#This Row],[SETOR]]&lt;200,"GV 10",IF(Tabela8[[#This Row],[SETOR]]&lt;300,"GV 20",IF(Tabela8[[#This Row],[SETOR]]&lt;400,"GV 30","S/GV"))))</f>
        <v>GV 10</v>
      </c>
      <c r="E1835" t="s">
        <v>123</v>
      </c>
      <c r="G1835" t="str">
        <f>_xlfn.CONCAT(Tabela9[[#This Row],[Coluna1]],Tabela9[[#This Row],[Coluna2]])</f>
        <v>20-Rota</v>
      </c>
    </row>
    <row r="1836" spans="1:7" x14ac:dyDescent="0.25">
      <c r="A1836">
        <v>12718</v>
      </c>
      <c r="B1836">
        <v>302</v>
      </c>
      <c r="C1836" s="1" t="str">
        <f>IF(Tabela8[[#This Row],[SETOR]]="","",IF(Tabela8[[#This Row],[SETOR]]&lt;200,"GV 10",IF(Tabela8[[#This Row],[SETOR]]&lt;300,"GV 20",IF(Tabela8[[#This Row],[SETOR]]&lt;400,"GV 30","S/GV"))))</f>
        <v>GV 30</v>
      </c>
      <c r="E1836" t="s">
        <v>123</v>
      </c>
      <c r="G1836" t="str">
        <f>_xlfn.CONCAT(Tabela9[[#This Row],[Coluna1]],Tabela9[[#This Row],[Coluna2]])</f>
        <v>20-Rota</v>
      </c>
    </row>
    <row r="1837" spans="1:7" x14ac:dyDescent="0.25">
      <c r="A1837">
        <v>12725</v>
      </c>
      <c r="B1837">
        <v>305</v>
      </c>
      <c r="C1837" s="1" t="str">
        <f>IF(Tabela8[[#This Row],[SETOR]]="","",IF(Tabela8[[#This Row],[SETOR]]&lt;200,"GV 10",IF(Tabela8[[#This Row],[SETOR]]&lt;300,"GV 20",IF(Tabela8[[#This Row],[SETOR]]&lt;400,"GV 30","S/GV"))))</f>
        <v>GV 30</v>
      </c>
      <c r="E1837" t="s">
        <v>123</v>
      </c>
      <c r="G1837" t="str">
        <f>_xlfn.CONCAT(Tabela9[[#This Row],[Coluna1]],Tabela9[[#This Row],[Coluna2]])</f>
        <v>20-Rota</v>
      </c>
    </row>
    <row r="1838" spans="1:7" x14ac:dyDescent="0.25">
      <c r="A1838">
        <v>12726</v>
      </c>
      <c r="B1838">
        <v>204</v>
      </c>
      <c r="C1838" s="1" t="str">
        <f>IF(Tabela8[[#This Row],[SETOR]]="","",IF(Tabela8[[#This Row],[SETOR]]&lt;200,"GV 10",IF(Tabela8[[#This Row],[SETOR]]&lt;300,"GV 20",IF(Tabela8[[#This Row],[SETOR]]&lt;400,"GV 30","S/GV"))))</f>
        <v>GV 20</v>
      </c>
      <c r="E1838" t="s">
        <v>123</v>
      </c>
      <c r="G1838" t="str">
        <f>_xlfn.CONCAT(Tabela9[[#This Row],[Coluna1]],Tabela9[[#This Row],[Coluna2]])</f>
        <v>20-Rota</v>
      </c>
    </row>
    <row r="1839" spans="1:7" x14ac:dyDescent="0.25">
      <c r="A1839">
        <v>12727</v>
      </c>
      <c r="B1839">
        <v>305</v>
      </c>
      <c r="C1839" s="1" t="str">
        <f>IF(Tabela8[[#This Row],[SETOR]]="","",IF(Tabela8[[#This Row],[SETOR]]&lt;200,"GV 10",IF(Tabela8[[#This Row],[SETOR]]&lt;300,"GV 20",IF(Tabela8[[#This Row],[SETOR]]&lt;400,"GV 30","S/GV"))))</f>
        <v>GV 30</v>
      </c>
      <c r="E1839" t="s">
        <v>123</v>
      </c>
      <c r="G1839" t="str">
        <f>_xlfn.CONCAT(Tabela9[[#This Row],[Coluna1]],Tabela9[[#This Row],[Coluna2]])</f>
        <v>20-Rota</v>
      </c>
    </row>
    <row r="1840" spans="1:7" x14ac:dyDescent="0.25">
      <c r="A1840">
        <v>12731</v>
      </c>
      <c r="B1840">
        <v>205</v>
      </c>
      <c r="C1840" s="1" t="str">
        <f>IF(Tabela8[[#This Row],[SETOR]]="","",IF(Tabela8[[#This Row],[SETOR]]&lt;200,"GV 10",IF(Tabela8[[#This Row],[SETOR]]&lt;300,"GV 20",IF(Tabela8[[#This Row],[SETOR]]&lt;400,"GV 30","S/GV"))))</f>
        <v>GV 20</v>
      </c>
      <c r="E1840" t="s">
        <v>123</v>
      </c>
      <c r="G1840" t="str">
        <f>_xlfn.CONCAT(Tabela9[[#This Row],[Coluna1]],Tabela9[[#This Row],[Coluna2]])</f>
        <v>20-Rota</v>
      </c>
    </row>
    <row r="1841" spans="1:7" x14ac:dyDescent="0.25">
      <c r="A1841">
        <v>12733</v>
      </c>
      <c r="B1841">
        <v>106</v>
      </c>
      <c r="C1841" s="1" t="str">
        <f>IF(Tabela8[[#This Row],[SETOR]]="","",IF(Tabela8[[#This Row],[SETOR]]&lt;200,"GV 10",IF(Tabela8[[#This Row],[SETOR]]&lt;300,"GV 20",IF(Tabela8[[#This Row],[SETOR]]&lt;400,"GV 30","S/GV"))))</f>
        <v>GV 10</v>
      </c>
      <c r="E1841" t="s">
        <v>125</v>
      </c>
      <c r="G1841" t="str">
        <f>_xlfn.CONCAT(Tabela9[[#This Row],[Coluna1]],Tabela9[[#This Row],[Coluna2]])</f>
        <v>18-TRAD</v>
      </c>
    </row>
    <row r="1842" spans="1:7" x14ac:dyDescent="0.25">
      <c r="A1842">
        <v>12737</v>
      </c>
      <c r="B1842">
        <v>107</v>
      </c>
      <c r="C1842" s="1" t="str">
        <f>IF(Tabela8[[#This Row],[SETOR]]="","",IF(Tabela8[[#This Row],[SETOR]]&lt;200,"GV 10",IF(Tabela8[[#This Row],[SETOR]]&lt;300,"GV 20",IF(Tabela8[[#This Row],[SETOR]]&lt;400,"GV 30","S/GV"))))</f>
        <v>GV 10</v>
      </c>
      <c r="E1842" t="s">
        <v>125</v>
      </c>
      <c r="G1842" t="str">
        <f>_xlfn.CONCAT(Tabela9[[#This Row],[Coluna1]],Tabela9[[#This Row],[Coluna2]])</f>
        <v>18-TRAD</v>
      </c>
    </row>
    <row r="1843" spans="1:7" x14ac:dyDescent="0.25">
      <c r="A1843">
        <v>12741</v>
      </c>
      <c r="B1843">
        <v>916</v>
      </c>
      <c r="C1843" s="1" t="str">
        <f>IF(Tabela8[[#This Row],[SETOR]]="","",IF(Tabela8[[#This Row],[SETOR]]&lt;200,"GV 10",IF(Tabela8[[#This Row],[SETOR]]&lt;300,"GV 20",IF(Tabela8[[#This Row],[SETOR]]&lt;400,"GV 30","S/GV"))))</f>
        <v>S/GV</v>
      </c>
      <c r="G1843" t="str">
        <f>_xlfn.CONCAT(Tabela9[[#This Row],[Coluna1]],Tabela9[[#This Row],[Coluna2]])</f>
        <v/>
      </c>
    </row>
    <row r="1844" spans="1:7" x14ac:dyDescent="0.25">
      <c r="A1844">
        <v>12744</v>
      </c>
      <c r="B1844">
        <v>916</v>
      </c>
      <c r="C1844" s="1" t="str">
        <f>IF(Tabela8[[#This Row],[SETOR]]="","",IF(Tabela8[[#This Row],[SETOR]]&lt;200,"GV 10",IF(Tabela8[[#This Row],[SETOR]]&lt;300,"GV 20",IF(Tabela8[[#This Row],[SETOR]]&lt;400,"GV 30","S/GV"))))</f>
        <v>S/GV</v>
      </c>
      <c r="G1844" t="str">
        <f>_xlfn.CONCAT(Tabela9[[#This Row],[Coluna1]],Tabela9[[#This Row],[Coluna2]])</f>
        <v/>
      </c>
    </row>
    <row r="1845" spans="1:7" x14ac:dyDescent="0.25">
      <c r="A1845">
        <v>12745</v>
      </c>
      <c r="B1845">
        <v>916</v>
      </c>
      <c r="C1845" s="1" t="str">
        <f>IF(Tabela8[[#This Row],[SETOR]]="","",IF(Tabela8[[#This Row],[SETOR]]&lt;200,"GV 10",IF(Tabela8[[#This Row],[SETOR]]&lt;300,"GV 20",IF(Tabela8[[#This Row],[SETOR]]&lt;400,"GV 30","S/GV"))))</f>
        <v>S/GV</v>
      </c>
      <c r="G1845" t="str">
        <f>_xlfn.CONCAT(Tabela9[[#This Row],[Coluna1]],Tabela9[[#This Row],[Coluna2]])</f>
        <v/>
      </c>
    </row>
    <row r="1846" spans="1:7" x14ac:dyDescent="0.25">
      <c r="A1846">
        <v>12749</v>
      </c>
      <c r="B1846">
        <v>916</v>
      </c>
      <c r="C1846" s="1" t="str">
        <f>IF(Tabela8[[#This Row],[SETOR]]="","",IF(Tabela8[[#This Row],[SETOR]]&lt;200,"GV 10",IF(Tabela8[[#This Row],[SETOR]]&lt;300,"GV 20",IF(Tabela8[[#This Row],[SETOR]]&lt;400,"GV 30","S/GV"))))</f>
        <v>S/GV</v>
      </c>
      <c r="G1846" t="str">
        <f>_xlfn.CONCAT(Tabela9[[#This Row],[Coluna1]],Tabela9[[#This Row],[Coluna2]])</f>
        <v/>
      </c>
    </row>
    <row r="1847" spans="1:7" x14ac:dyDescent="0.25">
      <c r="A1847">
        <v>12750</v>
      </c>
      <c r="B1847">
        <v>916</v>
      </c>
      <c r="C1847" s="1" t="str">
        <f>IF(Tabela8[[#This Row],[SETOR]]="","",IF(Tabela8[[#This Row],[SETOR]]&lt;200,"GV 10",IF(Tabela8[[#This Row],[SETOR]]&lt;300,"GV 20",IF(Tabela8[[#This Row],[SETOR]]&lt;400,"GV 30","S/GV"))))</f>
        <v>S/GV</v>
      </c>
      <c r="G1847" t="str">
        <f>_xlfn.CONCAT(Tabela9[[#This Row],[Coluna1]],Tabela9[[#This Row],[Coluna2]])</f>
        <v/>
      </c>
    </row>
    <row r="1848" spans="1:7" x14ac:dyDescent="0.25">
      <c r="A1848">
        <v>12754</v>
      </c>
      <c r="B1848">
        <v>916</v>
      </c>
      <c r="C1848" s="1" t="str">
        <f>IF(Tabela8[[#This Row],[SETOR]]="","",IF(Tabela8[[#This Row],[SETOR]]&lt;200,"GV 10",IF(Tabela8[[#This Row],[SETOR]]&lt;300,"GV 20",IF(Tabela8[[#This Row],[SETOR]]&lt;400,"GV 30","S/GV"))))</f>
        <v>S/GV</v>
      </c>
      <c r="G1848" t="str">
        <f>_xlfn.CONCAT(Tabela9[[#This Row],[Coluna1]],Tabela9[[#This Row],[Coluna2]])</f>
        <v/>
      </c>
    </row>
    <row r="1849" spans="1:7" x14ac:dyDescent="0.25">
      <c r="A1849">
        <v>12756</v>
      </c>
      <c r="B1849">
        <v>207</v>
      </c>
      <c r="C1849" s="1" t="str">
        <f>IF(Tabela8[[#This Row],[SETOR]]="","",IF(Tabela8[[#This Row],[SETOR]]&lt;200,"GV 10",IF(Tabela8[[#This Row],[SETOR]]&lt;300,"GV 20",IF(Tabela8[[#This Row],[SETOR]]&lt;400,"GV 30","S/GV"))))</f>
        <v>GV 20</v>
      </c>
      <c r="E1849" t="s">
        <v>125</v>
      </c>
      <c r="G1849" t="str">
        <f>_xlfn.CONCAT(Tabela9[[#This Row],[Coluna1]],Tabela9[[#This Row],[Coluna2]])</f>
        <v>18-TRAD</v>
      </c>
    </row>
    <row r="1850" spans="1:7" x14ac:dyDescent="0.25">
      <c r="A1850">
        <v>12757</v>
      </c>
      <c r="B1850">
        <v>304</v>
      </c>
      <c r="C1850" s="1" t="str">
        <f>IF(Tabela8[[#This Row],[SETOR]]="","",IF(Tabela8[[#This Row],[SETOR]]&lt;200,"GV 10",IF(Tabela8[[#This Row],[SETOR]]&lt;300,"GV 20",IF(Tabela8[[#This Row],[SETOR]]&lt;400,"GV 30","S/GV"))))</f>
        <v>GV 30</v>
      </c>
      <c r="E1850" t="s">
        <v>123</v>
      </c>
      <c r="G1850" t="str">
        <f>_xlfn.CONCAT(Tabela9[[#This Row],[Coluna1]],Tabela9[[#This Row],[Coluna2]])</f>
        <v>20-Rota</v>
      </c>
    </row>
    <row r="1851" spans="1:7" x14ac:dyDescent="0.25">
      <c r="A1851">
        <v>12759</v>
      </c>
      <c r="B1851">
        <v>907</v>
      </c>
      <c r="C1851" s="1" t="str">
        <f>IF(Tabela8[[#This Row],[SETOR]]="","",IF(Tabela8[[#This Row],[SETOR]]&lt;200,"GV 10",IF(Tabela8[[#This Row],[SETOR]]&lt;300,"GV 20",IF(Tabela8[[#This Row],[SETOR]]&lt;400,"GV 30","S/GV"))))</f>
        <v>S/GV</v>
      </c>
      <c r="G1851" t="str">
        <f>_xlfn.CONCAT(Tabela9[[#This Row],[Coluna1]],Tabela9[[#This Row],[Coluna2]])</f>
        <v/>
      </c>
    </row>
    <row r="1852" spans="1:7" x14ac:dyDescent="0.25">
      <c r="A1852">
        <v>12765</v>
      </c>
      <c r="B1852">
        <v>207</v>
      </c>
      <c r="C1852" s="1" t="str">
        <f>IF(Tabela8[[#This Row],[SETOR]]="","",IF(Tabela8[[#This Row],[SETOR]]&lt;200,"GV 10",IF(Tabela8[[#This Row],[SETOR]]&lt;300,"GV 20",IF(Tabela8[[#This Row],[SETOR]]&lt;400,"GV 30","S/GV"))))</f>
        <v>GV 20</v>
      </c>
      <c r="E1852" t="s">
        <v>130</v>
      </c>
      <c r="G1852" t="str">
        <f>_xlfn.CONCAT(Tabela9[[#This Row],[Coluna1]],Tabela9[[#This Row],[Coluna2]])</f>
        <v>21-SUB</v>
      </c>
    </row>
    <row r="1853" spans="1:7" x14ac:dyDescent="0.25">
      <c r="A1853">
        <v>12769</v>
      </c>
      <c r="B1853">
        <v>907</v>
      </c>
      <c r="C1853" s="1" t="str">
        <f>IF(Tabela8[[#This Row],[SETOR]]="","",IF(Tabela8[[#This Row],[SETOR]]&lt;200,"GV 10",IF(Tabela8[[#This Row],[SETOR]]&lt;300,"GV 20",IF(Tabela8[[#This Row],[SETOR]]&lt;400,"GV 30","S/GV"))))</f>
        <v>S/GV</v>
      </c>
      <c r="G1853" t="str">
        <f>_xlfn.CONCAT(Tabela9[[#This Row],[Coluna1]],Tabela9[[#This Row],[Coluna2]])</f>
        <v/>
      </c>
    </row>
    <row r="1854" spans="1:7" x14ac:dyDescent="0.25">
      <c r="A1854">
        <v>12775</v>
      </c>
      <c r="B1854">
        <v>102</v>
      </c>
      <c r="C1854" s="1" t="str">
        <f>IF(Tabela8[[#This Row],[SETOR]]="","",IF(Tabela8[[#This Row],[SETOR]]&lt;200,"GV 10",IF(Tabela8[[#This Row],[SETOR]]&lt;300,"GV 20",IF(Tabela8[[#This Row],[SETOR]]&lt;400,"GV 30","S/GV"))))</f>
        <v>GV 10</v>
      </c>
      <c r="E1854" t="s">
        <v>123</v>
      </c>
      <c r="G1854" t="str">
        <f>_xlfn.CONCAT(Tabela9[[#This Row],[Coluna1]],Tabela9[[#This Row],[Coluna2]])</f>
        <v>20-Rota</v>
      </c>
    </row>
    <row r="1855" spans="1:7" x14ac:dyDescent="0.25">
      <c r="A1855">
        <v>12776</v>
      </c>
      <c r="B1855">
        <v>907</v>
      </c>
      <c r="C1855" s="1" t="str">
        <f>IF(Tabela8[[#This Row],[SETOR]]="","",IF(Tabela8[[#This Row],[SETOR]]&lt;200,"GV 10",IF(Tabela8[[#This Row],[SETOR]]&lt;300,"GV 20",IF(Tabela8[[#This Row],[SETOR]]&lt;400,"GV 30","S/GV"))))</f>
        <v>S/GV</v>
      </c>
      <c r="G1855" t="str">
        <f>_xlfn.CONCAT(Tabela9[[#This Row],[Coluna1]],Tabela9[[#This Row],[Coluna2]])</f>
        <v/>
      </c>
    </row>
    <row r="1856" spans="1:7" x14ac:dyDescent="0.25">
      <c r="A1856">
        <v>12782</v>
      </c>
      <c r="B1856">
        <v>204</v>
      </c>
      <c r="C1856" s="1" t="str">
        <f>IF(Tabela8[[#This Row],[SETOR]]="","",IF(Tabela8[[#This Row],[SETOR]]&lt;200,"GV 10",IF(Tabela8[[#This Row],[SETOR]]&lt;300,"GV 20",IF(Tabela8[[#This Row],[SETOR]]&lt;400,"GV 30","S/GV"))))</f>
        <v>GV 20</v>
      </c>
      <c r="E1856" t="s">
        <v>123</v>
      </c>
      <c r="G1856" t="str">
        <f>_xlfn.CONCAT(Tabela9[[#This Row],[Coluna1]],Tabela9[[#This Row],[Coluna2]])</f>
        <v>20-Rota</v>
      </c>
    </row>
    <row r="1857" spans="1:7" x14ac:dyDescent="0.25">
      <c r="A1857">
        <v>12783</v>
      </c>
      <c r="B1857">
        <v>103</v>
      </c>
      <c r="C1857" s="1" t="str">
        <f>IF(Tabela8[[#This Row],[SETOR]]="","",IF(Tabela8[[#This Row],[SETOR]]&lt;200,"GV 10",IF(Tabela8[[#This Row],[SETOR]]&lt;300,"GV 20",IF(Tabela8[[#This Row],[SETOR]]&lt;400,"GV 30","S/GV"))))</f>
        <v>GV 10</v>
      </c>
      <c r="E1857" t="s">
        <v>123</v>
      </c>
      <c r="G1857" t="str">
        <f>_xlfn.CONCAT(Tabela9[[#This Row],[Coluna1]],Tabela9[[#This Row],[Coluna2]])</f>
        <v>20-Rota</v>
      </c>
    </row>
    <row r="1858" spans="1:7" x14ac:dyDescent="0.25">
      <c r="A1858">
        <v>12793</v>
      </c>
      <c r="B1858">
        <v>305</v>
      </c>
      <c r="C1858" s="1" t="str">
        <f>IF(Tabela8[[#This Row],[SETOR]]="","",IF(Tabela8[[#This Row],[SETOR]]&lt;200,"GV 10",IF(Tabela8[[#This Row],[SETOR]]&lt;300,"GV 20",IF(Tabela8[[#This Row],[SETOR]]&lt;400,"GV 30","S/GV"))))</f>
        <v>GV 30</v>
      </c>
      <c r="E1858" t="s">
        <v>123</v>
      </c>
      <c r="G1858" t="str">
        <f>_xlfn.CONCAT(Tabela9[[#This Row],[Coluna1]],Tabela9[[#This Row],[Coluna2]])</f>
        <v>20-Rota</v>
      </c>
    </row>
    <row r="1859" spans="1:7" x14ac:dyDescent="0.25">
      <c r="A1859">
        <v>12803</v>
      </c>
      <c r="B1859">
        <v>202</v>
      </c>
      <c r="C1859" s="1" t="str">
        <f>IF(Tabela8[[#This Row],[SETOR]]="","",IF(Tabela8[[#This Row],[SETOR]]&lt;200,"GV 10",IF(Tabela8[[#This Row],[SETOR]]&lt;300,"GV 20",IF(Tabela8[[#This Row],[SETOR]]&lt;400,"GV 30","S/GV"))))</f>
        <v>GV 20</v>
      </c>
      <c r="E1859" t="s">
        <v>123</v>
      </c>
      <c r="G1859" t="str">
        <f>_xlfn.CONCAT(Tabela9[[#This Row],[Coluna1]],Tabela9[[#This Row],[Coluna2]])</f>
        <v>20-Rota</v>
      </c>
    </row>
    <row r="1860" spans="1:7" x14ac:dyDescent="0.25">
      <c r="A1860">
        <v>12806</v>
      </c>
      <c r="B1860">
        <v>303</v>
      </c>
      <c r="C1860" s="1" t="str">
        <f>IF(Tabela8[[#This Row],[SETOR]]="","",IF(Tabela8[[#This Row],[SETOR]]&lt;200,"GV 10",IF(Tabela8[[#This Row],[SETOR]]&lt;300,"GV 20",IF(Tabela8[[#This Row],[SETOR]]&lt;400,"GV 30","S/GV"))))</f>
        <v>GV 30</v>
      </c>
      <c r="E1860" t="s">
        <v>123</v>
      </c>
      <c r="G1860" t="str">
        <f>_xlfn.CONCAT(Tabela9[[#This Row],[Coluna1]],Tabela9[[#This Row],[Coluna2]])</f>
        <v>20-Rota</v>
      </c>
    </row>
    <row r="1861" spans="1:7" x14ac:dyDescent="0.25">
      <c r="A1861">
        <v>12810</v>
      </c>
      <c r="B1861">
        <v>109</v>
      </c>
      <c r="C1861" s="1" t="str">
        <f>IF(Tabela8[[#This Row],[SETOR]]="","",IF(Tabela8[[#This Row],[SETOR]]&lt;200,"GV 10",IF(Tabela8[[#This Row],[SETOR]]&lt;300,"GV 20",IF(Tabela8[[#This Row],[SETOR]]&lt;400,"GV 30","S/GV"))))</f>
        <v>GV 10</v>
      </c>
      <c r="E1861" t="s">
        <v>123</v>
      </c>
      <c r="G1861" t="str">
        <f>_xlfn.CONCAT(Tabela9[[#This Row],[Coluna1]],Tabela9[[#This Row],[Coluna2]])</f>
        <v>20-Rota</v>
      </c>
    </row>
    <row r="1862" spans="1:7" x14ac:dyDescent="0.25">
      <c r="A1862">
        <v>12811</v>
      </c>
      <c r="B1862">
        <v>302</v>
      </c>
      <c r="C1862" s="1" t="str">
        <f>IF(Tabela8[[#This Row],[SETOR]]="","",IF(Tabela8[[#This Row],[SETOR]]&lt;200,"GV 10",IF(Tabela8[[#This Row],[SETOR]]&lt;300,"GV 20",IF(Tabela8[[#This Row],[SETOR]]&lt;400,"GV 30","S/GV"))))</f>
        <v>GV 30</v>
      </c>
      <c r="E1862" t="s">
        <v>123</v>
      </c>
      <c r="G1862" t="str">
        <f>_xlfn.CONCAT(Tabela9[[#This Row],[Coluna1]],Tabela9[[#This Row],[Coluna2]])</f>
        <v>20-Rota</v>
      </c>
    </row>
    <row r="1863" spans="1:7" x14ac:dyDescent="0.25">
      <c r="A1863">
        <v>12812</v>
      </c>
      <c r="B1863">
        <v>301</v>
      </c>
      <c r="C1863" s="1" t="str">
        <f>IF(Tabela8[[#This Row],[SETOR]]="","",IF(Tabela8[[#This Row],[SETOR]]&lt;200,"GV 10",IF(Tabela8[[#This Row],[SETOR]]&lt;300,"GV 20",IF(Tabela8[[#This Row],[SETOR]]&lt;400,"GV 30","S/GV"))))</f>
        <v>GV 30</v>
      </c>
      <c r="E1863" t="s">
        <v>123</v>
      </c>
      <c r="G1863" t="str">
        <f>_xlfn.CONCAT(Tabela9[[#This Row],[Coluna1]],Tabela9[[#This Row],[Coluna2]])</f>
        <v>20-Rota</v>
      </c>
    </row>
    <row r="1864" spans="1:7" x14ac:dyDescent="0.25">
      <c r="A1864">
        <v>12815</v>
      </c>
      <c r="B1864">
        <v>303</v>
      </c>
      <c r="C1864" s="1" t="str">
        <f>IF(Tabela8[[#This Row],[SETOR]]="","",IF(Tabela8[[#This Row],[SETOR]]&lt;200,"GV 10",IF(Tabela8[[#This Row],[SETOR]]&lt;300,"GV 20",IF(Tabela8[[#This Row],[SETOR]]&lt;400,"GV 30","S/GV"))))</f>
        <v>GV 30</v>
      </c>
      <c r="E1864" t="s">
        <v>123</v>
      </c>
      <c r="G1864" t="str">
        <f>_xlfn.CONCAT(Tabela9[[#This Row],[Coluna1]],Tabela9[[#This Row],[Coluna2]])</f>
        <v>20-Rota</v>
      </c>
    </row>
    <row r="1865" spans="1:7" x14ac:dyDescent="0.25">
      <c r="A1865">
        <v>12817</v>
      </c>
      <c r="B1865">
        <v>306</v>
      </c>
      <c r="C1865" s="1" t="str">
        <f>IF(Tabela8[[#This Row],[SETOR]]="","",IF(Tabela8[[#This Row],[SETOR]]&lt;200,"GV 10",IF(Tabela8[[#This Row],[SETOR]]&lt;300,"GV 20",IF(Tabela8[[#This Row],[SETOR]]&lt;400,"GV 30","S/GV"))))</f>
        <v>GV 30</v>
      </c>
      <c r="E1865" t="s">
        <v>123</v>
      </c>
      <c r="G1865" t="str">
        <f>_xlfn.CONCAT(Tabela9[[#This Row],[Coluna1]],Tabela9[[#This Row],[Coluna2]])</f>
        <v>20-Rota</v>
      </c>
    </row>
    <row r="1866" spans="1:7" x14ac:dyDescent="0.25">
      <c r="A1866">
        <v>12819</v>
      </c>
      <c r="B1866">
        <v>107</v>
      </c>
      <c r="C1866" s="1" t="str">
        <f>IF(Tabela8[[#This Row],[SETOR]]="","",IF(Tabela8[[#This Row],[SETOR]]&lt;200,"GV 10",IF(Tabela8[[#This Row],[SETOR]]&lt;300,"GV 20",IF(Tabela8[[#This Row],[SETOR]]&lt;400,"GV 30","S/GV"))))</f>
        <v>GV 10</v>
      </c>
      <c r="E1866" t="s">
        <v>125</v>
      </c>
      <c r="G1866" t="str">
        <f>_xlfn.CONCAT(Tabela9[[#This Row],[Coluna1]],Tabela9[[#This Row],[Coluna2]])</f>
        <v>18-TRAD</v>
      </c>
    </row>
    <row r="1867" spans="1:7" x14ac:dyDescent="0.25">
      <c r="A1867">
        <v>12829</v>
      </c>
      <c r="B1867">
        <v>107</v>
      </c>
      <c r="C1867" s="1" t="str">
        <f>IF(Tabela8[[#This Row],[SETOR]]="","",IF(Tabela8[[#This Row],[SETOR]]&lt;200,"GV 10",IF(Tabela8[[#This Row],[SETOR]]&lt;300,"GV 20",IF(Tabela8[[#This Row],[SETOR]]&lt;400,"GV 30","S/GV"))))</f>
        <v>GV 10</v>
      </c>
      <c r="E1867" t="s">
        <v>128</v>
      </c>
      <c r="F1867" t="s">
        <v>129</v>
      </c>
      <c r="G1867" t="str">
        <f>_xlfn.CONCAT(Tabela9[[#This Row],[Coluna1]],Tabela9[[#This Row],[Coluna2]])</f>
        <v>15-AS(1-4)</v>
      </c>
    </row>
    <row r="1868" spans="1:7" x14ac:dyDescent="0.25">
      <c r="A1868">
        <v>12830</v>
      </c>
      <c r="B1868">
        <v>102</v>
      </c>
      <c r="C1868" s="1" t="str">
        <f>IF(Tabela8[[#This Row],[SETOR]]="","",IF(Tabela8[[#This Row],[SETOR]]&lt;200,"GV 10",IF(Tabela8[[#This Row],[SETOR]]&lt;300,"GV 20",IF(Tabela8[[#This Row],[SETOR]]&lt;400,"GV 30","S/GV"))))</f>
        <v>GV 10</v>
      </c>
      <c r="E1868" t="s">
        <v>123</v>
      </c>
      <c r="G1868" t="str">
        <f>_xlfn.CONCAT(Tabela9[[#This Row],[Coluna1]],Tabela9[[#This Row],[Coluna2]])</f>
        <v>20-Rota</v>
      </c>
    </row>
    <row r="1869" spans="1:7" x14ac:dyDescent="0.25">
      <c r="A1869">
        <v>12833</v>
      </c>
      <c r="B1869">
        <v>104</v>
      </c>
      <c r="C1869" s="1" t="str">
        <f>IF(Tabela8[[#This Row],[SETOR]]="","",IF(Tabela8[[#This Row],[SETOR]]&lt;200,"GV 10",IF(Tabela8[[#This Row],[SETOR]]&lt;300,"GV 20",IF(Tabela8[[#This Row],[SETOR]]&lt;400,"GV 30","S/GV"))))</f>
        <v>GV 10</v>
      </c>
      <c r="E1869" t="s">
        <v>123</v>
      </c>
      <c r="G1869" t="str">
        <f>_xlfn.CONCAT(Tabela9[[#This Row],[Coluna1]],Tabela9[[#This Row],[Coluna2]])</f>
        <v>20-Rota</v>
      </c>
    </row>
    <row r="1870" spans="1:7" x14ac:dyDescent="0.25">
      <c r="A1870">
        <v>12840</v>
      </c>
      <c r="B1870">
        <v>107</v>
      </c>
      <c r="C1870" s="1" t="str">
        <f>IF(Tabela8[[#This Row],[SETOR]]="","",IF(Tabela8[[#This Row],[SETOR]]&lt;200,"GV 10",IF(Tabela8[[#This Row],[SETOR]]&lt;300,"GV 20",IF(Tabela8[[#This Row],[SETOR]]&lt;400,"GV 30","S/GV"))))</f>
        <v>GV 10</v>
      </c>
      <c r="E1870" t="s">
        <v>125</v>
      </c>
      <c r="G1870" t="str">
        <f>_xlfn.CONCAT(Tabela9[[#This Row],[Coluna1]],Tabela9[[#This Row],[Coluna2]])</f>
        <v>18-TRAD</v>
      </c>
    </row>
    <row r="1871" spans="1:7" x14ac:dyDescent="0.25">
      <c r="A1871">
        <v>12843</v>
      </c>
      <c r="B1871">
        <v>307</v>
      </c>
      <c r="C1871" s="1" t="str">
        <f>IF(Tabela8[[#This Row],[SETOR]]="","",IF(Tabela8[[#This Row],[SETOR]]&lt;200,"GV 10",IF(Tabela8[[#This Row],[SETOR]]&lt;300,"GV 20",IF(Tabela8[[#This Row],[SETOR]]&lt;400,"GV 30","S/GV"))))</f>
        <v>GV 30</v>
      </c>
      <c r="E1871" t="s">
        <v>130</v>
      </c>
      <c r="G1871" t="str">
        <f>_xlfn.CONCAT(Tabela9[[#This Row],[Coluna1]],Tabela9[[#This Row],[Coluna2]])</f>
        <v>21-SUB</v>
      </c>
    </row>
    <row r="1872" spans="1:7" x14ac:dyDescent="0.25">
      <c r="A1872">
        <v>12846</v>
      </c>
      <c r="B1872">
        <v>207</v>
      </c>
      <c r="C1872" s="1" t="str">
        <f>IF(Tabela8[[#This Row],[SETOR]]="","",IF(Tabela8[[#This Row],[SETOR]]&lt;200,"GV 10",IF(Tabela8[[#This Row],[SETOR]]&lt;300,"GV 20",IF(Tabela8[[#This Row],[SETOR]]&lt;400,"GV 30","S/GV"))))</f>
        <v>GV 20</v>
      </c>
      <c r="E1872" t="s">
        <v>125</v>
      </c>
      <c r="G1872" t="str">
        <f>_xlfn.CONCAT(Tabela9[[#This Row],[Coluna1]],Tabela9[[#This Row],[Coluna2]])</f>
        <v>18-TRAD</v>
      </c>
    </row>
    <row r="1873" spans="1:7" x14ac:dyDescent="0.25">
      <c r="A1873">
        <v>12847</v>
      </c>
      <c r="B1873">
        <v>204</v>
      </c>
      <c r="C1873" s="1" t="str">
        <f>IF(Tabela8[[#This Row],[SETOR]]="","",IF(Tabela8[[#This Row],[SETOR]]&lt;200,"GV 10",IF(Tabela8[[#This Row],[SETOR]]&lt;300,"GV 20",IF(Tabela8[[#This Row],[SETOR]]&lt;400,"GV 30","S/GV"))))</f>
        <v>GV 20</v>
      </c>
      <c r="E1873" t="s">
        <v>123</v>
      </c>
      <c r="G1873" t="str">
        <f>_xlfn.CONCAT(Tabela9[[#This Row],[Coluna1]],Tabela9[[#This Row],[Coluna2]])</f>
        <v>20-Rota</v>
      </c>
    </row>
    <row r="1874" spans="1:7" x14ac:dyDescent="0.25">
      <c r="A1874">
        <v>12848</v>
      </c>
      <c r="B1874">
        <v>202</v>
      </c>
      <c r="C1874" s="1" t="str">
        <f>IF(Tabela8[[#This Row],[SETOR]]="","",IF(Tabela8[[#This Row],[SETOR]]&lt;200,"GV 10",IF(Tabela8[[#This Row],[SETOR]]&lt;300,"GV 20",IF(Tabela8[[#This Row],[SETOR]]&lt;400,"GV 30","S/GV"))))</f>
        <v>GV 20</v>
      </c>
      <c r="E1874" t="s">
        <v>123</v>
      </c>
      <c r="G1874" t="str">
        <f>_xlfn.CONCAT(Tabela9[[#This Row],[Coluna1]],Tabela9[[#This Row],[Coluna2]])</f>
        <v>20-Rota</v>
      </c>
    </row>
    <row r="1875" spans="1:7" x14ac:dyDescent="0.25">
      <c r="A1875">
        <v>12851</v>
      </c>
      <c r="B1875">
        <v>102</v>
      </c>
      <c r="C1875" s="1" t="str">
        <f>IF(Tabela8[[#This Row],[SETOR]]="","",IF(Tabela8[[#This Row],[SETOR]]&lt;200,"GV 10",IF(Tabela8[[#This Row],[SETOR]]&lt;300,"GV 20",IF(Tabela8[[#This Row],[SETOR]]&lt;400,"GV 30","S/GV"))))</f>
        <v>GV 10</v>
      </c>
      <c r="E1875" t="s">
        <v>123</v>
      </c>
      <c r="G1875" t="str">
        <f>_xlfn.CONCAT(Tabela9[[#This Row],[Coluna1]],Tabela9[[#This Row],[Coluna2]])</f>
        <v>20-Rota</v>
      </c>
    </row>
    <row r="1876" spans="1:7" x14ac:dyDescent="0.25">
      <c r="A1876">
        <v>12852</v>
      </c>
      <c r="B1876">
        <v>102</v>
      </c>
      <c r="C1876" s="1" t="str">
        <f>IF(Tabela8[[#This Row],[SETOR]]="","",IF(Tabela8[[#This Row],[SETOR]]&lt;200,"GV 10",IF(Tabela8[[#This Row],[SETOR]]&lt;300,"GV 20",IF(Tabela8[[#This Row],[SETOR]]&lt;400,"GV 30","S/GV"))))</f>
        <v>GV 10</v>
      </c>
      <c r="E1876" t="s">
        <v>123</v>
      </c>
      <c r="G1876" t="str">
        <f>_xlfn.CONCAT(Tabela9[[#This Row],[Coluna1]],Tabela9[[#This Row],[Coluna2]])</f>
        <v>20-Rota</v>
      </c>
    </row>
    <row r="1877" spans="1:7" x14ac:dyDescent="0.25">
      <c r="A1877">
        <v>12855</v>
      </c>
      <c r="B1877">
        <v>304</v>
      </c>
      <c r="C1877" s="1" t="str">
        <f>IF(Tabela8[[#This Row],[SETOR]]="","",IF(Tabela8[[#This Row],[SETOR]]&lt;200,"GV 10",IF(Tabela8[[#This Row],[SETOR]]&lt;300,"GV 20",IF(Tabela8[[#This Row],[SETOR]]&lt;400,"GV 30","S/GV"))))</f>
        <v>GV 30</v>
      </c>
      <c r="E1877" t="s">
        <v>123</v>
      </c>
      <c r="G1877" t="str">
        <f>_xlfn.CONCAT(Tabela9[[#This Row],[Coluna1]],Tabela9[[#This Row],[Coluna2]])</f>
        <v>20-Rota</v>
      </c>
    </row>
    <row r="1878" spans="1:7" x14ac:dyDescent="0.25">
      <c r="A1878">
        <v>12856</v>
      </c>
      <c r="B1878">
        <v>103</v>
      </c>
      <c r="C1878" s="1" t="str">
        <f>IF(Tabela8[[#This Row],[SETOR]]="","",IF(Tabela8[[#This Row],[SETOR]]&lt;200,"GV 10",IF(Tabela8[[#This Row],[SETOR]]&lt;300,"GV 20",IF(Tabela8[[#This Row],[SETOR]]&lt;400,"GV 30","S/GV"))))</f>
        <v>GV 10</v>
      </c>
      <c r="E1878" t="s">
        <v>123</v>
      </c>
      <c r="G1878" t="str">
        <f>_xlfn.CONCAT(Tabela9[[#This Row],[Coluna1]],Tabela9[[#This Row],[Coluna2]])</f>
        <v>20-Rota</v>
      </c>
    </row>
    <row r="1879" spans="1:7" x14ac:dyDescent="0.25">
      <c r="A1879">
        <v>12859</v>
      </c>
      <c r="B1879">
        <v>109</v>
      </c>
      <c r="C1879" s="1" t="str">
        <f>IF(Tabela8[[#This Row],[SETOR]]="","",IF(Tabela8[[#This Row],[SETOR]]&lt;200,"GV 10",IF(Tabela8[[#This Row],[SETOR]]&lt;300,"GV 20",IF(Tabela8[[#This Row],[SETOR]]&lt;400,"GV 30","S/GV"))))</f>
        <v>GV 10</v>
      </c>
      <c r="E1879" t="s">
        <v>123</v>
      </c>
      <c r="G1879" t="str">
        <f>_xlfn.CONCAT(Tabela9[[#This Row],[Coluna1]],Tabela9[[#This Row],[Coluna2]])</f>
        <v>20-Rota</v>
      </c>
    </row>
    <row r="1880" spans="1:7" x14ac:dyDescent="0.25">
      <c r="A1880">
        <v>12862</v>
      </c>
      <c r="B1880">
        <v>304</v>
      </c>
      <c r="C1880" s="1" t="str">
        <f>IF(Tabela8[[#This Row],[SETOR]]="","",IF(Tabela8[[#This Row],[SETOR]]&lt;200,"GV 10",IF(Tabela8[[#This Row],[SETOR]]&lt;300,"GV 20",IF(Tabela8[[#This Row],[SETOR]]&lt;400,"GV 30","S/GV"))))</f>
        <v>GV 30</v>
      </c>
      <c r="E1880" t="s">
        <v>123</v>
      </c>
      <c r="G1880" t="str">
        <f>_xlfn.CONCAT(Tabela9[[#This Row],[Coluna1]],Tabela9[[#This Row],[Coluna2]])</f>
        <v>20-Rota</v>
      </c>
    </row>
    <row r="1881" spans="1:7" x14ac:dyDescent="0.25">
      <c r="A1881">
        <v>12881</v>
      </c>
      <c r="B1881">
        <v>305</v>
      </c>
      <c r="C1881" s="1" t="str">
        <f>IF(Tabela8[[#This Row],[SETOR]]="","",IF(Tabela8[[#This Row],[SETOR]]&lt;200,"GV 10",IF(Tabela8[[#This Row],[SETOR]]&lt;300,"GV 20",IF(Tabela8[[#This Row],[SETOR]]&lt;400,"GV 30","S/GV"))))</f>
        <v>GV 30</v>
      </c>
      <c r="E1881" t="s">
        <v>123</v>
      </c>
      <c r="G1881" t="str">
        <f>_xlfn.CONCAT(Tabela9[[#This Row],[Coluna1]],Tabela9[[#This Row],[Coluna2]])</f>
        <v>20-Rota</v>
      </c>
    </row>
    <row r="1882" spans="1:7" x14ac:dyDescent="0.25">
      <c r="A1882">
        <v>12882</v>
      </c>
      <c r="B1882">
        <v>302</v>
      </c>
      <c r="C1882" s="1" t="str">
        <f>IF(Tabela8[[#This Row],[SETOR]]="","",IF(Tabela8[[#This Row],[SETOR]]&lt;200,"GV 10",IF(Tabela8[[#This Row],[SETOR]]&lt;300,"GV 20",IF(Tabela8[[#This Row],[SETOR]]&lt;400,"GV 30","S/GV"))))</f>
        <v>GV 30</v>
      </c>
      <c r="E1882" t="s">
        <v>123</v>
      </c>
      <c r="G1882" t="str">
        <f>_xlfn.CONCAT(Tabela9[[#This Row],[Coluna1]],Tabela9[[#This Row],[Coluna2]])</f>
        <v>20-Rota</v>
      </c>
    </row>
    <row r="1883" spans="1:7" x14ac:dyDescent="0.25">
      <c r="A1883">
        <v>12884</v>
      </c>
      <c r="B1883">
        <v>202</v>
      </c>
      <c r="C1883" s="1" t="str">
        <f>IF(Tabela8[[#This Row],[SETOR]]="","",IF(Tabela8[[#This Row],[SETOR]]&lt;200,"GV 10",IF(Tabela8[[#This Row],[SETOR]]&lt;300,"GV 20",IF(Tabela8[[#This Row],[SETOR]]&lt;400,"GV 30","S/GV"))))</f>
        <v>GV 20</v>
      </c>
      <c r="E1883" t="s">
        <v>125</v>
      </c>
      <c r="G1883" t="str">
        <f>_xlfn.CONCAT(Tabela9[[#This Row],[Coluna1]],Tabela9[[#This Row],[Coluna2]])</f>
        <v>18-TRAD</v>
      </c>
    </row>
    <row r="1884" spans="1:7" x14ac:dyDescent="0.25">
      <c r="A1884">
        <v>12890</v>
      </c>
      <c r="B1884">
        <v>302</v>
      </c>
      <c r="C1884" s="1" t="str">
        <f>IF(Tabela8[[#This Row],[SETOR]]="","",IF(Tabela8[[#This Row],[SETOR]]&lt;200,"GV 10",IF(Tabela8[[#This Row],[SETOR]]&lt;300,"GV 20",IF(Tabela8[[#This Row],[SETOR]]&lt;400,"GV 30","S/GV"))))</f>
        <v>GV 30</v>
      </c>
      <c r="E1884" t="s">
        <v>123</v>
      </c>
      <c r="G1884" t="str">
        <f>_xlfn.CONCAT(Tabela9[[#This Row],[Coluna1]],Tabela9[[#This Row],[Coluna2]])</f>
        <v>20-Rota</v>
      </c>
    </row>
    <row r="1885" spans="1:7" x14ac:dyDescent="0.25">
      <c r="A1885">
        <v>12895</v>
      </c>
      <c r="B1885">
        <v>205</v>
      </c>
      <c r="C1885" s="1" t="str">
        <f>IF(Tabela8[[#This Row],[SETOR]]="","",IF(Tabela8[[#This Row],[SETOR]]&lt;200,"GV 10",IF(Tabela8[[#This Row],[SETOR]]&lt;300,"GV 20",IF(Tabela8[[#This Row],[SETOR]]&lt;400,"GV 30","S/GV"))))</f>
        <v>GV 20</v>
      </c>
      <c r="E1885" t="s">
        <v>123</v>
      </c>
      <c r="G1885" t="str">
        <f>_xlfn.CONCAT(Tabela9[[#This Row],[Coluna1]],Tabela9[[#This Row],[Coluna2]])</f>
        <v>20-Rota</v>
      </c>
    </row>
    <row r="1886" spans="1:7" x14ac:dyDescent="0.25">
      <c r="A1886">
        <v>12896</v>
      </c>
      <c r="B1886">
        <v>203</v>
      </c>
      <c r="C1886" s="1" t="str">
        <f>IF(Tabela8[[#This Row],[SETOR]]="","",IF(Tabela8[[#This Row],[SETOR]]&lt;200,"GV 10",IF(Tabela8[[#This Row],[SETOR]]&lt;300,"GV 20",IF(Tabela8[[#This Row],[SETOR]]&lt;400,"GV 30","S/GV"))))</f>
        <v>GV 20</v>
      </c>
      <c r="E1886" t="s">
        <v>130</v>
      </c>
      <c r="G1886" t="str">
        <f>_xlfn.CONCAT(Tabela9[[#This Row],[Coluna1]],Tabela9[[#This Row],[Coluna2]])</f>
        <v>21-SUB</v>
      </c>
    </row>
    <row r="1887" spans="1:7" x14ac:dyDescent="0.25">
      <c r="A1887">
        <v>12910</v>
      </c>
      <c r="B1887">
        <v>104</v>
      </c>
      <c r="C1887" s="1" t="str">
        <f>IF(Tabela8[[#This Row],[SETOR]]="","",IF(Tabela8[[#This Row],[SETOR]]&lt;200,"GV 10",IF(Tabela8[[#This Row],[SETOR]]&lt;300,"GV 20",IF(Tabela8[[#This Row],[SETOR]]&lt;400,"GV 30","S/GV"))))</f>
        <v>GV 10</v>
      </c>
      <c r="E1887" t="s">
        <v>123</v>
      </c>
      <c r="G1887" t="str">
        <f>_xlfn.CONCAT(Tabela9[[#This Row],[Coluna1]],Tabela9[[#This Row],[Coluna2]])</f>
        <v>20-Rota</v>
      </c>
    </row>
    <row r="1888" spans="1:7" x14ac:dyDescent="0.25">
      <c r="A1888">
        <v>12914</v>
      </c>
      <c r="B1888">
        <v>302</v>
      </c>
      <c r="C1888" s="1" t="str">
        <f>IF(Tabela8[[#This Row],[SETOR]]="","",IF(Tabela8[[#This Row],[SETOR]]&lt;200,"GV 10",IF(Tabela8[[#This Row],[SETOR]]&lt;300,"GV 20",IF(Tabela8[[#This Row],[SETOR]]&lt;400,"GV 30","S/GV"))))</f>
        <v>GV 30</v>
      </c>
      <c r="E1888" t="s">
        <v>126</v>
      </c>
      <c r="F1888" t="s">
        <v>127</v>
      </c>
      <c r="G1888" t="str">
        <f>_xlfn.CONCAT(Tabela9[[#This Row],[Coluna1]],Tabela9[[#This Row],[Coluna2]])</f>
        <v>16-AS(5+)</v>
      </c>
    </row>
    <row r="1889" spans="1:7" x14ac:dyDescent="0.25">
      <c r="A1889">
        <v>12915</v>
      </c>
      <c r="B1889">
        <v>208</v>
      </c>
      <c r="C1889" s="1" t="str">
        <f>IF(Tabela8[[#This Row],[SETOR]]="","",IF(Tabela8[[#This Row],[SETOR]]&lt;200,"GV 10",IF(Tabela8[[#This Row],[SETOR]]&lt;300,"GV 20",IF(Tabela8[[#This Row],[SETOR]]&lt;400,"GV 30","S/GV"))))</f>
        <v>GV 20</v>
      </c>
      <c r="E1889" t="s">
        <v>130</v>
      </c>
      <c r="G1889" t="str">
        <f>_xlfn.CONCAT(Tabela9[[#This Row],[Coluna1]],Tabela9[[#This Row],[Coluna2]])</f>
        <v>21-SUB</v>
      </c>
    </row>
    <row r="1890" spans="1:7" x14ac:dyDescent="0.25">
      <c r="A1890">
        <v>12916</v>
      </c>
      <c r="B1890">
        <v>303</v>
      </c>
      <c r="C1890" s="1" t="str">
        <f>IF(Tabela8[[#This Row],[SETOR]]="","",IF(Tabela8[[#This Row],[SETOR]]&lt;200,"GV 10",IF(Tabela8[[#This Row],[SETOR]]&lt;300,"GV 20",IF(Tabela8[[#This Row],[SETOR]]&lt;400,"GV 30","S/GV"))))</f>
        <v>GV 30</v>
      </c>
      <c r="E1890" t="s">
        <v>123</v>
      </c>
      <c r="G1890" t="str">
        <f>_xlfn.CONCAT(Tabela9[[#This Row],[Coluna1]],Tabela9[[#This Row],[Coluna2]])</f>
        <v>20-Rota</v>
      </c>
    </row>
    <row r="1891" spans="1:7" x14ac:dyDescent="0.25">
      <c r="A1891">
        <v>12928</v>
      </c>
      <c r="B1891">
        <v>208</v>
      </c>
      <c r="C1891" s="1" t="str">
        <f>IF(Tabela8[[#This Row],[SETOR]]="","",IF(Tabela8[[#This Row],[SETOR]]&lt;200,"GV 10",IF(Tabela8[[#This Row],[SETOR]]&lt;300,"GV 20",IF(Tabela8[[#This Row],[SETOR]]&lt;400,"GV 30","S/GV"))))</f>
        <v>GV 20</v>
      </c>
      <c r="E1891" t="s">
        <v>130</v>
      </c>
      <c r="G1891" t="str">
        <f>_xlfn.CONCAT(Tabela9[[#This Row],[Coluna1]],Tabela9[[#This Row],[Coluna2]])</f>
        <v>21-SUB</v>
      </c>
    </row>
    <row r="1892" spans="1:7" x14ac:dyDescent="0.25">
      <c r="A1892">
        <v>12931</v>
      </c>
      <c r="B1892">
        <v>303</v>
      </c>
      <c r="C1892" s="1" t="str">
        <f>IF(Tabela8[[#This Row],[SETOR]]="","",IF(Tabela8[[#This Row],[SETOR]]&lt;200,"GV 10",IF(Tabela8[[#This Row],[SETOR]]&lt;300,"GV 20",IF(Tabela8[[#This Row],[SETOR]]&lt;400,"GV 30","S/GV"))))</f>
        <v>GV 30</v>
      </c>
      <c r="E1892" t="s">
        <v>123</v>
      </c>
      <c r="G1892" t="str">
        <f>_xlfn.CONCAT(Tabela9[[#This Row],[Coluna1]],Tabela9[[#This Row],[Coluna2]])</f>
        <v>20-Rota</v>
      </c>
    </row>
    <row r="1893" spans="1:7" x14ac:dyDescent="0.25">
      <c r="A1893">
        <v>12932</v>
      </c>
      <c r="B1893">
        <v>204</v>
      </c>
      <c r="C1893" s="1" t="str">
        <f>IF(Tabela8[[#This Row],[SETOR]]="","",IF(Tabela8[[#This Row],[SETOR]]&lt;200,"GV 10",IF(Tabela8[[#This Row],[SETOR]]&lt;300,"GV 20",IF(Tabela8[[#This Row],[SETOR]]&lt;400,"GV 30","S/GV"))))</f>
        <v>GV 20</v>
      </c>
      <c r="E1893" t="s">
        <v>123</v>
      </c>
      <c r="G1893" t="str">
        <f>_xlfn.CONCAT(Tabela9[[#This Row],[Coluna1]],Tabela9[[#This Row],[Coluna2]])</f>
        <v>20-Rota</v>
      </c>
    </row>
    <row r="1894" spans="1:7" x14ac:dyDescent="0.25">
      <c r="A1894">
        <v>12938</v>
      </c>
      <c r="B1894">
        <v>304</v>
      </c>
      <c r="C1894" s="1" t="str">
        <f>IF(Tabela8[[#This Row],[SETOR]]="","",IF(Tabela8[[#This Row],[SETOR]]&lt;200,"GV 10",IF(Tabela8[[#This Row],[SETOR]]&lt;300,"GV 20",IF(Tabela8[[#This Row],[SETOR]]&lt;400,"GV 30","S/GV"))))</f>
        <v>GV 30</v>
      </c>
      <c r="E1894" t="s">
        <v>123</v>
      </c>
      <c r="G1894" t="str">
        <f>_xlfn.CONCAT(Tabela9[[#This Row],[Coluna1]],Tabela9[[#This Row],[Coluna2]])</f>
        <v>20-Rota</v>
      </c>
    </row>
    <row r="1895" spans="1:7" x14ac:dyDescent="0.25">
      <c r="A1895">
        <v>12946</v>
      </c>
      <c r="B1895">
        <v>102</v>
      </c>
      <c r="C1895" s="1" t="str">
        <f>IF(Tabela8[[#This Row],[SETOR]]="","",IF(Tabela8[[#This Row],[SETOR]]&lt;200,"GV 10",IF(Tabela8[[#This Row],[SETOR]]&lt;300,"GV 20",IF(Tabela8[[#This Row],[SETOR]]&lt;400,"GV 30","S/GV"))))</f>
        <v>GV 10</v>
      </c>
      <c r="E1895" t="s">
        <v>123</v>
      </c>
      <c r="G1895" t="str">
        <f>_xlfn.CONCAT(Tabela9[[#This Row],[Coluna1]],Tabela9[[#This Row],[Coluna2]])</f>
        <v>20-Rota</v>
      </c>
    </row>
    <row r="1896" spans="1:7" x14ac:dyDescent="0.25">
      <c r="A1896">
        <v>12948</v>
      </c>
      <c r="B1896">
        <v>103</v>
      </c>
      <c r="C1896" s="1" t="str">
        <f>IF(Tabela8[[#This Row],[SETOR]]="","",IF(Tabela8[[#This Row],[SETOR]]&lt;200,"GV 10",IF(Tabela8[[#This Row],[SETOR]]&lt;300,"GV 20",IF(Tabela8[[#This Row],[SETOR]]&lt;400,"GV 30","S/GV"))))</f>
        <v>GV 10</v>
      </c>
      <c r="E1896" t="s">
        <v>123</v>
      </c>
      <c r="G1896" t="str">
        <f>_xlfn.CONCAT(Tabela9[[#This Row],[Coluna1]],Tabela9[[#This Row],[Coluna2]])</f>
        <v>20-Rota</v>
      </c>
    </row>
    <row r="1897" spans="1:7" x14ac:dyDescent="0.25">
      <c r="A1897">
        <v>12949</v>
      </c>
      <c r="B1897">
        <v>302</v>
      </c>
      <c r="C1897" s="1" t="str">
        <f>IF(Tabela8[[#This Row],[SETOR]]="","",IF(Tabela8[[#This Row],[SETOR]]&lt;200,"GV 10",IF(Tabela8[[#This Row],[SETOR]]&lt;300,"GV 20",IF(Tabela8[[#This Row],[SETOR]]&lt;400,"GV 30","S/GV"))))</f>
        <v>GV 30</v>
      </c>
      <c r="E1897" t="s">
        <v>123</v>
      </c>
      <c r="G1897" t="str">
        <f>_xlfn.CONCAT(Tabela9[[#This Row],[Coluna1]],Tabela9[[#This Row],[Coluna2]])</f>
        <v>20-Rota</v>
      </c>
    </row>
    <row r="1898" spans="1:7" x14ac:dyDescent="0.25">
      <c r="A1898">
        <v>12950</v>
      </c>
      <c r="B1898">
        <v>105</v>
      </c>
      <c r="C1898" s="1" t="str">
        <f>IF(Tabela8[[#This Row],[SETOR]]="","",IF(Tabela8[[#This Row],[SETOR]]&lt;200,"GV 10",IF(Tabela8[[#This Row],[SETOR]]&lt;300,"GV 20",IF(Tabela8[[#This Row],[SETOR]]&lt;400,"GV 30","S/GV"))))</f>
        <v>GV 10</v>
      </c>
      <c r="E1898" t="s">
        <v>123</v>
      </c>
      <c r="G1898" t="str">
        <f>_xlfn.CONCAT(Tabela9[[#This Row],[Coluna1]],Tabela9[[#This Row],[Coluna2]])</f>
        <v>20-Rota</v>
      </c>
    </row>
    <row r="1899" spans="1:7" x14ac:dyDescent="0.25">
      <c r="A1899">
        <v>12952</v>
      </c>
      <c r="B1899">
        <v>107</v>
      </c>
      <c r="C1899" s="1" t="str">
        <f>IF(Tabela8[[#This Row],[SETOR]]="","",IF(Tabela8[[#This Row],[SETOR]]&lt;200,"GV 10",IF(Tabela8[[#This Row],[SETOR]]&lt;300,"GV 20",IF(Tabela8[[#This Row],[SETOR]]&lt;400,"GV 30","S/GV"))))</f>
        <v>GV 10</v>
      </c>
      <c r="E1899" t="s">
        <v>130</v>
      </c>
      <c r="G1899" t="str">
        <f>_xlfn.CONCAT(Tabela9[[#This Row],[Coluna1]],Tabela9[[#This Row],[Coluna2]])</f>
        <v>21-SUB</v>
      </c>
    </row>
    <row r="1900" spans="1:7" x14ac:dyDescent="0.25">
      <c r="A1900">
        <v>12954</v>
      </c>
      <c r="B1900">
        <v>105</v>
      </c>
      <c r="C1900" s="1" t="str">
        <f>IF(Tabela8[[#This Row],[SETOR]]="","",IF(Tabela8[[#This Row],[SETOR]]&lt;200,"GV 10",IF(Tabela8[[#This Row],[SETOR]]&lt;300,"GV 20",IF(Tabela8[[#This Row],[SETOR]]&lt;400,"GV 30","S/GV"))))</f>
        <v>GV 10</v>
      </c>
      <c r="E1900" t="s">
        <v>123</v>
      </c>
      <c r="G1900" t="str">
        <f>_xlfn.CONCAT(Tabela9[[#This Row],[Coluna1]],Tabela9[[#This Row],[Coluna2]])</f>
        <v>20-Rota</v>
      </c>
    </row>
    <row r="1901" spans="1:7" x14ac:dyDescent="0.25">
      <c r="A1901">
        <v>12959</v>
      </c>
      <c r="B1901">
        <v>302</v>
      </c>
      <c r="C1901" s="1" t="str">
        <f>IF(Tabela8[[#This Row],[SETOR]]="","",IF(Tabela8[[#This Row],[SETOR]]&lt;200,"GV 10",IF(Tabela8[[#This Row],[SETOR]]&lt;300,"GV 20",IF(Tabela8[[#This Row],[SETOR]]&lt;400,"GV 30","S/GV"))))</f>
        <v>GV 30</v>
      </c>
      <c r="E1901" t="s">
        <v>123</v>
      </c>
      <c r="G1901" t="str">
        <f>_xlfn.CONCAT(Tabela9[[#This Row],[Coluna1]],Tabela9[[#This Row],[Coluna2]])</f>
        <v>20-Rota</v>
      </c>
    </row>
    <row r="1902" spans="1:7" x14ac:dyDescent="0.25">
      <c r="A1902">
        <v>12960</v>
      </c>
      <c r="B1902">
        <v>916</v>
      </c>
      <c r="C1902" s="1" t="str">
        <f>IF(Tabela8[[#This Row],[SETOR]]="","",IF(Tabela8[[#This Row],[SETOR]]&lt;200,"GV 10",IF(Tabela8[[#This Row],[SETOR]]&lt;300,"GV 20",IF(Tabela8[[#This Row],[SETOR]]&lt;400,"GV 30","S/GV"))))</f>
        <v>S/GV</v>
      </c>
      <c r="E1902" t="s">
        <v>123</v>
      </c>
      <c r="G1902" t="str">
        <f>_xlfn.CONCAT(Tabela9[[#This Row],[Coluna1]],Tabela9[[#This Row],[Coluna2]])</f>
        <v>20-Rota</v>
      </c>
    </row>
    <row r="1903" spans="1:7" x14ac:dyDescent="0.25">
      <c r="A1903">
        <v>12965</v>
      </c>
      <c r="B1903">
        <v>102</v>
      </c>
      <c r="C1903" s="1" t="str">
        <f>IF(Tabela8[[#This Row],[SETOR]]="","",IF(Tabela8[[#This Row],[SETOR]]&lt;200,"GV 10",IF(Tabela8[[#This Row],[SETOR]]&lt;300,"GV 20",IF(Tabela8[[#This Row],[SETOR]]&lt;400,"GV 30","S/GV"))))</f>
        <v>GV 10</v>
      </c>
      <c r="E1903" t="s">
        <v>123</v>
      </c>
      <c r="G1903" t="str">
        <f>_xlfn.CONCAT(Tabela9[[#This Row],[Coluna1]],Tabela9[[#This Row],[Coluna2]])</f>
        <v>20-Rota</v>
      </c>
    </row>
    <row r="1904" spans="1:7" x14ac:dyDescent="0.25">
      <c r="A1904">
        <v>12972</v>
      </c>
      <c r="B1904">
        <v>105</v>
      </c>
      <c r="C1904" s="1" t="str">
        <f>IF(Tabela8[[#This Row],[SETOR]]="","",IF(Tabela8[[#This Row],[SETOR]]&lt;200,"GV 10",IF(Tabela8[[#This Row],[SETOR]]&lt;300,"GV 20",IF(Tabela8[[#This Row],[SETOR]]&lt;400,"GV 30","S/GV"))))</f>
        <v>GV 10</v>
      </c>
      <c r="E1904" t="s">
        <v>123</v>
      </c>
      <c r="G1904" t="str">
        <f>_xlfn.CONCAT(Tabela9[[#This Row],[Coluna1]],Tabela9[[#This Row],[Coluna2]])</f>
        <v>20-Rota</v>
      </c>
    </row>
    <row r="1905" spans="1:7" x14ac:dyDescent="0.25">
      <c r="A1905">
        <v>12974</v>
      </c>
      <c r="B1905">
        <v>916</v>
      </c>
      <c r="C1905" s="1" t="str">
        <f>IF(Tabela8[[#This Row],[SETOR]]="","",IF(Tabela8[[#This Row],[SETOR]]&lt;200,"GV 10",IF(Tabela8[[#This Row],[SETOR]]&lt;300,"GV 20",IF(Tabela8[[#This Row],[SETOR]]&lt;400,"GV 30","S/GV"))))</f>
        <v>S/GV</v>
      </c>
      <c r="G1905" t="str">
        <f>_xlfn.CONCAT(Tabela9[[#This Row],[Coluna1]],Tabela9[[#This Row],[Coluna2]])</f>
        <v/>
      </c>
    </row>
    <row r="1906" spans="1:7" x14ac:dyDescent="0.25">
      <c r="A1906">
        <v>12976</v>
      </c>
      <c r="B1906">
        <v>907</v>
      </c>
      <c r="C1906" s="1" t="str">
        <f>IF(Tabela8[[#This Row],[SETOR]]="","",IF(Tabela8[[#This Row],[SETOR]]&lt;200,"GV 10",IF(Tabela8[[#This Row],[SETOR]]&lt;300,"GV 20",IF(Tabela8[[#This Row],[SETOR]]&lt;400,"GV 30","S/GV"))))</f>
        <v>S/GV</v>
      </c>
      <c r="G1906" t="str">
        <f>_xlfn.CONCAT(Tabela9[[#This Row],[Coluna1]],Tabela9[[#This Row],[Coluna2]])</f>
        <v/>
      </c>
    </row>
    <row r="1907" spans="1:7" x14ac:dyDescent="0.25">
      <c r="A1907">
        <v>12980</v>
      </c>
      <c r="B1907">
        <v>301</v>
      </c>
      <c r="C1907" s="1" t="str">
        <f>IF(Tabela8[[#This Row],[SETOR]]="","",IF(Tabela8[[#This Row],[SETOR]]&lt;200,"GV 10",IF(Tabela8[[#This Row],[SETOR]]&lt;300,"GV 20",IF(Tabela8[[#This Row],[SETOR]]&lt;400,"GV 30","S/GV"))))</f>
        <v>GV 30</v>
      </c>
      <c r="E1907" t="s">
        <v>123</v>
      </c>
      <c r="G1907" t="str">
        <f>_xlfn.CONCAT(Tabela9[[#This Row],[Coluna1]],Tabela9[[#This Row],[Coluna2]])</f>
        <v>20-Rota</v>
      </c>
    </row>
    <row r="1908" spans="1:7" x14ac:dyDescent="0.25">
      <c r="A1908">
        <v>12987</v>
      </c>
      <c r="B1908">
        <v>105</v>
      </c>
      <c r="C1908" s="1" t="str">
        <f>IF(Tabela8[[#This Row],[SETOR]]="","",IF(Tabela8[[#This Row],[SETOR]]&lt;200,"GV 10",IF(Tabela8[[#This Row],[SETOR]]&lt;300,"GV 20",IF(Tabela8[[#This Row],[SETOR]]&lt;400,"GV 30","S/GV"))))</f>
        <v>GV 10</v>
      </c>
      <c r="E1908" t="s">
        <v>123</v>
      </c>
      <c r="G1908" t="str">
        <f>_xlfn.CONCAT(Tabela9[[#This Row],[Coluna1]],Tabela9[[#This Row],[Coluna2]])</f>
        <v>20-Rota</v>
      </c>
    </row>
    <row r="1909" spans="1:7" x14ac:dyDescent="0.25">
      <c r="A1909">
        <v>12988</v>
      </c>
      <c r="B1909">
        <v>303</v>
      </c>
      <c r="C1909" s="1" t="str">
        <f>IF(Tabela8[[#This Row],[SETOR]]="","",IF(Tabela8[[#This Row],[SETOR]]&lt;200,"GV 10",IF(Tabela8[[#This Row],[SETOR]]&lt;300,"GV 20",IF(Tabela8[[#This Row],[SETOR]]&lt;400,"GV 30","S/GV"))))</f>
        <v>GV 30</v>
      </c>
      <c r="E1909" t="s">
        <v>123</v>
      </c>
      <c r="G1909" t="str">
        <f>_xlfn.CONCAT(Tabela9[[#This Row],[Coluna1]],Tabela9[[#This Row],[Coluna2]])</f>
        <v>20-Rota</v>
      </c>
    </row>
    <row r="1910" spans="1:7" x14ac:dyDescent="0.25">
      <c r="A1910">
        <v>12994</v>
      </c>
      <c r="B1910">
        <v>301</v>
      </c>
      <c r="C1910" s="1" t="str">
        <f>IF(Tabela8[[#This Row],[SETOR]]="","",IF(Tabela8[[#This Row],[SETOR]]&lt;200,"GV 10",IF(Tabela8[[#This Row],[SETOR]]&lt;300,"GV 20",IF(Tabela8[[#This Row],[SETOR]]&lt;400,"GV 30","S/GV"))))</f>
        <v>GV 30</v>
      </c>
      <c r="E1910" t="s">
        <v>123</v>
      </c>
      <c r="G1910" t="str">
        <f>_xlfn.CONCAT(Tabela9[[#This Row],[Coluna1]],Tabela9[[#This Row],[Coluna2]])</f>
        <v>20-Rota</v>
      </c>
    </row>
    <row r="1911" spans="1:7" x14ac:dyDescent="0.25">
      <c r="A1911">
        <v>12997</v>
      </c>
      <c r="B1911">
        <v>206</v>
      </c>
      <c r="C1911" s="1" t="str">
        <f>IF(Tabela8[[#This Row],[SETOR]]="","",IF(Tabela8[[#This Row],[SETOR]]&lt;200,"GV 10",IF(Tabela8[[#This Row],[SETOR]]&lt;300,"GV 20",IF(Tabela8[[#This Row],[SETOR]]&lt;400,"GV 30","S/GV"))))</f>
        <v>GV 20</v>
      </c>
      <c r="E1911" t="s">
        <v>123</v>
      </c>
      <c r="G1911" t="str">
        <f>_xlfn.CONCAT(Tabela9[[#This Row],[Coluna1]],Tabela9[[#This Row],[Coluna2]])</f>
        <v>20-Rota</v>
      </c>
    </row>
    <row r="1912" spans="1:7" x14ac:dyDescent="0.25">
      <c r="A1912">
        <v>12998</v>
      </c>
      <c r="B1912">
        <v>304</v>
      </c>
      <c r="C1912" s="1" t="str">
        <f>IF(Tabela8[[#This Row],[SETOR]]="","",IF(Tabela8[[#This Row],[SETOR]]&lt;200,"GV 10",IF(Tabela8[[#This Row],[SETOR]]&lt;300,"GV 20",IF(Tabela8[[#This Row],[SETOR]]&lt;400,"GV 30","S/GV"))))</f>
        <v>GV 30</v>
      </c>
      <c r="E1912" t="s">
        <v>123</v>
      </c>
      <c r="G1912" t="str">
        <f>_xlfn.CONCAT(Tabela9[[#This Row],[Coluna1]],Tabela9[[#This Row],[Coluna2]])</f>
        <v>20-Rota</v>
      </c>
    </row>
    <row r="1913" spans="1:7" x14ac:dyDescent="0.25">
      <c r="A1913">
        <v>12999</v>
      </c>
      <c r="B1913">
        <v>204</v>
      </c>
      <c r="C1913" s="1" t="str">
        <f>IF(Tabela8[[#This Row],[SETOR]]="","",IF(Tabela8[[#This Row],[SETOR]]&lt;200,"GV 10",IF(Tabela8[[#This Row],[SETOR]]&lt;300,"GV 20",IF(Tabela8[[#This Row],[SETOR]]&lt;400,"GV 30","S/GV"))))</f>
        <v>GV 20</v>
      </c>
      <c r="E1913" t="s">
        <v>123</v>
      </c>
      <c r="G1913" t="str">
        <f>_xlfn.CONCAT(Tabela9[[#This Row],[Coluna1]],Tabela9[[#This Row],[Coluna2]])</f>
        <v>20-Rota</v>
      </c>
    </row>
    <row r="1914" spans="1:7" x14ac:dyDescent="0.25">
      <c r="A1914">
        <v>13001</v>
      </c>
      <c r="B1914">
        <v>907</v>
      </c>
      <c r="C1914" s="1" t="str">
        <f>IF(Tabela8[[#This Row],[SETOR]]="","",IF(Tabela8[[#This Row],[SETOR]]&lt;200,"GV 10",IF(Tabela8[[#This Row],[SETOR]]&lt;300,"GV 20",IF(Tabela8[[#This Row],[SETOR]]&lt;400,"GV 30","S/GV"))))</f>
        <v>S/GV</v>
      </c>
      <c r="G1914" t="str">
        <f>_xlfn.CONCAT(Tabela9[[#This Row],[Coluna1]],Tabela9[[#This Row],[Coluna2]])</f>
        <v/>
      </c>
    </row>
    <row r="1915" spans="1:7" x14ac:dyDescent="0.25">
      <c r="A1915">
        <v>13002</v>
      </c>
      <c r="B1915">
        <v>907</v>
      </c>
      <c r="C1915" s="1" t="str">
        <f>IF(Tabela8[[#This Row],[SETOR]]="","",IF(Tabela8[[#This Row],[SETOR]]&lt;200,"GV 10",IF(Tabela8[[#This Row],[SETOR]]&lt;300,"GV 20",IF(Tabela8[[#This Row],[SETOR]]&lt;400,"GV 30","S/GV"))))</f>
        <v>S/GV</v>
      </c>
      <c r="G1915" t="str">
        <f>_xlfn.CONCAT(Tabela9[[#This Row],[Coluna1]],Tabela9[[#This Row],[Coluna2]])</f>
        <v/>
      </c>
    </row>
    <row r="1916" spans="1:7" x14ac:dyDescent="0.25">
      <c r="A1916">
        <v>13005</v>
      </c>
      <c r="B1916">
        <v>907</v>
      </c>
      <c r="C1916" s="1" t="str">
        <f>IF(Tabela8[[#This Row],[SETOR]]="","",IF(Tabela8[[#This Row],[SETOR]]&lt;200,"GV 10",IF(Tabela8[[#This Row],[SETOR]]&lt;300,"GV 20",IF(Tabela8[[#This Row],[SETOR]]&lt;400,"GV 30","S/GV"))))</f>
        <v>S/GV</v>
      </c>
      <c r="G1916" t="str">
        <f>_xlfn.CONCAT(Tabela9[[#This Row],[Coluna1]],Tabela9[[#This Row],[Coluna2]])</f>
        <v/>
      </c>
    </row>
    <row r="1917" spans="1:7" x14ac:dyDescent="0.25">
      <c r="A1917">
        <v>13006</v>
      </c>
      <c r="B1917">
        <v>907</v>
      </c>
      <c r="C1917" s="1" t="str">
        <f>IF(Tabela8[[#This Row],[SETOR]]="","",IF(Tabela8[[#This Row],[SETOR]]&lt;200,"GV 10",IF(Tabela8[[#This Row],[SETOR]]&lt;300,"GV 20",IF(Tabela8[[#This Row],[SETOR]]&lt;400,"GV 30","S/GV"))))</f>
        <v>S/GV</v>
      </c>
      <c r="G1917" t="str">
        <f>_xlfn.CONCAT(Tabela9[[#This Row],[Coluna1]],Tabela9[[#This Row],[Coluna2]])</f>
        <v/>
      </c>
    </row>
    <row r="1918" spans="1:7" x14ac:dyDescent="0.25">
      <c r="A1918">
        <v>13007</v>
      </c>
      <c r="B1918">
        <v>907</v>
      </c>
      <c r="C1918" s="1" t="str">
        <f>IF(Tabela8[[#This Row],[SETOR]]="","",IF(Tabela8[[#This Row],[SETOR]]&lt;200,"GV 10",IF(Tabela8[[#This Row],[SETOR]]&lt;300,"GV 20",IF(Tabela8[[#This Row],[SETOR]]&lt;400,"GV 30","S/GV"))))</f>
        <v>S/GV</v>
      </c>
      <c r="G1918" t="str">
        <f>_xlfn.CONCAT(Tabela9[[#This Row],[Coluna1]],Tabela9[[#This Row],[Coluna2]])</f>
        <v/>
      </c>
    </row>
    <row r="1919" spans="1:7" x14ac:dyDescent="0.25">
      <c r="A1919">
        <v>13008</v>
      </c>
      <c r="B1919">
        <v>907</v>
      </c>
      <c r="C1919" s="1" t="str">
        <f>IF(Tabela8[[#This Row],[SETOR]]="","",IF(Tabela8[[#This Row],[SETOR]]&lt;200,"GV 10",IF(Tabela8[[#This Row],[SETOR]]&lt;300,"GV 20",IF(Tabela8[[#This Row],[SETOR]]&lt;400,"GV 30","S/GV"))))</f>
        <v>S/GV</v>
      </c>
      <c r="G1919" t="str">
        <f>_xlfn.CONCAT(Tabela9[[#This Row],[Coluna1]],Tabela9[[#This Row],[Coluna2]])</f>
        <v/>
      </c>
    </row>
    <row r="1920" spans="1:7" x14ac:dyDescent="0.25">
      <c r="A1920">
        <v>13009</v>
      </c>
      <c r="B1920">
        <v>907</v>
      </c>
      <c r="C1920" s="1" t="str">
        <f>IF(Tabela8[[#This Row],[SETOR]]="","",IF(Tabela8[[#This Row],[SETOR]]&lt;200,"GV 10",IF(Tabela8[[#This Row],[SETOR]]&lt;300,"GV 20",IF(Tabela8[[#This Row],[SETOR]]&lt;400,"GV 30","S/GV"))))</f>
        <v>S/GV</v>
      </c>
      <c r="G1920" t="str">
        <f>_xlfn.CONCAT(Tabela9[[#This Row],[Coluna1]],Tabela9[[#This Row],[Coluna2]])</f>
        <v/>
      </c>
    </row>
    <row r="1921" spans="1:7" x14ac:dyDescent="0.25">
      <c r="A1921">
        <v>13011</v>
      </c>
      <c r="B1921">
        <v>907</v>
      </c>
      <c r="C1921" s="1" t="str">
        <f>IF(Tabela8[[#This Row],[SETOR]]="","",IF(Tabela8[[#This Row],[SETOR]]&lt;200,"GV 10",IF(Tabela8[[#This Row],[SETOR]]&lt;300,"GV 20",IF(Tabela8[[#This Row],[SETOR]]&lt;400,"GV 30","S/GV"))))</f>
        <v>S/GV</v>
      </c>
      <c r="G1921" t="str">
        <f>_xlfn.CONCAT(Tabela9[[#This Row],[Coluna1]],Tabela9[[#This Row],[Coluna2]])</f>
        <v/>
      </c>
    </row>
    <row r="1922" spans="1:7" x14ac:dyDescent="0.25">
      <c r="A1922">
        <v>13012</v>
      </c>
      <c r="B1922">
        <v>907</v>
      </c>
      <c r="C1922" s="1" t="str">
        <f>IF(Tabela8[[#This Row],[SETOR]]="","",IF(Tabela8[[#This Row],[SETOR]]&lt;200,"GV 10",IF(Tabela8[[#This Row],[SETOR]]&lt;300,"GV 20",IF(Tabela8[[#This Row],[SETOR]]&lt;400,"GV 30","S/GV"))))</f>
        <v>S/GV</v>
      </c>
      <c r="G1922" t="str">
        <f>_xlfn.CONCAT(Tabela9[[#This Row],[Coluna1]],Tabela9[[#This Row],[Coluna2]])</f>
        <v/>
      </c>
    </row>
    <row r="1923" spans="1:7" x14ac:dyDescent="0.25">
      <c r="A1923">
        <v>13017</v>
      </c>
      <c r="B1923">
        <v>907</v>
      </c>
      <c r="C1923" s="1" t="str">
        <f>IF(Tabela8[[#This Row],[SETOR]]="","",IF(Tabela8[[#This Row],[SETOR]]&lt;200,"GV 10",IF(Tabela8[[#This Row],[SETOR]]&lt;300,"GV 20",IF(Tabela8[[#This Row],[SETOR]]&lt;400,"GV 30","S/GV"))))</f>
        <v>S/GV</v>
      </c>
      <c r="G1923" t="str">
        <f>_xlfn.CONCAT(Tabela9[[#This Row],[Coluna1]],Tabela9[[#This Row],[Coluna2]])</f>
        <v/>
      </c>
    </row>
    <row r="1924" spans="1:7" x14ac:dyDescent="0.25">
      <c r="A1924">
        <v>13018</v>
      </c>
      <c r="B1924">
        <v>907</v>
      </c>
      <c r="C1924" s="1" t="str">
        <f>IF(Tabela8[[#This Row],[SETOR]]="","",IF(Tabela8[[#This Row],[SETOR]]&lt;200,"GV 10",IF(Tabela8[[#This Row],[SETOR]]&lt;300,"GV 20",IF(Tabela8[[#This Row],[SETOR]]&lt;400,"GV 30","S/GV"))))</f>
        <v>S/GV</v>
      </c>
      <c r="G1924" t="str">
        <f>_xlfn.CONCAT(Tabela9[[#This Row],[Coluna1]],Tabela9[[#This Row],[Coluna2]])</f>
        <v/>
      </c>
    </row>
    <row r="1925" spans="1:7" x14ac:dyDescent="0.25">
      <c r="A1925">
        <v>13020</v>
      </c>
      <c r="B1925">
        <v>907</v>
      </c>
      <c r="C1925" s="1" t="str">
        <f>IF(Tabela8[[#This Row],[SETOR]]="","",IF(Tabela8[[#This Row],[SETOR]]&lt;200,"GV 10",IF(Tabela8[[#This Row],[SETOR]]&lt;300,"GV 20",IF(Tabela8[[#This Row],[SETOR]]&lt;400,"GV 30","S/GV"))))</f>
        <v>S/GV</v>
      </c>
      <c r="G1925" t="str">
        <f>_xlfn.CONCAT(Tabela9[[#This Row],[Coluna1]],Tabela9[[#This Row],[Coluna2]])</f>
        <v/>
      </c>
    </row>
    <row r="1926" spans="1:7" x14ac:dyDescent="0.25">
      <c r="A1926">
        <v>13030</v>
      </c>
      <c r="B1926">
        <v>104</v>
      </c>
      <c r="C1926" s="1" t="str">
        <f>IF(Tabela8[[#This Row],[SETOR]]="","",IF(Tabela8[[#This Row],[SETOR]]&lt;200,"GV 10",IF(Tabela8[[#This Row],[SETOR]]&lt;300,"GV 20",IF(Tabela8[[#This Row],[SETOR]]&lt;400,"GV 30","S/GV"))))</f>
        <v>GV 10</v>
      </c>
      <c r="E1926" t="s">
        <v>123</v>
      </c>
      <c r="G1926" t="str">
        <f>_xlfn.CONCAT(Tabela9[[#This Row],[Coluna1]],Tabela9[[#This Row],[Coluna2]])</f>
        <v>20-Rota</v>
      </c>
    </row>
    <row r="1927" spans="1:7" x14ac:dyDescent="0.25">
      <c r="A1927">
        <v>13039</v>
      </c>
      <c r="B1927">
        <v>916</v>
      </c>
      <c r="C1927" s="1" t="str">
        <f>IF(Tabela8[[#This Row],[SETOR]]="","",IF(Tabela8[[#This Row],[SETOR]]&lt;200,"GV 10",IF(Tabela8[[#This Row],[SETOR]]&lt;300,"GV 20",IF(Tabela8[[#This Row],[SETOR]]&lt;400,"GV 30","S/GV"))))</f>
        <v>S/GV</v>
      </c>
      <c r="G1927" t="str">
        <f>_xlfn.CONCAT(Tabela9[[#This Row],[Coluna1]],Tabela9[[#This Row],[Coluna2]])</f>
        <v/>
      </c>
    </row>
    <row r="1928" spans="1:7" x14ac:dyDescent="0.25">
      <c r="A1928">
        <v>13047</v>
      </c>
      <c r="B1928">
        <v>108</v>
      </c>
      <c r="C1928" s="1" t="str">
        <f>IF(Tabela8[[#This Row],[SETOR]]="","",IF(Tabela8[[#This Row],[SETOR]]&lt;200,"GV 10",IF(Tabela8[[#This Row],[SETOR]]&lt;300,"GV 20",IF(Tabela8[[#This Row],[SETOR]]&lt;400,"GV 30","S/GV"))))</f>
        <v>GV 10</v>
      </c>
      <c r="E1928" t="s">
        <v>126</v>
      </c>
      <c r="F1928" t="s">
        <v>127</v>
      </c>
      <c r="G1928" t="str">
        <f>_xlfn.CONCAT(Tabela9[[#This Row],[Coluna1]],Tabela9[[#This Row],[Coluna2]])</f>
        <v>16-AS(5+)</v>
      </c>
    </row>
    <row r="1929" spans="1:7" x14ac:dyDescent="0.25">
      <c r="A1929">
        <v>13048</v>
      </c>
      <c r="B1929">
        <v>303</v>
      </c>
      <c r="C1929" s="1" t="str">
        <f>IF(Tabela8[[#This Row],[SETOR]]="","",IF(Tabela8[[#This Row],[SETOR]]&lt;200,"GV 10",IF(Tabela8[[#This Row],[SETOR]]&lt;300,"GV 20",IF(Tabela8[[#This Row],[SETOR]]&lt;400,"GV 30","S/GV"))))</f>
        <v>GV 30</v>
      </c>
      <c r="E1929" t="s">
        <v>123</v>
      </c>
      <c r="G1929" t="str">
        <f>_xlfn.CONCAT(Tabela9[[#This Row],[Coluna1]],Tabela9[[#This Row],[Coluna2]])</f>
        <v>20-Rota</v>
      </c>
    </row>
    <row r="1930" spans="1:7" x14ac:dyDescent="0.25">
      <c r="A1930">
        <v>13049</v>
      </c>
      <c r="B1930">
        <v>916</v>
      </c>
      <c r="C1930" s="1" t="str">
        <f>IF(Tabela8[[#This Row],[SETOR]]="","",IF(Tabela8[[#This Row],[SETOR]]&lt;200,"GV 10",IF(Tabela8[[#This Row],[SETOR]]&lt;300,"GV 20",IF(Tabela8[[#This Row],[SETOR]]&lt;400,"GV 30","S/GV"))))</f>
        <v>S/GV</v>
      </c>
      <c r="G1930" t="str">
        <f>_xlfn.CONCAT(Tabela9[[#This Row],[Coluna1]],Tabela9[[#This Row],[Coluna2]])</f>
        <v/>
      </c>
    </row>
    <row r="1931" spans="1:7" x14ac:dyDescent="0.25">
      <c r="A1931">
        <v>13054</v>
      </c>
      <c r="B1931">
        <v>907</v>
      </c>
      <c r="C1931" s="1" t="str">
        <f>IF(Tabela8[[#This Row],[SETOR]]="","",IF(Tabela8[[#This Row],[SETOR]]&lt;200,"GV 10",IF(Tabela8[[#This Row],[SETOR]]&lt;300,"GV 20",IF(Tabela8[[#This Row],[SETOR]]&lt;400,"GV 30","S/GV"))))</f>
        <v>S/GV</v>
      </c>
      <c r="G1931" t="str">
        <f>_xlfn.CONCAT(Tabela9[[#This Row],[Coluna1]],Tabela9[[#This Row],[Coluna2]])</f>
        <v/>
      </c>
    </row>
    <row r="1932" spans="1:7" x14ac:dyDescent="0.25">
      <c r="A1932">
        <v>13056</v>
      </c>
      <c r="B1932">
        <v>201</v>
      </c>
      <c r="C1932" s="1" t="str">
        <f>IF(Tabela8[[#This Row],[SETOR]]="","",IF(Tabela8[[#This Row],[SETOR]]&lt;200,"GV 10",IF(Tabela8[[#This Row],[SETOR]]&lt;300,"GV 20",IF(Tabela8[[#This Row],[SETOR]]&lt;400,"GV 30","S/GV"))))</f>
        <v>GV 20</v>
      </c>
      <c r="E1932" t="s">
        <v>123</v>
      </c>
      <c r="G1932" t="str">
        <f>_xlfn.CONCAT(Tabela9[[#This Row],[Coluna1]],Tabela9[[#This Row],[Coluna2]])</f>
        <v>20-Rota</v>
      </c>
    </row>
    <row r="1933" spans="1:7" x14ac:dyDescent="0.25">
      <c r="A1933">
        <v>13058</v>
      </c>
      <c r="B1933">
        <v>305</v>
      </c>
      <c r="C1933" s="1" t="str">
        <f>IF(Tabela8[[#This Row],[SETOR]]="","",IF(Tabela8[[#This Row],[SETOR]]&lt;200,"GV 10",IF(Tabela8[[#This Row],[SETOR]]&lt;300,"GV 20",IF(Tabela8[[#This Row],[SETOR]]&lt;400,"GV 30","S/GV"))))</f>
        <v>GV 30</v>
      </c>
      <c r="E1933" t="s">
        <v>123</v>
      </c>
      <c r="G1933" t="str">
        <f>_xlfn.CONCAT(Tabela9[[#This Row],[Coluna1]],Tabela9[[#This Row],[Coluna2]])</f>
        <v>20-Rota</v>
      </c>
    </row>
    <row r="1934" spans="1:7" x14ac:dyDescent="0.25">
      <c r="A1934">
        <v>13066</v>
      </c>
      <c r="B1934">
        <v>301</v>
      </c>
      <c r="C1934" s="1" t="str">
        <f>IF(Tabela8[[#This Row],[SETOR]]="","",IF(Tabela8[[#This Row],[SETOR]]&lt;200,"GV 10",IF(Tabela8[[#This Row],[SETOR]]&lt;300,"GV 20",IF(Tabela8[[#This Row],[SETOR]]&lt;400,"GV 30","S/GV"))))</f>
        <v>GV 30</v>
      </c>
      <c r="E1934" t="s">
        <v>123</v>
      </c>
      <c r="G1934" t="str">
        <f>_xlfn.CONCAT(Tabela9[[#This Row],[Coluna1]],Tabela9[[#This Row],[Coluna2]])</f>
        <v>20-Rota</v>
      </c>
    </row>
    <row r="1935" spans="1:7" x14ac:dyDescent="0.25">
      <c r="A1935">
        <v>13068</v>
      </c>
      <c r="B1935">
        <v>205</v>
      </c>
      <c r="C1935" s="1" t="str">
        <f>IF(Tabela8[[#This Row],[SETOR]]="","",IF(Tabela8[[#This Row],[SETOR]]&lt;200,"GV 10",IF(Tabela8[[#This Row],[SETOR]]&lt;300,"GV 20",IF(Tabela8[[#This Row],[SETOR]]&lt;400,"GV 30","S/GV"))))</f>
        <v>GV 20</v>
      </c>
      <c r="E1935" t="s">
        <v>123</v>
      </c>
      <c r="G1935" t="str">
        <f>_xlfn.CONCAT(Tabela9[[#This Row],[Coluna1]],Tabela9[[#This Row],[Coluna2]])</f>
        <v>20-Rota</v>
      </c>
    </row>
    <row r="1936" spans="1:7" x14ac:dyDescent="0.25">
      <c r="A1936">
        <v>13074</v>
      </c>
      <c r="B1936">
        <v>304</v>
      </c>
      <c r="C1936" s="1" t="str">
        <f>IF(Tabela8[[#This Row],[SETOR]]="","",IF(Tabela8[[#This Row],[SETOR]]&lt;200,"GV 10",IF(Tabela8[[#This Row],[SETOR]]&lt;300,"GV 20",IF(Tabela8[[#This Row],[SETOR]]&lt;400,"GV 30","S/GV"))))</f>
        <v>GV 30</v>
      </c>
      <c r="E1936" t="s">
        <v>123</v>
      </c>
      <c r="G1936" t="str">
        <f>_xlfn.CONCAT(Tabela9[[#This Row],[Coluna1]],Tabela9[[#This Row],[Coluna2]])</f>
        <v>20-Rota</v>
      </c>
    </row>
    <row r="1937" spans="1:7" x14ac:dyDescent="0.25">
      <c r="A1937">
        <v>13077</v>
      </c>
      <c r="B1937">
        <v>303</v>
      </c>
      <c r="C1937" s="1" t="str">
        <f>IF(Tabela8[[#This Row],[SETOR]]="","",IF(Tabela8[[#This Row],[SETOR]]&lt;200,"GV 10",IF(Tabela8[[#This Row],[SETOR]]&lt;300,"GV 20",IF(Tabela8[[#This Row],[SETOR]]&lt;400,"GV 30","S/GV"))))</f>
        <v>GV 30</v>
      </c>
      <c r="E1937" t="s">
        <v>123</v>
      </c>
      <c r="G1937" t="str">
        <f>_xlfn.CONCAT(Tabela9[[#This Row],[Coluna1]],Tabela9[[#This Row],[Coluna2]])</f>
        <v>20-Rota</v>
      </c>
    </row>
    <row r="1938" spans="1:7" x14ac:dyDescent="0.25">
      <c r="A1938">
        <v>13078</v>
      </c>
      <c r="B1938">
        <v>203</v>
      </c>
      <c r="C1938" s="1" t="str">
        <f>IF(Tabela8[[#This Row],[SETOR]]="","",IF(Tabela8[[#This Row],[SETOR]]&lt;200,"GV 10",IF(Tabela8[[#This Row],[SETOR]]&lt;300,"GV 20",IF(Tabela8[[#This Row],[SETOR]]&lt;400,"GV 30","S/GV"))))</f>
        <v>GV 20</v>
      </c>
      <c r="E1938" t="s">
        <v>123</v>
      </c>
      <c r="G1938" t="str">
        <f>_xlfn.CONCAT(Tabela9[[#This Row],[Coluna1]],Tabela9[[#This Row],[Coluna2]])</f>
        <v>20-Rota</v>
      </c>
    </row>
    <row r="1939" spans="1:7" x14ac:dyDescent="0.25">
      <c r="A1939">
        <v>13083</v>
      </c>
      <c r="B1939">
        <v>204</v>
      </c>
      <c r="C1939" s="1" t="str">
        <f>IF(Tabela8[[#This Row],[SETOR]]="","",IF(Tabela8[[#This Row],[SETOR]]&lt;200,"GV 10",IF(Tabela8[[#This Row],[SETOR]]&lt;300,"GV 20",IF(Tabela8[[#This Row],[SETOR]]&lt;400,"GV 30","S/GV"))))</f>
        <v>GV 20</v>
      </c>
      <c r="E1939" t="s">
        <v>123</v>
      </c>
      <c r="G1939" t="str">
        <f>_xlfn.CONCAT(Tabela9[[#This Row],[Coluna1]],Tabela9[[#This Row],[Coluna2]])</f>
        <v>20-Rota</v>
      </c>
    </row>
    <row r="1940" spans="1:7" x14ac:dyDescent="0.25">
      <c r="A1940">
        <v>13086</v>
      </c>
      <c r="B1940">
        <v>305</v>
      </c>
      <c r="C1940" s="1" t="str">
        <f>IF(Tabela8[[#This Row],[SETOR]]="","",IF(Tabela8[[#This Row],[SETOR]]&lt;200,"GV 10",IF(Tabela8[[#This Row],[SETOR]]&lt;300,"GV 20",IF(Tabela8[[#This Row],[SETOR]]&lt;400,"GV 30","S/GV"))))</f>
        <v>GV 30</v>
      </c>
      <c r="E1940" t="s">
        <v>124</v>
      </c>
      <c r="G1940" t="str">
        <f>_xlfn.CONCAT(Tabela9[[#This Row],[Coluna1]],Tabela9[[#This Row],[Coluna2]])</f>
        <v>19-VIP</v>
      </c>
    </row>
    <row r="1941" spans="1:7" x14ac:dyDescent="0.25">
      <c r="A1941">
        <v>13092</v>
      </c>
      <c r="B1941">
        <v>302</v>
      </c>
      <c r="C1941" s="1" t="str">
        <f>IF(Tabela8[[#This Row],[SETOR]]="","",IF(Tabela8[[#This Row],[SETOR]]&lt;200,"GV 10",IF(Tabela8[[#This Row],[SETOR]]&lt;300,"GV 20",IF(Tabela8[[#This Row],[SETOR]]&lt;400,"GV 30","S/GV"))))</f>
        <v>GV 30</v>
      </c>
      <c r="E1941" t="s">
        <v>123</v>
      </c>
      <c r="G1941" t="str">
        <f>_xlfn.CONCAT(Tabela9[[#This Row],[Coluna1]],Tabela9[[#This Row],[Coluna2]])</f>
        <v>20-Rota</v>
      </c>
    </row>
    <row r="1942" spans="1:7" x14ac:dyDescent="0.25">
      <c r="A1942">
        <v>13094</v>
      </c>
      <c r="B1942">
        <v>101</v>
      </c>
      <c r="C1942" s="1" t="str">
        <f>IF(Tabela8[[#This Row],[SETOR]]="","",IF(Tabela8[[#This Row],[SETOR]]&lt;200,"GV 10",IF(Tabela8[[#This Row],[SETOR]]&lt;300,"GV 20",IF(Tabela8[[#This Row],[SETOR]]&lt;400,"GV 30","S/GV"))))</f>
        <v>GV 10</v>
      </c>
      <c r="E1942" t="s">
        <v>123</v>
      </c>
      <c r="G1942" t="str">
        <f>_xlfn.CONCAT(Tabela9[[#This Row],[Coluna1]],Tabela9[[#This Row],[Coluna2]])</f>
        <v>20-Rota</v>
      </c>
    </row>
    <row r="1943" spans="1:7" x14ac:dyDescent="0.25">
      <c r="A1943">
        <v>13097</v>
      </c>
      <c r="B1943">
        <v>907</v>
      </c>
      <c r="C1943" s="1" t="str">
        <f>IF(Tabela8[[#This Row],[SETOR]]="","",IF(Tabela8[[#This Row],[SETOR]]&lt;200,"GV 10",IF(Tabela8[[#This Row],[SETOR]]&lt;300,"GV 20",IF(Tabela8[[#This Row],[SETOR]]&lt;400,"GV 30","S/GV"))))</f>
        <v>S/GV</v>
      </c>
      <c r="G1943" t="str">
        <f>_xlfn.CONCAT(Tabela9[[#This Row],[Coluna1]],Tabela9[[#This Row],[Coluna2]])</f>
        <v/>
      </c>
    </row>
    <row r="1944" spans="1:7" x14ac:dyDescent="0.25">
      <c r="A1944">
        <v>13098</v>
      </c>
      <c r="B1944">
        <v>207</v>
      </c>
      <c r="C1944" s="1" t="str">
        <f>IF(Tabela8[[#This Row],[SETOR]]="","",IF(Tabela8[[#This Row],[SETOR]]&lt;200,"GV 10",IF(Tabela8[[#This Row],[SETOR]]&lt;300,"GV 20",IF(Tabela8[[#This Row],[SETOR]]&lt;400,"GV 30","S/GV"))))</f>
        <v>GV 20</v>
      </c>
      <c r="E1944" t="s">
        <v>130</v>
      </c>
      <c r="G1944" t="str">
        <f>_xlfn.CONCAT(Tabela9[[#This Row],[Coluna1]],Tabela9[[#This Row],[Coluna2]])</f>
        <v>21-SUB</v>
      </c>
    </row>
    <row r="1945" spans="1:7" x14ac:dyDescent="0.25">
      <c r="A1945">
        <v>13099</v>
      </c>
      <c r="B1945">
        <v>203</v>
      </c>
      <c r="C1945" s="1" t="str">
        <f>IF(Tabela8[[#This Row],[SETOR]]="","",IF(Tabela8[[#This Row],[SETOR]]&lt;200,"GV 10",IF(Tabela8[[#This Row],[SETOR]]&lt;300,"GV 20",IF(Tabela8[[#This Row],[SETOR]]&lt;400,"GV 30","S/GV"))))</f>
        <v>GV 20</v>
      </c>
      <c r="E1945" t="s">
        <v>130</v>
      </c>
      <c r="G1945" t="str">
        <f>_xlfn.CONCAT(Tabela9[[#This Row],[Coluna1]],Tabela9[[#This Row],[Coluna2]])</f>
        <v>21-SUB</v>
      </c>
    </row>
    <row r="1946" spans="1:7" x14ac:dyDescent="0.25">
      <c r="A1946">
        <v>13100</v>
      </c>
      <c r="B1946">
        <v>203</v>
      </c>
      <c r="C1946" s="1" t="str">
        <f>IF(Tabela8[[#This Row],[SETOR]]="","",IF(Tabela8[[#This Row],[SETOR]]&lt;200,"GV 10",IF(Tabela8[[#This Row],[SETOR]]&lt;300,"GV 20",IF(Tabela8[[#This Row],[SETOR]]&lt;400,"GV 30","S/GV"))))</f>
        <v>GV 20</v>
      </c>
      <c r="E1946" t="s">
        <v>123</v>
      </c>
      <c r="G1946" t="str">
        <f>_xlfn.CONCAT(Tabela9[[#This Row],[Coluna1]],Tabela9[[#This Row],[Coluna2]])</f>
        <v>20-Rota</v>
      </c>
    </row>
    <row r="1947" spans="1:7" x14ac:dyDescent="0.25">
      <c r="A1947">
        <v>13111</v>
      </c>
      <c r="B1947">
        <v>104</v>
      </c>
      <c r="C1947" s="1" t="str">
        <f>IF(Tabela8[[#This Row],[SETOR]]="","",IF(Tabela8[[#This Row],[SETOR]]&lt;200,"GV 10",IF(Tabela8[[#This Row],[SETOR]]&lt;300,"GV 20",IF(Tabela8[[#This Row],[SETOR]]&lt;400,"GV 30","S/GV"))))</f>
        <v>GV 10</v>
      </c>
      <c r="E1947" t="s">
        <v>123</v>
      </c>
      <c r="G1947" t="str">
        <f>_xlfn.CONCAT(Tabela9[[#This Row],[Coluna1]],Tabela9[[#This Row],[Coluna2]])</f>
        <v>20-Rota</v>
      </c>
    </row>
    <row r="1948" spans="1:7" x14ac:dyDescent="0.25">
      <c r="A1948">
        <v>13116</v>
      </c>
      <c r="B1948">
        <v>104</v>
      </c>
      <c r="C1948" s="1" t="str">
        <f>IF(Tabela8[[#This Row],[SETOR]]="","",IF(Tabela8[[#This Row],[SETOR]]&lt;200,"GV 10",IF(Tabela8[[#This Row],[SETOR]]&lt;300,"GV 20",IF(Tabela8[[#This Row],[SETOR]]&lt;400,"GV 30","S/GV"))))</f>
        <v>GV 10</v>
      </c>
      <c r="E1948" t="s">
        <v>123</v>
      </c>
      <c r="G1948" t="str">
        <f>_xlfn.CONCAT(Tabela9[[#This Row],[Coluna1]],Tabela9[[#This Row],[Coluna2]])</f>
        <v>20-Rota</v>
      </c>
    </row>
    <row r="1949" spans="1:7" x14ac:dyDescent="0.25">
      <c r="A1949">
        <v>13122</v>
      </c>
      <c r="B1949">
        <v>201</v>
      </c>
      <c r="C1949" s="1" t="str">
        <f>IF(Tabela8[[#This Row],[SETOR]]="","",IF(Tabela8[[#This Row],[SETOR]]&lt;200,"GV 10",IF(Tabela8[[#This Row],[SETOR]]&lt;300,"GV 20",IF(Tabela8[[#This Row],[SETOR]]&lt;400,"GV 30","S/GV"))))</f>
        <v>GV 20</v>
      </c>
      <c r="E1949" t="s">
        <v>123</v>
      </c>
      <c r="G1949" t="str">
        <f>_xlfn.CONCAT(Tabela9[[#This Row],[Coluna1]],Tabela9[[#This Row],[Coluna2]])</f>
        <v>20-Rota</v>
      </c>
    </row>
    <row r="1950" spans="1:7" x14ac:dyDescent="0.25">
      <c r="A1950">
        <v>13126</v>
      </c>
      <c r="B1950">
        <v>202</v>
      </c>
      <c r="C1950" s="1" t="str">
        <f>IF(Tabela8[[#This Row],[SETOR]]="","",IF(Tabela8[[#This Row],[SETOR]]&lt;200,"GV 10",IF(Tabela8[[#This Row],[SETOR]]&lt;300,"GV 20",IF(Tabela8[[#This Row],[SETOR]]&lt;400,"GV 30","S/GV"))))</f>
        <v>GV 20</v>
      </c>
      <c r="E1950" t="s">
        <v>123</v>
      </c>
      <c r="G1950" t="str">
        <f>_xlfn.CONCAT(Tabela9[[#This Row],[Coluna1]],Tabela9[[#This Row],[Coluna2]])</f>
        <v>20-Rota</v>
      </c>
    </row>
    <row r="1951" spans="1:7" x14ac:dyDescent="0.25">
      <c r="A1951">
        <v>13130</v>
      </c>
      <c r="B1951">
        <v>301</v>
      </c>
      <c r="C1951" s="1" t="str">
        <f>IF(Tabela8[[#This Row],[SETOR]]="","",IF(Tabela8[[#This Row],[SETOR]]&lt;200,"GV 10",IF(Tabela8[[#This Row],[SETOR]]&lt;300,"GV 20",IF(Tabela8[[#This Row],[SETOR]]&lt;400,"GV 30","S/GV"))))</f>
        <v>GV 30</v>
      </c>
      <c r="E1951" t="s">
        <v>123</v>
      </c>
      <c r="G1951" t="str">
        <f>_xlfn.CONCAT(Tabela9[[#This Row],[Coluna1]],Tabela9[[#This Row],[Coluna2]])</f>
        <v>20-Rota</v>
      </c>
    </row>
    <row r="1952" spans="1:7" x14ac:dyDescent="0.25">
      <c r="A1952">
        <v>13132</v>
      </c>
      <c r="B1952">
        <v>304</v>
      </c>
      <c r="C1952" s="1" t="str">
        <f>IF(Tabela8[[#This Row],[SETOR]]="","",IF(Tabela8[[#This Row],[SETOR]]&lt;200,"GV 10",IF(Tabela8[[#This Row],[SETOR]]&lt;300,"GV 20",IF(Tabela8[[#This Row],[SETOR]]&lt;400,"GV 30","S/GV"))))</f>
        <v>GV 30</v>
      </c>
      <c r="E1952" t="s">
        <v>123</v>
      </c>
      <c r="G1952" t="str">
        <f>_xlfn.CONCAT(Tabela9[[#This Row],[Coluna1]],Tabela9[[#This Row],[Coluna2]])</f>
        <v>20-Rota</v>
      </c>
    </row>
    <row r="1953" spans="1:7" x14ac:dyDescent="0.25">
      <c r="A1953">
        <v>13134</v>
      </c>
      <c r="B1953">
        <v>102</v>
      </c>
      <c r="C1953" s="1" t="str">
        <f>IF(Tabela8[[#This Row],[SETOR]]="","",IF(Tabela8[[#This Row],[SETOR]]&lt;200,"GV 10",IF(Tabela8[[#This Row],[SETOR]]&lt;300,"GV 20",IF(Tabela8[[#This Row],[SETOR]]&lt;400,"GV 30","S/GV"))))</f>
        <v>GV 10</v>
      </c>
      <c r="E1953" t="s">
        <v>123</v>
      </c>
      <c r="G1953" t="str">
        <f>_xlfn.CONCAT(Tabela9[[#This Row],[Coluna1]],Tabela9[[#This Row],[Coluna2]])</f>
        <v>20-Rota</v>
      </c>
    </row>
    <row r="1954" spans="1:7" x14ac:dyDescent="0.25">
      <c r="A1954">
        <v>13135</v>
      </c>
      <c r="B1954">
        <v>304</v>
      </c>
      <c r="C1954" s="1" t="str">
        <f>IF(Tabela8[[#This Row],[SETOR]]="","",IF(Tabela8[[#This Row],[SETOR]]&lt;200,"GV 10",IF(Tabela8[[#This Row],[SETOR]]&lt;300,"GV 20",IF(Tabela8[[#This Row],[SETOR]]&lt;400,"GV 30","S/GV"))))</f>
        <v>GV 30</v>
      </c>
      <c r="E1954" t="s">
        <v>123</v>
      </c>
      <c r="G1954" t="str">
        <f>_xlfn.CONCAT(Tabela9[[#This Row],[Coluna1]],Tabela9[[#This Row],[Coluna2]])</f>
        <v>20-Rota</v>
      </c>
    </row>
    <row r="1955" spans="1:7" x14ac:dyDescent="0.25">
      <c r="A1955">
        <v>13137</v>
      </c>
      <c r="B1955">
        <v>305</v>
      </c>
      <c r="C1955" s="1" t="str">
        <f>IF(Tabela8[[#This Row],[SETOR]]="","",IF(Tabela8[[#This Row],[SETOR]]&lt;200,"GV 10",IF(Tabela8[[#This Row],[SETOR]]&lt;300,"GV 20",IF(Tabela8[[#This Row],[SETOR]]&lt;400,"GV 30","S/GV"))))</f>
        <v>GV 30</v>
      </c>
      <c r="E1955" t="s">
        <v>123</v>
      </c>
      <c r="G1955" t="str">
        <f>_xlfn.CONCAT(Tabela9[[#This Row],[Coluna1]],Tabela9[[#This Row],[Coluna2]])</f>
        <v>20-Rota</v>
      </c>
    </row>
    <row r="1956" spans="1:7" x14ac:dyDescent="0.25">
      <c r="A1956">
        <v>13139</v>
      </c>
      <c r="B1956">
        <v>104</v>
      </c>
      <c r="C1956" s="1" t="str">
        <f>IF(Tabela8[[#This Row],[SETOR]]="","",IF(Tabela8[[#This Row],[SETOR]]&lt;200,"GV 10",IF(Tabela8[[#This Row],[SETOR]]&lt;300,"GV 20",IF(Tabela8[[#This Row],[SETOR]]&lt;400,"GV 30","S/GV"))))</f>
        <v>GV 10</v>
      </c>
      <c r="E1956" t="s">
        <v>123</v>
      </c>
      <c r="G1956" t="str">
        <f>_xlfn.CONCAT(Tabela9[[#This Row],[Coluna1]],Tabela9[[#This Row],[Coluna2]])</f>
        <v>20-Rota</v>
      </c>
    </row>
    <row r="1957" spans="1:7" x14ac:dyDescent="0.25">
      <c r="A1957">
        <v>13140</v>
      </c>
      <c r="B1957">
        <v>106</v>
      </c>
      <c r="C1957" s="1" t="str">
        <f>IF(Tabela8[[#This Row],[SETOR]]="","",IF(Tabela8[[#This Row],[SETOR]]&lt;200,"GV 10",IF(Tabela8[[#This Row],[SETOR]]&lt;300,"GV 20",IF(Tabela8[[#This Row],[SETOR]]&lt;400,"GV 30","S/GV"))))</f>
        <v>GV 10</v>
      </c>
      <c r="E1957" t="s">
        <v>123</v>
      </c>
      <c r="G1957" t="str">
        <f>_xlfn.CONCAT(Tabela9[[#This Row],[Coluna1]],Tabela9[[#This Row],[Coluna2]])</f>
        <v>20-Rota</v>
      </c>
    </row>
    <row r="1958" spans="1:7" x14ac:dyDescent="0.25">
      <c r="A1958">
        <v>13142</v>
      </c>
      <c r="B1958">
        <v>103</v>
      </c>
      <c r="C1958" s="1" t="str">
        <f>IF(Tabela8[[#This Row],[SETOR]]="","",IF(Tabela8[[#This Row],[SETOR]]&lt;200,"GV 10",IF(Tabela8[[#This Row],[SETOR]]&lt;300,"GV 20",IF(Tabela8[[#This Row],[SETOR]]&lt;400,"GV 30","S/GV"))))</f>
        <v>GV 10</v>
      </c>
      <c r="E1958" t="s">
        <v>123</v>
      </c>
      <c r="G1958" t="str">
        <f>_xlfn.CONCAT(Tabela9[[#This Row],[Coluna1]],Tabela9[[#This Row],[Coluna2]])</f>
        <v>20-Rota</v>
      </c>
    </row>
    <row r="1959" spans="1:7" x14ac:dyDescent="0.25">
      <c r="A1959">
        <v>13146</v>
      </c>
      <c r="B1959">
        <v>305</v>
      </c>
      <c r="C1959" s="1" t="str">
        <f>IF(Tabela8[[#This Row],[SETOR]]="","",IF(Tabela8[[#This Row],[SETOR]]&lt;200,"GV 10",IF(Tabela8[[#This Row],[SETOR]]&lt;300,"GV 20",IF(Tabela8[[#This Row],[SETOR]]&lt;400,"GV 30","S/GV"))))</f>
        <v>GV 30</v>
      </c>
      <c r="E1959" t="s">
        <v>123</v>
      </c>
      <c r="G1959" t="str">
        <f>_xlfn.CONCAT(Tabela9[[#This Row],[Coluna1]],Tabela9[[#This Row],[Coluna2]])</f>
        <v>20-Rota</v>
      </c>
    </row>
    <row r="1960" spans="1:7" x14ac:dyDescent="0.25">
      <c r="A1960">
        <v>13147</v>
      </c>
      <c r="B1960">
        <v>103</v>
      </c>
      <c r="C1960" s="1" t="str">
        <f>IF(Tabela8[[#This Row],[SETOR]]="","",IF(Tabela8[[#This Row],[SETOR]]&lt;200,"GV 10",IF(Tabela8[[#This Row],[SETOR]]&lt;300,"GV 20",IF(Tabela8[[#This Row],[SETOR]]&lt;400,"GV 30","S/GV"))))</f>
        <v>GV 10</v>
      </c>
      <c r="E1960" t="s">
        <v>123</v>
      </c>
      <c r="G1960" t="str">
        <f>_xlfn.CONCAT(Tabela9[[#This Row],[Coluna1]],Tabela9[[#This Row],[Coluna2]])</f>
        <v>20-Rota</v>
      </c>
    </row>
    <row r="1961" spans="1:7" x14ac:dyDescent="0.25">
      <c r="A1961">
        <v>13149</v>
      </c>
      <c r="B1961">
        <v>104</v>
      </c>
      <c r="C1961" s="1" t="str">
        <f>IF(Tabela8[[#This Row],[SETOR]]="","",IF(Tabela8[[#This Row],[SETOR]]&lt;200,"GV 10",IF(Tabela8[[#This Row],[SETOR]]&lt;300,"GV 20",IF(Tabela8[[#This Row],[SETOR]]&lt;400,"GV 30","S/GV"))))</f>
        <v>GV 10</v>
      </c>
      <c r="E1961" t="s">
        <v>123</v>
      </c>
      <c r="G1961" t="str">
        <f>_xlfn.CONCAT(Tabela9[[#This Row],[Coluna1]],Tabela9[[#This Row],[Coluna2]])</f>
        <v>20-Rota</v>
      </c>
    </row>
    <row r="1962" spans="1:7" x14ac:dyDescent="0.25">
      <c r="A1962">
        <v>13153</v>
      </c>
      <c r="B1962">
        <v>104</v>
      </c>
      <c r="C1962" s="1" t="str">
        <f>IF(Tabela8[[#This Row],[SETOR]]="","",IF(Tabela8[[#This Row],[SETOR]]&lt;200,"GV 10",IF(Tabela8[[#This Row],[SETOR]]&lt;300,"GV 20",IF(Tabela8[[#This Row],[SETOR]]&lt;400,"GV 30","S/GV"))))</f>
        <v>GV 10</v>
      </c>
      <c r="E1962" t="s">
        <v>123</v>
      </c>
      <c r="G1962" t="str">
        <f>_xlfn.CONCAT(Tabela9[[#This Row],[Coluna1]],Tabela9[[#This Row],[Coluna2]])</f>
        <v>20-Rota</v>
      </c>
    </row>
    <row r="1963" spans="1:7" x14ac:dyDescent="0.25">
      <c r="A1963">
        <v>13154</v>
      </c>
      <c r="B1963">
        <v>109</v>
      </c>
      <c r="C1963" s="1" t="str">
        <f>IF(Tabela8[[#This Row],[SETOR]]="","",IF(Tabela8[[#This Row],[SETOR]]&lt;200,"GV 10",IF(Tabela8[[#This Row],[SETOR]]&lt;300,"GV 20",IF(Tabela8[[#This Row],[SETOR]]&lt;400,"GV 30","S/GV"))))</f>
        <v>GV 10</v>
      </c>
      <c r="E1963" t="s">
        <v>123</v>
      </c>
      <c r="G1963" t="str">
        <f>_xlfn.CONCAT(Tabela9[[#This Row],[Coluna1]],Tabela9[[#This Row],[Coluna2]])</f>
        <v>20-Rota</v>
      </c>
    </row>
    <row r="1964" spans="1:7" x14ac:dyDescent="0.25">
      <c r="A1964">
        <v>13156</v>
      </c>
      <c r="B1964">
        <v>104</v>
      </c>
      <c r="C1964" s="1" t="str">
        <f>IF(Tabela8[[#This Row],[SETOR]]="","",IF(Tabela8[[#This Row],[SETOR]]&lt;200,"GV 10",IF(Tabela8[[#This Row],[SETOR]]&lt;300,"GV 20",IF(Tabela8[[#This Row],[SETOR]]&lt;400,"GV 30","S/GV"))))</f>
        <v>GV 10</v>
      </c>
      <c r="E1964" t="s">
        <v>123</v>
      </c>
      <c r="G1964" t="str">
        <f>_xlfn.CONCAT(Tabela9[[#This Row],[Coluna1]],Tabela9[[#This Row],[Coluna2]])</f>
        <v>20-Rota</v>
      </c>
    </row>
    <row r="1965" spans="1:7" x14ac:dyDescent="0.25">
      <c r="A1965">
        <v>13159</v>
      </c>
      <c r="B1965">
        <v>108</v>
      </c>
      <c r="C1965" s="1" t="str">
        <f>IF(Tabela8[[#This Row],[SETOR]]="","",IF(Tabela8[[#This Row],[SETOR]]&lt;200,"GV 10",IF(Tabela8[[#This Row],[SETOR]]&lt;300,"GV 20",IF(Tabela8[[#This Row],[SETOR]]&lt;400,"GV 30","S/GV"))))</f>
        <v>GV 10</v>
      </c>
      <c r="E1965" t="s">
        <v>131</v>
      </c>
      <c r="F1965" t="s">
        <v>132</v>
      </c>
      <c r="G1965" t="str">
        <f>_xlfn.CONCAT(Tabela9[[#This Row],[Coluna1]],Tabela9[[#This Row],[Coluna2]])</f>
        <v>14-Lj.Conveniência</v>
      </c>
    </row>
    <row r="1966" spans="1:7" x14ac:dyDescent="0.25">
      <c r="A1966">
        <v>13160</v>
      </c>
      <c r="B1966">
        <v>306</v>
      </c>
      <c r="C1966" s="1" t="str">
        <f>IF(Tabela8[[#This Row],[SETOR]]="","",IF(Tabela8[[#This Row],[SETOR]]&lt;200,"GV 10",IF(Tabela8[[#This Row],[SETOR]]&lt;300,"GV 20",IF(Tabela8[[#This Row],[SETOR]]&lt;400,"GV 30","S/GV"))))</f>
        <v>GV 30</v>
      </c>
      <c r="E1966" t="s">
        <v>125</v>
      </c>
      <c r="G1966" t="str">
        <f>_xlfn.CONCAT(Tabela9[[#This Row],[Coluna1]],Tabela9[[#This Row],[Coluna2]])</f>
        <v>18-TRAD</v>
      </c>
    </row>
    <row r="1967" spans="1:7" x14ac:dyDescent="0.25">
      <c r="A1967">
        <v>13161</v>
      </c>
      <c r="B1967">
        <v>304</v>
      </c>
      <c r="C1967" s="1" t="str">
        <f>IF(Tabela8[[#This Row],[SETOR]]="","",IF(Tabela8[[#This Row],[SETOR]]&lt;200,"GV 10",IF(Tabela8[[#This Row],[SETOR]]&lt;300,"GV 20",IF(Tabela8[[#This Row],[SETOR]]&lt;400,"GV 30","S/GV"))))</f>
        <v>GV 30</v>
      </c>
      <c r="E1967" t="s">
        <v>123</v>
      </c>
      <c r="G1967" t="str">
        <f>_xlfn.CONCAT(Tabela9[[#This Row],[Coluna1]],Tabela9[[#This Row],[Coluna2]])</f>
        <v>20-Rota</v>
      </c>
    </row>
    <row r="1968" spans="1:7" x14ac:dyDescent="0.25">
      <c r="A1968">
        <v>13163</v>
      </c>
      <c r="B1968">
        <v>107</v>
      </c>
      <c r="C1968" s="1" t="str">
        <f>IF(Tabela8[[#This Row],[SETOR]]="","",IF(Tabela8[[#This Row],[SETOR]]&lt;200,"GV 10",IF(Tabela8[[#This Row],[SETOR]]&lt;300,"GV 20",IF(Tabela8[[#This Row],[SETOR]]&lt;400,"GV 30","S/GV"))))</f>
        <v>GV 10</v>
      </c>
      <c r="E1968" t="s">
        <v>130</v>
      </c>
      <c r="G1968" t="str">
        <f>_xlfn.CONCAT(Tabela9[[#This Row],[Coluna1]],Tabela9[[#This Row],[Coluna2]])</f>
        <v>21-SUB</v>
      </c>
    </row>
    <row r="1969" spans="1:7" x14ac:dyDescent="0.25">
      <c r="A1969">
        <v>13165</v>
      </c>
      <c r="B1969">
        <v>302</v>
      </c>
      <c r="C1969" s="1" t="str">
        <f>IF(Tabela8[[#This Row],[SETOR]]="","",IF(Tabela8[[#This Row],[SETOR]]&lt;200,"GV 10",IF(Tabela8[[#This Row],[SETOR]]&lt;300,"GV 20",IF(Tabela8[[#This Row],[SETOR]]&lt;400,"GV 30","S/GV"))))</f>
        <v>GV 30</v>
      </c>
      <c r="E1969" t="s">
        <v>123</v>
      </c>
      <c r="G1969" t="str">
        <f>_xlfn.CONCAT(Tabela9[[#This Row],[Coluna1]],Tabela9[[#This Row],[Coluna2]])</f>
        <v>20-Rota</v>
      </c>
    </row>
    <row r="1970" spans="1:7" x14ac:dyDescent="0.25">
      <c r="A1970">
        <v>13170</v>
      </c>
      <c r="B1970">
        <v>107</v>
      </c>
      <c r="C1970" s="1" t="str">
        <f>IF(Tabela8[[#This Row],[SETOR]]="","",IF(Tabela8[[#This Row],[SETOR]]&lt;200,"GV 10",IF(Tabela8[[#This Row],[SETOR]]&lt;300,"GV 20",IF(Tabela8[[#This Row],[SETOR]]&lt;400,"GV 30","S/GV"))))</f>
        <v>GV 10</v>
      </c>
      <c r="E1970" t="s">
        <v>125</v>
      </c>
      <c r="G1970" t="str">
        <f>_xlfn.CONCAT(Tabela9[[#This Row],[Coluna1]],Tabela9[[#This Row],[Coluna2]])</f>
        <v>18-TRAD</v>
      </c>
    </row>
    <row r="1971" spans="1:7" x14ac:dyDescent="0.25">
      <c r="A1971">
        <v>13171</v>
      </c>
      <c r="B1971">
        <v>305</v>
      </c>
      <c r="C1971" s="1" t="str">
        <f>IF(Tabela8[[#This Row],[SETOR]]="","",IF(Tabela8[[#This Row],[SETOR]]&lt;200,"GV 10",IF(Tabela8[[#This Row],[SETOR]]&lt;300,"GV 20",IF(Tabela8[[#This Row],[SETOR]]&lt;400,"GV 30","S/GV"))))</f>
        <v>GV 30</v>
      </c>
      <c r="E1971" t="s">
        <v>123</v>
      </c>
      <c r="G1971" t="str">
        <f>_xlfn.CONCAT(Tabela9[[#This Row],[Coluna1]],Tabela9[[#This Row],[Coluna2]])</f>
        <v>20-Rota</v>
      </c>
    </row>
    <row r="1972" spans="1:7" x14ac:dyDescent="0.25">
      <c r="A1972">
        <v>13182</v>
      </c>
      <c r="B1972">
        <v>203</v>
      </c>
      <c r="C1972" s="1" t="str">
        <f>IF(Tabela8[[#This Row],[SETOR]]="","",IF(Tabela8[[#This Row],[SETOR]]&lt;200,"GV 10",IF(Tabela8[[#This Row],[SETOR]]&lt;300,"GV 20",IF(Tabela8[[#This Row],[SETOR]]&lt;400,"GV 30","S/GV"))))</f>
        <v>GV 20</v>
      </c>
      <c r="E1972" t="s">
        <v>123</v>
      </c>
      <c r="G1972" t="str">
        <f>_xlfn.CONCAT(Tabela9[[#This Row],[Coluna1]],Tabela9[[#This Row],[Coluna2]])</f>
        <v>20-Rota</v>
      </c>
    </row>
    <row r="1973" spans="1:7" x14ac:dyDescent="0.25">
      <c r="A1973">
        <v>13194</v>
      </c>
      <c r="B1973">
        <v>907</v>
      </c>
      <c r="C1973" s="1" t="str">
        <f>IF(Tabela8[[#This Row],[SETOR]]="","",IF(Tabela8[[#This Row],[SETOR]]&lt;200,"GV 10",IF(Tabela8[[#This Row],[SETOR]]&lt;300,"GV 20",IF(Tabela8[[#This Row],[SETOR]]&lt;400,"GV 30","S/GV"))))</f>
        <v>S/GV</v>
      </c>
      <c r="G1973" t="str">
        <f>_xlfn.CONCAT(Tabela9[[#This Row],[Coluna1]],Tabela9[[#This Row],[Coluna2]])</f>
        <v/>
      </c>
    </row>
    <row r="1974" spans="1:7" x14ac:dyDescent="0.25">
      <c r="A1974">
        <v>13195</v>
      </c>
      <c r="B1974">
        <v>305</v>
      </c>
      <c r="C1974" s="1" t="str">
        <f>IF(Tabela8[[#This Row],[SETOR]]="","",IF(Tabela8[[#This Row],[SETOR]]&lt;200,"GV 10",IF(Tabela8[[#This Row],[SETOR]]&lt;300,"GV 20",IF(Tabela8[[#This Row],[SETOR]]&lt;400,"GV 30","S/GV"))))</f>
        <v>GV 30</v>
      </c>
      <c r="E1974" t="s">
        <v>123</v>
      </c>
      <c r="G1974" t="str">
        <f>_xlfn.CONCAT(Tabela9[[#This Row],[Coluna1]],Tabela9[[#This Row],[Coluna2]])</f>
        <v>20-Rota</v>
      </c>
    </row>
    <row r="1975" spans="1:7" x14ac:dyDescent="0.25">
      <c r="A1975">
        <v>13198</v>
      </c>
      <c r="B1975">
        <v>105</v>
      </c>
      <c r="C1975" s="1" t="str">
        <f>IF(Tabela8[[#This Row],[SETOR]]="","",IF(Tabela8[[#This Row],[SETOR]]&lt;200,"GV 10",IF(Tabela8[[#This Row],[SETOR]]&lt;300,"GV 20",IF(Tabela8[[#This Row],[SETOR]]&lt;400,"GV 30","S/GV"))))</f>
        <v>GV 10</v>
      </c>
      <c r="E1975" t="s">
        <v>123</v>
      </c>
      <c r="G1975" t="str">
        <f>_xlfn.CONCAT(Tabela9[[#This Row],[Coluna1]],Tabela9[[#This Row],[Coluna2]])</f>
        <v>20-Rota</v>
      </c>
    </row>
    <row r="1976" spans="1:7" x14ac:dyDescent="0.25">
      <c r="A1976">
        <v>13205</v>
      </c>
      <c r="B1976">
        <v>906</v>
      </c>
      <c r="C1976" s="1" t="str">
        <f>IF(Tabela8[[#This Row],[SETOR]]="","",IF(Tabela8[[#This Row],[SETOR]]&lt;200,"GV 10",IF(Tabela8[[#This Row],[SETOR]]&lt;300,"GV 20",IF(Tabela8[[#This Row],[SETOR]]&lt;400,"GV 30","S/GV"))))</f>
        <v>S/GV</v>
      </c>
      <c r="G1976" t="str">
        <f>_xlfn.CONCAT(Tabela9[[#This Row],[Coluna1]],Tabela9[[#This Row],[Coluna2]])</f>
        <v/>
      </c>
    </row>
    <row r="1977" spans="1:7" x14ac:dyDescent="0.25">
      <c r="A1977">
        <v>13215</v>
      </c>
      <c r="B1977">
        <v>907</v>
      </c>
      <c r="C1977" s="1" t="str">
        <f>IF(Tabela8[[#This Row],[SETOR]]="","",IF(Tabela8[[#This Row],[SETOR]]&lt;200,"GV 10",IF(Tabela8[[#This Row],[SETOR]]&lt;300,"GV 20",IF(Tabela8[[#This Row],[SETOR]]&lt;400,"GV 30","S/GV"))))</f>
        <v>S/GV</v>
      </c>
      <c r="G1977" t="str">
        <f>_xlfn.CONCAT(Tabela9[[#This Row],[Coluna1]],Tabela9[[#This Row],[Coluna2]])</f>
        <v/>
      </c>
    </row>
    <row r="1978" spans="1:7" x14ac:dyDescent="0.25">
      <c r="A1978">
        <v>13218</v>
      </c>
      <c r="B1978">
        <v>206</v>
      </c>
      <c r="C1978" s="1" t="str">
        <f>IF(Tabela8[[#This Row],[SETOR]]="","",IF(Tabela8[[#This Row],[SETOR]]&lt;200,"GV 10",IF(Tabela8[[#This Row],[SETOR]]&lt;300,"GV 20",IF(Tabela8[[#This Row],[SETOR]]&lt;400,"GV 30","S/GV"))))</f>
        <v>GV 20</v>
      </c>
      <c r="E1978" t="s">
        <v>123</v>
      </c>
      <c r="G1978" t="str">
        <f>_xlfn.CONCAT(Tabela9[[#This Row],[Coluna1]],Tabela9[[#This Row],[Coluna2]])</f>
        <v>20-Rota</v>
      </c>
    </row>
    <row r="1979" spans="1:7" x14ac:dyDescent="0.25">
      <c r="A1979">
        <v>13226</v>
      </c>
      <c r="B1979">
        <v>912</v>
      </c>
      <c r="C1979" s="1" t="str">
        <f>IF(Tabela8[[#This Row],[SETOR]]="","",IF(Tabela8[[#This Row],[SETOR]]&lt;200,"GV 10",IF(Tabela8[[#This Row],[SETOR]]&lt;300,"GV 20",IF(Tabela8[[#This Row],[SETOR]]&lt;400,"GV 30","S/GV"))))</f>
        <v>S/GV</v>
      </c>
      <c r="G1979" t="str">
        <f>_xlfn.CONCAT(Tabela9[[#This Row],[Coluna1]],Tabela9[[#This Row],[Coluna2]])</f>
        <v/>
      </c>
    </row>
    <row r="1980" spans="1:7" x14ac:dyDescent="0.25">
      <c r="A1980">
        <v>13227</v>
      </c>
      <c r="B1980">
        <v>916</v>
      </c>
      <c r="C1980" s="1" t="str">
        <f>IF(Tabela8[[#This Row],[SETOR]]="","",IF(Tabela8[[#This Row],[SETOR]]&lt;200,"GV 10",IF(Tabela8[[#This Row],[SETOR]]&lt;300,"GV 20",IF(Tabela8[[#This Row],[SETOR]]&lt;400,"GV 30","S/GV"))))</f>
        <v>S/GV</v>
      </c>
      <c r="G1980" t="str">
        <f>_xlfn.CONCAT(Tabela9[[#This Row],[Coluna1]],Tabela9[[#This Row],[Coluna2]])</f>
        <v/>
      </c>
    </row>
    <row r="1981" spans="1:7" x14ac:dyDescent="0.25">
      <c r="A1981">
        <v>13229</v>
      </c>
      <c r="B1981">
        <v>104</v>
      </c>
      <c r="C1981" s="1" t="str">
        <f>IF(Tabela8[[#This Row],[SETOR]]="","",IF(Tabela8[[#This Row],[SETOR]]&lt;200,"GV 10",IF(Tabela8[[#This Row],[SETOR]]&lt;300,"GV 20",IF(Tabela8[[#This Row],[SETOR]]&lt;400,"GV 30","S/GV"))))</f>
        <v>GV 10</v>
      </c>
      <c r="E1981" t="s">
        <v>123</v>
      </c>
      <c r="G1981" t="str">
        <f>_xlfn.CONCAT(Tabela9[[#This Row],[Coluna1]],Tabela9[[#This Row],[Coluna2]])</f>
        <v>20-Rota</v>
      </c>
    </row>
    <row r="1982" spans="1:7" x14ac:dyDescent="0.25">
      <c r="A1982">
        <v>13230</v>
      </c>
      <c r="B1982">
        <v>105</v>
      </c>
      <c r="C1982" s="1" t="str">
        <f>IF(Tabela8[[#This Row],[SETOR]]="","",IF(Tabela8[[#This Row],[SETOR]]&lt;200,"GV 10",IF(Tabela8[[#This Row],[SETOR]]&lt;300,"GV 20",IF(Tabela8[[#This Row],[SETOR]]&lt;400,"GV 30","S/GV"))))</f>
        <v>GV 10</v>
      </c>
      <c r="E1982" t="s">
        <v>123</v>
      </c>
      <c r="G1982" t="str">
        <f>_xlfn.CONCAT(Tabela9[[#This Row],[Coluna1]],Tabela9[[#This Row],[Coluna2]])</f>
        <v>20-Rota</v>
      </c>
    </row>
    <row r="1983" spans="1:7" x14ac:dyDescent="0.25">
      <c r="A1983">
        <v>13239</v>
      </c>
      <c r="B1983">
        <v>204</v>
      </c>
      <c r="C1983" s="1" t="str">
        <f>IF(Tabela8[[#This Row],[SETOR]]="","",IF(Tabela8[[#This Row],[SETOR]]&lt;200,"GV 10",IF(Tabela8[[#This Row],[SETOR]]&lt;300,"GV 20",IF(Tabela8[[#This Row],[SETOR]]&lt;400,"GV 30","S/GV"))))</f>
        <v>GV 20</v>
      </c>
      <c r="E1983" t="s">
        <v>123</v>
      </c>
      <c r="G1983" t="str">
        <f>_xlfn.CONCAT(Tabela9[[#This Row],[Coluna1]],Tabela9[[#This Row],[Coluna2]])</f>
        <v>20-Rota</v>
      </c>
    </row>
    <row r="1984" spans="1:7" x14ac:dyDescent="0.25">
      <c r="A1984">
        <v>13248</v>
      </c>
      <c r="B1984">
        <v>104</v>
      </c>
      <c r="C1984" s="1" t="str">
        <f>IF(Tabela8[[#This Row],[SETOR]]="","",IF(Tabela8[[#This Row],[SETOR]]&lt;200,"GV 10",IF(Tabela8[[#This Row],[SETOR]]&lt;300,"GV 20",IF(Tabela8[[#This Row],[SETOR]]&lt;400,"GV 30","S/GV"))))</f>
        <v>GV 10</v>
      </c>
      <c r="E1984" t="s">
        <v>123</v>
      </c>
      <c r="G1984" t="str">
        <f>_xlfn.CONCAT(Tabela9[[#This Row],[Coluna1]],Tabela9[[#This Row],[Coluna2]])</f>
        <v>20-Rota</v>
      </c>
    </row>
    <row r="1985" spans="1:7" x14ac:dyDescent="0.25">
      <c r="A1985">
        <v>13255</v>
      </c>
      <c r="B1985">
        <v>304</v>
      </c>
      <c r="C1985" s="1" t="str">
        <f>IF(Tabela8[[#This Row],[SETOR]]="","",IF(Tabela8[[#This Row],[SETOR]]&lt;200,"GV 10",IF(Tabela8[[#This Row],[SETOR]]&lt;300,"GV 20",IF(Tabela8[[#This Row],[SETOR]]&lt;400,"GV 30","S/GV"))))</f>
        <v>GV 30</v>
      </c>
      <c r="E1985" t="s">
        <v>123</v>
      </c>
      <c r="G1985" t="str">
        <f>_xlfn.CONCAT(Tabela9[[#This Row],[Coluna1]],Tabela9[[#This Row],[Coluna2]])</f>
        <v>20-Rota</v>
      </c>
    </row>
    <row r="1986" spans="1:7" x14ac:dyDescent="0.25">
      <c r="A1986">
        <v>13258</v>
      </c>
      <c r="B1986">
        <v>304</v>
      </c>
      <c r="C1986" s="1" t="str">
        <f>IF(Tabela8[[#This Row],[SETOR]]="","",IF(Tabela8[[#This Row],[SETOR]]&lt;200,"GV 10",IF(Tabela8[[#This Row],[SETOR]]&lt;300,"GV 20",IF(Tabela8[[#This Row],[SETOR]]&lt;400,"GV 30","S/GV"))))</f>
        <v>GV 30</v>
      </c>
      <c r="E1986" t="s">
        <v>123</v>
      </c>
      <c r="G1986" t="str">
        <f>_xlfn.CONCAT(Tabela9[[#This Row],[Coluna1]],Tabela9[[#This Row],[Coluna2]])</f>
        <v>20-Rota</v>
      </c>
    </row>
    <row r="1987" spans="1:7" x14ac:dyDescent="0.25">
      <c r="A1987">
        <v>13266</v>
      </c>
      <c r="B1987">
        <v>305</v>
      </c>
      <c r="C1987" s="1" t="str">
        <f>IF(Tabela8[[#This Row],[SETOR]]="","",IF(Tabela8[[#This Row],[SETOR]]&lt;200,"GV 10",IF(Tabela8[[#This Row],[SETOR]]&lt;300,"GV 20",IF(Tabela8[[#This Row],[SETOR]]&lt;400,"GV 30","S/GV"))))</f>
        <v>GV 30</v>
      </c>
      <c r="E1987" t="s">
        <v>123</v>
      </c>
      <c r="G1987" t="str">
        <f>_xlfn.CONCAT(Tabela9[[#This Row],[Coluna1]],Tabela9[[#This Row],[Coluna2]])</f>
        <v>20-Rota</v>
      </c>
    </row>
    <row r="1988" spans="1:7" x14ac:dyDescent="0.25">
      <c r="A1988">
        <v>13276</v>
      </c>
      <c r="B1988">
        <v>301</v>
      </c>
      <c r="C1988" s="1" t="str">
        <f>IF(Tabela8[[#This Row],[SETOR]]="","",IF(Tabela8[[#This Row],[SETOR]]&lt;200,"GV 10",IF(Tabela8[[#This Row],[SETOR]]&lt;300,"GV 20",IF(Tabela8[[#This Row],[SETOR]]&lt;400,"GV 30","S/GV"))))</f>
        <v>GV 30</v>
      </c>
      <c r="E1988" t="s">
        <v>123</v>
      </c>
      <c r="G1988" t="str">
        <f>_xlfn.CONCAT(Tabela9[[#This Row],[Coluna1]],Tabela9[[#This Row],[Coluna2]])</f>
        <v>20-Rota</v>
      </c>
    </row>
    <row r="1989" spans="1:7" x14ac:dyDescent="0.25">
      <c r="A1989">
        <v>13278</v>
      </c>
      <c r="B1989">
        <v>203</v>
      </c>
      <c r="C1989" s="1" t="str">
        <f>IF(Tabela8[[#This Row],[SETOR]]="","",IF(Tabela8[[#This Row],[SETOR]]&lt;200,"GV 10",IF(Tabela8[[#This Row],[SETOR]]&lt;300,"GV 20",IF(Tabela8[[#This Row],[SETOR]]&lt;400,"GV 30","S/GV"))))</f>
        <v>GV 20</v>
      </c>
      <c r="E1989" t="s">
        <v>123</v>
      </c>
      <c r="G1989" t="str">
        <f>_xlfn.CONCAT(Tabela9[[#This Row],[Coluna1]],Tabela9[[#This Row],[Coluna2]])</f>
        <v>20-Rota</v>
      </c>
    </row>
    <row r="1990" spans="1:7" x14ac:dyDescent="0.25">
      <c r="A1990">
        <v>13280</v>
      </c>
      <c r="B1990">
        <v>204</v>
      </c>
      <c r="C1990" s="1" t="str">
        <f>IF(Tabela8[[#This Row],[SETOR]]="","",IF(Tabela8[[#This Row],[SETOR]]&lt;200,"GV 10",IF(Tabela8[[#This Row],[SETOR]]&lt;300,"GV 20",IF(Tabela8[[#This Row],[SETOR]]&lt;400,"GV 30","S/GV"))))</f>
        <v>GV 20</v>
      </c>
      <c r="E1990" t="s">
        <v>123</v>
      </c>
      <c r="G1990" t="str">
        <f>_xlfn.CONCAT(Tabela9[[#This Row],[Coluna1]],Tabela9[[#This Row],[Coluna2]])</f>
        <v>20-Rota</v>
      </c>
    </row>
    <row r="1991" spans="1:7" x14ac:dyDescent="0.25">
      <c r="A1991">
        <v>13282</v>
      </c>
      <c r="B1991">
        <v>205</v>
      </c>
      <c r="C1991" s="1" t="str">
        <f>IF(Tabela8[[#This Row],[SETOR]]="","",IF(Tabela8[[#This Row],[SETOR]]&lt;200,"GV 10",IF(Tabela8[[#This Row],[SETOR]]&lt;300,"GV 20",IF(Tabela8[[#This Row],[SETOR]]&lt;400,"GV 30","S/GV"))))</f>
        <v>GV 20</v>
      </c>
      <c r="E1991" t="s">
        <v>123</v>
      </c>
      <c r="G1991" t="str">
        <f>_xlfn.CONCAT(Tabela9[[#This Row],[Coluna1]],Tabela9[[#This Row],[Coluna2]])</f>
        <v>20-Rota</v>
      </c>
    </row>
    <row r="1992" spans="1:7" x14ac:dyDescent="0.25">
      <c r="A1992">
        <v>13287</v>
      </c>
      <c r="B1992">
        <v>309</v>
      </c>
      <c r="C1992" s="1" t="str">
        <f>IF(Tabela8[[#This Row],[SETOR]]="","",IF(Tabela8[[#This Row],[SETOR]]&lt;200,"GV 10",IF(Tabela8[[#This Row],[SETOR]]&lt;300,"GV 20",IF(Tabela8[[#This Row],[SETOR]]&lt;400,"GV 30","S/GV"))))</f>
        <v>GV 30</v>
      </c>
      <c r="E1992" t="s">
        <v>126</v>
      </c>
      <c r="F1992" t="s">
        <v>127</v>
      </c>
      <c r="G1992" t="str">
        <f>_xlfn.CONCAT(Tabela9[[#This Row],[Coluna1]],Tabela9[[#This Row],[Coluna2]])</f>
        <v>16-AS(5+)</v>
      </c>
    </row>
    <row r="1993" spans="1:7" x14ac:dyDescent="0.25">
      <c r="A1993">
        <v>13289</v>
      </c>
      <c r="B1993">
        <v>206</v>
      </c>
      <c r="C1993" s="1" t="str">
        <f>IF(Tabela8[[#This Row],[SETOR]]="","",IF(Tabela8[[#This Row],[SETOR]]&lt;200,"GV 10",IF(Tabela8[[#This Row],[SETOR]]&lt;300,"GV 20",IF(Tabela8[[#This Row],[SETOR]]&lt;400,"GV 30","S/GV"))))</f>
        <v>GV 20</v>
      </c>
      <c r="E1993" t="s">
        <v>130</v>
      </c>
      <c r="G1993" t="str">
        <f>_xlfn.CONCAT(Tabela9[[#This Row],[Coluna1]],Tabela9[[#This Row],[Coluna2]])</f>
        <v>21-SUB</v>
      </c>
    </row>
    <row r="1994" spans="1:7" x14ac:dyDescent="0.25">
      <c r="A1994">
        <v>13295</v>
      </c>
      <c r="B1994">
        <v>102</v>
      </c>
      <c r="C1994" s="1" t="str">
        <f>IF(Tabela8[[#This Row],[SETOR]]="","",IF(Tabela8[[#This Row],[SETOR]]&lt;200,"GV 10",IF(Tabela8[[#This Row],[SETOR]]&lt;300,"GV 20",IF(Tabela8[[#This Row],[SETOR]]&lt;400,"GV 30","S/GV"))))</f>
        <v>GV 10</v>
      </c>
      <c r="E1994" t="s">
        <v>123</v>
      </c>
      <c r="G1994" t="str">
        <f>_xlfn.CONCAT(Tabela9[[#This Row],[Coluna1]],Tabela9[[#This Row],[Coluna2]])</f>
        <v>20-Rota</v>
      </c>
    </row>
    <row r="1995" spans="1:7" x14ac:dyDescent="0.25">
      <c r="A1995">
        <v>13303</v>
      </c>
      <c r="B1995">
        <v>204</v>
      </c>
      <c r="C1995" s="1" t="str">
        <f>IF(Tabela8[[#This Row],[SETOR]]="","",IF(Tabela8[[#This Row],[SETOR]]&lt;200,"GV 10",IF(Tabela8[[#This Row],[SETOR]]&lt;300,"GV 20",IF(Tabela8[[#This Row],[SETOR]]&lt;400,"GV 30","S/GV"))))</f>
        <v>GV 20</v>
      </c>
      <c r="E1995" t="s">
        <v>123</v>
      </c>
      <c r="G1995" t="str">
        <f>_xlfn.CONCAT(Tabela9[[#This Row],[Coluna1]],Tabela9[[#This Row],[Coluna2]])</f>
        <v>20-Rota</v>
      </c>
    </row>
    <row r="1996" spans="1:7" x14ac:dyDescent="0.25">
      <c r="A1996">
        <v>13305</v>
      </c>
      <c r="B1996">
        <v>101</v>
      </c>
      <c r="C1996" s="1" t="str">
        <f>IF(Tabela8[[#This Row],[SETOR]]="","",IF(Tabela8[[#This Row],[SETOR]]&lt;200,"GV 10",IF(Tabela8[[#This Row],[SETOR]]&lt;300,"GV 20",IF(Tabela8[[#This Row],[SETOR]]&lt;400,"GV 30","S/GV"))))</f>
        <v>GV 10</v>
      </c>
      <c r="E1996" t="s">
        <v>123</v>
      </c>
      <c r="G1996" t="str">
        <f>_xlfn.CONCAT(Tabela9[[#This Row],[Coluna1]],Tabela9[[#This Row],[Coluna2]])</f>
        <v>20-Rota</v>
      </c>
    </row>
    <row r="1997" spans="1:7" x14ac:dyDescent="0.25">
      <c r="A1997">
        <v>13315</v>
      </c>
      <c r="B1997">
        <v>202</v>
      </c>
      <c r="C1997" s="1" t="str">
        <f>IF(Tabela8[[#This Row],[SETOR]]="","",IF(Tabela8[[#This Row],[SETOR]]&lt;200,"GV 10",IF(Tabela8[[#This Row],[SETOR]]&lt;300,"GV 20",IF(Tabela8[[#This Row],[SETOR]]&lt;400,"GV 30","S/GV"))))</f>
        <v>GV 20</v>
      </c>
      <c r="E1997" t="s">
        <v>125</v>
      </c>
      <c r="G1997" t="str">
        <f>_xlfn.CONCAT(Tabela9[[#This Row],[Coluna1]],Tabela9[[#This Row],[Coluna2]])</f>
        <v>18-TRAD</v>
      </c>
    </row>
    <row r="1998" spans="1:7" x14ac:dyDescent="0.25">
      <c r="A1998">
        <v>13317</v>
      </c>
      <c r="B1998">
        <v>201</v>
      </c>
      <c r="C1998" s="1" t="str">
        <f>IF(Tabela8[[#This Row],[SETOR]]="","",IF(Tabela8[[#This Row],[SETOR]]&lt;200,"GV 10",IF(Tabela8[[#This Row],[SETOR]]&lt;300,"GV 20",IF(Tabela8[[#This Row],[SETOR]]&lt;400,"GV 30","S/GV"))))</f>
        <v>GV 20</v>
      </c>
      <c r="E1998" t="s">
        <v>123</v>
      </c>
      <c r="G1998" t="str">
        <f>_xlfn.CONCAT(Tabela9[[#This Row],[Coluna1]],Tabela9[[#This Row],[Coluna2]])</f>
        <v>20-Rota</v>
      </c>
    </row>
    <row r="1999" spans="1:7" x14ac:dyDescent="0.25">
      <c r="A1999">
        <v>13318</v>
      </c>
      <c r="B1999">
        <v>306</v>
      </c>
      <c r="C1999" s="1" t="str">
        <f>IF(Tabela8[[#This Row],[SETOR]]="","",IF(Tabela8[[#This Row],[SETOR]]&lt;200,"GV 10",IF(Tabela8[[#This Row],[SETOR]]&lt;300,"GV 20",IF(Tabela8[[#This Row],[SETOR]]&lt;400,"GV 30","S/GV"))))</f>
        <v>GV 30</v>
      </c>
      <c r="E1999" t="s">
        <v>125</v>
      </c>
      <c r="G1999" t="str">
        <f>_xlfn.CONCAT(Tabela9[[#This Row],[Coluna1]],Tabela9[[#This Row],[Coluna2]])</f>
        <v>18-TRAD</v>
      </c>
    </row>
    <row r="2000" spans="1:7" x14ac:dyDescent="0.25">
      <c r="A2000">
        <v>13323</v>
      </c>
      <c r="B2000">
        <v>104</v>
      </c>
      <c r="C2000" s="1" t="str">
        <f>IF(Tabela8[[#This Row],[SETOR]]="","",IF(Tabela8[[#This Row],[SETOR]]&lt;200,"GV 10",IF(Tabela8[[#This Row],[SETOR]]&lt;300,"GV 20",IF(Tabela8[[#This Row],[SETOR]]&lt;400,"GV 30","S/GV"))))</f>
        <v>GV 10</v>
      </c>
      <c r="E2000" t="s">
        <v>123</v>
      </c>
      <c r="G2000" t="str">
        <f>_xlfn.CONCAT(Tabela9[[#This Row],[Coluna1]],Tabela9[[#This Row],[Coluna2]])</f>
        <v>20-Rota</v>
      </c>
    </row>
    <row r="2001" spans="1:7" x14ac:dyDescent="0.25">
      <c r="A2001">
        <v>13325</v>
      </c>
      <c r="B2001">
        <v>203</v>
      </c>
      <c r="C2001" s="1" t="str">
        <f>IF(Tabela8[[#This Row],[SETOR]]="","",IF(Tabela8[[#This Row],[SETOR]]&lt;200,"GV 10",IF(Tabela8[[#This Row],[SETOR]]&lt;300,"GV 20",IF(Tabela8[[#This Row],[SETOR]]&lt;400,"GV 30","S/GV"))))</f>
        <v>GV 20</v>
      </c>
      <c r="E2001" t="s">
        <v>125</v>
      </c>
      <c r="G2001" t="str">
        <f>_xlfn.CONCAT(Tabela9[[#This Row],[Coluna1]],Tabela9[[#This Row],[Coluna2]])</f>
        <v>18-TRAD</v>
      </c>
    </row>
    <row r="2002" spans="1:7" x14ac:dyDescent="0.25">
      <c r="A2002">
        <v>13328</v>
      </c>
      <c r="B2002">
        <v>304</v>
      </c>
      <c r="C2002" s="1" t="str">
        <f>IF(Tabela8[[#This Row],[SETOR]]="","",IF(Tabela8[[#This Row],[SETOR]]&lt;200,"GV 10",IF(Tabela8[[#This Row],[SETOR]]&lt;300,"GV 20",IF(Tabela8[[#This Row],[SETOR]]&lt;400,"GV 30","S/GV"))))</f>
        <v>GV 30</v>
      </c>
      <c r="E2002" t="s">
        <v>123</v>
      </c>
      <c r="G2002" t="str">
        <f>_xlfn.CONCAT(Tabela9[[#This Row],[Coluna1]],Tabela9[[#This Row],[Coluna2]])</f>
        <v>20-Rota</v>
      </c>
    </row>
    <row r="2003" spans="1:7" x14ac:dyDescent="0.25">
      <c r="A2003">
        <v>13329</v>
      </c>
      <c r="B2003">
        <v>109</v>
      </c>
      <c r="C2003" s="1" t="str">
        <f>IF(Tabela8[[#This Row],[SETOR]]="","",IF(Tabela8[[#This Row],[SETOR]]&lt;200,"GV 10",IF(Tabela8[[#This Row],[SETOR]]&lt;300,"GV 20",IF(Tabela8[[#This Row],[SETOR]]&lt;400,"GV 30","S/GV"))))</f>
        <v>GV 10</v>
      </c>
      <c r="E2003" t="s">
        <v>123</v>
      </c>
      <c r="G2003" t="str">
        <f>_xlfn.CONCAT(Tabela9[[#This Row],[Coluna1]],Tabela9[[#This Row],[Coluna2]])</f>
        <v>20-Rota</v>
      </c>
    </row>
    <row r="2004" spans="1:7" x14ac:dyDescent="0.25">
      <c r="A2004">
        <v>13330</v>
      </c>
      <c r="B2004">
        <v>104</v>
      </c>
      <c r="C2004" s="1" t="str">
        <f>IF(Tabela8[[#This Row],[SETOR]]="","",IF(Tabela8[[#This Row],[SETOR]]&lt;200,"GV 10",IF(Tabela8[[#This Row],[SETOR]]&lt;300,"GV 20",IF(Tabela8[[#This Row],[SETOR]]&lt;400,"GV 30","S/GV"))))</f>
        <v>GV 10</v>
      </c>
      <c r="E2004" t="s">
        <v>123</v>
      </c>
      <c r="G2004" t="str">
        <f>_xlfn.CONCAT(Tabela9[[#This Row],[Coluna1]],Tabela9[[#This Row],[Coluna2]])</f>
        <v>20-Rota</v>
      </c>
    </row>
    <row r="2005" spans="1:7" x14ac:dyDescent="0.25">
      <c r="A2005">
        <v>13334</v>
      </c>
      <c r="B2005">
        <v>306</v>
      </c>
      <c r="C2005" s="1" t="str">
        <f>IF(Tabela8[[#This Row],[SETOR]]="","",IF(Tabela8[[#This Row],[SETOR]]&lt;200,"GV 10",IF(Tabela8[[#This Row],[SETOR]]&lt;300,"GV 20",IF(Tabela8[[#This Row],[SETOR]]&lt;400,"GV 30","S/GV"))))</f>
        <v>GV 30</v>
      </c>
      <c r="E2005" t="s">
        <v>125</v>
      </c>
      <c r="G2005" t="str">
        <f>_xlfn.CONCAT(Tabela9[[#This Row],[Coluna1]],Tabela9[[#This Row],[Coluna2]])</f>
        <v>18-TRAD</v>
      </c>
    </row>
    <row r="2006" spans="1:7" x14ac:dyDescent="0.25">
      <c r="A2006">
        <v>13338</v>
      </c>
      <c r="B2006">
        <v>104</v>
      </c>
      <c r="C2006" s="1" t="str">
        <f>IF(Tabela8[[#This Row],[SETOR]]="","",IF(Tabela8[[#This Row],[SETOR]]&lt;200,"GV 10",IF(Tabela8[[#This Row],[SETOR]]&lt;300,"GV 20",IF(Tabela8[[#This Row],[SETOR]]&lt;400,"GV 30","S/GV"))))</f>
        <v>GV 10</v>
      </c>
      <c r="E2006" t="s">
        <v>123</v>
      </c>
      <c r="G2006" t="str">
        <f>_xlfn.CONCAT(Tabela9[[#This Row],[Coluna1]],Tabela9[[#This Row],[Coluna2]])</f>
        <v>20-Rota</v>
      </c>
    </row>
    <row r="2007" spans="1:7" x14ac:dyDescent="0.25">
      <c r="A2007">
        <v>13339</v>
      </c>
      <c r="B2007">
        <v>109</v>
      </c>
      <c r="C2007" s="1" t="str">
        <f>IF(Tabela8[[#This Row],[SETOR]]="","",IF(Tabela8[[#This Row],[SETOR]]&lt;200,"GV 10",IF(Tabela8[[#This Row],[SETOR]]&lt;300,"GV 20",IF(Tabela8[[#This Row],[SETOR]]&lt;400,"GV 30","S/GV"))))</f>
        <v>GV 10</v>
      </c>
      <c r="E2007" t="s">
        <v>123</v>
      </c>
      <c r="G2007" t="str">
        <f>_xlfn.CONCAT(Tabela9[[#This Row],[Coluna1]],Tabela9[[#This Row],[Coluna2]])</f>
        <v>20-Rota</v>
      </c>
    </row>
    <row r="2008" spans="1:7" x14ac:dyDescent="0.25">
      <c r="A2008">
        <v>13351</v>
      </c>
      <c r="B2008">
        <v>108</v>
      </c>
      <c r="C2008" s="1" t="str">
        <f>IF(Tabela8[[#This Row],[SETOR]]="","",IF(Tabela8[[#This Row],[SETOR]]&lt;200,"GV 10",IF(Tabela8[[#This Row],[SETOR]]&lt;300,"GV 20",IF(Tabela8[[#This Row],[SETOR]]&lt;400,"GV 30","S/GV"))))</f>
        <v>GV 10</v>
      </c>
      <c r="E2008" t="s">
        <v>128</v>
      </c>
      <c r="F2008" t="s">
        <v>129</v>
      </c>
      <c r="G2008" t="str">
        <f>_xlfn.CONCAT(Tabela9[[#This Row],[Coluna1]],Tabela9[[#This Row],[Coluna2]])</f>
        <v>15-AS(1-4)</v>
      </c>
    </row>
    <row r="2009" spans="1:7" x14ac:dyDescent="0.25">
      <c r="A2009">
        <v>13354</v>
      </c>
      <c r="B2009">
        <v>105</v>
      </c>
      <c r="C2009" s="1" t="str">
        <f>IF(Tabela8[[#This Row],[SETOR]]="","",IF(Tabela8[[#This Row],[SETOR]]&lt;200,"GV 10",IF(Tabela8[[#This Row],[SETOR]]&lt;300,"GV 20",IF(Tabela8[[#This Row],[SETOR]]&lt;400,"GV 30","S/GV"))))</f>
        <v>GV 10</v>
      </c>
      <c r="E2009" t="s">
        <v>123</v>
      </c>
      <c r="G2009" t="str">
        <f>_xlfn.CONCAT(Tabela9[[#This Row],[Coluna1]],Tabela9[[#This Row],[Coluna2]])</f>
        <v>20-Rota</v>
      </c>
    </row>
    <row r="2010" spans="1:7" x14ac:dyDescent="0.25">
      <c r="A2010">
        <v>13365</v>
      </c>
      <c r="B2010">
        <v>301</v>
      </c>
      <c r="C2010" s="1" t="str">
        <f>IF(Tabela8[[#This Row],[SETOR]]="","",IF(Tabela8[[#This Row],[SETOR]]&lt;200,"GV 10",IF(Tabela8[[#This Row],[SETOR]]&lt;300,"GV 20",IF(Tabela8[[#This Row],[SETOR]]&lt;400,"GV 30","S/GV"))))</f>
        <v>GV 30</v>
      </c>
      <c r="E2010" t="s">
        <v>123</v>
      </c>
      <c r="G2010" t="str">
        <f>_xlfn.CONCAT(Tabela9[[#This Row],[Coluna1]],Tabela9[[#This Row],[Coluna2]])</f>
        <v>20-Rota</v>
      </c>
    </row>
    <row r="2011" spans="1:7" x14ac:dyDescent="0.25">
      <c r="A2011">
        <v>13366</v>
      </c>
      <c r="B2011">
        <v>303</v>
      </c>
      <c r="C2011" s="1" t="str">
        <f>IF(Tabela8[[#This Row],[SETOR]]="","",IF(Tabela8[[#This Row],[SETOR]]&lt;200,"GV 10",IF(Tabela8[[#This Row],[SETOR]]&lt;300,"GV 20",IF(Tabela8[[#This Row],[SETOR]]&lt;400,"GV 30","S/GV"))))</f>
        <v>GV 30</v>
      </c>
      <c r="E2011" t="s">
        <v>123</v>
      </c>
      <c r="G2011" t="str">
        <f>_xlfn.CONCAT(Tabela9[[#This Row],[Coluna1]],Tabela9[[#This Row],[Coluna2]])</f>
        <v>20-Rota</v>
      </c>
    </row>
    <row r="2012" spans="1:7" x14ac:dyDescent="0.25">
      <c r="A2012">
        <v>13371</v>
      </c>
      <c r="B2012">
        <v>106</v>
      </c>
      <c r="C2012" s="1" t="str">
        <f>IF(Tabela8[[#This Row],[SETOR]]="","",IF(Tabela8[[#This Row],[SETOR]]&lt;200,"GV 10",IF(Tabela8[[#This Row],[SETOR]]&lt;300,"GV 20",IF(Tabela8[[#This Row],[SETOR]]&lt;400,"GV 30","S/GV"))))</f>
        <v>GV 10</v>
      </c>
      <c r="E2012" t="s">
        <v>123</v>
      </c>
      <c r="G2012" t="str">
        <f>_xlfn.CONCAT(Tabela9[[#This Row],[Coluna1]],Tabela9[[#This Row],[Coluna2]])</f>
        <v>20-Rota</v>
      </c>
    </row>
    <row r="2013" spans="1:7" x14ac:dyDescent="0.25">
      <c r="A2013">
        <v>13372</v>
      </c>
      <c r="B2013">
        <v>305</v>
      </c>
      <c r="C2013" s="1" t="str">
        <f>IF(Tabela8[[#This Row],[SETOR]]="","",IF(Tabela8[[#This Row],[SETOR]]&lt;200,"GV 10",IF(Tabela8[[#This Row],[SETOR]]&lt;300,"GV 20",IF(Tabela8[[#This Row],[SETOR]]&lt;400,"GV 30","S/GV"))))</f>
        <v>GV 30</v>
      </c>
      <c r="E2013" t="s">
        <v>123</v>
      </c>
      <c r="G2013" t="str">
        <f>_xlfn.CONCAT(Tabela9[[#This Row],[Coluna1]],Tabela9[[#This Row],[Coluna2]])</f>
        <v>20-Rota</v>
      </c>
    </row>
    <row r="2014" spans="1:7" x14ac:dyDescent="0.25">
      <c r="A2014">
        <v>13373</v>
      </c>
      <c r="B2014">
        <v>305</v>
      </c>
      <c r="C2014" s="1" t="str">
        <f>IF(Tabela8[[#This Row],[SETOR]]="","",IF(Tabela8[[#This Row],[SETOR]]&lt;200,"GV 10",IF(Tabela8[[#This Row],[SETOR]]&lt;300,"GV 20",IF(Tabela8[[#This Row],[SETOR]]&lt;400,"GV 30","S/GV"))))</f>
        <v>GV 30</v>
      </c>
      <c r="E2014" t="s">
        <v>123</v>
      </c>
      <c r="G2014" t="str">
        <f>_xlfn.CONCAT(Tabela9[[#This Row],[Coluna1]],Tabela9[[#This Row],[Coluna2]])</f>
        <v>20-Rota</v>
      </c>
    </row>
    <row r="2015" spans="1:7" x14ac:dyDescent="0.25">
      <c r="A2015">
        <v>13378</v>
      </c>
      <c r="B2015">
        <v>302</v>
      </c>
      <c r="C2015" s="1" t="str">
        <f>IF(Tabela8[[#This Row],[SETOR]]="","",IF(Tabela8[[#This Row],[SETOR]]&lt;200,"GV 10",IF(Tabela8[[#This Row],[SETOR]]&lt;300,"GV 20",IF(Tabela8[[#This Row],[SETOR]]&lt;400,"GV 30","S/GV"))))</f>
        <v>GV 30</v>
      </c>
      <c r="E2015" t="s">
        <v>123</v>
      </c>
      <c r="G2015" t="str">
        <f>_xlfn.CONCAT(Tabela9[[#This Row],[Coluna1]],Tabela9[[#This Row],[Coluna2]])</f>
        <v>20-Rota</v>
      </c>
    </row>
    <row r="2016" spans="1:7" x14ac:dyDescent="0.25">
      <c r="A2016">
        <v>13391</v>
      </c>
      <c r="B2016">
        <v>207</v>
      </c>
      <c r="C2016" s="1" t="str">
        <f>IF(Tabela8[[#This Row],[SETOR]]="","",IF(Tabela8[[#This Row],[SETOR]]&lt;200,"GV 10",IF(Tabela8[[#This Row],[SETOR]]&lt;300,"GV 20",IF(Tabela8[[#This Row],[SETOR]]&lt;400,"GV 30","S/GV"))))</f>
        <v>GV 20</v>
      </c>
      <c r="E2016" t="s">
        <v>125</v>
      </c>
      <c r="G2016" t="str">
        <f>_xlfn.CONCAT(Tabela9[[#This Row],[Coluna1]],Tabela9[[#This Row],[Coluna2]])</f>
        <v>18-TRAD</v>
      </c>
    </row>
    <row r="2017" spans="1:7" x14ac:dyDescent="0.25">
      <c r="A2017">
        <v>13392</v>
      </c>
      <c r="B2017">
        <v>105</v>
      </c>
      <c r="C2017" s="1" t="str">
        <f>IF(Tabela8[[#This Row],[SETOR]]="","",IF(Tabela8[[#This Row],[SETOR]]&lt;200,"GV 10",IF(Tabela8[[#This Row],[SETOR]]&lt;300,"GV 20",IF(Tabela8[[#This Row],[SETOR]]&lt;400,"GV 30","S/GV"))))</f>
        <v>GV 10</v>
      </c>
      <c r="E2017" t="s">
        <v>123</v>
      </c>
      <c r="G2017" t="str">
        <f>_xlfn.CONCAT(Tabela9[[#This Row],[Coluna1]],Tabela9[[#This Row],[Coluna2]])</f>
        <v>20-Rota</v>
      </c>
    </row>
    <row r="2018" spans="1:7" x14ac:dyDescent="0.25">
      <c r="A2018">
        <v>13395</v>
      </c>
      <c r="B2018">
        <v>305</v>
      </c>
      <c r="C2018" s="1" t="str">
        <f>IF(Tabela8[[#This Row],[SETOR]]="","",IF(Tabela8[[#This Row],[SETOR]]&lt;200,"GV 10",IF(Tabela8[[#This Row],[SETOR]]&lt;300,"GV 20",IF(Tabela8[[#This Row],[SETOR]]&lt;400,"GV 30","S/GV"))))</f>
        <v>GV 30</v>
      </c>
      <c r="E2018" t="s">
        <v>123</v>
      </c>
      <c r="G2018" t="str">
        <f>_xlfn.CONCAT(Tabela9[[#This Row],[Coluna1]],Tabela9[[#This Row],[Coluna2]])</f>
        <v>20-Rota</v>
      </c>
    </row>
    <row r="2019" spans="1:7" x14ac:dyDescent="0.25">
      <c r="A2019">
        <v>13398</v>
      </c>
      <c r="B2019">
        <v>302</v>
      </c>
      <c r="C2019" s="1" t="str">
        <f>IF(Tabela8[[#This Row],[SETOR]]="","",IF(Tabela8[[#This Row],[SETOR]]&lt;200,"GV 10",IF(Tabela8[[#This Row],[SETOR]]&lt;300,"GV 20",IF(Tabela8[[#This Row],[SETOR]]&lt;400,"GV 30","S/GV"))))</f>
        <v>GV 30</v>
      </c>
      <c r="E2019" t="s">
        <v>123</v>
      </c>
      <c r="G2019" t="str">
        <f>_xlfn.CONCAT(Tabela9[[#This Row],[Coluna1]],Tabela9[[#This Row],[Coluna2]])</f>
        <v>20-Rota</v>
      </c>
    </row>
    <row r="2020" spans="1:7" x14ac:dyDescent="0.25">
      <c r="A2020">
        <v>13408</v>
      </c>
      <c r="B2020">
        <v>303</v>
      </c>
      <c r="C2020" s="1" t="str">
        <f>IF(Tabela8[[#This Row],[SETOR]]="","",IF(Tabela8[[#This Row],[SETOR]]&lt;200,"GV 10",IF(Tabela8[[#This Row],[SETOR]]&lt;300,"GV 20",IF(Tabela8[[#This Row],[SETOR]]&lt;400,"GV 30","S/GV"))))</f>
        <v>GV 30</v>
      </c>
      <c r="E2020" t="s">
        <v>123</v>
      </c>
      <c r="G2020" t="str">
        <f>_xlfn.CONCAT(Tabela9[[#This Row],[Coluna1]],Tabela9[[#This Row],[Coluna2]])</f>
        <v>20-Rota</v>
      </c>
    </row>
    <row r="2021" spans="1:7" x14ac:dyDescent="0.25">
      <c r="A2021">
        <v>13412</v>
      </c>
      <c r="B2021">
        <v>306</v>
      </c>
      <c r="C2021" s="1" t="str">
        <f>IF(Tabela8[[#This Row],[SETOR]]="","",IF(Tabela8[[#This Row],[SETOR]]&lt;200,"GV 10",IF(Tabela8[[#This Row],[SETOR]]&lt;300,"GV 20",IF(Tabela8[[#This Row],[SETOR]]&lt;400,"GV 30","S/GV"))))</f>
        <v>GV 30</v>
      </c>
      <c r="E2021" t="s">
        <v>125</v>
      </c>
      <c r="G2021" t="str">
        <f>_xlfn.CONCAT(Tabela9[[#This Row],[Coluna1]],Tabela9[[#This Row],[Coluna2]])</f>
        <v>18-TRAD</v>
      </c>
    </row>
    <row r="2022" spans="1:7" x14ac:dyDescent="0.25">
      <c r="A2022">
        <v>13416</v>
      </c>
      <c r="B2022">
        <v>304</v>
      </c>
      <c r="C2022" s="1" t="str">
        <f>IF(Tabela8[[#This Row],[SETOR]]="","",IF(Tabela8[[#This Row],[SETOR]]&lt;200,"GV 10",IF(Tabela8[[#This Row],[SETOR]]&lt;300,"GV 20",IF(Tabela8[[#This Row],[SETOR]]&lt;400,"GV 30","S/GV"))))</f>
        <v>GV 30</v>
      </c>
      <c r="E2022" t="s">
        <v>123</v>
      </c>
      <c r="G2022" t="str">
        <f>_xlfn.CONCAT(Tabela9[[#This Row],[Coluna1]],Tabela9[[#This Row],[Coluna2]])</f>
        <v>20-Rota</v>
      </c>
    </row>
    <row r="2023" spans="1:7" x14ac:dyDescent="0.25">
      <c r="A2023">
        <v>13424</v>
      </c>
      <c r="B2023">
        <v>106</v>
      </c>
      <c r="C2023" s="1" t="str">
        <f>IF(Tabela8[[#This Row],[SETOR]]="","",IF(Tabela8[[#This Row],[SETOR]]&lt;200,"GV 10",IF(Tabela8[[#This Row],[SETOR]]&lt;300,"GV 20",IF(Tabela8[[#This Row],[SETOR]]&lt;400,"GV 30","S/GV"))))</f>
        <v>GV 10</v>
      </c>
      <c r="E2023" t="s">
        <v>123</v>
      </c>
      <c r="G2023" t="str">
        <f>_xlfn.CONCAT(Tabela9[[#This Row],[Coluna1]],Tabela9[[#This Row],[Coluna2]])</f>
        <v>20-Rota</v>
      </c>
    </row>
    <row r="2024" spans="1:7" x14ac:dyDescent="0.25">
      <c r="A2024">
        <v>13425</v>
      </c>
      <c r="B2024">
        <v>305</v>
      </c>
      <c r="C2024" s="1" t="str">
        <f>IF(Tabela8[[#This Row],[SETOR]]="","",IF(Tabela8[[#This Row],[SETOR]]&lt;200,"GV 10",IF(Tabela8[[#This Row],[SETOR]]&lt;300,"GV 20",IF(Tabela8[[#This Row],[SETOR]]&lt;400,"GV 30","S/GV"))))</f>
        <v>GV 30</v>
      </c>
      <c r="E2024" t="s">
        <v>123</v>
      </c>
      <c r="G2024" t="str">
        <f>_xlfn.CONCAT(Tabela9[[#This Row],[Coluna1]],Tabela9[[#This Row],[Coluna2]])</f>
        <v>20-Rota</v>
      </c>
    </row>
    <row r="2025" spans="1:7" x14ac:dyDescent="0.25">
      <c r="A2025">
        <v>13431</v>
      </c>
      <c r="B2025">
        <v>204</v>
      </c>
      <c r="C2025" s="1" t="str">
        <f>IF(Tabela8[[#This Row],[SETOR]]="","",IF(Tabela8[[#This Row],[SETOR]]&lt;200,"GV 10",IF(Tabela8[[#This Row],[SETOR]]&lt;300,"GV 20",IF(Tabela8[[#This Row],[SETOR]]&lt;400,"GV 30","S/GV"))))</f>
        <v>GV 20</v>
      </c>
      <c r="E2025" t="s">
        <v>123</v>
      </c>
      <c r="G2025" t="str">
        <f>_xlfn.CONCAT(Tabela9[[#This Row],[Coluna1]],Tabela9[[#This Row],[Coluna2]])</f>
        <v>20-Rota</v>
      </c>
    </row>
    <row r="2026" spans="1:7" x14ac:dyDescent="0.25">
      <c r="A2026">
        <v>13434</v>
      </c>
      <c r="B2026">
        <v>305</v>
      </c>
      <c r="C2026" s="1" t="str">
        <f>IF(Tabela8[[#This Row],[SETOR]]="","",IF(Tabela8[[#This Row],[SETOR]]&lt;200,"GV 10",IF(Tabela8[[#This Row],[SETOR]]&lt;300,"GV 20",IF(Tabela8[[#This Row],[SETOR]]&lt;400,"GV 30","S/GV"))))</f>
        <v>GV 30</v>
      </c>
      <c r="E2026" t="s">
        <v>123</v>
      </c>
      <c r="G2026" t="str">
        <f>_xlfn.CONCAT(Tabela9[[#This Row],[Coluna1]],Tabela9[[#This Row],[Coluna2]])</f>
        <v>20-Rota</v>
      </c>
    </row>
    <row r="2027" spans="1:7" x14ac:dyDescent="0.25">
      <c r="A2027">
        <v>13444</v>
      </c>
      <c r="B2027">
        <v>105</v>
      </c>
      <c r="C2027" s="1" t="str">
        <f>IF(Tabela8[[#This Row],[SETOR]]="","",IF(Tabela8[[#This Row],[SETOR]]&lt;200,"GV 10",IF(Tabela8[[#This Row],[SETOR]]&lt;300,"GV 20",IF(Tabela8[[#This Row],[SETOR]]&lt;400,"GV 30","S/GV"))))</f>
        <v>GV 10</v>
      </c>
      <c r="E2027" t="s">
        <v>123</v>
      </c>
      <c r="G2027" t="str">
        <f>_xlfn.CONCAT(Tabela9[[#This Row],[Coluna1]],Tabela9[[#This Row],[Coluna2]])</f>
        <v>20-Rota</v>
      </c>
    </row>
    <row r="2028" spans="1:7" x14ac:dyDescent="0.25">
      <c r="A2028">
        <v>13447</v>
      </c>
      <c r="B2028">
        <v>106</v>
      </c>
      <c r="C2028" s="1" t="str">
        <f>IF(Tabela8[[#This Row],[SETOR]]="","",IF(Tabela8[[#This Row],[SETOR]]&lt;200,"GV 10",IF(Tabela8[[#This Row],[SETOR]]&lt;300,"GV 20",IF(Tabela8[[#This Row],[SETOR]]&lt;400,"GV 30","S/GV"))))</f>
        <v>GV 10</v>
      </c>
      <c r="E2028" t="s">
        <v>123</v>
      </c>
      <c r="G2028" t="str">
        <f>_xlfn.CONCAT(Tabela9[[#This Row],[Coluna1]],Tabela9[[#This Row],[Coluna2]])</f>
        <v>20-Rota</v>
      </c>
    </row>
    <row r="2029" spans="1:7" x14ac:dyDescent="0.25">
      <c r="A2029">
        <v>13449</v>
      </c>
      <c r="B2029">
        <v>303</v>
      </c>
      <c r="C2029" s="1" t="str">
        <f>IF(Tabela8[[#This Row],[SETOR]]="","",IF(Tabela8[[#This Row],[SETOR]]&lt;200,"GV 10",IF(Tabela8[[#This Row],[SETOR]]&lt;300,"GV 20",IF(Tabela8[[#This Row],[SETOR]]&lt;400,"GV 30","S/GV"))))</f>
        <v>GV 30</v>
      </c>
      <c r="E2029" t="s">
        <v>123</v>
      </c>
      <c r="G2029" t="str">
        <f>_xlfn.CONCAT(Tabela9[[#This Row],[Coluna1]],Tabela9[[#This Row],[Coluna2]])</f>
        <v>20-Rota</v>
      </c>
    </row>
    <row r="2030" spans="1:7" x14ac:dyDescent="0.25">
      <c r="A2030">
        <v>13452</v>
      </c>
      <c r="B2030">
        <v>201</v>
      </c>
      <c r="C2030" s="1" t="str">
        <f>IF(Tabela8[[#This Row],[SETOR]]="","",IF(Tabela8[[#This Row],[SETOR]]&lt;200,"GV 10",IF(Tabela8[[#This Row],[SETOR]]&lt;300,"GV 20",IF(Tabela8[[#This Row],[SETOR]]&lt;400,"GV 30","S/GV"))))</f>
        <v>GV 20</v>
      </c>
      <c r="E2030" t="s">
        <v>123</v>
      </c>
      <c r="G2030" t="str">
        <f>_xlfn.CONCAT(Tabela9[[#This Row],[Coluna1]],Tabela9[[#This Row],[Coluna2]])</f>
        <v>20-Rota</v>
      </c>
    </row>
    <row r="2031" spans="1:7" x14ac:dyDescent="0.25">
      <c r="A2031">
        <v>13457</v>
      </c>
      <c r="B2031">
        <v>303</v>
      </c>
      <c r="C2031" s="1" t="str">
        <f>IF(Tabela8[[#This Row],[SETOR]]="","",IF(Tabela8[[#This Row],[SETOR]]&lt;200,"GV 10",IF(Tabela8[[#This Row],[SETOR]]&lt;300,"GV 20",IF(Tabela8[[#This Row],[SETOR]]&lt;400,"GV 30","S/GV"))))</f>
        <v>GV 30</v>
      </c>
      <c r="E2031" t="s">
        <v>123</v>
      </c>
      <c r="G2031" t="str">
        <f>_xlfn.CONCAT(Tabela9[[#This Row],[Coluna1]],Tabela9[[#This Row],[Coluna2]])</f>
        <v>20-Rota</v>
      </c>
    </row>
    <row r="2032" spans="1:7" x14ac:dyDescent="0.25">
      <c r="A2032">
        <v>13465</v>
      </c>
      <c r="B2032">
        <v>104</v>
      </c>
      <c r="C2032" s="1" t="str">
        <f>IF(Tabela8[[#This Row],[SETOR]]="","",IF(Tabela8[[#This Row],[SETOR]]&lt;200,"GV 10",IF(Tabela8[[#This Row],[SETOR]]&lt;300,"GV 20",IF(Tabela8[[#This Row],[SETOR]]&lt;400,"GV 30","S/GV"))))</f>
        <v>GV 10</v>
      </c>
      <c r="E2032" t="s">
        <v>123</v>
      </c>
      <c r="G2032" t="str">
        <f>_xlfn.CONCAT(Tabela9[[#This Row],[Coluna1]],Tabela9[[#This Row],[Coluna2]])</f>
        <v>20-Rota</v>
      </c>
    </row>
    <row r="2033" spans="1:7" x14ac:dyDescent="0.25">
      <c r="A2033">
        <v>13466</v>
      </c>
      <c r="B2033">
        <v>101</v>
      </c>
      <c r="C2033" s="1" t="str">
        <f>IF(Tabela8[[#This Row],[SETOR]]="","",IF(Tabela8[[#This Row],[SETOR]]&lt;200,"GV 10",IF(Tabela8[[#This Row],[SETOR]]&lt;300,"GV 20",IF(Tabela8[[#This Row],[SETOR]]&lt;400,"GV 30","S/GV"))))</f>
        <v>GV 10</v>
      </c>
      <c r="E2033" t="s">
        <v>123</v>
      </c>
      <c r="G2033" t="str">
        <f>_xlfn.CONCAT(Tabela9[[#This Row],[Coluna1]],Tabela9[[#This Row],[Coluna2]])</f>
        <v>20-Rota</v>
      </c>
    </row>
    <row r="2034" spans="1:7" x14ac:dyDescent="0.25">
      <c r="A2034">
        <v>13468</v>
      </c>
      <c r="B2034">
        <v>916</v>
      </c>
      <c r="C2034" s="1" t="str">
        <f>IF(Tabela8[[#This Row],[SETOR]]="","",IF(Tabela8[[#This Row],[SETOR]]&lt;200,"GV 10",IF(Tabela8[[#This Row],[SETOR]]&lt;300,"GV 20",IF(Tabela8[[#This Row],[SETOR]]&lt;400,"GV 30","S/GV"))))</f>
        <v>S/GV</v>
      </c>
      <c r="G2034" t="str">
        <f>_xlfn.CONCAT(Tabela9[[#This Row],[Coluna1]],Tabela9[[#This Row],[Coluna2]])</f>
        <v/>
      </c>
    </row>
    <row r="2035" spans="1:7" x14ac:dyDescent="0.25">
      <c r="A2035">
        <v>13470</v>
      </c>
      <c r="B2035">
        <v>104</v>
      </c>
      <c r="C2035" s="1" t="str">
        <f>IF(Tabela8[[#This Row],[SETOR]]="","",IF(Tabela8[[#This Row],[SETOR]]&lt;200,"GV 10",IF(Tabela8[[#This Row],[SETOR]]&lt;300,"GV 20",IF(Tabela8[[#This Row],[SETOR]]&lt;400,"GV 30","S/GV"))))</f>
        <v>GV 10</v>
      </c>
      <c r="E2035" t="s">
        <v>123</v>
      </c>
      <c r="G2035" t="str">
        <f>_xlfn.CONCAT(Tabela9[[#This Row],[Coluna1]],Tabela9[[#This Row],[Coluna2]])</f>
        <v>20-Rota</v>
      </c>
    </row>
    <row r="2036" spans="1:7" x14ac:dyDescent="0.25">
      <c r="A2036">
        <v>13479</v>
      </c>
      <c r="B2036">
        <v>101</v>
      </c>
      <c r="C2036" s="1" t="str">
        <f>IF(Tabela8[[#This Row],[SETOR]]="","",IF(Tabela8[[#This Row],[SETOR]]&lt;200,"GV 10",IF(Tabela8[[#This Row],[SETOR]]&lt;300,"GV 20",IF(Tabela8[[#This Row],[SETOR]]&lt;400,"GV 30","S/GV"))))</f>
        <v>GV 10</v>
      </c>
      <c r="E2036" t="s">
        <v>123</v>
      </c>
      <c r="G2036" t="str">
        <f>_xlfn.CONCAT(Tabela9[[#This Row],[Coluna1]],Tabela9[[#This Row],[Coluna2]])</f>
        <v>20-Rota</v>
      </c>
    </row>
    <row r="2037" spans="1:7" x14ac:dyDescent="0.25">
      <c r="A2037">
        <v>13482</v>
      </c>
      <c r="B2037">
        <v>101</v>
      </c>
      <c r="C2037" s="1" t="str">
        <f>IF(Tabela8[[#This Row],[SETOR]]="","",IF(Tabela8[[#This Row],[SETOR]]&lt;200,"GV 10",IF(Tabela8[[#This Row],[SETOR]]&lt;300,"GV 20",IF(Tabela8[[#This Row],[SETOR]]&lt;400,"GV 30","S/GV"))))</f>
        <v>GV 10</v>
      </c>
      <c r="E2037" t="s">
        <v>123</v>
      </c>
      <c r="G2037" t="str">
        <f>_xlfn.CONCAT(Tabela9[[#This Row],[Coluna1]],Tabela9[[#This Row],[Coluna2]])</f>
        <v>20-Rota</v>
      </c>
    </row>
    <row r="2038" spans="1:7" x14ac:dyDescent="0.25">
      <c r="A2038">
        <v>13485</v>
      </c>
      <c r="B2038">
        <v>304</v>
      </c>
      <c r="C2038" s="1" t="str">
        <f>IF(Tabela8[[#This Row],[SETOR]]="","",IF(Tabela8[[#This Row],[SETOR]]&lt;200,"GV 10",IF(Tabela8[[#This Row],[SETOR]]&lt;300,"GV 20",IF(Tabela8[[#This Row],[SETOR]]&lt;400,"GV 30","S/GV"))))</f>
        <v>GV 30</v>
      </c>
      <c r="E2038" t="s">
        <v>123</v>
      </c>
      <c r="G2038" t="str">
        <f>_xlfn.CONCAT(Tabela9[[#This Row],[Coluna1]],Tabela9[[#This Row],[Coluna2]])</f>
        <v>20-Rota</v>
      </c>
    </row>
    <row r="2039" spans="1:7" x14ac:dyDescent="0.25">
      <c r="A2039">
        <v>13487</v>
      </c>
      <c r="B2039">
        <v>304</v>
      </c>
      <c r="C2039" s="1" t="str">
        <f>IF(Tabela8[[#This Row],[SETOR]]="","",IF(Tabela8[[#This Row],[SETOR]]&lt;200,"GV 10",IF(Tabela8[[#This Row],[SETOR]]&lt;300,"GV 20",IF(Tabela8[[#This Row],[SETOR]]&lt;400,"GV 30","S/GV"))))</f>
        <v>GV 30</v>
      </c>
      <c r="E2039" t="s">
        <v>123</v>
      </c>
      <c r="G2039" t="str">
        <f>_xlfn.CONCAT(Tabela9[[#This Row],[Coluna1]],Tabela9[[#This Row],[Coluna2]])</f>
        <v>20-Rota</v>
      </c>
    </row>
    <row r="2040" spans="1:7" x14ac:dyDescent="0.25">
      <c r="A2040">
        <v>13488</v>
      </c>
      <c r="B2040">
        <v>918</v>
      </c>
      <c r="C2040" s="1" t="str">
        <f>IF(Tabela8[[#This Row],[SETOR]]="","",IF(Tabela8[[#This Row],[SETOR]]&lt;200,"GV 10",IF(Tabela8[[#This Row],[SETOR]]&lt;300,"GV 20",IF(Tabela8[[#This Row],[SETOR]]&lt;400,"GV 30","S/GV"))))</f>
        <v>S/GV</v>
      </c>
      <c r="E2040" t="s">
        <v>123</v>
      </c>
      <c r="G2040" t="str">
        <f>_xlfn.CONCAT(Tabela9[[#This Row],[Coluna1]],Tabela9[[#This Row],[Coluna2]])</f>
        <v>20-Rota</v>
      </c>
    </row>
    <row r="2041" spans="1:7" x14ac:dyDescent="0.25">
      <c r="A2041">
        <v>13489</v>
      </c>
      <c r="B2041">
        <v>105</v>
      </c>
      <c r="C2041" s="1" t="str">
        <f>IF(Tabela8[[#This Row],[SETOR]]="","",IF(Tabela8[[#This Row],[SETOR]]&lt;200,"GV 10",IF(Tabela8[[#This Row],[SETOR]]&lt;300,"GV 20",IF(Tabela8[[#This Row],[SETOR]]&lt;400,"GV 30","S/GV"))))</f>
        <v>GV 10</v>
      </c>
      <c r="E2041" t="s">
        <v>123</v>
      </c>
      <c r="G2041" t="str">
        <f>_xlfn.CONCAT(Tabela9[[#This Row],[Coluna1]],Tabela9[[#This Row],[Coluna2]])</f>
        <v>20-Rota</v>
      </c>
    </row>
    <row r="2042" spans="1:7" x14ac:dyDescent="0.25">
      <c r="A2042">
        <v>13491</v>
      </c>
      <c r="B2042">
        <v>103</v>
      </c>
      <c r="C2042" s="1" t="str">
        <f>IF(Tabela8[[#This Row],[SETOR]]="","",IF(Tabela8[[#This Row],[SETOR]]&lt;200,"GV 10",IF(Tabela8[[#This Row],[SETOR]]&lt;300,"GV 20",IF(Tabela8[[#This Row],[SETOR]]&lt;400,"GV 30","S/GV"))))</f>
        <v>GV 10</v>
      </c>
      <c r="E2042" t="s">
        <v>123</v>
      </c>
      <c r="G2042" t="str">
        <f>_xlfn.CONCAT(Tabela9[[#This Row],[Coluna1]],Tabela9[[#This Row],[Coluna2]])</f>
        <v>20-Rota</v>
      </c>
    </row>
    <row r="2043" spans="1:7" x14ac:dyDescent="0.25">
      <c r="A2043">
        <v>13495</v>
      </c>
      <c r="B2043">
        <v>203</v>
      </c>
      <c r="C2043" s="1" t="str">
        <f>IF(Tabela8[[#This Row],[SETOR]]="","",IF(Tabela8[[#This Row],[SETOR]]&lt;200,"GV 10",IF(Tabela8[[#This Row],[SETOR]]&lt;300,"GV 20",IF(Tabela8[[#This Row],[SETOR]]&lt;400,"GV 30","S/GV"))))</f>
        <v>GV 20</v>
      </c>
      <c r="E2043" t="s">
        <v>123</v>
      </c>
      <c r="G2043" t="str">
        <f>_xlfn.CONCAT(Tabela9[[#This Row],[Coluna1]],Tabela9[[#This Row],[Coluna2]])</f>
        <v>20-Rota</v>
      </c>
    </row>
    <row r="2044" spans="1:7" x14ac:dyDescent="0.25">
      <c r="A2044">
        <v>13498</v>
      </c>
      <c r="B2044">
        <v>109</v>
      </c>
      <c r="C2044" s="1" t="str">
        <f>IF(Tabela8[[#This Row],[SETOR]]="","",IF(Tabela8[[#This Row],[SETOR]]&lt;200,"GV 10",IF(Tabela8[[#This Row],[SETOR]]&lt;300,"GV 20",IF(Tabela8[[#This Row],[SETOR]]&lt;400,"GV 30","S/GV"))))</f>
        <v>GV 10</v>
      </c>
      <c r="E2044" t="s">
        <v>123</v>
      </c>
      <c r="G2044" t="str">
        <f>_xlfn.CONCAT(Tabela9[[#This Row],[Coluna1]],Tabela9[[#This Row],[Coluna2]])</f>
        <v>20-Rota</v>
      </c>
    </row>
    <row r="2045" spans="1:7" x14ac:dyDescent="0.25">
      <c r="A2045">
        <v>13504</v>
      </c>
      <c r="B2045">
        <v>907</v>
      </c>
      <c r="C2045" s="1" t="str">
        <f>IF(Tabela8[[#This Row],[SETOR]]="","",IF(Tabela8[[#This Row],[SETOR]]&lt;200,"GV 10",IF(Tabela8[[#This Row],[SETOR]]&lt;300,"GV 20",IF(Tabela8[[#This Row],[SETOR]]&lt;400,"GV 30","S/GV"))))</f>
        <v>S/GV</v>
      </c>
      <c r="G2045" t="str">
        <f>_xlfn.CONCAT(Tabela9[[#This Row],[Coluna1]],Tabela9[[#This Row],[Coluna2]])</f>
        <v/>
      </c>
    </row>
    <row r="2046" spans="1:7" x14ac:dyDescent="0.25">
      <c r="A2046">
        <v>13508</v>
      </c>
      <c r="B2046">
        <v>305</v>
      </c>
      <c r="C2046" s="1" t="str">
        <f>IF(Tabela8[[#This Row],[SETOR]]="","",IF(Tabela8[[#This Row],[SETOR]]&lt;200,"GV 10",IF(Tabela8[[#This Row],[SETOR]]&lt;300,"GV 20",IF(Tabela8[[#This Row],[SETOR]]&lt;400,"GV 30","S/GV"))))</f>
        <v>GV 30</v>
      </c>
      <c r="E2046" t="s">
        <v>123</v>
      </c>
      <c r="G2046" t="str">
        <f>_xlfn.CONCAT(Tabela9[[#This Row],[Coluna1]],Tabela9[[#This Row],[Coluna2]])</f>
        <v>20-Rota</v>
      </c>
    </row>
    <row r="2047" spans="1:7" x14ac:dyDescent="0.25">
      <c r="A2047">
        <v>13511</v>
      </c>
      <c r="B2047">
        <v>303</v>
      </c>
      <c r="C2047" s="1" t="str">
        <f>IF(Tabela8[[#This Row],[SETOR]]="","",IF(Tabela8[[#This Row],[SETOR]]&lt;200,"GV 10",IF(Tabela8[[#This Row],[SETOR]]&lt;300,"GV 20",IF(Tabela8[[#This Row],[SETOR]]&lt;400,"GV 30","S/GV"))))</f>
        <v>GV 30</v>
      </c>
      <c r="E2047" t="s">
        <v>123</v>
      </c>
      <c r="G2047" t="str">
        <f>_xlfn.CONCAT(Tabela9[[#This Row],[Coluna1]],Tabela9[[#This Row],[Coluna2]])</f>
        <v>20-Rota</v>
      </c>
    </row>
    <row r="2048" spans="1:7" x14ac:dyDescent="0.25">
      <c r="A2048">
        <v>13531</v>
      </c>
      <c r="B2048">
        <v>202</v>
      </c>
      <c r="C2048" s="1" t="str">
        <f>IF(Tabela8[[#This Row],[SETOR]]="","",IF(Tabela8[[#This Row],[SETOR]]&lt;200,"GV 10",IF(Tabela8[[#This Row],[SETOR]]&lt;300,"GV 20",IF(Tabela8[[#This Row],[SETOR]]&lt;400,"GV 30","S/GV"))))</f>
        <v>GV 20</v>
      </c>
      <c r="E2048" t="s">
        <v>123</v>
      </c>
      <c r="G2048" t="str">
        <f>_xlfn.CONCAT(Tabela9[[#This Row],[Coluna1]],Tabela9[[#This Row],[Coluna2]])</f>
        <v>20-Rota</v>
      </c>
    </row>
    <row r="2049" spans="1:7" x14ac:dyDescent="0.25">
      <c r="A2049">
        <v>13532</v>
      </c>
      <c r="B2049">
        <v>204</v>
      </c>
      <c r="C2049" s="1" t="str">
        <f>IF(Tabela8[[#This Row],[SETOR]]="","",IF(Tabela8[[#This Row],[SETOR]]&lt;200,"GV 10",IF(Tabela8[[#This Row],[SETOR]]&lt;300,"GV 20",IF(Tabela8[[#This Row],[SETOR]]&lt;400,"GV 30","S/GV"))))</f>
        <v>GV 20</v>
      </c>
      <c r="E2049" t="s">
        <v>123</v>
      </c>
      <c r="G2049" t="str">
        <f>_xlfn.CONCAT(Tabela9[[#This Row],[Coluna1]],Tabela9[[#This Row],[Coluna2]])</f>
        <v>20-Rota</v>
      </c>
    </row>
    <row r="2050" spans="1:7" x14ac:dyDescent="0.25">
      <c r="A2050">
        <v>13537</v>
      </c>
      <c r="B2050">
        <v>109</v>
      </c>
      <c r="C2050" s="1" t="str">
        <f>IF(Tabela8[[#This Row],[SETOR]]="","",IF(Tabela8[[#This Row],[SETOR]]&lt;200,"GV 10",IF(Tabela8[[#This Row],[SETOR]]&lt;300,"GV 20",IF(Tabela8[[#This Row],[SETOR]]&lt;400,"GV 30","S/GV"))))</f>
        <v>GV 10</v>
      </c>
      <c r="E2050" t="s">
        <v>123</v>
      </c>
      <c r="G2050" t="str">
        <f>_xlfn.CONCAT(Tabela9[[#This Row],[Coluna1]],Tabela9[[#This Row],[Coluna2]])</f>
        <v>20-Rota</v>
      </c>
    </row>
    <row r="2051" spans="1:7" x14ac:dyDescent="0.25">
      <c r="A2051">
        <v>13543</v>
      </c>
      <c r="B2051">
        <v>307</v>
      </c>
      <c r="C2051" s="1" t="str">
        <f>IF(Tabela8[[#This Row],[SETOR]]="","",IF(Tabela8[[#This Row],[SETOR]]&lt;200,"GV 10",IF(Tabela8[[#This Row],[SETOR]]&lt;300,"GV 20",IF(Tabela8[[#This Row],[SETOR]]&lt;400,"GV 30","S/GV"))))</f>
        <v>GV 30</v>
      </c>
      <c r="E2051" t="s">
        <v>125</v>
      </c>
      <c r="G2051" t="str">
        <f>_xlfn.CONCAT(Tabela9[[#This Row],[Coluna1]],Tabela9[[#This Row],[Coluna2]])</f>
        <v>18-TRAD</v>
      </c>
    </row>
    <row r="2052" spans="1:7" x14ac:dyDescent="0.25">
      <c r="A2052">
        <v>13553</v>
      </c>
      <c r="B2052">
        <v>304</v>
      </c>
      <c r="C2052" s="1" t="str">
        <f>IF(Tabela8[[#This Row],[SETOR]]="","",IF(Tabela8[[#This Row],[SETOR]]&lt;200,"GV 10",IF(Tabela8[[#This Row],[SETOR]]&lt;300,"GV 20",IF(Tabela8[[#This Row],[SETOR]]&lt;400,"GV 30","S/GV"))))</f>
        <v>GV 30</v>
      </c>
      <c r="E2052" t="s">
        <v>123</v>
      </c>
      <c r="G2052" t="str">
        <f>_xlfn.CONCAT(Tabela9[[#This Row],[Coluna1]],Tabela9[[#This Row],[Coluna2]])</f>
        <v>20-Rota</v>
      </c>
    </row>
    <row r="2053" spans="1:7" x14ac:dyDescent="0.25">
      <c r="A2053">
        <v>13570</v>
      </c>
      <c r="B2053">
        <v>303</v>
      </c>
      <c r="C2053" s="1" t="str">
        <f>IF(Tabela8[[#This Row],[SETOR]]="","",IF(Tabela8[[#This Row],[SETOR]]&lt;200,"GV 10",IF(Tabela8[[#This Row],[SETOR]]&lt;300,"GV 20",IF(Tabela8[[#This Row],[SETOR]]&lt;400,"GV 30","S/GV"))))</f>
        <v>GV 30</v>
      </c>
      <c r="E2053" t="s">
        <v>123</v>
      </c>
      <c r="G2053" t="str">
        <f>_xlfn.CONCAT(Tabela9[[#This Row],[Coluna1]],Tabela9[[#This Row],[Coluna2]])</f>
        <v>20-Rota</v>
      </c>
    </row>
    <row r="2054" spans="1:7" x14ac:dyDescent="0.25">
      <c r="A2054">
        <v>13571</v>
      </c>
      <c r="B2054">
        <v>204</v>
      </c>
      <c r="C2054" s="1" t="str">
        <f>IF(Tabela8[[#This Row],[SETOR]]="","",IF(Tabela8[[#This Row],[SETOR]]&lt;200,"GV 10",IF(Tabela8[[#This Row],[SETOR]]&lt;300,"GV 20",IF(Tabela8[[#This Row],[SETOR]]&lt;400,"GV 30","S/GV"))))</f>
        <v>GV 20</v>
      </c>
      <c r="E2054" t="s">
        <v>123</v>
      </c>
      <c r="G2054" t="str">
        <f>_xlfn.CONCAT(Tabela9[[#This Row],[Coluna1]],Tabela9[[#This Row],[Coluna2]])</f>
        <v>20-Rota</v>
      </c>
    </row>
    <row r="2055" spans="1:7" x14ac:dyDescent="0.25">
      <c r="A2055">
        <v>13575</v>
      </c>
      <c r="B2055">
        <v>306</v>
      </c>
      <c r="C2055" s="1" t="str">
        <f>IF(Tabela8[[#This Row],[SETOR]]="","",IF(Tabela8[[#This Row],[SETOR]]&lt;200,"GV 10",IF(Tabela8[[#This Row],[SETOR]]&lt;300,"GV 20",IF(Tabela8[[#This Row],[SETOR]]&lt;400,"GV 30","S/GV"))))</f>
        <v>GV 30</v>
      </c>
      <c r="E2055" t="s">
        <v>125</v>
      </c>
      <c r="G2055" t="str">
        <f>_xlfn.CONCAT(Tabela9[[#This Row],[Coluna1]],Tabela9[[#This Row],[Coluna2]])</f>
        <v>18-TRAD</v>
      </c>
    </row>
    <row r="2056" spans="1:7" x14ac:dyDescent="0.25">
      <c r="A2056">
        <v>13590</v>
      </c>
      <c r="B2056">
        <v>102</v>
      </c>
      <c r="C2056" s="1" t="str">
        <f>IF(Tabela8[[#This Row],[SETOR]]="","",IF(Tabela8[[#This Row],[SETOR]]&lt;200,"GV 10",IF(Tabela8[[#This Row],[SETOR]]&lt;300,"GV 20",IF(Tabela8[[#This Row],[SETOR]]&lt;400,"GV 30","S/GV"))))</f>
        <v>GV 10</v>
      </c>
      <c r="E2056" t="s">
        <v>125</v>
      </c>
      <c r="G2056" t="str">
        <f>_xlfn.CONCAT(Tabela9[[#This Row],[Coluna1]],Tabela9[[#This Row],[Coluna2]])</f>
        <v>18-TRAD</v>
      </c>
    </row>
    <row r="2057" spans="1:7" x14ac:dyDescent="0.25">
      <c r="A2057">
        <v>13592</v>
      </c>
      <c r="B2057">
        <v>109</v>
      </c>
      <c r="C2057" s="1" t="str">
        <f>IF(Tabela8[[#This Row],[SETOR]]="","",IF(Tabela8[[#This Row],[SETOR]]&lt;200,"GV 10",IF(Tabela8[[#This Row],[SETOR]]&lt;300,"GV 20",IF(Tabela8[[#This Row],[SETOR]]&lt;400,"GV 30","S/GV"))))</f>
        <v>GV 10</v>
      </c>
      <c r="E2057" t="s">
        <v>123</v>
      </c>
      <c r="G2057" t="str">
        <f>_xlfn.CONCAT(Tabela9[[#This Row],[Coluna1]],Tabela9[[#This Row],[Coluna2]])</f>
        <v>20-Rota</v>
      </c>
    </row>
    <row r="2058" spans="1:7" x14ac:dyDescent="0.25">
      <c r="A2058">
        <v>13595</v>
      </c>
      <c r="B2058">
        <v>303</v>
      </c>
      <c r="C2058" s="1" t="str">
        <f>IF(Tabela8[[#This Row],[SETOR]]="","",IF(Tabela8[[#This Row],[SETOR]]&lt;200,"GV 10",IF(Tabela8[[#This Row],[SETOR]]&lt;300,"GV 20",IF(Tabela8[[#This Row],[SETOR]]&lt;400,"GV 30","S/GV"))))</f>
        <v>GV 30</v>
      </c>
      <c r="E2058" t="s">
        <v>123</v>
      </c>
      <c r="G2058" t="str">
        <f>_xlfn.CONCAT(Tabela9[[#This Row],[Coluna1]],Tabela9[[#This Row],[Coluna2]])</f>
        <v>20-Rota</v>
      </c>
    </row>
    <row r="2059" spans="1:7" x14ac:dyDescent="0.25">
      <c r="A2059">
        <v>13596</v>
      </c>
      <c r="B2059">
        <v>103</v>
      </c>
      <c r="C2059" s="1" t="str">
        <f>IF(Tabela8[[#This Row],[SETOR]]="","",IF(Tabela8[[#This Row],[SETOR]]&lt;200,"GV 10",IF(Tabela8[[#This Row],[SETOR]]&lt;300,"GV 20",IF(Tabela8[[#This Row],[SETOR]]&lt;400,"GV 30","S/GV"))))</f>
        <v>GV 10</v>
      </c>
      <c r="E2059" t="s">
        <v>123</v>
      </c>
      <c r="G2059" t="str">
        <f>_xlfn.CONCAT(Tabela9[[#This Row],[Coluna1]],Tabela9[[#This Row],[Coluna2]])</f>
        <v>20-Rota</v>
      </c>
    </row>
    <row r="2060" spans="1:7" x14ac:dyDescent="0.25">
      <c r="A2060">
        <v>13598</v>
      </c>
      <c r="B2060">
        <v>301</v>
      </c>
      <c r="C2060" s="1" t="str">
        <f>IF(Tabela8[[#This Row],[SETOR]]="","",IF(Tabela8[[#This Row],[SETOR]]&lt;200,"GV 10",IF(Tabela8[[#This Row],[SETOR]]&lt;300,"GV 20",IF(Tabela8[[#This Row],[SETOR]]&lt;400,"GV 30","S/GV"))))</f>
        <v>GV 30</v>
      </c>
      <c r="E2060" t="s">
        <v>123</v>
      </c>
      <c r="G2060" t="str">
        <f>_xlfn.CONCAT(Tabela9[[#This Row],[Coluna1]],Tabela9[[#This Row],[Coluna2]])</f>
        <v>20-Rota</v>
      </c>
    </row>
    <row r="2061" spans="1:7" x14ac:dyDescent="0.25">
      <c r="A2061">
        <v>13599</v>
      </c>
      <c r="B2061">
        <v>101</v>
      </c>
      <c r="C2061" s="1" t="str">
        <f>IF(Tabela8[[#This Row],[SETOR]]="","",IF(Tabela8[[#This Row],[SETOR]]&lt;200,"GV 10",IF(Tabela8[[#This Row],[SETOR]]&lt;300,"GV 20",IF(Tabela8[[#This Row],[SETOR]]&lt;400,"GV 30","S/GV"))))</f>
        <v>GV 10</v>
      </c>
      <c r="E2061" t="s">
        <v>123</v>
      </c>
      <c r="G2061" t="str">
        <f>_xlfn.CONCAT(Tabela9[[#This Row],[Coluna1]],Tabela9[[#This Row],[Coluna2]])</f>
        <v>20-Rota</v>
      </c>
    </row>
    <row r="2062" spans="1:7" x14ac:dyDescent="0.25">
      <c r="A2062">
        <v>13605</v>
      </c>
      <c r="B2062">
        <v>207</v>
      </c>
      <c r="C2062" s="1" t="str">
        <f>IF(Tabela8[[#This Row],[SETOR]]="","",IF(Tabela8[[#This Row],[SETOR]]&lt;200,"GV 10",IF(Tabela8[[#This Row],[SETOR]]&lt;300,"GV 20",IF(Tabela8[[#This Row],[SETOR]]&lt;400,"GV 30","S/GV"))))</f>
        <v>GV 20</v>
      </c>
      <c r="E2062" t="s">
        <v>125</v>
      </c>
      <c r="G2062" t="str">
        <f>_xlfn.CONCAT(Tabela9[[#This Row],[Coluna1]],Tabela9[[#This Row],[Coluna2]])</f>
        <v>18-TRAD</v>
      </c>
    </row>
    <row r="2063" spans="1:7" x14ac:dyDescent="0.25">
      <c r="A2063">
        <v>13606</v>
      </c>
      <c r="B2063">
        <v>301</v>
      </c>
      <c r="C2063" s="1" t="str">
        <f>IF(Tabela8[[#This Row],[SETOR]]="","",IF(Tabela8[[#This Row],[SETOR]]&lt;200,"GV 10",IF(Tabela8[[#This Row],[SETOR]]&lt;300,"GV 20",IF(Tabela8[[#This Row],[SETOR]]&lt;400,"GV 30","S/GV"))))</f>
        <v>GV 30</v>
      </c>
      <c r="E2063" t="s">
        <v>124</v>
      </c>
      <c r="G2063" t="str">
        <f>_xlfn.CONCAT(Tabela9[[#This Row],[Coluna1]],Tabela9[[#This Row],[Coluna2]])</f>
        <v>19-VIP</v>
      </c>
    </row>
    <row r="2064" spans="1:7" x14ac:dyDescent="0.25">
      <c r="A2064">
        <v>13612</v>
      </c>
      <c r="B2064">
        <v>101</v>
      </c>
      <c r="C2064" s="1" t="str">
        <f>IF(Tabela8[[#This Row],[SETOR]]="","",IF(Tabela8[[#This Row],[SETOR]]&lt;200,"GV 10",IF(Tabela8[[#This Row],[SETOR]]&lt;300,"GV 20",IF(Tabela8[[#This Row],[SETOR]]&lt;400,"GV 30","S/GV"))))</f>
        <v>GV 10</v>
      </c>
      <c r="E2064" t="s">
        <v>123</v>
      </c>
      <c r="G2064" t="str">
        <f>_xlfn.CONCAT(Tabela9[[#This Row],[Coluna1]],Tabela9[[#This Row],[Coluna2]])</f>
        <v>20-Rota</v>
      </c>
    </row>
    <row r="2065" spans="1:7" x14ac:dyDescent="0.25">
      <c r="A2065">
        <v>13615</v>
      </c>
      <c r="B2065">
        <v>203</v>
      </c>
      <c r="C2065" s="1" t="str">
        <f>IF(Tabela8[[#This Row],[SETOR]]="","",IF(Tabela8[[#This Row],[SETOR]]&lt;200,"GV 10",IF(Tabela8[[#This Row],[SETOR]]&lt;300,"GV 20",IF(Tabela8[[#This Row],[SETOR]]&lt;400,"GV 30","S/GV"))))</f>
        <v>GV 20</v>
      </c>
      <c r="E2065" t="s">
        <v>123</v>
      </c>
      <c r="G2065" t="str">
        <f>_xlfn.CONCAT(Tabela9[[#This Row],[Coluna1]],Tabela9[[#This Row],[Coluna2]])</f>
        <v>20-Rota</v>
      </c>
    </row>
    <row r="2066" spans="1:7" x14ac:dyDescent="0.25">
      <c r="A2066">
        <v>13617</v>
      </c>
      <c r="B2066">
        <v>204</v>
      </c>
      <c r="C2066" s="1" t="str">
        <f>IF(Tabela8[[#This Row],[SETOR]]="","",IF(Tabela8[[#This Row],[SETOR]]&lt;200,"GV 10",IF(Tabela8[[#This Row],[SETOR]]&lt;300,"GV 20",IF(Tabela8[[#This Row],[SETOR]]&lt;400,"GV 30","S/GV"))))</f>
        <v>GV 20</v>
      </c>
      <c r="E2066" t="s">
        <v>123</v>
      </c>
      <c r="G2066" t="str">
        <f>_xlfn.CONCAT(Tabela9[[#This Row],[Coluna1]],Tabela9[[#This Row],[Coluna2]])</f>
        <v>20-Rota</v>
      </c>
    </row>
    <row r="2067" spans="1:7" x14ac:dyDescent="0.25">
      <c r="A2067">
        <v>13619</v>
      </c>
      <c r="B2067">
        <v>207</v>
      </c>
      <c r="C2067" s="1" t="str">
        <f>IF(Tabela8[[#This Row],[SETOR]]="","",IF(Tabela8[[#This Row],[SETOR]]&lt;200,"GV 10",IF(Tabela8[[#This Row],[SETOR]]&lt;300,"GV 20",IF(Tabela8[[#This Row],[SETOR]]&lt;400,"GV 30","S/GV"))))</f>
        <v>GV 20</v>
      </c>
      <c r="E2067" t="s">
        <v>125</v>
      </c>
      <c r="G2067" t="str">
        <f>_xlfn.CONCAT(Tabela9[[#This Row],[Coluna1]],Tabela9[[#This Row],[Coluna2]])</f>
        <v>18-TRAD</v>
      </c>
    </row>
    <row r="2068" spans="1:7" x14ac:dyDescent="0.25">
      <c r="A2068">
        <v>13620</v>
      </c>
      <c r="B2068">
        <v>207</v>
      </c>
      <c r="C2068" s="1" t="str">
        <f>IF(Tabela8[[#This Row],[SETOR]]="","",IF(Tabela8[[#This Row],[SETOR]]&lt;200,"GV 10",IF(Tabela8[[#This Row],[SETOR]]&lt;300,"GV 20",IF(Tabela8[[#This Row],[SETOR]]&lt;400,"GV 30","S/GV"))))</f>
        <v>GV 20</v>
      </c>
      <c r="E2068" t="s">
        <v>130</v>
      </c>
      <c r="G2068" t="str">
        <f>_xlfn.CONCAT(Tabela9[[#This Row],[Coluna1]],Tabela9[[#This Row],[Coluna2]])</f>
        <v>21-SUB</v>
      </c>
    </row>
    <row r="2069" spans="1:7" x14ac:dyDescent="0.25">
      <c r="A2069">
        <v>13621</v>
      </c>
      <c r="B2069">
        <v>204</v>
      </c>
      <c r="C2069" s="1" t="str">
        <f>IF(Tabela8[[#This Row],[SETOR]]="","",IF(Tabela8[[#This Row],[SETOR]]&lt;200,"GV 10",IF(Tabela8[[#This Row],[SETOR]]&lt;300,"GV 20",IF(Tabela8[[#This Row],[SETOR]]&lt;400,"GV 30","S/GV"))))</f>
        <v>GV 20</v>
      </c>
      <c r="E2069" t="s">
        <v>123</v>
      </c>
      <c r="G2069" t="str">
        <f>_xlfn.CONCAT(Tabela9[[#This Row],[Coluna1]],Tabela9[[#This Row],[Coluna2]])</f>
        <v>20-Rota</v>
      </c>
    </row>
    <row r="2070" spans="1:7" x14ac:dyDescent="0.25">
      <c r="A2070">
        <v>13622</v>
      </c>
      <c r="B2070">
        <v>204</v>
      </c>
      <c r="C2070" s="1" t="str">
        <f>IF(Tabela8[[#This Row],[SETOR]]="","",IF(Tabela8[[#This Row],[SETOR]]&lt;200,"GV 10",IF(Tabela8[[#This Row],[SETOR]]&lt;300,"GV 20",IF(Tabela8[[#This Row],[SETOR]]&lt;400,"GV 30","S/GV"))))</f>
        <v>GV 20</v>
      </c>
      <c r="E2070" t="s">
        <v>123</v>
      </c>
      <c r="G2070" t="str">
        <f>_xlfn.CONCAT(Tabela9[[#This Row],[Coluna1]],Tabela9[[#This Row],[Coluna2]])</f>
        <v>20-Rota</v>
      </c>
    </row>
    <row r="2071" spans="1:7" x14ac:dyDescent="0.25">
      <c r="A2071">
        <v>13639</v>
      </c>
      <c r="B2071">
        <v>103</v>
      </c>
      <c r="C2071" s="1" t="str">
        <f>IF(Tabela8[[#This Row],[SETOR]]="","",IF(Tabela8[[#This Row],[SETOR]]&lt;200,"GV 10",IF(Tabela8[[#This Row],[SETOR]]&lt;300,"GV 20",IF(Tabela8[[#This Row],[SETOR]]&lt;400,"GV 30","S/GV"))))</f>
        <v>GV 10</v>
      </c>
      <c r="E2071" t="s">
        <v>123</v>
      </c>
      <c r="G2071" t="str">
        <f>_xlfn.CONCAT(Tabela9[[#This Row],[Coluna1]],Tabela9[[#This Row],[Coluna2]])</f>
        <v>20-Rota</v>
      </c>
    </row>
    <row r="2072" spans="1:7" x14ac:dyDescent="0.25">
      <c r="A2072">
        <v>13643</v>
      </c>
      <c r="B2072">
        <v>103</v>
      </c>
      <c r="C2072" s="1" t="str">
        <f>IF(Tabela8[[#This Row],[SETOR]]="","",IF(Tabela8[[#This Row],[SETOR]]&lt;200,"GV 10",IF(Tabela8[[#This Row],[SETOR]]&lt;300,"GV 20",IF(Tabela8[[#This Row],[SETOR]]&lt;400,"GV 30","S/GV"))))</f>
        <v>GV 10</v>
      </c>
      <c r="E2072" t="s">
        <v>123</v>
      </c>
      <c r="G2072" t="str">
        <f>_xlfn.CONCAT(Tabela9[[#This Row],[Coluna1]],Tabela9[[#This Row],[Coluna2]])</f>
        <v>20-Rota</v>
      </c>
    </row>
    <row r="2073" spans="1:7" x14ac:dyDescent="0.25">
      <c r="A2073">
        <v>13652</v>
      </c>
      <c r="B2073">
        <v>302</v>
      </c>
      <c r="C2073" s="1" t="str">
        <f>IF(Tabela8[[#This Row],[SETOR]]="","",IF(Tabela8[[#This Row],[SETOR]]&lt;200,"GV 10",IF(Tabela8[[#This Row],[SETOR]]&lt;300,"GV 20",IF(Tabela8[[#This Row],[SETOR]]&lt;400,"GV 30","S/GV"))))</f>
        <v>GV 30</v>
      </c>
      <c r="E2073" t="s">
        <v>123</v>
      </c>
      <c r="G2073" t="str">
        <f>_xlfn.CONCAT(Tabela9[[#This Row],[Coluna1]],Tabela9[[#This Row],[Coluna2]])</f>
        <v>20-Rota</v>
      </c>
    </row>
    <row r="2074" spans="1:7" x14ac:dyDescent="0.25">
      <c r="A2074">
        <v>13653</v>
      </c>
      <c r="B2074">
        <v>203</v>
      </c>
      <c r="C2074" s="1" t="str">
        <f>IF(Tabela8[[#This Row],[SETOR]]="","",IF(Tabela8[[#This Row],[SETOR]]&lt;200,"GV 10",IF(Tabela8[[#This Row],[SETOR]]&lt;300,"GV 20",IF(Tabela8[[#This Row],[SETOR]]&lt;400,"GV 30","S/GV"))))</f>
        <v>GV 20</v>
      </c>
      <c r="E2074" t="s">
        <v>123</v>
      </c>
      <c r="G2074" t="str">
        <f>_xlfn.CONCAT(Tabela9[[#This Row],[Coluna1]],Tabela9[[#This Row],[Coluna2]])</f>
        <v>20-Rota</v>
      </c>
    </row>
    <row r="2075" spans="1:7" x14ac:dyDescent="0.25">
      <c r="A2075">
        <v>13657</v>
      </c>
      <c r="B2075">
        <v>907</v>
      </c>
      <c r="C2075" s="1" t="str">
        <f>IF(Tabela8[[#This Row],[SETOR]]="","",IF(Tabela8[[#This Row],[SETOR]]&lt;200,"GV 10",IF(Tabela8[[#This Row],[SETOR]]&lt;300,"GV 20",IF(Tabela8[[#This Row],[SETOR]]&lt;400,"GV 30","S/GV"))))</f>
        <v>S/GV</v>
      </c>
      <c r="G2075" t="str">
        <f>_xlfn.CONCAT(Tabela9[[#This Row],[Coluna1]],Tabela9[[#This Row],[Coluna2]])</f>
        <v/>
      </c>
    </row>
    <row r="2076" spans="1:7" x14ac:dyDescent="0.25">
      <c r="A2076">
        <v>13660</v>
      </c>
      <c r="B2076">
        <v>101</v>
      </c>
      <c r="C2076" s="1" t="str">
        <f>IF(Tabela8[[#This Row],[SETOR]]="","",IF(Tabela8[[#This Row],[SETOR]]&lt;200,"GV 10",IF(Tabela8[[#This Row],[SETOR]]&lt;300,"GV 20",IF(Tabela8[[#This Row],[SETOR]]&lt;400,"GV 30","S/GV"))))</f>
        <v>GV 10</v>
      </c>
      <c r="E2076" t="s">
        <v>123</v>
      </c>
      <c r="G2076" t="str">
        <f>_xlfn.CONCAT(Tabela9[[#This Row],[Coluna1]],Tabela9[[#This Row],[Coluna2]])</f>
        <v>20-Rota</v>
      </c>
    </row>
    <row r="2077" spans="1:7" x14ac:dyDescent="0.25">
      <c r="A2077">
        <v>13666</v>
      </c>
      <c r="B2077">
        <v>105</v>
      </c>
      <c r="C2077" s="1" t="str">
        <f>IF(Tabela8[[#This Row],[SETOR]]="","",IF(Tabela8[[#This Row],[SETOR]]&lt;200,"GV 10",IF(Tabela8[[#This Row],[SETOR]]&lt;300,"GV 20",IF(Tabela8[[#This Row],[SETOR]]&lt;400,"GV 30","S/GV"))))</f>
        <v>GV 10</v>
      </c>
      <c r="E2077" t="s">
        <v>123</v>
      </c>
      <c r="G2077" t="str">
        <f>_xlfn.CONCAT(Tabela9[[#This Row],[Coluna1]],Tabela9[[#This Row],[Coluna2]])</f>
        <v>20-Rota</v>
      </c>
    </row>
    <row r="2078" spans="1:7" x14ac:dyDescent="0.25">
      <c r="A2078">
        <v>13670</v>
      </c>
      <c r="B2078">
        <v>207</v>
      </c>
      <c r="C2078" s="1" t="str">
        <f>IF(Tabela8[[#This Row],[SETOR]]="","",IF(Tabela8[[#This Row],[SETOR]]&lt;200,"GV 10",IF(Tabela8[[#This Row],[SETOR]]&lt;300,"GV 20",IF(Tabela8[[#This Row],[SETOR]]&lt;400,"GV 30","S/GV"))))</f>
        <v>GV 20</v>
      </c>
      <c r="E2078" t="s">
        <v>125</v>
      </c>
      <c r="G2078" t="str">
        <f>_xlfn.CONCAT(Tabela9[[#This Row],[Coluna1]],Tabela9[[#This Row],[Coluna2]])</f>
        <v>18-TRAD</v>
      </c>
    </row>
    <row r="2079" spans="1:7" x14ac:dyDescent="0.25">
      <c r="A2079">
        <v>13671</v>
      </c>
      <c r="B2079">
        <v>203</v>
      </c>
      <c r="C2079" s="1" t="str">
        <f>IF(Tabela8[[#This Row],[SETOR]]="","",IF(Tabela8[[#This Row],[SETOR]]&lt;200,"GV 10",IF(Tabela8[[#This Row],[SETOR]]&lt;300,"GV 20",IF(Tabela8[[#This Row],[SETOR]]&lt;400,"GV 30","S/GV"))))</f>
        <v>GV 20</v>
      </c>
      <c r="E2079" t="s">
        <v>123</v>
      </c>
      <c r="G2079" t="str">
        <f>_xlfn.CONCAT(Tabela9[[#This Row],[Coluna1]],Tabela9[[#This Row],[Coluna2]])</f>
        <v>20-Rota</v>
      </c>
    </row>
    <row r="2080" spans="1:7" x14ac:dyDescent="0.25">
      <c r="A2080">
        <v>13672</v>
      </c>
      <c r="B2080">
        <v>304</v>
      </c>
      <c r="C2080" s="1" t="str">
        <f>IF(Tabela8[[#This Row],[SETOR]]="","",IF(Tabela8[[#This Row],[SETOR]]&lt;200,"GV 10",IF(Tabela8[[#This Row],[SETOR]]&lt;300,"GV 20",IF(Tabela8[[#This Row],[SETOR]]&lt;400,"GV 30","S/GV"))))</f>
        <v>GV 30</v>
      </c>
      <c r="E2080" t="s">
        <v>123</v>
      </c>
      <c r="G2080" t="str">
        <f>_xlfn.CONCAT(Tabela9[[#This Row],[Coluna1]],Tabela9[[#This Row],[Coluna2]])</f>
        <v>20-Rota</v>
      </c>
    </row>
    <row r="2081" spans="1:7" x14ac:dyDescent="0.25">
      <c r="A2081">
        <v>13674</v>
      </c>
      <c r="B2081">
        <v>203</v>
      </c>
      <c r="C2081" s="1" t="str">
        <f>IF(Tabela8[[#This Row],[SETOR]]="","",IF(Tabela8[[#This Row],[SETOR]]&lt;200,"GV 10",IF(Tabela8[[#This Row],[SETOR]]&lt;300,"GV 20",IF(Tabela8[[#This Row],[SETOR]]&lt;400,"GV 30","S/GV"))))</f>
        <v>GV 20</v>
      </c>
      <c r="E2081" t="s">
        <v>123</v>
      </c>
      <c r="G2081" t="str">
        <f>_xlfn.CONCAT(Tabela9[[#This Row],[Coluna1]],Tabela9[[#This Row],[Coluna2]])</f>
        <v>20-Rota</v>
      </c>
    </row>
    <row r="2082" spans="1:7" x14ac:dyDescent="0.25">
      <c r="A2082">
        <v>13675</v>
      </c>
      <c r="B2082">
        <v>304</v>
      </c>
      <c r="C2082" s="1" t="str">
        <f>IF(Tabela8[[#This Row],[SETOR]]="","",IF(Tabela8[[#This Row],[SETOR]]&lt;200,"GV 10",IF(Tabela8[[#This Row],[SETOR]]&lt;300,"GV 20",IF(Tabela8[[#This Row],[SETOR]]&lt;400,"GV 30","S/GV"))))</f>
        <v>GV 30</v>
      </c>
      <c r="E2082" t="s">
        <v>123</v>
      </c>
      <c r="G2082" t="str">
        <f>_xlfn.CONCAT(Tabela9[[#This Row],[Coluna1]],Tabela9[[#This Row],[Coluna2]])</f>
        <v>20-Rota</v>
      </c>
    </row>
    <row r="2083" spans="1:7" x14ac:dyDescent="0.25">
      <c r="A2083">
        <v>13678</v>
      </c>
      <c r="B2083">
        <v>102</v>
      </c>
      <c r="C2083" s="1" t="str">
        <f>IF(Tabela8[[#This Row],[SETOR]]="","",IF(Tabela8[[#This Row],[SETOR]]&lt;200,"GV 10",IF(Tabela8[[#This Row],[SETOR]]&lt;300,"GV 20",IF(Tabela8[[#This Row],[SETOR]]&lt;400,"GV 30","S/GV"))))</f>
        <v>GV 10</v>
      </c>
      <c r="E2083" t="s">
        <v>125</v>
      </c>
      <c r="G2083" t="str">
        <f>_xlfn.CONCAT(Tabela9[[#This Row],[Coluna1]],Tabela9[[#This Row],[Coluna2]])</f>
        <v>18-TRAD</v>
      </c>
    </row>
    <row r="2084" spans="1:7" x14ac:dyDescent="0.25">
      <c r="A2084">
        <v>13682</v>
      </c>
      <c r="B2084">
        <v>305</v>
      </c>
      <c r="C2084" s="1" t="str">
        <f>IF(Tabela8[[#This Row],[SETOR]]="","",IF(Tabela8[[#This Row],[SETOR]]&lt;200,"GV 10",IF(Tabela8[[#This Row],[SETOR]]&lt;300,"GV 20",IF(Tabela8[[#This Row],[SETOR]]&lt;400,"GV 30","S/GV"))))</f>
        <v>GV 30</v>
      </c>
      <c r="E2084" t="s">
        <v>123</v>
      </c>
      <c r="G2084" t="str">
        <f>_xlfn.CONCAT(Tabela9[[#This Row],[Coluna1]],Tabela9[[#This Row],[Coluna2]])</f>
        <v>20-Rota</v>
      </c>
    </row>
    <row r="2085" spans="1:7" x14ac:dyDescent="0.25">
      <c r="A2085">
        <v>13683</v>
      </c>
      <c r="B2085">
        <v>108</v>
      </c>
      <c r="C2085" s="1" t="str">
        <f>IF(Tabela8[[#This Row],[SETOR]]="","",IF(Tabela8[[#This Row],[SETOR]]&lt;200,"GV 10",IF(Tabela8[[#This Row],[SETOR]]&lt;300,"GV 20",IF(Tabela8[[#This Row],[SETOR]]&lt;400,"GV 30","S/GV"))))</f>
        <v>GV 10</v>
      </c>
      <c r="E2085" t="s">
        <v>128</v>
      </c>
      <c r="F2085" t="s">
        <v>129</v>
      </c>
      <c r="G2085" t="str">
        <f>_xlfn.CONCAT(Tabela9[[#This Row],[Coluna1]],Tabela9[[#This Row],[Coluna2]])</f>
        <v>15-AS(1-4)</v>
      </c>
    </row>
    <row r="2086" spans="1:7" x14ac:dyDescent="0.25">
      <c r="A2086">
        <v>13688</v>
      </c>
      <c r="B2086">
        <v>102</v>
      </c>
      <c r="C2086" s="1" t="str">
        <f>IF(Tabela8[[#This Row],[SETOR]]="","",IF(Tabela8[[#This Row],[SETOR]]&lt;200,"GV 10",IF(Tabela8[[#This Row],[SETOR]]&lt;300,"GV 20",IF(Tabela8[[#This Row],[SETOR]]&lt;400,"GV 30","S/GV"))))</f>
        <v>GV 10</v>
      </c>
      <c r="E2086" t="s">
        <v>123</v>
      </c>
      <c r="G2086" t="str">
        <f>_xlfn.CONCAT(Tabela9[[#This Row],[Coluna1]],Tabela9[[#This Row],[Coluna2]])</f>
        <v>20-Rota</v>
      </c>
    </row>
    <row r="2087" spans="1:7" x14ac:dyDescent="0.25">
      <c r="A2087">
        <v>13694</v>
      </c>
      <c r="B2087">
        <v>306</v>
      </c>
      <c r="C2087" s="1" t="str">
        <f>IF(Tabela8[[#This Row],[SETOR]]="","",IF(Tabela8[[#This Row],[SETOR]]&lt;200,"GV 10",IF(Tabela8[[#This Row],[SETOR]]&lt;300,"GV 20",IF(Tabela8[[#This Row],[SETOR]]&lt;400,"GV 30","S/GV"))))</f>
        <v>GV 30</v>
      </c>
      <c r="E2087" t="s">
        <v>125</v>
      </c>
      <c r="G2087" t="str">
        <f>_xlfn.CONCAT(Tabela9[[#This Row],[Coluna1]],Tabela9[[#This Row],[Coluna2]])</f>
        <v>18-TRAD</v>
      </c>
    </row>
    <row r="2088" spans="1:7" x14ac:dyDescent="0.25">
      <c r="A2088">
        <v>13698</v>
      </c>
      <c r="B2088">
        <v>201</v>
      </c>
      <c r="C2088" s="1" t="str">
        <f>IF(Tabela8[[#This Row],[SETOR]]="","",IF(Tabela8[[#This Row],[SETOR]]&lt;200,"GV 10",IF(Tabela8[[#This Row],[SETOR]]&lt;300,"GV 20",IF(Tabela8[[#This Row],[SETOR]]&lt;400,"GV 30","S/GV"))))</f>
        <v>GV 20</v>
      </c>
      <c r="E2088" t="s">
        <v>123</v>
      </c>
      <c r="G2088" t="str">
        <f>_xlfn.CONCAT(Tabela9[[#This Row],[Coluna1]],Tabela9[[#This Row],[Coluna2]])</f>
        <v>20-Rota</v>
      </c>
    </row>
    <row r="2089" spans="1:7" x14ac:dyDescent="0.25">
      <c r="A2089">
        <v>13700</v>
      </c>
      <c r="B2089">
        <v>203</v>
      </c>
      <c r="C2089" s="1" t="str">
        <f>IF(Tabela8[[#This Row],[SETOR]]="","",IF(Tabela8[[#This Row],[SETOR]]&lt;200,"GV 10",IF(Tabela8[[#This Row],[SETOR]]&lt;300,"GV 20",IF(Tabela8[[#This Row],[SETOR]]&lt;400,"GV 30","S/GV"))))</f>
        <v>GV 20</v>
      </c>
      <c r="E2089" t="s">
        <v>125</v>
      </c>
      <c r="G2089" t="str">
        <f>_xlfn.CONCAT(Tabela9[[#This Row],[Coluna1]],Tabela9[[#This Row],[Coluna2]])</f>
        <v>18-TRAD</v>
      </c>
    </row>
    <row r="2090" spans="1:7" x14ac:dyDescent="0.25">
      <c r="A2090">
        <v>13705</v>
      </c>
      <c r="B2090">
        <v>206</v>
      </c>
      <c r="C2090" s="1" t="str">
        <f>IF(Tabela8[[#This Row],[SETOR]]="","",IF(Tabela8[[#This Row],[SETOR]]&lt;200,"GV 10",IF(Tabela8[[#This Row],[SETOR]]&lt;300,"GV 20",IF(Tabela8[[#This Row],[SETOR]]&lt;400,"GV 30","S/GV"))))</f>
        <v>GV 20</v>
      </c>
      <c r="E2090" t="s">
        <v>123</v>
      </c>
      <c r="G2090" t="str">
        <f>_xlfn.CONCAT(Tabela9[[#This Row],[Coluna1]],Tabela9[[#This Row],[Coluna2]])</f>
        <v>20-Rota</v>
      </c>
    </row>
    <row r="2091" spans="1:7" x14ac:dyDescent="0.25">
      <c r="A2091">
        <v>13707</v>
      </c>
      <c r="B2091">
        <v>208</v>
      </c>
      <c r="C2091" s="1" t="str">
        <f>IF(Tabela8[[#This Row],[SETOR]]="","",IF(Tabela8[[#This Row],[SETOR]]&lt;200,"GV 10",IF(Tabela8[[#This Row],[SETOR]]&lt;300,"GV 20",IF(Tabela8[[#This Row],[SETOR]]&lt;400,"GV 30","S/GV"))))</f>
        <v>GV 20</v>
      </c>
      <c r="E2091" t="s">
        <v>126</v>
      </c>
      <c r="F2091" t="s">
        <v>127</v>
      </c>
      <c r="G2091" t="str">
        <f>_xlfn.CONCAT(Tabela9[[#This Row],[Coluna1]],Tabela9[[#This Row],[Coluna2]])</f>
        <v>16-AS(5+)</v>
      </c>
    </row>
    <row r="2092" spans="1:7" x14ac:dyDescent="0.25">
      <c r="A2092">
        <v>13718</v>
      </c>
      <c r="B2092">
        <v>305</v>
      </c>
      <c r="C2092" s="1" t="str">
        <f>IF(Tabela8[[#This Row],[SETOR]]="","",IF(Tabela8[[#This Row],[SETOR]]&lt;200,"GV 10",IF(Tabela8[[#This Row],[SETOR]]&lt;300,"GV 20",IF(Tabela8[[#This Row],[SETOR]]&lt;400,"GV 30","S/GV"))))</f>
        <v>GV 30</v>
      </c>
      <c r="E2092" t="s">
        <v>123</v>
      </c>
      <c r="G2092" t="str">
        <f>_xlfn.CONCAT(Tabela9[[#This Row],[Coluna1]],Tabela9[[#This Row],[Coluna2]])</f>
        <v>20-Rota</v>
      </c>
    </row>
    <row r="2093" spans="1:7" x14ac:dyDescent="0.25">
      <c r="A2093">
        <v>13729</v>
      </c>
      <c r="B2093">
        <v>104</v>
      </c>
      <c r="C2093" s="1" t="str">
        <f>IF(Tabela8[[#This Row],[SETOR]]="","",IF(Tabela8[[#This Row],[SETOR]]&lt;200,"GV 10",IF(Tabela8[[#This Row],[SETOR]]&lt;300,"GV 20",IF(Tabela8[[#This Row],[SETOR]]&lt;400,"GV 30","S/GV"))))</f>
        <v>GV 10</v>
      </c>
      <c r="E2093" t="s">
        <v>123</v>
      </c>
      <c r="G2093" t="str">
        <f>_xlfn.CONCAT(Tabela9[[#This Row],[Coluna1]],Tabela9[[#This Row],[Coluna2]])</f>
        <v>20-Rota</v>
      </c>
    </row>
    <row r="2094" spans="1:7" x14ac:dyDescent="0.25">
      <c r="A2094">
        <v>13733</v>
      </c>
      <c r="B2094">
        <v>305</v>
      </c>
      <c r="C2094" s="1" t="str">
        <f>IF(Tabela8[[#This Row],[SETOR]]="","",IF(Tabela8[[#This Row],[SETOR]]&lt;200,"GV 10",IF(Tabela8[[#This Row],[SETOR]]&lt;300,"GV 20",IF(Tabela8[[#This Row],[SETOR]]&lt;400,"GV 30","S/GV"))))</f>
        <v>GV 30</v>
      </c>
      <c r="E2094" t="s">
        <v>123</v>
      </c>
      <c r="G2094" t="str">
        <f>_xlfn.CONCAT(Tabela9[[#This Row],[Coluna1]],Tabela9[[#This Row],[Coluna2]])</f>
        <v>20-Rota</v>
      </c>
    </row>
    <row r="2095" spans="1:7" x14ac:dyDescent="0.25">
      <c r="A2095">
        <v>13744</v>
      </c>
      <c r="B2095">
        <v>304</v>
      </c>
      <c r="C2095" s="1" t="str">
        <f>IF(Tabela8[[#This Row],[SETOR]]="","",IF(Tabela8[[#This Row],[SETOR]]&lt;200,"GV 10",IF(Tabela8[[#This Row],[SETOR]]&lt;300,"GV 20",IF(Tabela8[[#This Row],[SETOR]]&lt;400,"GV 30","S/GV"))))</f>
        <v>GV 30</v>
      </c>
      <c r="E2095" t="s">
        <v>130</v>
      </c>
      <c r="G2095" t="str">
        <f>_xlfn.CONCAT(Tabela9[[#This Row],[Coluna1]],Tabela9[[#This Row],[Coluna2]])</f>
        <v>21-SUB</v>
      </c>
    </row>
    <row r="2096" spans="1:7" x14ac:dyDescent="0.25">
      <c r="A2096">
        <v>13746</v>
      </c>
      <c r="B2096">
        <v>204</v>
      </c>
      <c r="C2096" s="1" t="str">
        <f>IF(Tabela8[[#This Row],[SETOR]]="","",IF(Tabela8[[#This Row],[SETOR]]&lt;200,"GV 10",IF(Tabela8[[#This Row],[SETOR]]&lt;300,"GV 20",IF(Tabela8[[#This Row],[SETOR]]&lt;400,"GV 30","S/GV"))))</f>
        <v>GV 20</v>
      </c>
      <c r="E2096" t="s">
        <v>123</v>
      </c>
      <c r="G2096" t="str">
        <f>_xlfn.CONCAT(Tabela9[[#This Row],[Coluna1]],Tabela9[[#This Row],[Coluna2]])</f>
        <v>20-Rota</v>
      </c>
    </row>
    <row r="2097" spans="1:7" x14ac:dyDescent="0.25">
      <c r="A2097">
        <v>13753</v>
      </c>
      <c r="B2097">
        <v>101</v>
      </c>
      <c r="C2097" s="1" t="str">
        <f>IF(Tabela8[[#This Row],[SETOR]]="","",IF(Tabela8[[#This Row],[SETOR]]&lt;200,"GV 10",IF(Tabela8[[#This Row],[SETOR]]&lt;300,"GV 20",IF(Tabela8[[#This Row],[SETOR]]&lt;400,"GV 30","S/GV"))))</f>
        <v>GV 10</v>
      </c>
      <c r="E2097" t="s">
        <v>123</v>
      </c>
      <c r="G2097" t="str">
        <f>_xlfn.CONCAT(Tabela9[[#This Row],[Coluna1]],Tabela9[[#This Row],[Coluna2]])</f>
        <v>20-Rota</v>
      </c>
    </row>
    <row r="2098" spans="1:7" x14ac:dyDescent="0.25">
      <c r="A2098">
        <v>13754</v>
      </c>
      <c r="B2098">
        <v>303</v>
      </c>
      <c r="C2098" s="1" t="str">
        <f>IF(Tabela8[[#This Row],[SETOR]]="","",IF(Tabela8[[#This Row],[SETOR]]&lt;200,"GV 10",IF(Tabela8[[#This Row],[SETOR]]&lt;300,"GV 20",IF(Tabela8[[#This Row],[SETOR]]&lt;400,"GV 30","S/GV"))))</f>
        <v>GV 30</v>
      </c>
      <c r="E2098" t="s">
        <v>123</v>
      </c>
      <c r="G2098" t="str">
        <f>_xlfn.CONCAT(Tabela9[[#This Row],[Coluna1]],Tabela9[[#This Row],[Coluna2]])</f>
        <v>20-Rota</v>
      </c>
    </row>
    <row r="2099" spans="1:7" x14ac:dyDescent="0.25">
      <c r="A2099">
        <v>13757</v>
      </c>
      <c r="B2099">
        <v>302</v>
      </c>
      <c r="C2099" s="1" t="str">
        <f>IF(Tabela8[[#This Row],[SETOR]]="","",IF(Tabela8[[#This Row],[SETOR]]&lt;200,"GV 10",IF(Tabela8[[#This Row],[SETOR]]&lt;300,"GV 20",IF(Tabela8[[#This Row],[SETOR]]&lt;400,"GV 30","S/GV"))))</f>
        <v>GV 30</v>
      </c>
      <c r="E2099" t="s">
        <v>123</v>
      </c>
      <c r="G2099" t="str">
        <f>_xlfn.CONCAT(Tabela9[[#This Row],[Coluna1]],Tabela9[[#This Row],[Coluna2]])</f>
        <v>20-Rota</v>
      </c>
    </row>
    <row r="2100" spans="1:7" x14ac:dyDescent="0.25">
      <c r="A2100">
        <v>13765</v>
      </c>
      <c r="B2100">
        <v>301</v>
      </c>
      <c r="C2100" s="1" t="str">
        <f>IF(Tabela8[[#This Row],[SETOR]]="","",IF(Tabela8[[#This Row],[SETOR]]&lt;200,"GV 10",IF(Tabela8[[#This Row],[SETOR]]&lt;300,"GV 20",IF(Tabela8[[#This Row],[SETOR]]&lt;400,"GV 30","S/GV"))))</f>
        <v>GV 30</v>
      </c>
      <c r="E2100" t="s">
        <v>123</v>
      </c>
      <c r="G2100" t="str">
        <f>_xlfn.CONCAT(Tabela9[[#This Row],[Coluna1]],Tabela9[[#This Row],[Coluna2]])</f>
        <v>20-Rota</v>
      </c>
    </row>
    <row r="2101" spans="1:7" x14ac:dyDescent="0.25">
      <c r="A2101">
        <v>13766</v>
      </c>
      <c r="B2101">
        <v>305</v>
      </c>
      <c r="C2101" s="1" t="str">
        <f>IF(Tabela8[[#This Row],[SETOR]]="","",IF(Tabela8[[#This Row],[SETOR]]&lt;200,"GV 10",IF(Tabela8[[#This Row],[SETOR]]&lt;300,"GV 20",IF(Tabela8[[#This Row],[SETOR]]&lt;400,"GV 30","S/GV"))))</f>
        <v>GV 30</v>
      </c>
      <c r="E2101" t="s">
        <v>123</v>
      </c>
      <c r="G2101" t="str">
        <f>_xlfn.CONCAT(Tabela9[[#This Row],[Coluna1]],Tabela9[[#This Row],[Coluna2]])</f>
        <v>20-Rota</v>
      </c>
    </row>
    <row r="2102" spans="1:7" x14ac:dyDescent="0.25">
      <c r="A2102">
        <v>13771</v>
      </c>
      <c r="B2102">
        <v>304</v>
      </c>
      <c r="C2102" s="1" t="str">
        <f>IF(Tabela8[[#This Row],[SETOR]]="","",IF(Tabela8[[#This Row],[SETOR]]&lt;200,"GV 10",IF(Tabela8[[#This Row],[SETOR]]&lt;300,"GV 20",IF(Tabela8[[#This Row],[SETOR]]&lt;400,"GV 30","S/GV"))))</f>
        <v>GV 30</v>
      </c>
      <c r="E2102" t="s">
        <v>123</v>
      </c>
      <c r="G2102" t="str">
        <f>_xlfn.CONCAT(Tabela9[[#This Row],[Coluna1]],Tabela9[[#This Row],[Coluna2]])</f>
        <v>20-Rota</v>
      </c>
    </row>
    <row r="2103" spans="1:7" x14ac:dyDescent="0.25">
      <c r="A2103">
        <v>13779</v>
      </c>
      <c r="B2103">
        <v>201</v>
      </c>
      <c r="C2103" s="1" t="str">
        <f>IF(Tabela8[[#This Row],[SETOR]]="","",IF(Tabela8[[#This Row],[SETOR]]&lt;200,"GV 10",IF(Tabela8[[#This Row],[SETOR]]&lt;300,"GV 20",IF(Tabela8[[#This Row],[SETOR]]&lt;400,"GV 30","S/GV"))))</f>
        <v>GV 20</v>
      </c>
      <c r="E2103" t="s">
        <v>123</v>
      </c>
      <c r="G2103" t="str">
        <f>_xlfn.CONCAT(Tabela9[[#This Row],[Coluna1]],Tabela9[[#This Row],[Coluna2]])</f>
        <v>20-Rota</v>
      </c>
    </row>
    <row r="2104" spans="1:7" x14ac:dyDescent="0.25">
      <c r="A2104">
        <v>13780</v>
      </c>
      <c r="B2104">
        <v>104</v>
      </c>
      <c r="C2104" s="1" t="str">
        <f>IF(Tabela8[[#This Row],[SETOR]]="","",IF(Tabela8[[#This Row],[SETOR]]&lt;200,"GV 10",IF(Tabela8[[#This Row],[SETOR]]&lt;300,"GV 20",IF(Tabela8[[#This Row],[SETOR]]&lt;400,"GV 30","S/GV"))))</f>
        <v>GV 10</v>
      </c>
      <c r="E2104" t="s">
        <v>123</v>
      </c>
      <c r="G2104" t="str">
        <f>_xlfn.CONCAT(Tabela9[[#This Row],[Coluna1]],Tabela9[[#This Row],[Coluna2]])</f>
        <v>20-Rota</v>
      </c>
    </row>
    <row r="2105" spans="1:7" x14ac:dyDescent="0.25">
      <c r="A2105">
        <v>13782</v>
      </c>
      <c r="B2105">
        <v>202</v>
      </c>
      <c r="C2105" s="1" t="str">
        <f>IF(Tabela8[[#This Row],[SETOR]]="","",IF(Tabela8[[#This Row],[SETOR]]&lt;200,"GV 10",IF(Tabela8[[#This Row],[SETOR]]&lt;300,"GV 20",IF(Tabela8[[#This Row],[SETOR]]&lt;400,"GV 30","S/GV"))))</f>
        <v>GV 20</v>
      </c>
      <c r="E2105" t="s">
        <v>123</v>
      </c>
      <c r="G2105" t="str">
        <f>_xlfn.CONCAT(Tabela9[[#This Row],[Coluna1]],Tabela9[[#This Row],[Coluna2]])</f>
        <v>20-Rota</v>
      </c>
    </row>
    <row r="2106" spans="1:7" x14ac:dyDescent="0.25">
      <c r="A2106">
        <v>13783</v>
      </c>
      <c r="B2106">
        <v>106</v>
      </c>
      <c r="C2106" s="1" t="str">
        <f>IF(Tabela8[[#This Row],[SETOR]]="","",IF(Tabela8[[#This Row],[SETOR]]&lt;200,"GV 10",IF(Tabela8[[#This Row],[SETOR]]&lt;300,"GV 20",IF(Tabela8[[#This Row],[SETOR]]&lt;400,"GV 30","S/GV"))))</f>
        <v>GV 10</v>
      </c>
      <c r="E2106" t="s">
        <v>123</v>
      </c>
      <c r="G2106" t="str">
        <f>_xlfn.CONCAT(Tabela9[[#This Row],[Coluna1]],Tabela9[[#This Row],[Coluna2]])</f>
        <v>20-Rota</v>
      </c>
    </row>
    <row r="2107" spans="1:7" x14ac:dyDescent="0.25">
      <c r="A2107">
        <v>13785</v>
      </c>
      <c r="B2107">
        <v>202</v>
      </c>
      <c r="C2107" s="1" t="str">
        <f>IF(Tabela8[[#This Row],[SETOR]]="","",IF(Tabela8[[#This Row],[SETOR]]&lt;200,"GV 10",IF(Tabela8[[#This Row],[SETOR]]&lt;300,"GV 20",IF(Tabela8[[#This Row],[SETOR]]&lt;400,"GV 30","S/GV"))))</f>
        <v>GV 20</v>
      </c>
      <c r="E2107" t="s">
        <v>124</v>
      </c>
      <c r="G2107" t="str">
        <f>_xlfn.CONCAT(Tabela9[[#This Row],[Coluna1]],Tabela9[[#This Row],[Coluna2]])</f>
        <v>19-VIP</v>
      </c>
    </row>
    <row r="2108" spans="1:7" x14ac:dyDescent="0.25">
      <c r="A2108">
        <v>13786</v>
      </c>
      <c r="B2108">
        <v>104</v>
      </c>
      <c r="C2108" s="1" t="str">
        <f>IF(Tabela8[[#This Row],[SETOR]]="","",IF(Tabela8[[#This Row],[SETOR]]&lt;200,"GV 10",IF(Tabela8[[#This Row],[SETOR]]&lt;300,"GV 20",IF(Tabela8[[#This Row],[SETOR]]&lt;400,"GV 30","S/GV"))))</f>
        <v>GV 10</v>
      </c>
      <c r="E2108" t="s">
        <v>123</v>
      </c>
      <c r="G2108" t="str">
        <f>_xlfn.CONCAT(Tabela9[[#This Row],[Coluna1]],Tabela9[[#This Row],[Coluna2]])</f>
        <v>20-Rota</v>
      </c>
    </row>
    <row r="2109" spans="1:7" x14ac:dyDescent="0.25">
      <c r="A2109">
        <v>13787</v>
      </c>
      <c r="B2109">
        <v>106</v>
      </c>
      <c r="C2109" s="1" t="str">
        <f>IF(Tabela8[[#This Row],[SETOR]]="","",IF(Tabela8[[#This Row],[SETOR]]&lt;200,"GV 10",IF(Tabela8[[#This Row],[SETOR]]&lt;300,"GV 20",IF(Tabela8[[#This Row],[SETOR]]&lt;400,"GV 30","S/GV"))))</f>
        <v>GV 10</v>
      </c>
      <c r="E2109" t="s">
        <v>123</v>
      </c>
      <c r="G2109" t="str">
        <f>_xlfn.CONCAT(Tabela9[[#This Row],[Coluna1]],Tabela9[[#This Row],[Coluna2]])</f>
        <v>20-Rota</v>
      </c>
    </row>
    <row r="2110" spans="1:7" x14ac:dyDescent="0.25">
      <c r="A2110">
        <v>13793</v>
      </c>
      <c r="B2110">
        <v>204</v>
      </c>
      <c r="C2110" s="1" t="str">
        <f>IF(Tabela8[[#This Row],[SETOR]]="","",IF(Tabela8[[#This Row],[SETOR]]&lt;200,"GV 10",IF(Tabela8[[#This Row],[SETOR]]&lt;300,"GV 20",IF(Tabela8[[#This Row],[SETOR]]&lt;400,"GV 30","S/GV"))))</f>
        <v>GV 20</v>
      </c>
      <c r="E2110" t="s">
        <v>123</v>
      </c>
      <c r="G2110" t="str">
        <f>_xlfn.CONCAT(Tabela9[[#This Row],[Coluna1]],Tabela9[[#This Row],[Coluna2]])</f>
        <v>20-Rota</v>
      </c>
    </row>
    <row r="2111" spans="1:7" x14ac:dyDescent="0.25">
      <c r="A2111">
        <v>13794</v>
      </c>
      <c r="B2111">
        <v>207</v>
      </c>
      <c r="C2111" s="1" t="str">
        <f>IF(Tabela8[[#This Row],[SETOR]]="","",IF(Tabela8[[#This Row],[SETOR]]&lt;200,"GV 10",IF(Tabela8[[#This Row],[SETOR]]&lt;300,"GV 20",IF(Tabela8[[#This Row],[SETOR]]&lt;400,"GV 30","S/GV"))))</f>
        <v>GV 20</v>
      </c>
      <c r="E2111" t="s">
        <v>130</v>
      </c>
      <c r="G2111" t="str">
        <f>_xlfn.CONCAT(Tabela9[[#This Row],[Coluna1]],Tabela9[[#This Row],[Coluna2]])</f>
        <v>21-SUB</v>
      </c>
    </row>
    <row r="2112" spans="1:7" x14ac:dyDescent="0.25">
      <c r="A2112">
        <v>13795</v>
      </c>
      <c r="B2112">
        <v>204</v>
      </c>
      <c r="C2112" s="1" t="str">
        <f>IF(Tabela8[[#This Row],[SETOR]]="","",IF(Tabela8[[#This Row],[SETOR]]&lt;200,"GV 10",IF(Tabela8[[#This Row],[SETOR]]&lt;300,"GV 20",IF(Tabela8[[#This Row],[SETOR]]&lt;400,"GV 30","S/GV"))))</f>
        <v>GV 20</v>
      </c>
      <c r="E2112" t="s">
        <v>123</v>
      </c>
      <c r="G2112" t="str">
        <f>_xlfn.CONCAT(Tabela9[[#This Row],[Coluna1]],Tabela9[[#This Row],[Coluna2]])</f>
        <v>20-Rota</v>
      </c>
    </row>
    <row r="2113" spans="1:7" x14ac:dyDescent="0.25">
      <c r="A2113">
        <v>13798</v>
      </c>
      <c r="B2113">
        <v>202</v>
      </c>
      <c r="C2113" s="1" t="str">
        <f>IF(Tabela8[[#This Row],[SETOR]]="","",IF(Tabela8[[#This Row],[SETOR]]&lt;200,"GV 10",IF(Tabela8[[#This Row],[SETOR]]&lt;300,"GV 20",IF(Tabela8[[#This Row],[SETOR]]&lt;400,"GV 30","S/GV"))))</f>
        <v>GV 20</v>
      </c>
      <c r="E2113" t="s">
        <v>125</v>
      </c>
      <c r="G2113" t="str">
        <f>_xlfn.CONCAT(Tabela9[[#This Row],[Coluna1]],Tabela9[[#This Row],[Coluna2]])</f>
        <v>18-TRAD</v>
      </c>
    </row>
    <row r="2114" spans="1:7" x14ac:dyDescent="0.25">
      <c r="A2114">
        <v>13801</v>
      </c>
      <c r="B2114">
        <v>305</v>
      </c>
      <c r="C2114" s="1" t="str">
        <f>IF(Tabela8[[#This Row],[SETOR]]="","",IF(Tabela8[[#This Row],[SETOR]]&lt;200,"GV 10",IF(Tabela8[[#This Row],[SETOR]]&lt;300,"GV 20",IF(Tabela8[[#This Row],[SETOR]]&lt;400,"GV 30","S/GV"))))</f>
        <v>GV 30</v>
      </c>
      <c r="E2114" t="s">
        <v>123</v>
      </c>
      <c r="G2114" t="str">
        <f>_xlfn.CONCAT(Tabela9[[#This Row],[Coluna1]],Tabela9[[#This Row],[Coluna2]])</f>
        <v>20-Rota</v>
      </c>
    </row>
    <row r="2115" spans="1:7" x14ac:dyDescent="0.25">
      <c r="A2115">
        <v>13804</v>
      </c>
      <c r="B2115">
        <v>105</v>
      </c>
      <c r="C2115" s="1" t="str">
        <f>IF(Tabela8[[#This Row],[SETOR]]="","",IF(Tabela8[[#This Row],[SETOR]]&lt;200,"GV 10",IF(Tabela8[[#This Row],[SETOR]]&lt;300,"GV 20",IF(Tabela8[[#This Row],[SETOR]]&lt;400,"GV 30","S/GV"))))</f>
        <v>GV 10</v>
      </c>
      <c r="E2115" t="s">
        <v>123</v>
      </c>
      <c r="G2115" t="str">
        <f>_xlfn.CONCAT(Tabela9[[#This Row],[Coluna1]],Tabela9[[#This Row],[Coluna2]])</f>
        <v>20-Rota</v>
      </c>
    </row>
    <row r="2116" spans="1:7" x14ac:dyDescent="0.25">
      <c r="A2116">
        <v>13808</v>
      </c>
      <c r="B2116">
        <v>906</v>
      </c>
      <c r="C2116" s="1" t="str">
        <f>IF(Tabela8[[#This Row],[SETOR]]="","",IF(Tabela8[[#This Row],[SETOR]]&lt;200,"GV 10",IF(Tabela8[[#This Row],[SETOR]]&lt;300,"GV 20",IF(Tabela8[[#This Row],[SETOR]]&lt;400,"GV 30","S/GV"))))</f>
        <v>S/GV</v>
      </c>
      <c r="G2116" t="str">
        <f>_xlfn.CONCAT(Tabela9[[#This Row],[Coluna1]],Tabela9[[#This Row],[Coluna2]])</f>
        <v/>
      </c>
    </row>
    <row r="2117" spans="1:7" x14ac:dyDescent="0.25">
      <c r="A2117">
        <v>13812</v>
      </c>
      <c r="B2117">
        <v>307</v>
      </c>
      <c r="C2117" s="1" t="str">
        <f>IF(Tabela8[[#This Row],[SETOR]]="","",IF(Tabela8[[#This Row],[SETOR]]&lt;200,"GV 10",IF(Tabela8[[#This Row],[SETOR]]&lt;300,"GV 20",IF(Tabela8[[#This Row],[SETOR]]&lt;400,"GV 30","S/GV"))))</f>
        <v>GV 30</v>
      </c>
      <c r="E2117" t="s">
        <v>130</v>
      </c>
      <c r="G2117" t="str">
        <f>_xlfn.CONCAT(Tabela9[[#This Row],[Coluna1]],Tabela9[[#This Row],[Coluna2]])</f>
        <v>21-SUB</v>
      </c>
    </row>
    <row r="2118" spans="1:7" x14ac:dyDescent="0.25">
      <c r="A2118">
        <v>13813</v>
      </c>
      <c r="B2118">
        <v>207</v>
      </c>
      <c r="C2118" s="1" t="str">
        <f>IF(Tabela8[[#This Row],[SETOR]]="","",IF(Tabela8[[#This Row],[SETOR]]&lt;200,"GV 10",IF(Tabela8[[#This Row],[SETOR]]&lt;300,"GV 20",IF(Tabela8[[#This Row],[SETOR]]&lt;400,"GV 30","S/GV"))))</f>
        <v>GV 20</v>
      </c>
      <c r="E2118" t="s">
        <v>125</v>
      </c>
      <c r="G2118" t="str">
        <f>_xlfn.CONCAT(Tabela9[[#This Row],[Coluna1]],Tabela9[[#This Row],[Coluna2]])</f>
        <v>18-TRAD</v>
      </c>
    </row>
    <row r="2119" spans="1:7" x14ac:dyDescent="0.25">
      <c r="A2119">
        <v>13817</v>
      </c>
      <c r="B2119">
        <v>304</v>
      </c>
      <c r="C2119" s="1" t="str">
        <f>IF(Tabela8[[#This Row],[SETOR]]="","",IF(Tabela8[[#This Row],[SETOR]]&lt;200,"GV 10",IF(Tabela8[[#This Row],[SETOR]]&lt;300,"GV 20",IF(Tabela8[[#This Row],[SETOR]]&lt;400,"GV 30","S/GV"))))</f>
        <v>GV 30</v>
      </c>
      <c r="E2119" t="s">
        <v>123</v>
      </c>
      <c r="G2119" t="str">
        <f>_xlfn.CONCAT(Tabela9[[#This Row],[Coluna1]],Tabela9[[#This Row],[Coluna2]])</f>
        <v>20-Rota</v>
      </c>
    </row>
    <row r="2120" spans="1:7" x14ac:dyDescent="0.25">
      <c r="A2120">
        <v>13818</v>
      </c>
      <c r="B2120">
        <v>303</v>
      </c>
      <c r="C2120" s="1" t="str">
        <f>IF(Tabela8[[#This Row],[SETOR]]="","",IF(Tabela8[[#This Row],[SETOR]]&lt;200,"GV 10",IF(Tabela8[[#This Row],[SETOR]]&lt;300,"GV 20",IF(Tabela8[[#This Row],[SETOR]]&lt;400,"GV 30","S/GV"))))</f>
        <v>GV 30</v>
      </c>
      <c r="E2120" t="s">
        <v>123</v>
      </c>
      <c r="G2120" t="str">
        <f>_xlfn.CONCAT(Tabela9[[#This Row],[Coluna1]],Tabela9[[#This Row],[Coluna2]])</f>
        <v>20-Rota</v>
      </c>
    </row>
    <row r="2121" spans="1:7" x14ac:dyDescent="0.25">
      <c r="A2121">
        <v>13819</v>
      </c>
      <c r="B2121">
        <v>303</v>
      </c>
      <c r="C2121" s="1" t="str">
        <f>IF(Tabela8[[#This Row],[SETOR]]="","",IF(Tabela8[[#This Row],[SETOR]]&lt;200,"GV 10",IF(Tabela8[[#This Row],[SETOR]]&lt;300,"GV 20",IF(Tabela8[[#This Row],[SETOR]]&lt;400,"GV 30","S/GV"))))</f>
        <v>GV 30</v>
      </c>
      <c r="E2121" t="s">
        <v>123</v>
      </c>
      <c r="G2121" t="str">
        <f>_xlfn.CONCAT(Tabela9[[#This Row],[Coluna1]],Tabela9[[#This Row],[Coluna2]])</f>
        <v>20-Rota</v>
      </c>
    </row>
    <row r="2122" spans="1:7" x14ac:dyDescent="0.25">
      <c r="A2122">
        <v>13821</v>
      </c>
      <c r="B2122">
        <v>201</v>
      </c>
      <c r="C2122" s="1" t="str">
        <f>IF(Tabela8[[#This Row],[SETOR]]="","",IF(Tabela8[[#This Row],[SETOR]]&lt;200,"GV 10",IF(Tabela8[[#This Row],[SETOR]]&lt;300,"GV 20",IF(Tabela8[[#This Row],[SETOR]]&lt;400,"GV 30","S/GV"))))</f>
        <v>GV 20</v>
      </c>
      <c r="E2122" t="s">
        <v>123</v>
      </c>
      <c r="G2122" t="str">
        <f>_xlfn.CONCAT(Tabela9[[#This Row],[Coluna1]],Tabela9[[#This Row],[Coluna2]])</f>
        <v>20-Rota</v>
      </c>
    </row>
    <row r="2123" spans="1:7" x14ac:dyDescent="0.25">
      <c r="A2123">
        <v>13830</v>
      </c>
      <c r="B2123">
        <v>907</v>
      </c>
      <c r="C2123" s="1" t="str">
        <f>IF(Tabela8[[#This Row],[SETOR]]="","",IF(Tabela8[[#This Row],[SETOR]]&lt;200,"GV 10",IF(Tabela8[[#This Row],[SETOR]]&lt;300,"GV 20",IF(Tabela8[[#This Row],[SETOR]]&lt;400,"GV 30","S/GV"))))</f>
        <v>S/GV</v>
      </c>
      <c r="G2123" t="str">
        <f>_xlfn.CONCAT(Tabela9[[#This Row],[Coluna1]],Tabela9[[#This Row],[Coluna2]])</f>
        <v/>
      </c>
    </row>
    <row r="2124" spans="1:7" x14ac:dyDescent="0.25">
      <c r="A2124">
        <v>13833</v>
      </c>
      <c r="B2124">
        <v>101</v>
      </c>
      <c r="C2124" s="1" t="str">
        <f>IF(Tabela8[[#This Row],[SETOR]]="","",IF(Tabela8[[#This Row],[SETOR]]&lt;200,"GV 10",IF(Tabela8[[#This Row],[SETOR]]&lt;300,"GV 20",IF(Tabela8[[#This Row],[SETOR]]&lt;400,"GV 30","S/GV"))))</f>
        <v>GV 10</v>
      </c>
      <c r="E2124" t="s">
        <v>123</v>
      </c>
      <c r="G2124" t="str">
        <f>_xlfn.CONCAT(Tabela9[[#This Row],[Coluna1]],Tabela9[[#This Row],[Coluna2]])</f>
        <v>20-Rota</v>
      </c>
    </row>
    <row r="2125" spans="1:7" x14ac:dyDescent="0.25">
      <c r="A2125">
        <v>13837</v>
      </c>
      <c r="B2125">
        <v>106</v>
      </c>
      <c r="C2125" s="1" t="str">
        <f>IF(Tabela8[[#This Row],[SETOR]]="","",IF(Tabela8[[#This Row],[SETOR]]&lt;200,"GV 10",IF(Tabela8[[#This Row],[SETOR]]&lt;300,"GV 20",IF(Tabela8[[#This Row],[SETOR]]&lt;400,"GV 30","S/GV"))))</f>
        <v>GV 10</v>
      </c>
      <c r="E2125" t="s">
        <v>123</v>
      </c>
      <c r="G2125" t="str">
        <f>_xlfn.CONCAT(Tabela9[[#This Row],[Coluna1]],Tabela9[[#This Row],[Coluna2]])</f>
        <v>20-Rota</v>
      </c>
    </row>
    <row r="2126" spans="1:7" x14ac:dyDescent="0.25">
      <c r="A2126">
        <v>13844</v>
      </c>
      <c r="B2126">
        <v>203</v>
      </c>
      <c r="C2126" s="1" t="str">
        <f>IF(Tabela8[[#This Row],[SETOR]]="","",IF(Tabela8[[#This Row],[SETOR]]&lt;200,"GV 10",IF(Tabela8[[#This Row],[SETOR]]&lt;300,"GV 20",IF(Tabela8[[#This Row],[SETOR]]&lt;400,"GV 30","S/GV"))))</f>
        <v>GV 20</v>
      </c>
      <c r="E2126" t="s">
        <v>123</v>
      </c>
      <c r="G2126" t="str">
        <f>_xlfn.CONCAT(Tabela9[[#This Row],[Coluna1]],Tabela9[[#This Row],[Coluna2]])</f>
        <v>20-Rota</v>
      </c>
    </row>
    <row r="2127" spans="1:7" x14ac:dyDescent="0.25">
      <c r="A2127">
        <v>13845</v>
      </c>
      <c r="B2127">
        <v>302</v>
      </c>
      <c r="C2127" s="1" t="str">
        <f>IF(Tabela8[[#This Row],[SETOR]]="","",IF(Tabela8[[#This Row],[SETOR]]&lt;200,"GV 10",IF(Tabela8[[#This Row],[SETOR]]&lt;300,"GV 20",IF(Tabela8[[#This Row],[SETOR]]&lt;400,"GV 30","S/GV"))))</f>
        <v>GV 30</v>
      </c>
      <c r="E2127" t="s">
        <v>123</v>
      </c>
      <c r="G2127" t="str">
        <f>_xlfn.CONCAT(Tabela9[[#This Row],[Coluna1]],Tabela9[[#This Row],[Coluna2]])</f>
        <v>20-Rota</v>
      </c>
    </row>
    <row r="2128" spans="1:7" x14ac:dyDescent="0.25">
      <c r="A2128">
        <v>13856</v>
      </c>
      <c r="B2128">
        <v>102</v>
      </c>
      <c r="C2128" s="1" t="str">
        <f>IF(Tabela8[[#This Row],[SETOR]]="","",IF(Tabela8[[#This Row],[SETOR]]&lt;200,"GV 10",IF(Tabela8[[#This Row],[SETOR]]&lt;300,"GV 20",IF(Tabela8[[#This Row],[SETOR]]&lt;400,"GV 30","S/GV"))))</f>
        <v>GV 10</v>
      </c>
      <c r="E2128" t="s">
        <v>123</v>
      </c>
      <c r="G2128" t="str">
        <f>_xlfn.CONCAT(Tabela9[[#This Row],[Coluna1]],Tabela9[[#This Row],[Coluna2]])</f>
        <v>20-Rota</v>
      </c>
    </row>
    <row r="2129" spans="1:7" x14ac:dyDescent="0.25">
      <c r="A2129">
        <v>13859</v>
      </c>
      <c r="B2129">
        <v>109</v>
      </c>
      <c r="C2129" s="1" t="str">
        <f>IF(Tabela8[[#This Row],[SETOR]]="","",IF(Tabela8[[#This Row],[SETOR]]&lt;200,"GV 10",IF(Tabela8[[#This Row],[SETOR]]&lt;300,"GV 20",IF(Tabela8[[#This Row],[SETOR]]&lt;400,"GV 30","S/GV"))))</f>
        <v>GV 10</v>
      </c>
      <c r="E2129" t="s">
        <v>123</v>
      </c>
      <c r="G2129" t="str">
        <f>_xlfn.CONCAT(Tabela9[[#This Row],[Coluna1]],Tabela9[[#This Row],[Coluna2]])</f>
        <v>20-Rota</v>
      </c>
    </row>
    <row r="2130" spans="1:7" x14ac:dyDescent="0.25">
      <c r="A2130">
        <v>13862</v>
      </c>
      <c r="B2130">
        <v>102</v>
      </c>
      <c r="C2130" s="1" t="str">
        <f>IF(Tabela8[[#This Row],[SETOR]]="","",IF(Tabela8[[#This Row],[SETOR]]&lt;200,"GV 10",IF(Tabela8[[#This Row],[SETOR]]&lt;300,"GV 20",IF(Tabela8[[#This Row],[SETOR]]&lt;400,"GV 30","S/GV"))))</f>
        <v>GV 10</v>
      </c>
      <c r="E2130" t="s">
        <v>125</v>
      </c>
      <c r="G2130" t="str">
        <f>_xlfn.CONCAT(Tabela9[[#This Row],[Coluna1]],Tabela9[[#This Row],[Coluna2]])</f>
        <v>18-TRAD</v>
      </c>
    </row>
    <row r="2131" spans="1:7" x14ac:dyDescent="0.25">
      <c r="A2131">
        <v>13863</v>
      </c>
      <c r="B2131">
        <v>105</v>
      </c>
      <c r="C2131" s="1" t="str">
        <f>IF(Tabela8[[#This Row],[SETOR]]="","",IF(Tabela8[[#This Row],[SETOR]]&lt;200,"GV 10",IF(Tabela8[[#This Row],[SETOR]]&lt;300,"GV 20",IF(Tabela8[[#This Row],[SETOR]]&lt;400,"GV 30","S/GV"))))</f>
        <v>GV 10</v>
      </c>
      <c r="E2131" t="s">
        <v>123</v>
      </c>
      <c r="G2131" t="str">
        <f>_xlfn.CONCAT(Tabela9[[#This Row],[Coluna1]],Tabela9[[#This Row],[Coluna2]])</f>
        <v>20-Rota</v>
      </c>
    </row>
    <row r="2132" spans="1:7" x14ac:dyDescent="0.25">
      <c r="A2132">
        <v>13872</v>
      </c>
      <c r="B2132">
        <v>305</v>
      </c>
      <c r="C2132" s="1" t="str">
        <f>IF(Tabela8[[#This Row],[SETOR]]="","",IF(Tabela8[[#This Row],[SETOR]]&lt;200,"GV 10",IF(Tabela8[[#This Row],[SETOR]]&lt;300,"GV 20",IF(Tabela8[[#This Row],[SETOR]]&lt;400,"GV 30","S/GV"))))</f>
        <v>GV 30</v>
      </c>
      <c r="E2132" t="s">
        <v>123</v>
      </c>
      <c r="G2132" t="str">
        <f>_xlfn.CONCAT(Tabela9[[#This Row],[Coluna1]],Tabela9[[#This Row],[Coluna2]])</f>
        <v>20-Rota</v>
      </c>
    </row>
    <row r="2133" spans="1:7" x14ac:dyDescent="0.25">
      <c r="A2133">
        <v>13874</v>
      </c>
      <c r="B2133">
        <v>104</v>
      </c>
      <c r="C2133" s="1" t="str">
        <f>IF(Tabela8[[#This Row],[SETOR]]="","",IF(Tabela8[[#This Row],[SETOR]]&lt;200,"GV 10",IF(Tabela8[[#This Row],[SETOR]]&lt;300,"GV 20",IF(Tabela8[[#This Row],[SETOR]]&lt;400,"GV 30","S/GV"))))</f>
        <v>GV 10</v>
      </c>
      <c r="E2133" t="s">
        <v>123</v>
      </c>
      <c r="G2133" t="str">
        <f>_xlfn.CONCAT(Tabela9[[#This Row],[Coluna1]],Tabela9[[#This Row],[Coluna2]])</f>
        <v>20-Rota</v>
      </c>
    </row>
    <row r="2134" spans="1:7" x14ac:dyDescent="0.25">
      <c r="A2134">
        <v>13875</v>
      </c>
      <c r="B2134">
        <v>204</v>
      </c>
      <c r="C2134" s="1" t="str">
        <f>IF(Tabela8[[#This Row],[SETOR]]="","",IF(Tabela8[[#This Row],[SETOR]]&lt;200,"GV 10",IF(Tabela8[[#This Row],[SETOR]]&lt;300,"GV 20",IF(Tabela8[[#This Row],[SETOR]]&lt;400,"GV 30","S/GV"))))</f>
        <v>GV 20</v>
      </c>
      <c r="E2134" t="s">
        <v>123</v>
      </c>
      <c r="G2134" t="str">
        <f>_xlfn.CONCAT(Tabela9[[#This Row],[Coluna1]],Tabela9[[#This Row],[Coluna2]])</f>
        <v>20-Rota</v>
      </c>
    </row>
    <row r="2135" spans="1:7" x14ac:dyDescent="0.25">
      <c r="A2135">
        <v>13882</v>
      </c>
      <c r="B2135">
        <v>106</v>
      </c>
      <c r="C2135" s="1" t="str">
        <f>IF(Tabela8[[#This Row],[SETOR]]="","",IF(Tabela8[[#This Row],[SETOR]]&lt;200,"GV 10",IF(Tabela8[[#This Row],[SETOR]]&lt;300,"GV 20",IF(Tabela8[[#This Row],[SETOR]]&lt;400,"GV 30","S/GV"))))</f>
        <v>GV 10</v>
      </c>
      <c r="E2135" t="s">
        <v>123</v>
      </c>
      <c r="G2135" t="str">
        <f>_xlfn.CONCAT(Tabela9[[#This Row],[Coluna1]],Tabela9[[#This Row],[Coluna2]])</f>
        <v>20-Rota</v>
      </c>
    </row>
    <row r="2136" spans="1:7" x14ac:dyDescent="0.25">
      <c r="A2136">
        <v>13884</v>
      </c>
      <c r="B2136">
        <v>308</v>
      </c>
      <c r="C2136" s="1" t="str">
        <f>IF(Tabela8[[#This Row],[SETOR]]="","",IF(Tabela8[[#This Row],[SETOR]]&lt;200,"GV 10",IF(Tabela8[[#This Row],[SETOR]]&lt;300,"GV 20",IF(Tabela8[[#This Row],[SETOR]]&lt;400,"GV 30","S/GV"))))</f>
        <v>GV 30</v>
      </c>
      <c r="E2136" t="s">
        <v>128</v>
      </c>
      <c r="F2136" t="s">
        <v>129</v>
      </c>
      <c r="G2136" t="str">
        <f>_xlfn.CONCAT(Tabela9[[#This Row],[Coluna1]],Tabela9[[#This Row],[Coluna2]])</f>
        <v>15-AS(1-4)</v>
      </c>
    </row>
    <row r="2137" spans="1:7" x14ac:dyDescent="0.25">
      <c r="A2137">
        <v>13888</v>
      </c>
      <c r="B2137">
        <v>305</v>
      </c>
      <c r="C2137" s="1" t="str">
        <f>IF(Tabela8[[#This Row],[SETOR]]="","",IF(Tabela8[[#This Row],[SETOR]]&lt;200,"GV 10",IF(Tabela8[[#This Row],[SETOR]]&lt;300,"GV 20",IF(Tabela8[[#This Row],[SETOR]]&lt;400,"GV 30","S/GV"))))</f>
        <v>GV 30</v>
      </c>
      <c r="E2137" t="s">
        <v>123</v>
      </c>
      <c r="G2137" t="str">
        <f>_xlfn.CONCAT(Tabela9[[#This Row],[Coluna1]],Tabela9[[#This Row],[Coluna2]])</f>
        <v>20-Rota</v>
      </c>
    </row>
    <row r="2138" spans="1:7" x14ac:dyDescent="0.25">
      <c r="A2138">
        <v>13890</v>
      </c>
      <c r="B2138">
        <v>102</v>
      </c>
      <c r="C2138" s="1" t="str">
        <f>IF(Tabela8[[#This Row],[SETOR]]="","",IF(Tabela8[[#This Row],[SETOR]]&lt;200,"GV 10",IF(Tabela8[[#This Row],[SETOR]]&lt;300,"GV 20",IF(Tabela8[[#This Row],[SETOR]]&lt;400,"GV 30","S/GV"))))</f>
        <v>GV 10</v>
      </c>
      <c r="E2138" t="s">
        <v>123</v>
      </c>
      <c r="G2138" t="str">
        <f>_xlfn.CONCAT(Tabela9[[#This Row],[Coluna1]],Tabela9[[#This Row],[Coluna2]])</f>
        <v>20-Rota</v>
      </c>
    </row>
    <row r="2139" spans="1:7" x14ac:dyDescent="0.25">
      <c r="A2139">
        <v>13891</v>
      </c>
      <c r="B2139">
        <v>203</v>
      </c>
      <c r="C2139" s="1" t="str">
        <f>IF(Tabela8[[#This Row],[SETOR]]="","",IF(Tabela8[[#This Row],[SETOR]]&lt;200,"GV 10",IF(Tabela8[[#This Row],[SETOR]]&lt;300,"GV 20",IF(Tabela8[[#This Row],[SETOR]]&lt;400,"GV 30","S/GV"))))</f>
        <v>GV 20</v>
      </c>
      <c r="E2139" t="s">
        <v>123</v>
      </c>
      <c r="G2139" t="str">
        <f>_xlfn.CONCAT(Tabela9[[#This Row],[Coluna1]],Tabela9[[#This Row],[Coluna2]])</f>
        <v>20-Rota</v>
      </c>
    </row>
    <row r="2140" spans="1:7" x14ac:dyDescent="0.25">
      <c r="A2140">
        <v>13892</v>
      </c>
      <c r="B2140">
        <v>102</v>
      </c>
      <c r="C2140" s="1" t="str">
        <f>IF(Tabela8[[#This Row],[SETOR]]="","",IF(Tabela8[[#This Row],[SETOR]]&lt;200,"GV 10",IF(Tabela8[[#This Row],[SETOR]]&lt;300,"GV 20",IF(Tabela8[[#This Row],[SETOR]]&lt;400,"GV 30","S/GV"))))</f>
        <v>GV 10</v>
      </c>
      <c r="E2140" t="s">
        <v>123</v>
      </c>
      <c r="G2140" t="str">
        <f>_xlfn.CONCAT(Tabela9[[#This Row],[Coluna1]],Tabela9[[#This Row],[Coluna2]])</f>
        <v>20-Rota</v>
      </c>
    </row>
    <row r="2141" spans="1:7" x14ac:dyDescent="0.25">
      <c r="A2141">
        <v>13897</v>
      </c>
      <c r="B2141">
        <v>207</v>
      </c>
      <c r="C2141" s="1" t="str">
        <f>IF(Tabela8[[#This Row],[SETOR]]="","",IF(Tabela8[[#This Row],[SETOR]]&lt;200,"GV 10",IF(Tabela8[[#This Row],[SETOR]]&lt;300,"GV 20",IF(Tabela8[[#This Row],[SETOR]]&lt;400,"GV 30","S/GV"))))</f>
        <v>GV 20</v>
      </c>
      <c r="E2141" t="s">
        <v>125</v>
      </c>
      <c r="G2141" t="str">
        <f>_xlfn.CONCAT(Tabela9[[#This Row],[Coluna1]],Tabela9[[#This Row],[Coluna2]])</f>
        <v>18-TRAD</v>
      </c>
    </row>
    <row r="2142" spans="1:7" x14ac:dyDescent="0.25">
      <c r="A2142">
        <v>13913</v>
      </c>
      <c r="B2142">
        <v>107</v>
      </c>
      <c r="C2142" s="1" t="str">
        <f>IF(Tabela8[[#This Row],[SETOR]]="","",IF(Tabela8[[#This Row],[SETOR]]&lt;200,"GV 10",IF(Tabela8[[#This Row],[SETOR]]&lt;300,"GV 20",IF(Tabela8[[#This Row],[SETOR]]&lt;400,"GV 30","S/GV"))))</f>
        <v>GV 10</v>
      </c>
      <c r="E2142" t="s">
        <v>125</v>
      </c>
      <c r="G2142" t="str">
        <f>_xlfn.CONCAT(Tabela9[[#This Row],[Coluna1]],Tabela9[[#This Row],[Coluna2]])</f>
        <v>18-TRAD</v>
      </c>
    </row>
    <row r="2143" spans="1:7" x14ac:dyDescent="0.25">
      <c r="A2143">
        <v>13915</v>
      </c>
      <c r="B2143">
        <v>104</v>
      </c>
      <c r="C2143" s="1" t="str">
        <f>IF(Tabela8[[#This Row],[SETOR]]="","",IF(Tabela8[[#This Row],[SETOR]]&lt;200,"GV 10",IF(Tabela8[[#This Row],[SETOR]]&lt;300,"GV 20",IF(Tabela8[[#This Row],[SETOR]]&lt;400,"GV 30","S/GV"))))</f>
        <v>GV 10</v>
      </c>
      <c r="E2143" t="s">
        <v>130</v>
      </c>
      <c r="G2143" t="str">
        <f>_xlfn.CONCAT(Tabela9[[#This Row],[Coluna1]],Tabela9[[#This Row],[Coluna2]])</f>
        <v>21-SUB</v>
      </c>
    </row>
    <row r="2144" spans="1:7" x14ac:dyDescent="0.25">
      <c r="A2144">
        <v>13917</v>
      </c>
      <c r="B2144">
        <v>204</v>
      </c>
      <c r="C2144" s="1" t="str">
        <f>IF(Tabela8[[#This Row],[SETOR]]="","",IF(Tabela8[[#This Row],[SETOR]]&lt;200,"GV 10",IF(Tabela8[[#This Row],[SETOR]]&lt;300,"GV 20",IF(Tabela8[[#This Row],[SETOR]]&lt;400,"GV 30","S/GV"))))</f>
        <v>GV 20</v>
      </c>
      <c r="E2144" t="s">
        <v>123</v>
      </c>
      <c r="G2144" t="str">
        <f>_xlfn.CONCAT(Tabela9[[#This Row],[Coluna1]],Tabela9[[#This Row],[Coluna2]])</f>
        <v>20-Rota</v>
      </c>
    </row>
    <row r="2145" spans="1:7" x14ac:dyDescent="0.25">
      <c r="A2145">
        <v>13920</v>
      </c>
      <c r="B2145">
        <v>907</v>
      </c>
      <c r="C2145" s="1" t="str">
        <f>IF(Tabela8[[#This Row],[SETOR]]="","",IF(Tabela8[[#This Row],[SETOR]]&lt;200,"GV 10",IF(Tabela8[[#This Row],[SETOR]]&lt;300,"GV 20",IF(Tabela8[[#This Row],[SETOR]]&lt;400,"GV 30","S/GV"))))</f>
        <v>S/GV</v>
      </c>
      <c r="G2145" t="str">
        <f>_xlfn.CONCAT(Tabela9[[#This Row],[Coluna1]],Tabela9[[#This Row],[Coluna2]])</f>
        <v/>
      </c>
    </row>
    <row r="2146" spans="1:7" x14ac:dyDescent="0.25">
      <c r="A2146">
        <v>13921</v>
      </c>
      <c r="B2146">
        <v>103</v>
      </c>
      <c r="C2146" s="1" t="str">
        <f>IF(Tabela8[[#This Row],[SETOR]]="","",IF(Tabela8[[#This Row],[SETOR]]&lt;200,"GV 10",IF(Tabela8[[#This Row],[SETOR]]&lt;300,"GV 20",IF(Tabela8[[#This Row],[SETOR]]&lt;400,"GV 30","S/GV"))))</f>
        <v>GV 10</v>
      </c>
      <c r="E2146" t="s">
        <v>123</v>
      </c>
      <c r="G2146" t="str">
        <f>_xlfn.CONCAT(Tabela9[[#This Row],[Coluna1]],Tabela9[[#This Row],[Coluna2]])</f>
        <v>20-Rota</v>
      </c>
    </row>
    <row r="2147" spans="1:7" x14ac:dyDescent="0.25">
      <c r="A2147">
        <v>13923</v>
      </c>
      <c r="B2147">
        <v>203</v>
      </c>
      <c r="C2147" s="1" t="str">
        <f>IF(Tabela8[[#This Row],[SETOR]]="","",IF(Tabela8[[#This Row],[SETOR]]&lt;200,"GV 10",IF(Tabela8[[#This Row],[SETOR]]&lt;300,"GV 20",IF(Tabela8[[#This Row],[SETOR]]&lt;400,"GV 30","S/GV"))))</f>
        <v>GV 20</v>
      </c>
      <c r="E2147" t="s">
        <v>123</v>
      </c>
      <c r="G2147" t="str">
        <f>_xlfn.CONCAT(Tabela9[[#This Row],[Coluna1]],Tabela9[[#This Row],[Coluna2]])</f>
        <v>20-Rota</v>
      </c>
    </row>
    <row r="2148" spans="1:7" x14ac:dyDescent="0.25">
      <c r="A2148">
        <v>13925</v>
      </c>
      <c r="B2148">
        <v>105</v>
      </c>
      <c r="C2148" s="1" t="str">
        <f>IF(Tabela8[[#This Row],[SETOR]]="","",IF(Tabela8[[#This Row],[SETOR]]&lt;200,"GV 10",IF(Tabela8[[#This Row],[SETOR]]&lt;300,"GV 20",IF(Tabela8[[#This Row],[SETOR]]&lt;400,"GV 30","S/GV"))))</f>
        <v>GV 10</v>
      </c>
      <c r="E2148" t="s">
        <v>123</v>
      </c>
      <c r="G2148" t="str">
        <f>_xlfn.CONCAT(Tabela9[[#This Row],[Coluna1]],Tabela9[[#This Row],[Coluna2]])</f>
        <v>20-Rota</v>
      </c>
    </row>
    <row r="2149" spans="1:7" x14ac:dyDescent="0.25">
      <c r="A2149">
        <v>13926</v>
      </c>
      <c r="B2149">
        <v>303</v>
      </c>
      <c r="C2149" s="1" t="str">
        <f>IF(Tabela8[[#This Row],[SETOR]]="","",IF(Tabela8[[#This Row],[SETOR]]&lt;200,"GV 10",IF(Tabela8[[#This Row],[SETOR]]&lt;300,"GV 20",IF(Tabela8[[#This Row],[SETOR]]&lt;400,"GV 30","S/GV"))))</f>
        <v>GV 30</v>
      </c>
      <c r="E2149" t="s">
        <v>123</v>
      </c>
      <c r="G2149" t="str">
        <f>_xlfn.CONCAT(Tabela9[[#This Row],[Coluna1]],Tabela9[[#This Row],[Coluna2]])</f>
        <v>20-Rota</v>
      </c>
    </row>
    <row r="2150" spans="1:7" x14ac:dyDescent="0.25">
      <c r="A2150">
        <v>13929</v>
      </c>
      <c r="B2150">
        <v>102</v>
      </c>
      <c r="C2150" s="1" t="str">
        <f>IF(Tabela8[[#This Row],[SETOR]]="","",IF(Tabela8[[#This Row],[SETOR]]&lt;200,"GV 10",IF(Tabela8[[#This Row],[SETOR]]&lt;300,"GV 20",IF(Tabela8[[#This Row],[SETOR]]&lt;400,"GV 30","S/GV"))))</f>
        <v>GV 10</v>
      </c>
      <c r="E2150" t="s">
        <v>123</v>
      </c>
      <c r="G2150" t="str">
        <f>_xlfn.CONCAT(Tabela9[[#This Row],[Coluna1]],Tabela9[[#This Row],[Coluna2]])</f>
        <v>20-Rota</v>
      </c>
    </row>
    <row r="2151" spans="1:7" x14ac:dyDescent="0.25">
      <c r="A2151">
        <v>13938</v>
      </c>
      <c r="B2151">
        <v>306</v>
      </c>
      <c r="C2151" s="1" t="str">
        <f>IF(Tabela8[[#This Row],[SETOR]]="","",IF(Tabela8[[#This Row],[SETOR]]&lt;200,"GV 10",IF(Tabela8[[#This Row],[SETOR]]&lt;300,"GV 20",IF(Tabela8[[#This Row],[SETOR]]&lt;400,"GV 30","S/GV"))))</f>
        <v>GV 30</v>
      </c>
      <c r="E2151" t="s">
        <v>125</v>
      </c>
      <c r="G2151" t="str">
        <f>_xlfn.CONCAT(Tabela9[[#This Row],[Coluna1]],Tabela9[[#This Row],[Coluna2]])</f>
        <v>18-TRAD</v>
      </c>
    </row>
    <row r="2152" spans="1:7" x14ac:dyDescent="0.25">
      <c r="A2152">
        <v>13939</v>
      </c>
      <c r="B2152">
        <v>201</v>
      </c>
      <c r="C2152" s="1" t="str">
        <f>IF(Tabela8[[#This Row],[SETOR]]="","",IF(Tabela8[[#This Row],[SETOR]]&lt;200,"GV 10",IF(Tabela8[[#This Row],[SETOR]]&lt;300,"GV 20",IF(Tabela8[[#This Row],[SETOR]]&lt;400,"GV 30","S/GV"))))</f>
        <v>GV 20</v>
      </c>
      <c r="E2152" t="s">
        <v>123</v>
      </c>
      <c r="G2152" t="str">
        <f>_xlfn.CONCAT(Tabela9[[#This Row],[Coluna1]],Tabela9[[#This Row],[Coluna2]])</f>
        <v>20-Rota</v>
      </c>
    </row>
    <row r="2153" spans="1:7" x14ac:dyDescent="0.25">
      <c r="A2153">
        <v>13940</v>
      </c>
      <c r="B2153">
        <v>304</v>
      </c>
      <c r="C2153" s="1" t="str">
        <f>IF(Tabela8[[#This Row],[SETOR]]="","",IF(Tabela8[[#This Row],[SETOR]]&lt;200,"GV 10",IF(Tabela8[[#This Row],[SETOR]]&lt;300,"GV 20",IF(Tabela8[[#This Row],[SETOR]]&lt;400,"GV 30","S/GV"))))</f>
        <v>GV 30</v>
      </c>
      <c r="E2153" t="s">
        <v>123</v>
      </c>
      <c r="G2153" t="str">
        <f>_xlfn.CONCAT(Tabela9[[#This Row],[Coluna1]],Tabela9[[#This Row],[Coluna2]])</f>
        <v>20-Rota</v>
      </c>
    </row>
    <row r="2154" spans="1:7" x14ac:dyDescent="0.25">
      <c r="A2154">
        <v>13957</v>
      </c>
      <c r="B2154">
        <v>107</v>
      </c>
      <c r="C2154" s="1" t="str">
        <f>IF(Tabela8[[#This Row],[SETOR]]="","",IF(Tabela8[[#This Row],[SETOR]]&lt;200,"GV 10",IF(Tabela8[[#This Row],[SETOR]]&lt;300,"GV 20",IF(Tabela8[[#This Row],[SETOR]]&lt;400,"GV 30","S/GV"))))</f>
        <v>GV 10</v>
      </c>
      <c r="E2154" t="s">
        <v>130</v>
      </c>
      <c r="G2154" t="str">
        <f>_xlfn.CONCAT(Tabela9[[#This Row],[Coluna1]],Tabela9[[#This Row],[Coluna2]])</f>
        <v>21-SUB</v>
      </c>
    </row>
    <row r="2155" spans="1:7" x14ac:dyDescent="0.25">
      <c r="A2155">
        <v>13968</v>
      </c>
      <c r="B2155">
        <v>303</v>
      </c>
      <c r="C2155" s="1" t="str">
        <f>IF(Tabela8[[#This Row],[SETOR]]="","",IF(Tabela8[[#This Row],[SETOR]]&lt;200,"GV 10",IF(Tabela8[[#This Row],[SETOR]]&lt;300,"GV 20",IF(Tabela8[[#This Row],[SETOR]]&lt;400,"GV 30","S/GV"))))</f>
        <v>GV 30</v>
      </c>
      <c r="E2155" t="s">
        <v>123</v>
      </c>
      <c r="G2155" t="str">
        <f>_xlfn.CONCAT(Tabela9[[#This Row],[Coluna1]],Tabela9[[#This Row],[Coluna2]])</f>
        <v>20-Rota</v>
      </c>
    </row>
    <row r="2156" spans="1:7" x14ac:dyDescent="0.25">
      <c r="A2156">
        <v>13971</v>
      </c>
      <c r="B2156">
        <v>303</v>
      </c>
      <c r="C2156" s="1" t="str">
        <f>IF(Tabela8[[#This Row],[SETOR]]="","",IF(Tabela8[[#This Row],[SETOR]]&lt;200,"GV 10",IF(Tabela8[[#This Row],[SETOR]]&lt;300,"GV 20",IF(Tabela8[[#This Row],[SETOR]]&lt;400,"GV 30","S/GV"))))</f>
        <v>GV 30</v>
      </c>
      <c r="E2156" t="s">
        <v>123</v>
      </c>
      <c r="G2156" t="str">
        <f>_xlfn.CONCAT(Tabela9[[#This Row],[Coluna1]],Tabela9[[#This Row],[Coluna2]])</f>
        <v>20-Rota</v>
      </c>
    </row>
    <row r="2157" spans="1:7" x14ac:dyDescent="0.25">
      <c r="A2157">
        <v>13979</v>
      </c>
      <c r="B2157">
        <v>107</v>
      </c>
      <c r="C2157" s="1" t="str">
        <f>IF(Tabela8[[#This Row],[SETOR]]="","",IF(Tabela8[[#This Row],[SETOR]]&lt;200,"GV 10",IF(Tabela8[[#This Row],[SETOR]]&lt;300,"GV 20",IF(Tabela8[[#This Row],[SETOR]]&lt;400,"GV 30","S/GV"))))</f>
        <v>GV 10</v>
      </c>
      <c r="E2157" t="s">
        <v>125</v>
      </c>
      <c r="G2157" t="str">
        <f>_xlfn.CONCAT(Tabela9[[#This Row],[Coluna1]],Tabela9[[#This Row],[Coluna2]])</f>
        <v>18-TRAD</v>
      </c>
    </row>
    <row r="2158" spans="1:7" x14ac:dyDescent="0.25">
      <c r="A2158">
        <v>13982</v>
      </c>
      <c r="B2158">
        <v>109</v>
      </c>
      <c r="C2158" s="1" t="str">
        <f>IF(Tabela8[[#This Row],[SETOR]]="","",IF(Tabela8[[#This Row],[SETOR]]&lt;200,"GV 10",IF(Tabela8[[#This Row],[SETOR]]&lt;300,"GV 20",IF(Tabela8[[#This Row],[SETOR]]&lt;400,"GV 30","S/GV"))))</f>
        <v>GV 10</v>
      </c>
      <c r="E2158" t="s">
        <v>123</v>
      </c>
      <c r="G2158" t="str">
        <f>_xlfn.CONCAT(Tabela9[[#This Row],[Coluna1]],Tabela9[[#This Row],[Coluna2]])</f>
        <v>20-Rota</v>
      </c>
    </row>
    <row r="2159" spans="1:7" x14ac:dyDescent="0.25">
      <c r="A2159">
        <v>13987</v>
      </c>
      <c r="B2159">
        <v>103</v>
      </c>
      <c r="C2159" s="1" t="str">
        <f>IF(Tabela8[[#This Row],[SETOR]]="","",IF(Tabela8[[#This Row],[SETOR]]&lt;200,"GV 10",IF(Tabela8[[#This Row],[SETOR]]&lt;300,"GV 20",IF(Tabela8[[#This Row],[SETOR]]&lt;400,"GV 30","S/GV"))))</f>
        <v>GV 10</v>
      </c>
      <c r="E2159" t="s">
        <v>123</v>
      </c>
      <c r="G2159" t="str">
        <f>_xlfn.CONCAT(Tabela9[[#This Row],[Coluna1]],Tabela9[[#This Row],[Coluna2]])</f>
        <v>20-Rota</v>
      </c>
    </row>
    <row r="2160" spans="1:7" x14ac:dyDescent="0.25">
      <c r="A2160">
        <v>13988</v>
      </c>
      <c r="B2160">
        <v>102</v>
      </c>
      <c r="C2160" s="1" t="str">
        <f>IF(Tabela8[[#This Row],[SETOR]]="","",IF(Tabela8[[#This Row],[SETOR]]&lt;200,"GV 10",IF(Tabela8[[#This Row],[SETOR]]&lt;300,"GV 20",IF(Tabela8[[#This Row],[SETOR]]&lt;400,"GV 30","S/GV"))))</f>
        <v>GV 10</v>
      </c>
      <c r="E2160" t="s">
        <v>123</v>
      </c>
      <c r="G2160" t="str">
        <f>_xlfn.CONCAT(Tabela9[[#This Row],[Coluna1]],Tabela9[[#This Row],[Coluna2]])</f>
        <v>20-Rota</v>
      </c>
    </row>
    <row r="2161" spans="1:7" x14ac:dyDescent="0.25">
      <c r="A2161">
        <v>13994</v>
      </c>
      <c r="B2161">
        <v>106</v>
      </c>
      <c r="C2161" s="1" t="str">
        <f>IF(Tabela8[[#This Row],[SETOR]]="","",IF(Tabela8[[#This Row],[SETOR]]&lt;200,"GV 10",IF(Tabela8[[#This Row],[SETOR]]&lt;300,"GV 20",IF(Tabela8[[#This Row],[SETOR]]&lt;400,"GV 30","S/GV"))))</f>
        <v>GV 10</v>
      </c>
      <c r="E2161" t="s">
        <v>123</v>
      </c>
      <c r="G2161" t="str">
        <f>_xlfn.CONCAT(Tabela9[[#This Row],[Coluna1]],Tabela9[[#This Row],[Coluna2]])</f>
        <v>20-Rota</v>
      </c>
    </row>
    <row r="2162" spans="1:7" x14ac:dyDescent="0.25">
      <c r="A2162">
        <v>14002</v>
      </c>
      <c r="B2162">
        <v>201</v>
      </c>
      <c r="C2162" s="1" t="str">
        <f>IF(Tabela8[[#This Row],[SETOR]]="","",IF(Tabela8[[#This Row],[SETOR]]&lt;200,"GV 10",IF(Tabela8[[#This Row],[SETOR]]&lt;300,"GV 20",IF(Tabela8[[#This Row],[SETOR]]&lt;400,"GV 30","S/GV"))))</f>
        <v>GV 20</v>
      </c>
      <c r="E2162" t="s">
        <v>123</v>
      </c>
      <c r="G2162" t="str">
        <f>_xlfn.CONCAT(Tabela9[[#This Row],[Coluna1]],Tabela9[[#This Row],[Coluna2]])</f>
        <v>20-Rota</v>
      </c>
    </row>
    <row r="2163" spans="1:7" x14ac:dyDescent="0.25">
      <c r="A2163">
        <v>14008</v>
      </c>
      <c r="B2163">
        <v>206</v>
      </c>
      <c r="C2163" s="1" t="str">
        <f>IF(Tabela8[[#This Row],[SETOR]]="","",IF(Tabela8[[#This Row],[SETOR]]&lt;200,"GV 10",IF(Tabela8[[#This Row],[SETOR]]&lt;300,"GV 20",IF(Tabela8[[#This Row],[SETOR]]&lt;400,"GV 30","S/GV"))))</f>
        <v>GV 20</v>
      </c>
      <c r="E2163" t="s">
        <v>123</v>
      </c>
      <c r="G2163" t="str">
        <f>_xlfn.CONCAT(Tabela9[[#This Row],[Coluna1]],Tabela9[[#This Row],[Coluna2]])</f>
        <v>20-Rota</v>
      </c>
    </row>
    <row r="2164" spans="1:7" x14ac:dyDescent="0.25">
      <c r="A2164">
        <v>14014</v>
      </c>
      <c r="B2164">
        <v>205</v>
      </c>
      <c r="C2164" s="1" t="str">
        <f>IF(Tabela8[[#This Row],[SETOR]]="","",IF(Tabela8[[#This Row],[SETOR]]&lt;200,"GV 10",IF(Tabela8[[#This Row],[SETOR]]&lt;300,"GV 20",IF(Tabela8[[#This Row],[SETOR]]&lt;400,"GV 30","S/GV"))))</f>
        <v>GV 20</v>
      </c>
      <c r="E2164" t="s">
        <v>123</v>
      </c>
      <c r="G2164" t="str">
        <f>_xlfn.CONCAT(Tabela9[[#This Row],[Coluna1]],Tabela9[[#This Row],[Coluna2]])</f>
        <v>20-Rota</v>
      </c>
    </row>
    <row r="2165" spans="1:7" x14ac:dyDescent="0.25">
      <c r="A2165">
        <v>14020</v>
      </c>
      <c r="B2165">
        <v>305</v>
      </c>
      <c r="C2165" s="1" t="str">
        <f>IF(Tabela8[[#This Row],[SETOR]]="","",IF(Tabela8[[#This Row],[SETOR]]&lt;200,"GV 10",IF(Tabela8[[#This Row],[SETOR]]&lt;300,"GV 20",IF(Tabela8[[#This Row],[SETOR]]&lt;400,"GV 30","S/GV"))))</f>
        <v>GV 30</v>
      </c>
      <c r="E2165" t="s">
        <v>123</v>
      </c>
      <c r="G2165" t="str">
        <f>_xlfn.CONCAT(Tabela9[[#This Row],[Coluna1]],Tabela9[[#This Row],[Coluna2]])</f>
        <v>20-Rota</v>
      </c>
    </row>
    <row r="2166" spans="1:7" x14ac:dyDescent="0.25">
      <c r="A2166">
        <v>14024</v>
      </c>
      <c r="B2166">
        <v>104</v>
      </c>
      <c r="C2166" s="1" t="str">
        <f>IF(Tabela8[[#This Row],[SETOR]]="","",IF(Tabela8[[#This Row],[SETOR]]&lt;200,"GV 10",IF(Tabela8[[#This Row],[SETOR]]&lt;300,"GV 20",IF(Tabela8[[#This Row],[SETOR]]&lt;400,"GV 30","S/GV"))))</f>
        <v>GV 10</v>
      </c>
      <c r="E2166" t="s">
        <v>123</v>
      </c>
      <c r="G2166" t="str">
        <f>_xlfn.CONCAT(Tabela9[[#This Row],[Coluna1]],Tabela9[[#This Row],[Coluna2]])</f>
        <v>20-Rota</v>
      </c>
    </row>
    <row r="2167" spans="1:7" x14ac:dyDescent="0.25">
      <c r="A2167">
        <v>14026</v>
      </c>
      <c r="B2167">
        <v>201</v>
      </c>
      <c r="C2167" s="1" t="str">
        <f>IF(Tabela8[[#This Row],[SETOR]]="","",IF(Tabela8[[#This Row],[SETOR]]&lt;200,"GV 10",IF(Tabela8[[#This Row],[SETOR]]&lt;300,"GV 20",IF(Tabela8[[#This Row],[SETOR]]&lt;400,"GV 30","S/GV"))))</f>
        <v>GV 20</v>
      </c>
      <c r="E2167" t="s">
        <v>123</v>
      </c>
      <c r="G2167" t="str">
        <f>_xlfn.CONCAT(Tabela9[[#This Row],[Coluna1]],Tabela9[[#This Row],[Coluna2]])</f>
        <v>20-Rota</v>
      </c>
    </row>
    <row r="2168" spans="1:7" x14ac:dyDescent="0.25">
      <c r="A2168">
        <v>14030</v>
      </c>
      <c r="B2168">
        <v>202</v>
      </c>
      <c r="C2168" s="1" t="str">
        <f>IF(Tabela8[[#This Row],[SETOR]]="","",IF(Tabela8[[#This Row],[SETOR]]&lt;200,"GV 10",IF(Tabela8[[#This Row],[SETOR]]&lt;300,"GV 20",IF(Tabela8[[#This Row],[SETOR]]&lt;400,"GV 30","S/GV"))))</f>
        <v>GV 20</v>
      </c>
      <c r="E2168" t="s">
        <v>123</v>
      </c>
      <c r="G2168" t="str">
        <f>_xlfn.CONCAT(Tabela9[[#This Row],[Coluna1]],Tabela9[[#This Row],[Coluna2]])</f>
        <v>20-Rota</v>
      </c>
    </row>
    <row r="2169" spans="1:7" x14ac:dyDescent="0.25">
      <c r="A2169">
        <v>14033</v>
      </c>
      <c r="B2169">
        <v>304</v>
      </c>
      <c r="C2169" s="1" t="str">
        <f>IF(Tabela8[[#This Row],[SETOR]]="","",IF(Tabela8[[#This Row],[SETOR]]&lt;200,"GV 10",IF(Tabela8[[#This Row],[SETOR]]&lt;300,"GV 20",IF(Tabela8[[#This Row],[SETOR]]&lt;400,"GV 30","S/GV"))))</f>
        <v>GV 30</v>
      </c>
      <c r="E2169" t="s">
        <v>123</v>
      </c>
      <c r="G2169" t="str">
        <f>_xlfn.CONCAT(Tabela9[[#This Row],[Coluna1]],Tabela9[[#This Row],[Coluna2]])</f>
        <v>20-Rota</v>
      </c>
    </row>
    <row r="2170" spans="1:7" x14ac:dyDescent="0.25">
      <c r="A2170">
        <v>14036</v>
      </c>
      <c r="B2170">
        <v>303</v>
      </c>
      <c r="C2170" s="1" t="str">
        <f>IF(Tabela8[[#This Row],[SETOR]]="","",IF(Tabela8[[#This Row],[SETOR]]&lt;200,"GV 10",IF(Tabela8[[#This Row],[SETOR]]&lt;300,"GV 20",IF(Tabela8[[#This Row],[SETOR]]&lt;400,"GV 30","S/GV"))))</f>
        <v>GV 30</v>
      </c>
      <c r="E2170" t="s">
        <v>123</v>
      </c>
      <c r="G2170" t="str">
        <f>_xlfn.CONCAT(Tabela9[[#This Row],[Coluna1]],Tabela9[[#This Row],[Coluna2]])</f>
        <v>20-Rota</v>
      </c>
    </row>
    <row r="2171" spans="1:7" x14ac:dyDescent="0.25">
      <c r="A2171">
        <v>14039</v>
      </c>
      <c r="B2171">
        <v>305</v>
      </c>
      <c r="C2171" s="1" t="str">
        <f>IF(Tabela8[[#This Row],[SETOR]]="","",IF(Tabela8[[#This Row],[SETOR]]&lt;200,"GV 10",IF(Tabela8[[#This Row],[SETOR]]&lt;300,"GV 20",IF(Tabela8[[#This Row],[SETOR]]&lt;400,"GV 30","S/GV"))))</f>
        <v>GV 30</v>
      </c>
      <c r="E2171" t="s">
        <v>123</v>
      </c>
      <c r="G2171" t="str">
        <f>_xlfn.CONCAT(Tabela9[[#This Row],[Coluna1]],Tabela9[[#This Row],[Coluna2]])</f>
        <v>20-Rota</v>
      </c>
    </row>
    <row r="2172" spans="1:7" x14ac:dyDescent="0.25">
      <c r="A2172">
        <v>14041</v>
      </c>
      <c r="B2172">
        <v>302</v>
      </c>
      <c r="C2172" s="1" t="str">
        <f>IF(Tabela8[[#This Row],[SETOR]]="","",IF(Tabela8[[#This Row],[SETOR]]&lt;200,"GV 10",IF(Tabela8[[#This Row],[SETOR]]&lt;300,"GV 20",IF(Tabela8[[#This Row],[SETOR]]&lt;400,"GV 30","S/GV"))))</f>
        <v>GV 30</v>
      </c>
      <c r="E2172" t="s">
        <v>123</v>
      </c>
      <c r="G2172" t="str">
        <f>_xlfn.CONCAT(Tabela9[[#This Row],[Coluna1]],Tabela9[[#This Row],[Coluna2]])</f>
        <v>20-Rota</v>
      </c>
    </row>
    <row r="2173" spans="1:7" x14ac:dyDescent="0.25">
      <c r="A2173">
        <v>14049</v>
      </c>
      <c r="B2173">
        <v>201</v>
      </c>
      <c r="C2173" s="1" t="str">
        <f>IF(Tabela8[[#This Row],[SETOR]]="","",IF(Tabela8[[#This Row],[SETOR]]&lt;200,"GV 10",IF(Tabela8[[#This Row],[SETOR]]&lt;300,"GV 20",IF(Tabela8[[#This Row],[SETOR]]&lt;400,"GV 30","S/GV"))))</f>
        <v>GV 20</v>
      </c>
      <c r="E2173" t="s">
        <v>125</v>
      </c>
      <c r="G2173" t="str">
        <f>_xlfn.CONCAT(Tabela9[[#This Row],[Coluna1]],Tabela9[[#This Row],[Coluna2]])</f>
        <v>18-TRAD</v>
      </c>
    </row>
    <row r="2174" spans="1:7" x14ac:dyDescent="0.25">
      <c r="A2174">
        <v>14051</v>
      </c>
      <c r="B2174">
        <v>202</v>
      </c>
      <c r="C2174" s="1" t="str">
        <f>IF(Tabela8[[#This Row],[SETOR]]="","",IF(Tabela8[[#This Row],[SETOR]]&lt;200,"GV 10",IF(Tabela8[[#This Row],[SETOR]]&lt;300,"GV 20",IF(Tabela8[[#This Row],[SETOR]]&lt;400,"GV 30","S/GV"))))</f>
        <v>GV 20</v>
      </c>
      <c r="E2174" t="s">
        <v>123</v>
      </c>
      <c r="G2174" t="str">
        <f>_xlfn.CONCAT(Tabela9[[#This Row],[Coluna1]],Tabela9[[#This Row],[Coluna2]])</f>
        <v>20-Rota</v>
      </c>
    </row>
    <row r="2175" spans="1:7" x14ac:dyDescent="0.25">
      <c r="A2175">
        <v>14057</v>
      </c>
      <c r="B2175">
        <v>101</v>
      </c>
      <c r="C2175" s="1" t="str">
        <f>IF(Tabela8[[#This Row],[SETOR]]="","",IF(Tabela8[[#This Row],[SETOR]]&lt;200,"GV 10",IF(Tabela8[[#This Row],[SETOR]]&lt;300,"GV 20",IF(Tabela8[[#This Row],[SETOR]]&lt;400,"GV 30","S/GV"))))</f>
        <v>GV 10</v>
      </c>
      <c r="E2175" t="s">
        <v>123</v>
      </c>
      <c r="G2175" t="str">
        <f>_xlfn.CONCAT(Tabela9[[#This Row],[Coluna1]],Tabela9[[#This Row],[Coluna2]])</f>
        <v>20-Rota</v>
      </c>
    </row>
    <row r="2176" spans="1:7" x14ac:dyDescent="0.25">
      <c r="A2176">
        <v>14058</v>
      </c>
      <c r="B2176">
        <v>101</v>
      </c>
      <c r="C2176" s="1" t="str">
        <f>IF(Tabela8[[#This Row],[SETOR]]="","",IF(Tabela8[[#This Row],[SETOR]]&lt;200,"GV 10",IF(Tabela8[[#This Row],[SETOR]]&lt;300,"GV 20",IF(Tabela8[[#This Row],[SETOR]]&lt;400,"GV 30","S/GV"))))</f>
        <v>GV 10</v>
      </c>
      <c r="E2176" t="s">
        <v>128</v>
      </c>
      <c r="F2176" t="s">
        <v>129</v>
      </c>
      <c r="G2176" t="str">
        <f>_xlfn.CONCAT(Tabela9[[#This Row],[Coluna1]],Tabela9[[#This Row],[Coluna2]])</f>
        <v>15-AS(1-4)</v>
      </c>
    </row>
    <row r="2177" spans="1:7" x14ac:dyDescent="0.25">
      <c r="A2177">
        <v>14063</v>
      </c>
      <c r="B2177">
        <v>106</v>
      </c>
      <c r="C2177" s="1" t="str">
        <f>IF(Tabela8[[#This Row],[SETOR]]="","",IF(Tabela8[[#This Row],[SETOR]]&lt;200,"GV 10",IF(Tabela8[[#This Row],[SETOR]]&lt;300,"GV 20",IF(Tabela8[[#This Row],[SETOR]]&lt;400,"GV 30","S/GV"))))</f>
        <v>GV 10</v>
      </c>
      <c r="E2177" t="s">
        <v>123</v>
      </c>
      <c r="G2177" t="str">
        <f>_xlfn.CONCAT(Tabela9[[#This Row],[Coluna1]],Tabela9[[#This Row],[Coluna2]])</f>
        <v>20-Rota</v>
      </c>
    </row>
    <row r="2178" spans="1:7" x14ac:dyDescent="0.25">
      <c r="A2178">
        <v>14065</v>
      </c>
      <c r="B2178">
        <v>308</v>
      </c>
      <c r="C2178" s="1" t="str">
        <f>IF(Tabela8[[#This Row],[SETOR]]="","",IF(Tabela8[[#This Row],[SETOR]]&lt;200,"GV 10",IF(Tabela8[[#This Row],[SETOR]]&lt;300,"GV 20",IF(Tabela8[[#This Row],[SETOR]]&lt;400,"GV 30","S/GV"))))</f>
        <v>GV 30</v>
      </c>
      <c r="E2178" t="s">
        <v>131</v>
      </c>
      <c r="F2178" t="s">
        <v>132</v>
      </c>
      <c r="G2178" t="str">
        <f>_xlfn.CONCAT(Tabela9[[#This Row],[Coluna1]],Tabela9[[#This Row],[Coluna2]])</f>
        <v>14-Lj.Conveniência</v>
      </c>
    </row>
    <row r="2179" spans="1:7" x14ac:dyDescent="0.25">
      <c r="A2179">
        <v>14066</v>
      </c>
      <c r="B2179">
        <v>907</v>
      </c>
      <c r="C2179" s="1" t="str">
        <f>IF(Tabela8[[#This Row],[SETOR]]="","",IF(Tabela8[[#This Row],[SETOR]]&lt;200,"GV 10",IF(Tabela8[[#This Row],[SETOR]]&lt;300,"GV 20",IF(Tabela8[[#This Row],[SETOR]]&lt;400,"GV 30","S/GV"))))</f>
        <v>S/GV</v>
      </c>
      <c r="G2179" t="str">
        <f>_xlfn.CONCAT(Tabela9[[#This Row],[Coluna1]],Tabela9[[#This Row],[Coluna2]])</f>
        <v/>
      </c>
    </row>
    <row r="2180" spans="1:7" x14ac:dyDescent="0.25">
      <c r="A2180">
        <v>14071</v>
      </c>
      <c r="B2180">
        <v>203</v>
      </c>
      <c r="C2180" s="1" t="str">
        <f>IF(Tabela8[[#This Row],[SETOR]]="","",IF(Tabela8[[#This Row],[SETOR]]&lt;200,"GV 10",IF(Tabela8[[#This Row],[SETOR]]&lt;300,"GV 20",IF(Tabela8[[#This Row],[SETOR]]&lt;400,"GV 30","S/GV"))))</f>
        <v>GV 20</v>
      </c>
      <c r="E2180" t="s">
        <v>123</v>
      </c>
      <c r="G2180" t="str">
        <f>_xlfn.CONCAT(Tabela9[[#This Row],[Coluna1]],Tabela9[[#This Row],[Coluna2]])</f>
        <v>20-Rota</v>
      </c>
    </row>
    <row r="2181" spans="1:7" x14ac:dyDescent="0.25">
      <c r="A2181">
        <v>14074</v>
      </c>
      <c r="B2181">
        <v>907</v>
      </c>
      <c r="C2181" s="1" t="str">
        <f>IF(Tabela8[[#This Row],[SETOR]]="","",IF(Tabela8[[#This Row],[SETOR]]&lt;200,"GV 10",IF(Tabela8[[#This Row],[SETOR]]&lt;300,"GV 20",IF(Tabela8[[#This Row],[SETOR]]&lt;400,"GV 30","S/GV"))))</f>
        <v>S/GV</v>
      </c>
      <c r="G2181" t="str">
        <f>_xlfn.CONCAT(Tabela9[[#This Row],[Coluna1]],Tabela9[[#This Row],[Coluna2]])</f>
        <v/>
      </c>
    </row>
    <row r="2182" spans="1:7" x14ac:dyDescent="0.25">
      <c r="A2182">
        <v>14076</v>
      </c>
      <c r="B2182">
        <v>301</v>
      </c>
      <c r="C2182" s="1" t="str">
        <f>IF(Tabela8[[#This Row],[SETOR]]="","",IF(Tabela8[[#This Row],[SETOR]]&lt;200,"GV 10",IF(Tabela8[[#This Row],[SETOR]]&lt;300,"GV 20",IF(Tabela8[[#This Row],[SETOR]]&lt;400,"GV 30","S/GV"))))</f>
        <v>GV 30</v>
      </c>
      <c r="E2182" t="s">
        <v>123</v>
      </c>
      <c r="G2182" t="str">
        <f>_xlfn.CONCAT(Tabela9[[#This Row],[Coluna1]],Tabela9[[#This Row],[Coluna2]])</f>
        <v>20-Rota</v>
      </c>
    </row>
    <row r="2183" spans="1:7" x14ac:dyDescent="0.25">
      <c r="A2183">
        <v>14086</v>
      </c>
      <c r="B2183">
        <v>201</v>
      </c>
      <c r="C2183" s="1" t="str">
        <f>IF(Tabela8[[#This Row],[SETOR]]="","",IF(Tabela8[[#This Row],[SETOR]]&lt;200,"GV 10",IF(Tabela8[[#This Row],[SETOR]]&lt;300,"GV 20",IF(Tabela8[[#This Row],[SETOR]]&lt;400,"GV 30","S/GV"))))</f>
        <v>GV 20</v>
      </c>
      <c r="E2183" t="s">
        <v>123</v>
      </c>
      <c r="G2183" t="str">
        <f>_xlfn.CONCAT(Tabela9[[#This Row],[Coluna1]],Tabela9[[#This Row],[Coluna2]])</f>
        <v>20-Rota</v>
      </c>
    </row>
    <row r="2184" spans="1:7" x14ac:dyDescent="0.25">
      <c r="A2184">
        <v>14093</v>
      </c>
      <c r="B2184">
        <v>104</v>
      </c>
      <c r="C2184" s="1" t="str">
        <f>IF(Tabela8[[#This Row],[SETOR]]="","",IF(Tabela8[[#This Row],[SETOR]]&lt;200,"GV 10",IF(Tabela8[[#This Row],[SETOR]]&lt;300,"GV 20",IF(Tabela8[[#This Row],[SETOR]]&lt;400,"GV 30","S/GV"))))</f>
        <v>GV 10</v>
      </c>
      <c r="E2184" t="s">
        <v>123</v>
      </c>
      <c r="G2184" t="str">
        <f>_xlfn.CONCAT(Tabela9[[#This Row],[Coluna1]],Tabela9[[#This Row],[Coluna2]])</f>
        <v>20-Rota</v>
      </c>
    </row>
    <row r="2185" spans="1:7" x14ac:dyDescent="0.25">
      <c r="A2185">
        <v>14094</v>
      </c>
      <c r="B2185">
        <v>109</v>
      </c>
      <c r="C2185" s="1" t="str">
        <f>IF(Tabela8[[#This Row],[SETOR]]="","",IF(Tabela8[[#This Row],[SETOR]]&lt;200,"GV 10",IF(Tabela8[[#This Row],[SETOR]]&lt;300,"GV 20",IF(Tabela8[[#This Row],[SETOR]]&lt;400,"GV 30","S/GV"))))</f>
        <v>GV 10</v>
      </c>
      <c r="E2185" t="s">
        <v>123</v>
      </c>
      <c r="G2185" t="str">
        <f>_xlfn.CONCAT(Tabela9[[#This Row],[Coluna1]],Tabela9[[#This Row],[Coluna2]])</f>
        <v>20-Rota</v>
      </c>
    </row>
    <row r="2186" spans="1:7" x14ac:dyDescent="0.25">
      <c r="A2186">
        <v>14097</v>
      </c>
      <c r="B2186">
        <v>106</v>
      </c>
      <c r="C2186" s="1" t="str">
        <f>IF(Tabela8[[#This Row],[SETOR]]="","",IF(Tabela8[[#This Row],[SETOR]]&lt;200,"GV 10",IF(Tabela8[[#This Row],[SETOR]]&lt;300,"GV 20",IF(Tabela8[[#This Row],[SETOR]]&lt;400,"GV 30","S/GV"))))</f>
        <v>GV 10</v>
      </c>
      <c r="E2186" t="s">
        <v>123</v>
      </c>
      <c r="G2186" t="str">
        <f>_xlfn.CONCAT(Tabela9[[#This Row],[Coluna1]],Tabela9[[#This Row],[Coluna2]])</f>
        <v>20-Rota</v>
      </c>
    </row>
    <row r="2187" spans="1:7" x14ac:dyDescent="0.25">
      <c r="A2187">
        <v>14101</v>
      </c>
      <c r="B2187">
        <v>206</v>
      </c>
      <c r="C2187" s="1" t="str">
        <f>IF(Tabela8[[#This Row],[SETOR]]="","",IF(Tabela8[[#This Row],[SETOR]]&lt;200,"GV 10",IF(Tabela8[[#This Row],[SETOR]]&lt;300,"GV 20",IF(Tabela8[[#This Row],[SETOR]]&lt;400,"GV 30","S/GV"))))</f>
        <v>GV 20</v>
      </c>
      <c r="E2187" t="s">
        <v>124</v>
      </c>
      <c r="G2187" t="str">
        <f>_xlfn.CONCAT(Tabela9[[#This Row],[Coluna1]],Tabela9[[#This Row],[Coluna2]])</f>
        <v>19-VIP</v>
      </c>
    </row>
    <row r="2188" spans="1:7" x14ac:dyDescent="0.25">
      <c r="A2188">
        <v>14102</v>
      </c>
      <c r="B2188">
        <v>205</v>
      </c>
      <c r="C2188" s="1" t="str">
        <f>IF(Tabela8[[#This Row],[SETOR]]="","",IF(Tabela8[[#This Row],[SETOR]]&lt;200,"GV 10",IF(Tabela8[[#This Row],[SETOR]]&lt;300,"GV 20",IF(Tabela8[[#This Row],[SETOR]]&lt;400,"GV 30","S/GV"))))</f>
        <v>GV 20</v>
      </c>
      <c r="E2188" t="s">
        <v>123</v>
      </c>
      <c r="G2188" t="str">
        <f>_xlfn.CONCAT(Tabela9[[#This Row],[Coluna1]],Tabela9[[#This Row],[Coluna2]])</f>
        <v>20-Rota</v>
      </c>
    </row>
    <row r="2189" spans="1:7" x14ac:dyDescent="0.25">
      <c r="A2189">
        <v>14103</v>
      </c>
      <c r="B2189">
        <v>202</v>
      </c>
      <c r="C2189" s="1" t="str">
        <f>IF(Tabela8[[#This Row],[SETOR]]="","",IF(Tabela8[[#This Row],[SETOR]]&lt;200,"GV 10",IF(Tabela8[[#This Row],[SETOR]]&lt;300,"GV 20",IF(Tabela8[[#This Row],[SETOR]]&lt;400,"GV 30","S/GV"))))</f>
        <v>GV 20</v>
      </c>
      <c r="E2189" t="s">
        <v>123</v>
      </c>
      <c r="G2189" t="str">
        <f>_xlfn.CONCAT(Tabela9[[#This Row],[Coluna1]],Tabela9[[#This Row],[Coluna2]])</f>
        <v>20-Rota</v>
      </c>
    </row>
    <row r="2190" spans="1:7" x14ac:dyDescent="0.25">
      <c r="A2190">
        <v>14108</v>
      </c>
      <c r="B2190">
        <v>907</v>
      </c>
      <c r="C2190" s="1" t="str">
        <f>IF(Tabela8[[#This Row],[SETOR]]="","",IF(Tabela8[[#This Row],[SETOR]]&lt;200,"GV 10",IF(Tabela8[[#This Row],[SETOR]]&lt;300,"GV 20",IF(Tabela8[[#This Row],[SETOR]]&lt;400,"GV 30","S/GV"))))</f>
        <v>S/GV</v>
      </c>
      <c r="G2190" t="str">
        <f>_xlfn.CONCAT(Tabela9[[#This Row],[Coluna1]],Tabela9[[#This Row],[Coluna2]])</f>
        <v/>
      </c>
    </row>
    <row r="2191" spans="1:7" x14ac:dyDescent="0.25">
      <c r="A2191">
        <v>14110</v>
      </c>
      <c r="B2191">
        <v>907</v>
      </c>
      <c r="C2191" s="1" t="str">
        <f>IF(Tabela8[[#This Row],[SETOR]]="","",IF(Tabela8[[#This Row],[SETOR]]&lt;200,"GV 10",IF(Tabela8[[#This Row],[SETOR]]&lt;300,"GV 20",IF(Tabela8[[#This Row],[SETOR]]&lt;400,"GV 30","S/GV"))))</f>
        <v>S/GV</v>
      </c>
      <c r="G2191" t="str">
        <f>_xlfn.CONCAT(Tabela9[[#This Row],[Coluna1]],Tabela9[[#This Row],[Coluna2]])</f>
        <v/>
      </c>
    </row>
    <row r="2192" spans="1:7" x14ac:dyDescent="0.25">
      <c r="A2192">
        <v>14114</v>
      </c>
      <c r="B2192">
        <v>907</v>
      </c>
      <c r="C2192" s="1" t="str">
        <f>IF(Tabela8[[#This Row],[SETOR]]="","",IF(Tabela8[[#This Row],[SETOR]]&lt;200,"GV 10",IF(Tabela8[[#This Row],[SETOR]]&lt;300,"GV 20",IF(Tabela8[[#This Row],[SETOR]]&lt;400,"GV 30","S/GV"))))</f>
        <v>S/GV</v>
      </c>
      <c r="G2192" t="str">
        <f>_xlfn.CONCAT(Tabela9[[#This Row],[Coluna1]],Tabela9[[#This Row],[Coluna2]])</f>
        <v/>
      </c>
    </row>
    <row r="2193" spans="1:7" x14ac:dyDescent="0.25">
      <c r="A2193">
        <v>14116</v>
      </c>
      <c r="B2193">
        <v>305</v>
      </c>
      <c r="C2193" s="1" t="str">
        <f>IF(Tabela8[[#This Row],[SETOR]]="","",IF(Tabela8[[#This Row],[SETOR]]&lt;200,"GV 10",IF(Tabela8[[#This Row],[SETOR]]&lt;300,"GV 20",IF(Tabela8[[#This Row],[SETOR]]&lt;400,"GV 30","S/GV"))))</f>
        <v>GV 30</v>
      </c>
      <c r="E2193" t="s">
        <v>125</v>
      </c>
      <c r="G2193" t="str">
        <f>_xlfn.CONCAT(Tabela9[[#This Row],[Coluna1]],Tabela9[[#This Row],[Coluna2]])</f>
        <v>18-TRAD</v>
      </c>
    </row>
    <row r="2194" spans="1:7" x14ac:dyDescent="0.25">
      <c r="A2194">
        <v>14120</v>
      </c>
      <c r="B2194">
        <v>206</v>
      </c>
      <c r="C2194" s="1" t="str">
        <f>IF(Tabela8[[#This Row],[SETOR]]="","",IF(Tabela8[[#This Row],[SETOR]]&lt;200,"GV 10",IF(Tabela8[[#This Row],[SETOR]]&lt;300,"GV 20",IF(Tabela8[[#This Row],[SETOR]]&lt;400,"GV 30","S/GV"))))</f>
        <v>GV 20</v>
      </c>
      <c r="E2194" t="s">
        <v>128</v>
      </c>
      <c r="F2194" t="s">
        <v>129</v>
      </c>
      <c r="G2194" t="str">
        <f>_xlfn.CONCAT(Tabela9[[#This Row],[Coluna1]],Tabela9[[#This Row],[Coluna2]])</f>
        <v>15-AS(1-4)</v>
      </c>
    </row>
    <row r="2195" spans="1:7" x14ac:dyDescent="0.25">
      <c r="A2195">
        <v>14128</v>
      </c>
      <c r="B2195">
        <v>308</v>
      </c>
      <c r="C2195" s="1" t="str">
        <f>IF(Tabela8[[#This Row],[SETOR]]="","",IF(Tabela8[[#This Row],[SETOR]]&lt;200,"GV 10",IF(Tabela8[[#This Row],[SETOR]]&lt;300,"GV 20",IF(Tabela8[[#This Row],[SETOR]]&lt;400,"GV 30","S/GV"))))</f>
        <v>GV 30</v>
      </c>
      <c r="E2195" t="s">
        <v>126</v>
      </c>
      <c r="F2195" t="s">
        <v>127</v>
      </c>
      <c r="G2195" t="str">
        <f>_xlfn.CONCAT(Tabela9[[#This Row],[Coluna1]],Tabela9[[#This Row],[Coluna2]])</f>
        <v>16-AS(5+)</v>
      </c>
    </row>
    <row r="2196" spans="1:7" x14ac:dyDescent="0.25">
      <c r="A2196">
        <v>14133</v>
      </c>
      <c r="B2196">
        <v>907</v>
      </c>
      <c r="C2196" s="1" t="str">
        <f>IF(Tabela8[[#This Row],[SETOR]]="","",IF(Tabela8[[#This Row],[SETOR]]&lt;200,"GV 10",IF(Tabela8[[#This Row],[SETOR]]&lt;300,"GV 20",IF(Tabela8[[#This Row],[SETOR]]&lt;400,"GV 30","S/GV"))))</f>
        <v>S/GV</v>
      </c>
      <c r="G2196" t="str">
        <f>_xlfn.CONCAT(Tabela9[[#This Row],[Coluna1]],Tabela9[[#This Row],[Coluna2]])</f>
        <v/>
      </c>
    </row>
    <row r="2197" spans="1:7" x14ac:dyDescent="0.25">
      <c r="A2197">
        <v>14136</v>
      </c>
      <c r="B2197">
        <v>106</v>
      </c>
      <c r="C2197" s="1" t="str">
        <f>IF(Tabela8[[#This Row],[SETOR]]="","",IF(Tabela8[[#This Row],[SETOR]]&lt;200,"GV 10",IF(Tabela8[[#This Row],[SETOR]]&lt;300,"GV 20",IF(Tabela8[[#This Row],[SETOR]]&lt;400,"GV 30","S/GV"))))</f>
        <v>GV 10</v>
      </c>
      <c r="E2197" t="s">
        <v>125</v>
      </c>
      <c r="G2197" t="str">
        <f>_xlfn.CONCAT(Tabela9[[#This Row],[Coluna1]],Tabela9[[#This Row],[Coluna2]])</f>
        <v>18-TRAD</v>
      </c>
    </row>
    <row r="2198" spans="1:7" x14ac:dyDescent="0.25">
      <c r="A2198">
        <v>14150</v>
      </c>
      <c r="B2198">
        <v>107</v>
      </c>
      <c r="C2198" s="1" t="str">
        <f>IF(Tabela8[[#This Row],[SETOR]]="","",IF(Tabela8[[#This Row],[SETOR]]&lt;200,"GV 10",IF(Tabela8[[#This Row],[SETOR]]&lt;300,"GV 20",IF(Tabela8[[#This Row],[SETOR]]&lt;400,"GV 30","S/GV"))))</f>
        <v>GV 10</v>
      </c>
      <c r="E2198" t="s">
        <v>130</v>
      </c>
      <c r="G2198" t="str">
        <f>_xlfn.CONCAT(Tabela9[[#This Row],[Coluna1]],Tabela9[[#This Row],[Coluna2]])</f>
        <v>21-SUB</v>
      </c>
    </row>
    <row r="2199" spans="1:7" x14ac:dyDescent="0.25">
      <c r="A2199">
        <v>14155</v>
      </c>
      <c r="B2199">
        <v>907</v>
      </c>
      <c r="C2199" s="1" t="str">
        <f>IF(Tabela8[[#This Row],[SETOR]]="","",IF(Tabela8[[#This Row],[SETOR]]&lt;200,"GV 10",IF(Tabela8[[#This Row],[SETOR]]&lt;300,"GV 20",IF(Tabela8[[#This Row],[SETOR]]&lt;400,"GV 30","S/GV"))))</f>
        <v>S/GV</v>
      </c>
      <c r="G2199" t="str">
        <f>_xlfn.CONCAT(Tabela9[[#This Row],[Coluna1]],Tabela9[[#This Row],[Coluna2]])</f>
        <v/>
      </c>
    </row>
    <row r="2200" spans="1:7" x14ac:dyDescent="0.25">
      <c r="A2200">
        <v>14159</v>
      </c>
      <c r="B2200">
        <v>304</v>
      </c>
      <c r="C2200" s="1" t="str">
        <f>IF(Tabela8[[#This Row],[SETOR]]="","",IF(Tabela8[[#This Row],[SETOR]]&lt;200,"GV 10",IF(Tabela8[[#This Row],[SETOR]]&lt;300,"GV 20",IF(Tabela8[[#This Row],[SETOR]]&lt;400,"GV 30","S/GV"))))</f>
        <v>GV 30</v>
      </c>
      <c r="E2200" t="s">
        <v>123</v>
      </c>
      <c r="G2200" t="str">
        <f>_xlfn.CONCAT(Tabela9[[#This Row],[Coluna1]],Tabela9[[#This Row],[Coluna2]])</f>
        <v>20-Rota</v>
      </c>
    </row>
    <row r="2201" spans="1:7" x14ac:dyDescent="0.25">
      <c r="A2201">
        <v>14172</v>
      </c>
      <c r="B2201">
        <v>104</v>
      </c>
      <c r="C2201" s="1" t="str">
        <f>IF(Tabela8[[#This Row],[SETOR]]="","",IF(Tabela8[[#This Row],[SETOR]]&lt;200,"GV 10",IF(Tabela8[[#This Row],[SETOR]]&lt;300,"GV 20",IF(Tabela8[[#This Row],[SETOR]]&lt;400,"GV 30","S/GV"))))</f>
        <v>GV 10</v>
      </c>
      <c r="E2201" t="s">
        <v>123</v>
      </c>
      <c r="G2201" t="str">
        <f>_xlfn.CONCAT(Tabela9[[#This Row],[Coluna1]],Tabela9[[#This Row],[Coluna2]])</f>
        <v>20-Rota</v>
      </c>
    </row>
    <row r="2202" spans="1:7" x14ac:dyDescent="0.25">
      <c r="A2202">
        <v>14173</v>
      </c>
      <c r="B2202">
        <v>105</v>
      </c>
      <c r="C2202" s="1" t="str">
        <f>IF(Tabela8[[#This Row],[SETOR]]="","",IF(Tabela8[[#This Row],[SETOR]]&lt;200,"GV 10",IF(Tabela8[[#This Row],[SETOR]]&lt;300,"GV 20",IF(Tabela8[[#This Row],[SETOR]]&lt;400,"GV 30","S/GV"))))</f>
        <v>GV 10</v>
      </c>
      <c r="E2202" t="s">
        <v>123</v>
      </c>
      <c r="G2202" t="str">
        <f>_xlfn.CONCAT(Tabela9[[#This Row],[Coluna1]],Tabela9[[#This Row],[Coluna2]])</f>
        <v>20-Rota</v>
      </c>
    </row>
    <row r="2203" spans="1:7" x14ac:dyDescent="0.25">
      <c r="A2203">
        <v>14175</v>
      </c>
      <c r="B2203">
        <v>907</v>
      </c>
      <c r="C2203" s="1" t="str">
        <f>IF(Tabela8[[#This Row],[SETOR]]="","",IF(Tabela8[[#This Row],[SETOR]]&lt;200,"GV 10",IF(Tabela8[[#This Row],[SETOR]]&lt;300,"GV 20",IF(Tabela8[[#This Row],[SETOR]]&lt;400,"GV 30","S/GV"))))</f>
        <v>S/GV</v>
      </c>
      <c r="G2203" t="str">
        <f>_xlfn.CONCAT(Tabela9[[#This Row],[Coluna1]],Tabela9[[#This Row],[Coluna2]])</f>
        <v/>
      </c>
    </row>
    <row r="2204" spans="1:7" x14ac:dyDescent="0.25">
      <c r="A2204">
        <v>14176</v>
      </c>
      <c r="B2204">
        <v>907</v>
      </c>
      <c r="C2204" s="1" t="str">
        <f>IF(Tabela8[[#This Row],[SETOR]]="","",IF(Tabela8[[#This Row],[SETOR]]&lt;200,"GV 10",IF(Tabela8[[#This Row],[SETOR]]&lt;300,"GV 20",IF(Tabela8[[#This Row],[SETOR]]&lt;400,"GV 30","S/GV"))))</f>
        <v>S/GV</v>
      </c>
      <c r="G2204" t="str">
        <f>_xlfn.CONCAT(Tabela9[[#This Row],[Coluna1]],Tabela9[[#This Row],[Coluna2]])</f>
        <v/>
      </c>
    </row>
    <row r="2205" spans="1:7" x14ac:dyDescent="0.25">
      <c r="A2205">
        <v>14185</v>
      </c>
      <c r="B2205">
        <v>101</v>
      </c>
      <c r="C2205" s="1" t="str">
        <f>IF(Tabela8[[#This Row],[SETOR]]="","",IF(Tabela8[[#This Row],[SETOR]]&lt;200,"GV 10",IF(Tabela8[[#This Row],[SETOR]]&lt;300,"GV 20",IF(Tabela8[[#This Row],[SETOR]]&lt;400,"GV 30","S/GV"))))</f>
        <v>GV 10</v>
      </c>
      <c r="E2205" t="s">
        <v>123</v>
      </c>
      <c r="G2205" t="str">
        <f>_xlfn.CONCAT(Tabela9[[#This Row],[Coluna1]],Tabela9[[#This Row],[Coluna2]])</f>
        <v>20-Rota</v>
      </c>
    </row>
    <row r="2206" spans="1:7" x14ac:dyDescent="0.25">
      <c r="A2206">
        <v>14189</v>
      </c>
      <c r="B2206">
        <v>301</v>
      </c>
      <c r="C2206" s="1" t="str">
        <f>IF(Tabela8[[#This Row],[SETOR]]="","",IF(Tabela8[[#This Row],[SETOR]]&lt;200,"GV 10",IF(Tabela8[[#This Row],[SETOR]]&lt;300,"GV 20",IF(Tabela8[[#This Row],[SETOR]]&lt;400,"GV 30","S/GV"))))</f>
        <v>GV 30</v>
      </c>
      <c r="E2206" t="s">
        <v>123</v>
      </c>
      <c r="G2206" t="str">
        <f>_xlfn.CONCAT(Tabela9[[#This Row],[Coluna1]],Tabela9[[#This Row],[Coluna2]])</f>
        <v>20-Rota</v>
      </c>
    </row>
    <row r="2207" spans="1:7" x14ac:dyDescent="0.25">
      <c r="A2207">
        <v>14195</v>
      </c>
      <c r="B2207">
        <v>102</v>
      </c>
      <c r="C2207" s="1" t="str">
        <f>IF(Tabela8[[#This Row],[SETOR]]="","",IF(Tabela8[[#This Row],[SETOR]]&lt;200,"GV 10",IF(Tabela8[[#This Row],[SETOR]]&lt;300,"GV 20",IF(Tabela8[[#This Row],[SETOR]]&lt;400,"GV 30","S/GV"))))</f>
        <v>GV 10</v>
      </c>
      <c r="E2207" t="s">
        <v>123</v>
      </c>
      <c r="G2207" t="str">
        <f>_xlfn.CONCAT(Tabela9[[#This Row],[Coluna1]],Tabela9[[#This Row],[Coluna2]])</f>
        <v>20-Rota</v>
      </c>
    </row>
    <row r="2208" spans="1:7" x14ac:dyDescent="0.25">
      <c r="A2208">
        <v>14201</v>
      </c>
      <c r="B2208">
        <v>303</v>
      </c>
      <c r="C2208" s="1" t="str">
        <f>IF(Tabela8[[#This Row],[SETOR]]="","",IF(Tabela8[[#This Row],[SETOR]]&lt;200,"GV 10",IF(Tabela8[[#This Row],[SETOR]]&lt;300,"GV 20",IF(Tabela8[[#This Row],[SETOR]]&lt;400,"GV 30","S/GV"))))</f>
        <v>GV 30</v>
      </c>
      <c r="E2208" t="s">
        <v>123</v>
      </c>
      <c r="G2208" t="str">
        <f>_xlfn.CONCAT(Tabela9[[#This Row],[Coluna1]],Tabela9[[#This Row],[Coluna2]])</f>
        <v>20-Rota</v>
      </c>
    </row>
    <row r="2209" spans="1:7" x14ac:dyDescent="0.25">
      <c r="A2209">
        <v>14202</v>
      </c>
      <c r="B2209">
        <v>907</v>
      </c>
      <c r="C2209" s="1" t="str">
        <f>IF(Tabela8[[#This Row],[SETOR]]="","",IF(Tabela8[[#This Row],[SETOR]]&lt;200,"GV 10",IF(Tabela8[[#This Row],[SETOR]]&lt;300,"GV 20",IF(Tabela8[[#This Row],[SETOR]]&lt;400,"GV 30","S/GV"))))</f>
        <v>S/GV</v>
      </c>
      <c r="G2209" t="str">
        <f>_xlfn.CONCAT(Tabela9[[#This Row],[Coluna1]],Tabela9[[#This Row],[Coluna2]])</f>
        <v/>
      </c>
    </row>
    <row r="2210" spans="1:7" x14ac:dyDescent="0.25">
      <c r="A2210">
        <v>14203</v>
      </c>
      <c r="B2210">
        <v>304</v>
      </c>
      <c r="C2210" s="1" t="str">
        <f>IF(Tabela8[[#This Row],[SETOR]]="","",IF(Tabela8[[#This Row],[SETOR]]&lt;200,"GV 10",IF(Tabela8[[#This Row],[SETOR]]&lt;300,"GV 20",IF(Tabela8[[#This Row],[SETOR]]&lt;400,"GV 30","S/GV"))))</f>
        <v>GV 30</v>
      </c>
      <c r="E2210" t="s">
        <v>123</v>
      </c>
      <c r="G2210" t="str">
        <f>_xlfn.CONCAT(Tabela9[[#This Row],[Coluna1]],Tabela9[[#This Row],[Coluna2]])</f>
        <v>20-Rota</v>
      </c>
    </row>
    <row r="2211" spans="1:7" x14ac:dyDescent="0.25">
      <c r="A2211">
        <v>14206</v>
      </c>
      <c r="B2211">
        <v>302</v>
      </c>
      <c r="C2211" s="1" t="str">
        <f>IF(Tabela8[[#This Row],[SETOR]]="","",IF(Tabela8[[#This Row],[SETOR]]&lt;200,"GV 10",IF(Tabela8[[#This Row],[SETOR]]&lt;300,"GV 20",IF(Tabela8[[#This Row],[SETOR]]&lt;400,"GV 30","S/GV"))))</f>
        <v>GV 30</v>
      </c>
      <c r="E2211" t="s">
        <v>123</v>
      </c>
      <c r="G2211" t="str">
        <f>_xlfn.CONCAT(Tabela9[[#This Row],[Coluna1]],Tabela9[[#This Row],[Coluna2]])</f>
        <v>20-Rota</v>
      </c>
    </row>
    <row r="2212" spans="1:7" x14ac:dyDescent="0.25">
      <c r="A2212">
        <v>14211</v>
      </c>
      <c r="B2212">
        <v>203</v>
      </c>
      <c r="C2212" s="1" t="str">
        <f>IF(Tabela8[[#This Row],[SETOR]]="","",IF(Tabela8[[#This Row],[SETOR]]&lt;200,"GV 10",IF(Tabela8[[#This Row],[SETOR]]&lt;300,"GV 20",IF(Tabela8[[#This Row],[SETOR]]&lt;400,"GV 30","S/GV"))))</f>
        <v>GV 20</v>
      </c>
      <c r="E2212" t="s">
        <v>123</v>
      </c>
      <c r="G2212" t="str">
        <f>_xlfn.CONCAT(Tabela9[[#This Row],[Coluna1]],Tabela9[[#This Row],[Coluna2]])</f>
        <v>20-Rota</v>
      </c>
    </row>
    <row r="2213" spans="1:7" x14ac:dyDescent="0.25">
      <c r="A2213">
        <v>14214</v>
      </c>
      <c r="B2213">
        <v>109</v>
      </c>
      <c r="C2213" s="1" t="str">
        <f>IF(Tabela8[[#This Row],[SETOR]]="","",IF(Tabela8[[#This Row],[SETOR]]&lt;200,"GV 10",IF(Tabela8[[#This Row],[SETOR]]&lt;300,"GV 20",IF(Tabela8[[#This Row],[SETOR]]&lt;400,"GV 30","S/GV"))))</f>
        <v>GV 10</v>
      </c>
      <c r="E2213" t="s">
        <v>123</v>
      </c>
      <c r="G2213" t="str">
        <f>_xlfn.CONCAT(Tabela9[[#This Row],[Coluna1]],Tabela9[[#This Row],[Coluna2]])</f>
        <v>20-Rota</v>
      </c>
    </row>
    <row r="2214" spans="1:7" x14ac:dyDescent="0.25">
      <c r="A2214">
        <v>14224</v>
      </c>
      <c r="B2214">
        <v>101</v>
      </c>
      <c r="C2214" s="1" t="str">
        <f>IF(Tabela8[[#This Row],[SETOR]]="","",IF(Tabela8[[#This Row],[SETOR]]&lt;200,"GV 10",IF(Tabela8[[#This Row],[SETOR]]&lt;300,"GV 20",IF(Tabela8[[#This Row],[SETOR]]&lt;400,"GV 30","S/GV"))))</f>
        <v>GV 10</v>
      </c>
      <c r="E2214" t="s">
        <v>123</v>
      </c>
      <c r="G2214" t="str">
        <f>_xlfn.CONCAT(Tabela9[[#This Row],[Coluna1]],Tabela9[[#This Row],[Coluna2]])</f>
        <v>20-Rota</v>
      </c>
    </row>
    <row r="2215" spans="1:7" x14ac:dyDescent="0.25">
      <c r="A2215">
        <v>14225</v>
      </c>
      <c r="B2215">
        <v>301</v>
      </c>
      <c r="C2215" s="1" t="str">
        <f>IF(Tabela8[[#This Row],[SETOR]]="","",IF(Tabela8[[#This Row],[SETOR]]&lt;200,"GV 10",IF(Tabela8[[#This Row],[SETOR]]&lt;300,"GV 20",IF(Tabela8[[#This Row],[SETOR]]&lt;400,"GV 30","S/GV"))))</f>
        <v>GV 30</v>
      </c>
      <c r="E2215" t="s">
        <v>123</v>
      </c>
      <c r="G2215" t="str">
        <f>_xlfn.CONCAT(Tabela9[[#This Row],[Coluna1]],Tabela9[[#This Row],[Coluna2]])</f>
        <v>20-Rota</v>
      </c>
    </row>
    <row r="2216" spans="1:7" x14ac:dyDescent="0.25">
      <c r="A2216">
        <v>14228</v>
      </c>
      <c r="B2216">
        <v>104</v>
      </c>
      <c r="C2216" s="1" t="str">
        <f>IF(Tabela8[[#This Row],[SETOR]]="","",IF(Tabela8[[#This Row],[SETOR]]&lt;200,"GV 10",IF(Tabela8[[#This Row],[SETOR]]&lt;300,"GV 20",IF(Tabela8[[#This Row],[SETOR]]&lt;400,"GV 30","S/GV"))))</f>
        <v>GV 10</v>
      </c>
      <c r="E2216" t="s">
        <v>123</v>
      </c>
      <c r="G2216" t="str">
        <f>_xlfn.CONCAT(Tabela9[[#This Row],[Coluna1]],Tabela9[[#This Row],[Coluna2]])</f>
        <v>20-Rota</v>
      </c>
    </row>
    <row r="2217" spans="1:7" x14ac:dyDescent="0.25">
      <c r="A2217">
        <v>14232</v>
      </c>
      <c r="B2217">
        <v>907</v>
      </c>
      <c r="C2217" s="1" t="str">
        <f>IF(Tabela8[[#This Row],[SETOR]]="","",IF(Tabela8[[#This Row],[SETOR]]&lt;200,"GV 10",IF(Tabela8[[#This Row],[SETOR]]&lt;300,"GV 20",IF(Tabela8[[#This Row],[SETOR]]&lt;400,"GV 30","S/GV"))))</f>
        <v>S/GV</v>
      </c>
      <c r="G2217" t="str">
        <f>_xlfn.CONCAT(Tabela9[[#This Row],[Coluna1]],Tabela9[[#This Row],[Coluna2]])</f>
        <v/>
      </c>
    </row>
    <row r="2218" spans="1:7" x14ac:dyDescent="0.25">
      <c r="A2218">
        <v>14237</v>
      </c>
      <c r="B2218">
        <v>201</v>
      </c>
      <c r="C2218" s="1" t="str">
        <f>IF(Tabela8[[#This Row],[SETOR]]="","",IF(Tabela8[[#This Row],[SETOR]]&lt;200,"GV 10",IF(Tabela8[[#This Row],[SETOR]]&lt;300,"GV 20",IF(Tabela8[[#This Row],[SETOR]]&lt;400,"GV 30","S/GV"))))</f>
        <v>GV 20</v>
      </c>
      <c r="E2218" t="s">
        <v>123</v>
      </c>
      <c r="G2218" t="str">
        <f>_xlfn.CONCAT(Tabela9[[#This Row],[Coluna1]],Tabela9[[#This Row],[Coluna2]])</f>
        <v>20-Rota</v>
      </c>
    </row>
    <row r="2219" spans="1:7" x14ac:dyDescent="0.25">
      <c r="A2219">
        <v>14238</v>
      </c>
      <c r="B2219">
        <v>304</v>
      </c>
      <c r="C2219" s="1" t="str">
        <f>IF(Tabela8[[#This Row],[SETOR]]="","",IF(Tabela8[[#This Row],[SETOR]]&lt;200,"GV 10",IF(Tabela8[[#This Row],[SETOR]]&lt;300,"GV 20",IF(Tabela8[[#This Row],[SETOR]]&lt;400,"GV 30","S/GV"))))</f>
        <v>GV 30</v>
      </c>
      <c r="E2219" t="s">
        <v>123</v>
      </c>
      <c r="G2219" t="str">
        <f>_xlfn.CONCAT(Tabela9[[#This Row],[Coluna1]],Tabela9[[#This Row],[Coluna2]])</f>
        <v>20-Rota</v>
      </c>
    </row>
    <row r="2220" spans="1:7" x14ac:dyDescent="0.25">
      <c r="A2220">
        <v>14239</v>
      </c>
      <c r="B2220">
        <v>306</v>
      </c>
      <c r="C2220" s="1" t="str">
        <f>IF(Tabela8[[#This Row],[SETOR]]="","",IF(Tabela8[[#This Row],[SETOR]]&lt;200,"GV 10",IF(Tabela8[[#This Row],[SETOR]]&lt;300,"GV 20",IF(Tabela8[[#This Row],[SETOR]]&lt;400,"GV 30","S/GV"))))</f>
        <v>GV 30</v>
      </c>
      <c r="E2220" t="s">
        <v>131</v>
      </c>
      <c r="F2220" t="s">
        <v>132</v>
      </c>
      <c r="G2220" t="str">
        <f>_xlfn.CONCAT(Tabela9[[#This Row],[Coluna1]],Tabela9[[#This Row],[Coluna2]])</f>
        <v>14-Lj.Conveniência</v>
      </c>
    </row>
    <row r="2221" spans="1:7" x14ac:dyDescent="0.25">
      <c r="A2221">
        <v>14240</v>
      </c>
      <c r="B2221">
        <v>906</v>
      </c>
      <c r="C2221" s="1" t="str">
        <f>IF(Tabela8[[#This Row],[SETOR]]="","",IF(Tabela8[[#This Row],[SETOR]]&lt;200,"GV 10",IF(Tabela8[[#This Row],[SETOR]]&lt;300,"GV 20",IF(Tabela8[[#This Row],[SETOR]]&lt;400,"GV 30","S/GV"))))</f>
        <v>S/GV</v>
      </c>
      <c r="G2221" t="str">
        <f>_xlfn.CONCAT(Tabela9[[#This Row],[Coluna1]],Tabela9[[#This Row],[Coluna2]])</f>
        <v/>
      </c>
    </row>
    <row r="2222" spans="1:7" x14ac:dyDescent="0.25">
      <c r="A2222">
        <v>14258</v>
      </c>
      <c r="B2222">
        <v>204</v>
      </c>
      <c r="C2222" s="1" t="str">
        <f>IF(Tabela8[[#This Row],[SETOR]]="","",IF(Tabela8[[#This Row],[SETOR]]&lt;200,"GV 10",IF(Tabela8[[#This Row],[SETOR]]&lt;300,"GV 20",IF(Tabela8[[#This Row],[SETOR]]&lt;400,"GV 30","S/GV"))))</f>
        <v>GV 20</v>
      </c>
      <c r="E2222" t="s">
        <v>123</v>
      </c>
      <c r="G2222" t="str">
        <f>_xlfn.CONCAT(Tabela9[[#This Row],[Coluna1]],Tabela9[[#This Row],[Coluna2]])</f>
        <v>20-Rota</v>
      </c>
    </row>
    <row r="2223" spans="1:7" x14ac:dyDescent="0.25">
      <c r="A2223">
        <v>14259</v>
      </c>
      <c r="B2223">
        <v>201</v>
      </c>
      <c r="C2223" s="1" t="str">
        <f>IF(Tabela8[[#This Row],[SETOR]]="","",IF(Tabela8[[#This Row],[SETOR]]&lt;200,"GV 10",IF(Tabela8[[#This Row],[SETOR]]&lt;300,"GV 20",IF(Tabela8[[#This Row],[SETOR]]&lt;400,"GV 30","S/GV"))))</f>
        <v>GV 20</v>
      </c>
      <c r="E2223" t="s">
        <v>123</v>
      </c>
      <c r="G2223" t="str">
        <f>_xlfn.CONCAT(Tabela9[[#This Row],[Coluna1]],Tabela9[[#This Row],[Coluna2]])</f>
        <v>20-Rota</v>
      </c>
    </row>
    <row r="2224" spans="1:7" x14ac:dyDescent="0.25">
      <c r="A2224">
        <v>14262</v>
      </c>
      <c r="B2224">
        <v>907</v>
      </c>
      <c r="C2224" s="1" t="str">
        <f>IF(Tabela8[[#This Row],[SETOR]]="","",IF(Tabela8[[#This Row],[SETOR]]&lt;200,"GV 10",IF(Tabela8[[#This Row],[SETOR]]&lt;300,"GV 20",IF(Tabela8[[#This Row],[SETOR]]&lt;400,"GV 30","S/GV"))))</f>
        <v>S/GV</v>
      </c>
      <c r="G2224" t="str">
        <f>_xlfn.CONCAT(Tabela9[[#This Row],[Coluna1]],Tabela9[[#This Row],[Coluna2]])</f>
        <v/>
      </c>
    </row>
    <row r="2225" spans="1:7" x14ac:dyDescent="0.25">
      <c r="A2225">
        <v>14266</v>
      </c>
      <c r="B2225">
        <v>109</v>
      </c>
      <c r="C2225" s="1" t="str">
        <f>IF(Tabela8[[#This Row],[SETOR]]="","",IF(Tabela8[[#This Row],[SETOR]]&lt;200,"GV 10",IF(Tabela8[[#This Row],[SETOR]]&lt;300,"GV 20",IF(Tabela8[[#This Row],[SETOR]]&lt;400,"GV 30","S/GV"))))</f>
        <v>GV 10</v>
      </c>
      <c r="E2225" t="s">
        <v>123</v>
      </c>
      <c r="G2225" t="str">
        <f>_xlfn.CONCAT(Tabela9[[#This Row],[Coluna1]],Tabela9[[#This Row],[Coluna2]])</f>
        <v>20-Rota</v>
      </c>
    </row>
    <row r="2226" spans="1:7" x14ac:dyDescent="0.25">
      <c r="A2226">
        <v>14269</v>
      </c>
      <c r="B2226">
        <v>108</v>
      </c>
      <c r="C2226" s="1" t="str">
        <f>IF(Tabela8[[#This Row],[SETOR]]="","",IF(Tabela8[[#This Row],[SETOR]]&lt;200,"GV 10",IF(Tabela8[[#This Row],[SETOR]]&lt;300,"GV 20",IF(Tabela8[[#This Row],[SETOR]]&lt;400,"GV 30","S/GV"))))</f>
        <v>GV 10</v>
      </c>
      <c r="E2226" t="s">
        <v>126</v>
      </c>
      <c r="F2226" t="s">
        <v>127</v>
      </c>
      <c r="G2226" t="str">
        <f>_xlfn.CONCAT(Tabela9[[#This Row],[Coluna1]],Tabela9[[#This Row],[Coluna2]])</f>
        <v>16-AS(5+)</v>
      </c>
    </row>
    <row r="2227" spans="1:7" x14ac:dyDescent="0.25">
      <c r="A2227">
        <v>14273</v>
      </c>
      <c r="B2227">
        <v>202</v>
      </c>
      <c r="C2227" s="1" t="str">
        <f>IF(Tabela8[[#This Row],[SETOR]]="","",IF(Tabela8[[#This Row],[SETOR]]&lt;200,"GV 10",IF(Tabela8[[#This Row],[SETOR]]&lt;300,"GV 20",IF(Tabela8[[#This Row],[SETOR]]&lt;400,"GV 30","S/GV"))))</f>
        <v>GV 20</v>
      </c>
      <c r="E2227" t="s">
        <v>125</v>
      </c>
      <c r="G2227" t="str">
        <f>_xlfn.CONCAT(Tabela9[[#This Row],[Coluna1]],Tabela9[[#This Row],[Coluna2]])</f>
        <v>18-TRAD</v>
      </c>
    </row>
    <row r="2228" spans="1:7" x14ac:dyDescent="0.25">
      <c r="A2228">
        <v>14280</v>
      </c>
      <c r="B2228">
        <v>305</v>
      </c>
      <c r="C2228" s="1" t="str">
        <f>IF(Tabela8[[#This Row],[SETOR]]="","",IF(Tabela8[[#This Row],[SETOR]]&lt;200,"GV 10",IF(Tabela8[[#This Row],[SETOR]]&lt;300,"GV 20",IF(Tabela8[[#This Row],[SETOR]]&lt;400,"GV 30","S/GV"))))</f>
        <v>GV 30</v>
      </c>
      <c r="E2228" t="s">
        <v>123</v>
      </c>
      <c r="G2228" t="str">
        <f>_xlfn.CONCAT(Tabela9[[#This Row],[Coluna1]],Tabela9[[#This Row],[Coluna2]])</f>
        <v>20-Rota</v>
      </c>
    </row>
    <row r="2229" spans="1:7" x14ac:dyDescent="0.25">
      <c r="A2229">
        <v>14282</v>
      </c>
      <c r="B2229">
        <v>201</v>
      </c>
      <c r="C2229" s="1" t="str">
        <f>IF(Tabela8[[#This Row],[SETOR]]="","",IF(Tabela8[[#This Row],[SETOR]]&lt;200,"GV 10",IF(Tabela8[[#This Row],[SETOR]]&lt;300,"GV 20",IF(Tabela8[[#This Row],[SETOR]]&lt;400,"GV 30","S/GV"))))</f>
        <v>GV 20</v>
      </c>
      <c r="E2229" t="s">
        <v>123</v>
      </c>
      <c r="G2229" t="str">
        <f>_xlfn.CONCAT(Tabela9[[#This Row],[Coluna1]],Tabela9[[#This Row],[Coluna2]])</f>
        <v>20-Rota</v>
      </c>
    </row>
    <row r="2230" spans="1:7" x14ac:dyDescent="0.25">
      <c r="A2230">
        <v>14290</v>
      </c>
      <c r="B2230">
        <v>303</v>
      </c>
      <c r="C2230" s="1" t="str">
        <f>IF(Tabela8[[#This Row],[SETOR]]="","",IF(Tabela8[[#This Row],[SETOR]]&lt;200,"GV 10",IF(Tabela8[[#This Row],[SETOR]]&lt;300,"GV 20",IF(Tabela8[[#This Row],[SETOR]]&lt;400,"GV 30","S/GV"))))</f>
        <v>GV 30</v>
      </c>
      <c r="E2230" t="s">
        <v>123</v>
      </c>
      <c r="G2230" t="str">
        <f>_xlfn.CONCAT(Tabela9[[#This Row],[Coluna1]],Tabela9[[#This Row],[Coluna2]])</f>
        <v>20-Rota</v>
      </c>
    </row>
    <row r="2231" spans="1:7" x14ac:dyDescent="0.25">
      <c r="A2231">
        <v>14295</v>
      </c>
      <c r="B2231">
        <v>205</v>
      </c>
      <c r="C2231" s="1" t="str">
        <f>IF(Tabela8[[#This Row],[SETOR]]="","",IF(Tabela8[[#This Row],[SETOR]]&lt;200,"GV 10",IF(Tabela8[[#This Row],[SETOR]]&lt;300,"GV 20",IF(Tabela8[[#This Row],[SETOR]]&lt;400,"GV 30","S/GV"))))</f>
        <v>GV 20</v>
      </c>
      <c r="E2231" t="s">
        <v>123</v>
      </c>
      <c r="G2231" t="str">
        <f>_xlfn.CONCAT(Tabela9[[#This Row],[Coluna1]],Tabela9[[#This Row],[Coluna2]])</f>
        <v>20-Rota</v>
      </c>
    </row>
    <row r="2232" spans="1:7" x14ac:dyDescent="0.25">
      <c r="A2232">
        <v>14299</v>
      </c>
      <c r="B2232">
        <v>916</v>
      </c>
      <c r="C2232" s="1" t="str">
        <f>IF(Tabela8[[#This Row],[SETOR]]="","",IF(Tabela8[[#This Row],[SETOR]]&lt;200,"GV 10",IF(Tabela8[[#This Row],[SETOR]]&lt;300,"GV 20",IF(Tabela8[[#This Row],[SETOR]]&lt;400,"GV 30","S/GV"))))</f>
        <v>S/GV</v>
      </c>
      <c r="G2232" t="str">
        <f>_xlfn.CONCAT(Tabela9[[#This Row],[Coluna1]],Tabela9[[#This Row],[Coluna2]])</f>
        <v/>
      </c>
    </row>
    <row r="2233" spans="1:7" x14ac:dyDescent="0.25">
      <c r="A2233">
        <v>14301</v>
      </c>
      <c r="B2233">
        <v>202</v>
      </c>
      <c r="C2233" s="1" t="str">
        <f>IF(Tabela8[[#This Row],[SETOR]]="","",IF(Tabela8[[#This Row],[SETOR]]&lt;200,"GV 10",IF(Tabela8[[#This Row],[SETOR]]&lt;300,"GV 20",IF(Tabela8[[#This Row],[SETOR]]&lt;400,"GV 30","S/GV"))))</f>
        <v>GV 20</v>
      </c>
      <c r="E2233" t="s">
        <v>123</v>
      </c>
      <c r="G2233" t="str">
        <f>_xlfn.CONCAT(Tabela9[[#This Row],[Coluna1]],Tabela9[[#This Row],[Coluna2]])</f>
        <v>20-Rota</v>
      </c>
    </row>
    <row r="2234" spans="1:7" x14ac:dyDescent="0.25">
      <c r="A2234">
        <v>14302</v>
      </c>
      <c r="B2234">
        <v>301</v>
      </c>
      <c r="C2234" s="1" t="str">
        <f>IF(Tabela8[[#This Row],[SETOR]]="","",IF(Tabela8[[#This Row],[SETOR]]&lt;200,"GV 10",IF(Tabela8[[#This Row],[SETOR]]&lt;300,"GV 20",IF(Tabela8[[#This Row],[SETOR]]&lt;400,"GV 30","S/GV"))))</f>
        <v>GV 30</v>
      </c>
      <c r="E2234" t="s">
        <v>123</v>
      </c>
      <c r="G2234" t="str">
        <f>_xlfn.CONCAT(Tabela9[[#This Row],[Coluna1]],Tabela9[[#This Row],[Coluna2]])</f>
        <v>20-Rota</v>
      </c>
    </row>
    <row r="2235" spans="1:7" x14ac:dyDescent="0.25">
      <c r="A2235">
        <v>14304</v>
      </c>
      <c r="B2235">
        <v>304</v>
      </c>
      <c r="C2235" s="1" t="str">
        <f>IF(Tabela8[[#This Row],[SETOR]]="","",IF(Tabela8[[#This Row],[SETOR]]&lt;200,"GV 10",IF(Tabela8[[#This Row],[SETOR]]&lt;300,"GV 20",IF(Tabela8[[#This Row],[SETOR]]&lt;400,"GV 30","S/GV"))))</f>
        <v>GV 30</v>
      </c>
      <c r="E2235" t="s">
        <v>123</v>
      </c>
      <c r="G2235" t="str">
        <f>_xlfn.CONCAT(Tabela9[[#This Row],[Coluna1]],Tabela9[[#This Row],[Coluna2]])</f>
        <v>20-Rota</v>
      </c>
    </row>
    <row r="2236" spans="1:7" x14ac:dyDescent="0.25">
      <c r="A2236">
        <v>14307</v>
      </c>
      <c r="B2236">
        <v>102</v>
      </c>
      <c r="C2236" s="1" t="str">
        <f>IF(Tabela8[[#This Row],[SETOR]]="","",IF(Tabela8[[#This Row],[SETOR]]&lt;200,"GV 10",IF(Tabela8[[#This Row],[SETOR]]&lt;300,"GV 20",IF(Tabela8[[#This Row],[SETOR]]&lt;400,"GV 30","S/GV"))))</f>
        <v>GV 10</v>
      </c>
      <c r="E2236" t="s">
        <v>123</v>
      </c>
      <c r="G2236" t="str">
        <f>_xlfn.CONCAT(Tabela9[[#This Row],[Coluna1]],Tabela9[[#This Row],[Coluna2]])</f>
        <v>20-Rota</v>
      </c>
    </row>
    <row r="2237" spans="1:7" x14ac:dyDescent="0.25">
      <c r="A2237">
        <v>14311</v>
      </c>
      <c r="B2237">
        <v>916</v>
      </c>
      <c r="C2237" s="1" t="str">
        <f>IF(Tabela8[[#This Row],[SETOR]]="","",IF(Tabela8[[#This Row],[SETOR]]&lt;200,"GV 10",IF(Tabela8[[#This Row],[SETOR]]&lt;300,"GV 20",IF(Tabela8[[#This Row],[SETOR]]&lt;400,"GV 30","S/GV"))))</f>
        <v>S/GV</v>
      </c>
      <c r="G2237" t="str">
        <f>_xlfn.CONCAT(Tabela9[[#This Row],[Coluna1]],Tabela9[[#This Row],[Coluna2]])</f>
        <v/>
      </c>
    </row>
    <row r="2238" spans="1:7" x14ac:dyDescent="0.25">
      <c r="A2238">
        <v>14312</v>
      </c>
      <c r="B2238">
        <v>205</v>
      </c>
      <c r="C2238" s="1" t="str">
        <f>IF(Tabela8[[#This Row],[SETOR]]="","",IF(Tabela8[[#This Row],[SETOR]]&lt;200,"GV 10",IF(Tabela8[[#This Row],[SETOR]]&lt;300,"GV 20",IF(Tabela8[[#This Row],[SETOR]]&lt;400,"GV 30","S/GV"))))</f>
        <v>GV 20</v>
      </c>
      <c r="E2238" t="s">
        <v>123</v>
      </c>
      <c r="G2238" t="str">
        <f>_xlfn.CONCAT(Tabela9[[#This Row],[Coluna1]],Tabela9[[#This Row],[Coluna2]])</f>
        <v>20-Rota</v>
      </c>
    </row>
    <row r="2239" spans="1:7" x14ac:dyDescent="0.25">
      <c r="A2239">
        <v>14313</v>
      </c>
      <c r="B2239">
        <v>206</v>
      </c>
      <c r="C2239" s="1" t="str">
        <f>IF(Tabela8[[#This Row],[SETOR]]="","",IF(Tabela8[[#This Row],[SETOR]]&lt;200,"GV 10",IF(Tabela8[[#This Row],[SETOR]]&lt;300,"GV 20",IF(Tabela8[[#This Row],[SETOR]]&lt;400,"GV 30","S/GV"))))</f>
        <v>GV 20</v>
      </c>
      <c r="E2239" t="s">
        <v>125</v>
      </c>
      <c r="G2239" t="str">
        <f>_xlfn.CONCAT(Tabela9[[#This Row],[Coluna1]],Tabela9[[#This Row],[Coluna2]])</f>
        <v>18-TRAD</v>
      </c>
    </row>
    <row r="2240" spans="1:7" x14ac:dyDescent="0.25">
      <c r="A2240">
        <v>14317</v>
      </c>
      <c r="B2240">
        <v>205</v>
      </c>
      <c r="C2240" s="1" t="str">
        <f>IF(Tabela8[[#This Row],[SETOR]]="","",IF(Tabela8[[#This Row],[SETOR]]&lt;200,"GV 10",IF(Tabela8[[#This Row],[SETOR]]&lt;300,"GV 20",IF(Tabela8[[#This Row],[SETOR]]&lt;400,"GV 30","S/GV"))))</f>
        <v>GV 20</v>
      </c>
      <c r="E2240" t="s">
        <v>130</v>
      </c>
      <c r="G2240" t="str">
        <f>_xlfn.CONCAT(Tabela9[[#This Row],[Coluna1]],Tabela9[[#This Row],[Coluna2]])</f>
        <v>21-SUB</v>
      </c>
    </row>
    <row r="2241" spans="1:7" x14ac:dyDescent="0.25">
      <c r="A2241">
        <v>14320</v>
      </c>
      <c r="B2241">
        <v>105</v>
      </c>
      <c r="C2241" s="1" t="str">
        <f>IF(Tabela8[[#This Row],[SETOR]]="","",IF(Tabela8[[#This Row],[SETOR]]&lt;200,"GV 10",IF(Tabela8[[#This Row],[SETOR]]&lt;300,"GV 20",IF(Tabela8[[#This Row],[SETOR]]&lt;400,"GV 30","S/GV"))))</f>
        <v>GV 10</v>
      </c>
      <c r="E2241" t="s">
        <v>123</v>
      </c>
      <c r="G2241" t="str">
        <f>_xlfn.CONCAT(Tabela9[[#This Row],[Coluna1]],Tabela9[[#This Row],[Coluna2]])</f>
        <v>20-Rota</v>
      </c>
    </row>
    <row r="2242" spans="1:7" x14ac:dyDescent="0.25">
      <c r="A2242">
        <v>14324</v>
      </c>
      <c r="B2242">
        <v>907</v>
      </c>
      <c r="C2242" s="1" t="str">
        <f>IF(Tabela8[[#This Row],[SETOR]]="","",IF(Tabela8[[#This Row],[SETOR]]&lt;200,"GV 10",IF(Tabela8[[#This Row],[SETOR]]&lt;300,"GV 20",IF(Tabela8[[#This Row],[SETOR]]&lt;400,"GV 30","S/GV"))))</f>
        <v>S/GV</v>
      </c>
      <c r="G2242" t="str">
        <f>_xlfn.CONCAT(Tabela9[[#This Row],[Coluna1]],Tabela9[[#This Row],[Coluna2]])</f>
        <v/>
      </c>
    </row>
    <row r="2243" spans="1:7" x14ac:dyDescent="0.25">
      <c r="A2243">
        <v>14325</v>
      </c>
      <c r="B2243">
        <v>101</v>
      </c>
      <c r="C2243" s="1" t="str">
        <f>IF(Tabela8[[#This Row],[SETOR]]="","",IF(Tabela8[[#This Row],[SETOR]]&lt;200,"GV 10",IF(Tabela8[[#This Row],[SETOR]]&lt;300,"GV 20",IF(Tabela8[[#This Row],[SETOR]]&lt;400,"GV 30","S/GV"))))</f>
        <v>GV 10</v>
      </c>
      <c r="E2243" t="s">
        <v>123</v>
      </c>
      <c r="G2243" t="str">
        <f>_xlfn.CONCAT(Tabela9[[#This Row],[Coluna1]],Tabela9[[#This Row],[Coluna2]])</f>
        <v>20-Rota</v>
      </c>
    </row>
    <row r="2244" spans="1:7" x14ac:dyDescent="0.25">
      <c r="A2244">
        <v>14327</v>
      </c>
      <c r="B2244">
        <v>104</v>
      </c>
      <c r="C2244" s="1" t="str">
        <f>IF(Tabela8[[#This Row],[SETOR]]="","",IF(Tabela8[[#This Row],[SETOR]]&lt;200,"GV 10",IF(Tabela8[[#This Row],[SETOR]]&lt;300,"GV 20",IF(Tabela8[[#This Row],[SETOR]]&lt;400,"GV 30","S/GV"))))</f>
        <v>GV 10</v>
      </c>
      <c r="E2244" t="s">
        <v>123</v>
      </c>
      <c r="G2244" t="str">
        <f>_xlfn.CONCAT(Tabela9[[#This Row],[Coluna1]],Tabela9[[#This Row],[Coluna2]])</f>
        <v>20-Rota</v>
      </c>
    </row>
    <row r="2245" spans="1:7" x14ac:dyDescent="0.25">
      <c r="A2245">
        <v>14350</v>
      </c>
      <c r="B2245">
        <v>301</v>
      </c>
      <c r="C2245" s="1" t="str">
        <f>IF(Tabela8[[#This Row],[SETOR]]="","",IF(Tabela8[[#This Row],[SETOR]]&lt;200,"GV 10",IF(Tabela8[[#This Row],[SETOR]]&lt;300,"GV 20",IF(Tabela8[[#This Row],[SETOR]]&lt;400,"GV 30","S/GV"))))</f>
        <v>GV 30</v>
      </c>
      <c r="E2245" t="s">
        <v>123</v>
      </c>
      <c r="G2245" t="str">
        <f>_xlfn.CONCAT(Tabela9[[#This Row],[Coluna1]],Tabela9[[#This Row],[Coluna2]])</f>
        <v>20-Rota</v>
      </c>
    </row>
    <row r="2246" spans="1:7" x14ac:dyDescent="0.25">
      <c r="A2246">
        <v>14357</v>
      </c>
      <c r="B2246">
        <v>108</v>
      </c>
      <c r="C2246" s="1" t="str">
        <f>IF(Tabela8[[#This Row],[SETOR]]="","",IF(Tabela8[[#This Row],[SETOR]]&lt;200,"GV 10",IF(Tabela8[[#This Row],[SETOR]]&lt;300,"GV 20",IF(Tabela8[[#This Row],[SETOR]]&lt;400,"GV 30","S/GV"))))</f>
        <v>GV 10</v>
      </c>
      <c r="E2246" t="s">
        <v>125</v>
      </c>
      <c r="G2246" t="str">
        <f>_xlfn.CONCAT(Tabela9[[#This Row],[Coluna1]],Tabela9[[#This Row],[Coluna2]])</f>
        <v>18-TRAD</v>
      </c>
    </row>
    <row r="2247" spans="1:7" x14ac:dyDescent="0.25">
      <c r="A2247">
        <v>14358</v>
      </c>
      <c r="B2247">
        <v>108</v>
      </c>
      <c r="C2247" s="1" t="str">
        <f>IF(Tabela8[[#This Row],[SETOR]]="","",IF(Tabela8[[#This Row],[SETOR]]&lt;200,"GV 10",IF(Tabela8[[#This Row],[SETOR]]&lt;300,"GV 20",IF(Tabela8[[#This Row],[SETOR]]&lt;400,"GV 30","S/GV"))))</f>
        <v>GV 10</v>
      </c>
      <c r="E2247" t="s">
        <v>130</v>
      </c>
      <c r="G2247" t="str">
        <f>_xlfn.CONCAT(Tabela9[[#This Row],[Coluna1]],Tabela9[[#This Row],[Coluna2]])</f>
        <v>21-SUB</v>
      </c>
    </row>
    <row r="2248" spans="1:7" x14ac:dyDescent="0.25">
      <c r="A2248">
        <v>14362</v>
      </c>
      <c r="B2248">
        <v>205</v>
      </c>
      <c r="C2248" s="1" t="str">
        <f>IF(Tabela8[[#This Row],[SETOR]]="","",IF(Tabela8[[#This Row],[SETOR]]&lt;200,"GV 10",IF(Tabela8[[#This Row],[SETOR]]&lt;300,"GV 20",IF(Tabela8[[#This Row],[SETOR]]&lt;400,"GV 30","S/GV"))))</f>
        <v>GV 20</v>
      </c>
      <c r="E2248" t="s">
        <v>123</v>
      </c>
      <c r="G2248" t="str">
        <f>_xlfn.CONCAT(Tabela9[[#This Row],[Coluna1]],Tabela9[[#This Row],[Coluna2]])</f>
        <v>20-Rota</v>
      </c>
    </row>
    <row r="2249" spans="1:7" x14ac:dyDescent="0.25">
      <c r="A2249">
        <v>14363</v>
      </c>
      <c r="B2249">
        <v>204</v>
      </c>
      <c r="C2249" s="1" t="str">
        <f>IF(Tabela8[[#This Row],[SETOR]]="","",IF(Tabela8[[#This Row],[SETOR]]&lt;200,"GV 10",IF(Tabela8[[#This Row],[SETOR]]&lt;300,"GV 20",IF(Tabela8[[#This Row],[SETOR]]&lt;400,"GV 30","S/GV"))))</f>
        <v>GV 20</v>
      </c>
      <c r="E2249" t="s">
        <v>123</v>
      </c>
      <c r="G2249" t="str">
        <f>_xlfn.CONCAT(Tabela9[[#This Row],[Coluna1]],Tabela9[[#This Row],[Coluna2]])</f>
        <v>20-Rota</v>
      </c>
    </row>
    <row r="2250" spans="1:7" x14ac:dyDescent="0.25">
      <c r="A2250">
        <v>14367</v>
      </c>
      <c r="B2250">
        <v>301</v>
      </c>
      <c r="C2250" s="1" t="str">
        <f>IF(Tabela8[[#This Row],[SETOR]]="","",IF(Tabela8[[#This Row],[SETOR]]&lt;200,"GV 10",IF(Tabela8[[#This Row],[SETOR]]&lt;300,"GV 20",IF(Tabela8[[#This Row],[SETOR]]&lt;400,"GV 30","S/GV"))))</f>
        <v>GV 30</v>
      </c>
      <c r="E2250" t="s">
        <v>123</v>
      </c>
      <c r="G2250" t="str">
        <f>_xlfn.CONCAT(Tabela9[[#This Row],[Coluna1]],Tabela9[[#This Row],[Coluna2]])</f>
        <v>20-Rota</v>
      </c>
    </row>
    <row r="2251" spans="1:7" x14ac:dyDescent="0.25">
      <c r="A2251">
        <v>14380</v>
      </c>
      <c r="B2251">
        <v>302</v>
      </c>
      <c r="C2251" s="1" t="str">
        <f>IF(Tabela8[[#This Row],[SETOR]]="","",IF(Tabela8[[#This Row],[SETOR]]&lt;200,"GV 10",IF(Tabela8[[#This Row],[SETOR]]&lt;300,"GV 20",IF(Tabela8[[#This Row],[SETOR]]&lt;400,"GV 30","S/GV"))))</f>
        <v>GV 30</v>
      </c>
      <c r="E2251" t="s">
        <v>123</v>
      </c>
      <c r="G2251" t="str">
        <f>_xlfn.CONCAT(Tabela9[[#This Row],[Coluna1]],Tabela9[[#This Row],[Coluna2]])</f>
        <v>20-Rota</v>
      </c>
    </row>
    <row r="2252" spans="1:7" x14ac:dyDescent="0.25">
      <c r="A2252">
        <v>14387</v>
      </c>
      <c r="B2252">
        <v>205</v>
      </c>
      <c r="C2252" s="1" t="str">
        <f>IF(Tabela8[[#This Row],[SETOR]]="","",IF(Tabela8[[#This Row],[SETOR]]&lt;200,"GV 10",IF(Tabela8[[#This Row],[SETOR]]&lt;300,"GV 20",IF(Tabela8[[#This Row],[SETOR]]&lt;400,"GV 30","S/GV"))))</f>
        <v>GV 20</v>
      </c>
      <c r="E2252" t="s">
        <v>125</v>
      </c>
      <c r="G2252" t="str">
        <f>_xlfn.CONCAT(Tabela9[[#This Row],[Coluna1]],Tabela9[[#This Row],[Coluna2]])</f>
        <v>18-TRAD</v>
      </c>
    </row>
    <row r="2253" spans="1:7" x14ac:dyDescent="0.25">
      <c r="A2253">
        <v>14388</v>
      </c>
      <c r="B2253">
        <v>206</v>
      </c>
      <c r="C2253" s="1" t="str">
        <f>IF(Tabela8[[#This Row],[SETOR]]="","",IF(Tabela8[[#This Row],[SETOR]]&lt;200,"GV 10",IF(Tabela8[[#This Row],[SETOR]]&lt;300,"GV 20",IF(Tabela8[[#This Row],[SETOR]]&lt;400,"GV 30","S/GV"))))</f>
        <v>GV 20</v>
      </c>
      <c r="E2253" t="s">
        <v>128</v>
      </c>
      <c r="F2253" t="s">
        <v>129</v>
      </c>
      <c r="G2253" t="str">
        <f>_xlfn.CONCAT(Tabela9[[#This Row],[Coluna1]],Tabela9[[#This Row],[Coluna2]])</f>
        <v>15-AS(1-4)</v>
      </c>
    </row>
    <row r="2254" spans="1:7" x14ac:dyDescent="0.25">
      <c r="A2254">
        <v>14391</v>
      </c>
      <c r="B2254">
        <v>105</v>
      </c>
      <c r="C2254" s="1" t="str">
        <f>IF(Tabela8[[#This Row],[SETOR]]="","",IF(Tabela8[[#This Row],[SETOR]]&lt;200,"GV 10",IF(Tabela8[[#This Row],[SETOR]]&lt;300,"GV 20",IF(Tabela8[[#This Row],[SETOR]]&lt;400,"GV 30","S/GV"))))</f>
        <v>GV 10</v>
      </c>
      <c r="E2254" t="s">
        <v>123</v>
      </c>
      <c r="G2254" t="str">
        <f>_xlfn.CONCAT(Tabela9[[#This Row],[Coluna1]],Tabela9[[#This Row],[Coluna2]])</f>
        <v>20-Rota</v>
      </c>
    </row>
    <row r="2255" spans="1:7" x14ac:dyDescent="0.25">
      <c r="A2255">
        <v>14394</v>
      </c>
      <c r="B2255">
        <v>105</v>
      </c>
      <c r="C2255" s="1" t="str">
        <f>IF(Tabela8[[#This Row],[SETOR]]="","",IF(Tabela8[[#This Row],[SETOR]]&lt;200,"GV 10",IF(Tabela8[[#This Row],[SETOR]]&lt;300,"GV 20",IF(Tabela8[[#This Row],[SETOR]]&lt;400,"GV 30","S/GV"))))</f>
        <v>GV 10</v>
      </c>
      <c r="E2255" t="s">
        <v>123</v>
      </c>
      <c r="G2255" t="str">
        <f>_xlfn.CONCAT(Tabela9[[#This Row],[Coluna1]],Tabela9[[#This Row],[Coluna2]])</f>
        <v>20-Rota</v>
      </c>
    </row>
    <row r="2256" spans="1:7" x14ac:dyDescent="0.25">
      <c r="A2256">
        <v>14396</v>
      </c>
      <c r="B2256">
        <v>101</v>
      </c>
      <c r="C2256" s="1" t="str">
        <f>IF(Tabela8[[#This Row],[SETOR]]="","",IF(Tabela8[[#This Row],[SETOR]]&lt;200,"GV 10",IF(Tabela8[[#This Row],[SETOR]]&lt;300,"GV 20",IF(Tabela8[[#This Row],[SETOR]]&lt;400,"GV 30","S/GV"))))</f>
        <v>GV 10</v>
      </c>
      <c r="E2256" t="s">
        <v>123</v>
      </c>
      <c r="G2256" t="str">
        <f>_xlfn.CONCAT(Tabela9[[#This Row],[Coluna1]],Tabela9[[#This Row],[Coluna2]])</f>
        <v>20-Rota</v>
      </c>
    </row>
    <row r="2257" spans="1:7" x14ac:dyDescent="0.25">
      <c r="A2257">
        <v>14402</v>
      </c>
      <c r="B2257">
        <v>205</v>
      </c>
      <c r="C2257" s="1" t="str">
        <f>IF(Tabela8[[#This Row],[SETOR]]="","",IF(Tabela8[[#This Row],[SETOR]]&lt;200,"GV 10",IF(Tabela8[[#This Row],[SETOR]]&lt;300,"GV 20",IF(Tabela8[[#This Row],[SETOR]]&lt;400,"GV 30","S/GV"))))</f>
        <v>GV 20</v>
      </c>
      <c r="E2257" t="s">
        <v>125</v>
      </c>
      <c r="G2257" t="str">
        <f>_xlfn.CONCAT(Tabela9[[#This Row],[Coluna1]],Tabela9[[#This Row],[Coluna2]])</f>
        <v>18-TRAD</v>
      </c>
    </row>
    <row r="2258" spans="1:7" x14ac:dyDescent="0.25">
      <c r="A2258">
        <v>14405</v>
      </c>
      <c r="B2258">
        <v>205</v>
      </c>
      <c r="C2258" s="1" t="str">
        <f>IF(Tabela8[[#This Row],[SETOR]]="","",IF(Tabela8[[#This Row],[SETOR]]&lt;200,"GV 10",IF(Tabela8[[#This Row],[SETOR]]&lt;300,"GV 20",IF(Tabela8[[#This Row],[SETOR]]&lt;400,"GV 30","S/GV"))))</f>
        <v>GV 20</v>
      </c>
      <c r="E2258" t="s">
        <v>128</v>
      </c>
      <c r="F2258" t="s">
        <v>129</v>
      </c>
      <c r="G2258" t="str">
        <f>_xlfn.CONCAT(Tabela9[[#This Row],[Coluna1]],Tabela9[[#This Row],[Coluna2]])</f>
        <v>15-AS(1-4)</v>
      </c>
    </row>
    <row r="2259" spans="1:7" x14ac:dyDescent="0.25">
      <c r="A2259">
        <v>14407</v>
      </c>
      <c r="B2259">
        <v>101</v>
      </c>
      <c r="C2259" s="1" t="str">
        <f>IF(Tabela8[[#This Row],[SETOR]]="","",IF(Tabela8[[#This Row],[SETOR]]&lt;200,"GV 10",IF(Tabela8[[#This Row],[SETOR]]&lt;300,"GV 20",IF(Tabela8[[#This Row],[SETOR]]&lt;400,"GV 30","S/GV"))))</f>
        <v>GV 10</v>
      </c>
      <c r="E2259" t="s">
        <v>123</v>
      </c>
      <c r="G2259" t="str">
        <f>_xlfn.CONCAT(Tabela9[[#This Row],[Coluna1]],Tabela9[[#This Row],[Coluna2]])</f>
        <v>20-Rota</v>
      </c>
    </row>
    <row r="2260" spans="1:7" x14ac:dyDescent="0.25">
      <c r="A2260">
        <v>14408</v>
      </c>
      <c r="B2260">
        <v>206</v>
      </c>
      <c r="C2260" s="1" t="str">
        <f>IF(Tabela8[[#This Row],[SETOR]]="","",IF(Tabela8[[#This Row],[SETOR]]&lt;200,"GV 10",IF(Tabela8[[#This Row],[SETOR]]&lt;300,"GV 20",IF(Tabela8[[#This Row],[SETOR]]&lt;400,"GV 30","S/GV"))))</f>
        <v>GV 20</v>
      </c>
      <c r="E2260" t="s">
        <v>125</v>
      </c>
      <c r="G2260" t="str">
        <f>_xlfn.CONCAT(Tabela9[[#This Row],[Coluna1]],Tabela9[[#This Row],[Coluna2]])</f>
        <v>18-TRAD</v>
      </c>
    </row>
    <row r="2261" spans="1:7" x14ac:dyDescent="0.25">
      <c r="A2261">
        <v>14410</v>
      </c>
      <c r="B2261">
        <v>205</v>
      </c>
      <c r="C2261" s="1" t="str">
        <f>IF(Tabela8[[#This Row],[SETOR]]="","",IF(Tabela8[[#This Row],[SETOR]]&lt;200,"GV 10",IF(Tabela8[[#This Row],[SETOR]]&lt;300,"GV 20",IF(Tabela8[[#This Row],[SETOR]]&lt;400,"GV 30","S/GV"))))</f>
        <v>GV 20</v>
      </c>
      <c r="E2261" t="s">
        <v>125</v>
      </c>
      <c r="G2261" t="str">
        <f>_xlfn.CONCAT(Tabela9[[#This Row],[Coluna1]],Tabela9[[#This Row],[Coluna2]])</f>
        <v>18-TRAD</v>
      </c>
    </row>
    <row r="2262" spans="1:7" x14ac:dyDescent="0.25">
      <c r="A2262">
        <v>14414</v>
      </c>
      <c r="B2262">
        <v>206</v>
      </c>
      <c r="C2262" s="1" t="str">
        <f>IF(Tabela8[[#This Row],[SETOR]]="","",IF(Tabela8[[#This Row],[SETOR]]&lt;200,"GV 10",IF(Tabela8[[#This Row],[SETOR]]&lt;300,"GV 20",IF(Tabela8[[#This Row],[SETOR]]&lt;400,"GV 30","S/GV"))))</f>
        <v>GV 20</v>
      </c>
      <c r="E2262" t="s">
        <v>123</v>
      </c>
      <c r="G2262" t="str">
        <f>_xlfn.CONCAT(Tabela9[[#This Row],[Coluna1]],Tabela9[[#This Row],[Coluna2]])</f>
        <v>20-Rota</v>
      </c>
    </row>
    <row r="2263" spans="1:7" x14ac:dyDescent="0.25">
      <c r="A2263">
        <v>14415</v>
      </c>
      <c r="B2263">
        <v>206</v>
      </c>
      <c r="C2263" s="1" t="str">
        <f>IF(Tabela8[[#This Row],[SETOR]]="","",IF(Tabela8[[#This Row],[SETOR]]&lt;200,"GV 10",IF(Tabela8[[#This Row],[SETOR]]&lt;300,"GV 20",IF(Tabela8[[#This Row],[SETOR]]&lt;400,"GV 30","S/GV"))))</f>
        <v>GV 20</v>
      </c>
      <c r="E2263" t="s">
        <v>123</v>
      </c>
      <c r="G2263" t="str">
        <f>_xlfn.CONCAT(Tabela9[[#This Row],[Coluna1]],Tabela9[[#This Row],[Coluna2]])</f>
        <v>20-Rota</v>
      </c>
    </row>
    <row r="2264" spans="1:7" x14ac:dyDescent="0.25">
      <c r="A2264">
        <v>14420</v>
      </c>
      <c r="B2264">
        <v>303</v>
      </c>
      <c r="C2264" s="1" t="str">
        <f>IF(Tabela8[[#This Row],[SETOR]]="","",IF(Tabela8[[#This Row],[SETOR]]&lt;200,"GV 10",IF(Tabela8[[#This Row],[SETOR]]&lt;300,"GV 20",IF(Tabela8[[#This Row],[SETOR]]&lt;400,"GV 30","S/GV"))))</f>
        <v>GV 30</v>
      </c>
      <c r="E2264" t="s">
        <v>123</v>
      </c>
      <c r="G2264" t="str">
        <f>_xlfn.CONCAT(Tabela9[[#This Row],[Coluna1]],Tabela9[[#This Row],[Coluna2]])</f>
        <v>20-Rota</v>
      </c>
    </row>
    <row r="2265" spans="1:7" x14ac:dyDescent="0.25">
      <c r="A2265">
        <v>14421</v>
      </c>
      <c r="B2265">
        <v>906</v>
      </c>
      <c r="C2265" s="1" t="str">
        <f>IF(Tabela8[[#This Row],[SETOR]]="","",IF(Tabela8[[#This Row],[SETOR]]&lt;200,"GV 10",IF(Tabela8[[#This Row],[SETOR]]&lt;300,"GV 20",IF(Tabela8[[#This Row],[SETOR]]&lt;400,"GV 30","S/GV"))))</f>
        <v>S/GV</v>
      </c>
      <c r="G2265" t="str">
        <f>_xlfn.CONCAT(Tabela9[[#This Row],[Coluna1]],Tabela9[[#This Row],[Coluna2]])</f>
        <v/>
      </c>
    </row>
    <row r="2266" spans="1:7" x14ac:dyDescent="0.25">
      <c r="A2266">
        <v>14425</v>
      </c>
      <c r="B2266">
        <v>307</v>
      </c>
      <c r="C2266" s="1" t="str">
        <f>IF(Tabela8[[#This Row],[SETOR]]="","",IF(Tabela8[[#This Row],[SETOR]]&lt;200,"GV 10",IF(Tabela8[[#This Row],[SETOR]]&lt;300,"GV 20",IF(Tabela8[[#This Row],[SETOR]]&lt;400,"GV 30","S/GV"))))</f>
        <v>GV 30</v>
      </c>
      <c r="E2266" t="s">
        <v>128</v>
      </c>
      <c r="F2266" t="s">
        <v>129</v>
      </c>
      <c r="G2266" t="str">
        <f>_xlfn.CONCAT(Tabela9[[#This Row],[Coluna1]],Tabela9[[#This Row],[Coluna2]])</f>
        <v>15-AS(1-4)</v>
      </c>
    </row>
    <row r="2267" spans="1:7" x14ac:dyDescent="0.25">
      <c r="A2267">
        <v>14427</v>
      </c>
      <c r="B2267">
        <v>906</v>
      </c>
      <c r="C2267" s="1" t="str">
        <f>IF(Tabela8[[#This Row],[SETOR]]="","",IF(Tabela8[[#This Row],[SETOR]]&lt;200,"GV 10",IF(Tabela8[[#This Row],[SETOR]]&lt;300,"GV 20",IF(Tabela8[[#This Row],[SETOR]]&lt;400,"GV 30","S/GV"))))</f>
        <v>S/GV</v>
      </c>
      <c r="G2267" t="str">
        <f>_xlfn.CONCAT(Tabela9[[#This Row],[Coluna1]],Tabela9[[#This Row],[Coluna2]])</f>
        <v/>
      </c>
    </row>
    <row r="2268" spans="1:7" x14ac:dyDescent="0.25">
      <c r="A2268">
        <v>14435</v>
      </c>
      <c r="B2268">
        <v>916</v>
      </c>
      <c r="C2268" s="1" t="str">
        <f>IF(Tabela8[[#This Row],[SETOR]]="","",IF(Tabela8[[#This Row],[SETOR]]&lt;200,"GV 10",IF(Tabela8[[#This Row],[SETOR]]&lt;300,"GV 20",IF(Tabela8[[#This Row],[SETOR]]&lt;400,"GV 30","S/GV"))))</f>
        <v>S/GV</v>
      </c>
      <c r="G2268" t="str">
        <f>_xlfn.CONCAT(Tabela9[[#This Row],[Coluna1]],Tabela9[[#This Row],[Coluna2]])</f>
        <v/>
      </c>
    </row>
    <row r="2269" spans="1:7" x14ac:dyDescent="0.25">
      <c r="A2269">
        <v>14437</v>
      </c>
      <c r="B2269">
        <v>303</v>
      </c>
      <c r="C2269" s="1" t="str">
        <f>IF(Tabela8[[#This Row],[SETOR]]="","",IF(Tabela8[[#This Row],[SETOR]]&lt;200,"GV 10",IF(Tabela8[[#This Row],[SETOR]]&lt;300,"GV 20",IF(Tabela8[[#This Row],[SETOR]]&lt;400,"GV 30","S/GV"))))</f>
        <v>GV 30</v>
      </c>
      <c r="E2269" t="s">
        <v>123</v>
      </c>
      <c r="G2269" t="str">
        <f>_xlfn.CONCAT(Tabela9[[#This Row],[Coluna1]],Tabela9[[#This Row],[Coluna2]])</f>
        <v>20-Rota</v>
      </c>
    </row>
    <row r="2270" spans="1:7" x14ac:dyDescent="0.25">
      <c r="A2270">
        <v>14446</v>
      </c>
      <c r="B2270">
        <v>916</v>
      </c>
      <c r="C2270" s="1" t="str">
        <f>IF(Tabela8[[#This Row],[SETOR]]="","",IF(Tabela8[[#This Row],[SETOR]]&lt;200,"GV 10",IF(Tabela8[[#This Row],[SETOR]]&lt;300,"GV 20",IF(Tabela8[[#This Row],[SETOR]]&lt;400,"GV 30","S/GV"))))</f>
        <v>S/GV</v>
      </c>
      <c r="G2270" t="str">
        <f>_xlfn.CONCAT(Tabela9[[#This Row],[Coluna1]],Tabela9[[#This Row],[Coluna2]])</f>
        <v/>
      </c>
    </row>
    <row r="2271" spans="1:7" x14ac:dyDescent="0.25">
      <c r="A2271">
        <v>14453</v>
      </c>
      <c r="B2271">
        <v>916</v>
      </c>
      <c r="C2271" s="1" t="str">
        <f>IF(Tabela8[[#This Row],[SETOR]]="","",IF(Tabela8[[#This Row],[SETOR]]&lt;200,"GV 10",IF(Tabela8[[#This Row],[SETOR]]&lt;300,"GV 20",IF(Tabela8[[#This Row],[SETOR]]&lt;400,"GV 30","S/GV"))))</f>
        <v>S/GV</v>
      </c>
      <c r="G2271" t="str">
        <f>_xlfn.CONCAT(Tabela9[[#This Row],[Coluna1]],Tabela9[[#This Row],[Coluna2]])</f>
        <v/>
      </c>
    </row>
    <row r="2272" spans="1:7" x14ac:dyDescent="0.25">
      <c r="A2272">
        <v>14455</v>
      </c>
      <c r="B2272">
        <v>305</v>
      </c>
      <c r="C2272" s="1" t="str">
        <f>IF(Tabela8[[#This Row],[SETOR]]="","",IF(Tabela8[[#This Row],[SETOR]]&lt;200,"GV 10",IF(Tabela8[[#This Row],[SETOR]]&lt;300,"GV 20",IF(Tabela8[[#This Row],[SETOR]]&lt;400,"GV 30","S/GV"))))</f>
        <v>GV 30</v>
      </c>
      <c r="E2272" t="s">
        <v>123</v>
      </c>
      <c r="G2272" t="str">
        <f>_xlfn.CONCAT(Tabela9[[#This Row],[Coluna1]],Tabela9[[#This Row],[Coluna2]])</f>
        <v>20-Rota</v>
      </c>
    </row>
    <row r="2273" spans="1:7" x14ac:dyDescent="0.25">
      <c r="A2273">
        <v>14456</v>
      </c>
      <c r="B2273">
        <v>306</v>
      </c>
      <c r="C2273" s="1" t="str">
        <f>IF(Tabela8[[#This Row],[SETOR]]="","",IF(Tabela8[[#This Row],[SETOR]]&lt;200,"GV 10",IF(Tabela8[[#This Row],[SETOR]]&lt;300,"GV 20",IF(Tabela8[[#This Row],[SETOR]]&lt;400,"GV 30","S/GV"))))</f>
        <v>GV 30</v>
      </c>
      <c r="E2273" t="s">
        <v>125</v>
      </c>
      <c r="G2273" t="str">
        <f>_xlfn.CONCAT(Tabela9[[#This Row],[Coluna1]],Tabela9[[#This Row],[Coluna2]])</f>
        <v>18-TRAD</v>
      </c>
    </row>
    <row r="2274" spans="1:7" x14ac:dyDescent="0.25">
      <c r="A2274">
        <v>14462</v>
      </c>
      <c r="B2274">
        <v>204</v>
      </c>
      <c r="C2274" s="1" t="str">
        <f>IF(Tabela8[[#This Row],[SETOR]]="","",IF(Tabela8[[#This Row],[SETOR]]&lt;200,"GV 10",IF(Tabela8[[#This Row],[SETOR]]&lt;300,"GV 20",IF(Tabela8[[#This Row],[SETOR]]&lt;400,"GV 30","S/GV"))))</f>
        <v>GV 20</v>
      </c>
      <c r="E2274" t="s">
        <v>123</v>
      </c>
      <c r="G2274" t="str">
        <f>_xlfn.CONCAT(Tabela9[[#This Row],[Coluna1]],Tabela9[[#This Row],[Coluna2]])</f>
        <v>20-Rota</v>
      </c>
    </row>
    <row r="2275" spans="1:7" x14ac:dyDescent="0.25">
      <c r="A2275">
        <v>14468</v>
      </c>
      <c r="B2275">
        <v>206</v>
      </c>
      <c r="C2275" s="1" t="str">
        <f>IF(Tabela8[[#This Row],[SETOR]]="","",IF(Tabela8[[#This Row],[SETOR]]&lt;200,"GV 10",IF(Tabela8[[#This Row],[SETOR]]&lt;300,"GV 20",IF(Tabela8[[#This Row],[SETOR]]&lt;400,"GV 30","S/GV"))))</f>
        <v>GV 20</v>
      </c>
      <c r="E2275" t="s">
        <v>123</v>
      </c>
      <c r="G2275" t="str">
        <f>_xlfn.CONCAT(Tabela9[[#This Row],[Coluna1]],Tabela9[[#This Row],[Coluna2]])</f>
        <v>20-Rota</v>
      </c>
    </row>
    <row r="2276" spans="1:7" x14ac:dyDescent="0.25">
      <c r="A2276">
        <v>14479</v>
      </c>
      <c r="B2276">
        <v>109</v>
      </c>
      <c r="C2276" s="1" t="str">
        <f>IF(Tabela8[[#This Row],[SETOR]]="","",IF(Tabela8[[#This Row],[SETOR]]&lt;200,"GV 10",IF(Tabela8[[#This Row],[SETOR]]&lt;300,"GV 20",IF(Tabela8[[#This Row],[SETOR]]&lt;400,"GV 30","S/GV"))))</f>
        <v>GV 10</v>
      </c>
      <c r="E2276" t="s">
        <v>123</v>
      </c>
      <c r="G2276" t="str">
        <f>_xlfn.CONCAT(Tabela9[[#This Row],[Coluna1]],Tabela9[[#This Row],[Coluna2]])</f>
        <v>20-Rota</v>
      </c>
    </row>
    <row r="2277" spans="1:7" x14ac:dyDescent="0.25">
      <c r="A2277">
        <v>14481</v>
      </c>
      <c r="B2277">
        <v>106</v>
      </c>
      <c r="C2277" s="1" t="str">
        <f>IF(Tabela8[[#This Row],[SETOR]]="","",IF(Tabela8[[#This Row],[SETOR]]&lt;200,"GV 10",IF(Tabela8[[#This Row],[SETOR]]&lt;300,"GV 20",IF(Tabela8[[#This Row],[SETOR]]&lt;400,"GV 30","S/GV"))))</f>
        <v>GV 10</v>
      </c>
      <c r="E2277" t="s">
        <v>123</v>
      </c>
      <c r="G2277" t="str">
        <f>_xlfn.CONCAT(Tabela9[[#This Row],[Coluna1]],Tabela9[[#This Row],[Coluna2]])</f>
        <v>20-Rota</v>
      </c>
    </row>
    <row r="2278" spans="1:7" x14ac:dyDescent="0.25">
      <c r="A2278">
        <v>14490</v>
      </c>
      <c r="B2278">
        <v>202</v>
      </c>
      <c r="C2278" s="1" t="str">
        <f>IF(Tabela8[[#This Row],[SETOR]]="","",IF(Tabela8[[#This Row],[SETOR]]&lt;200,"GV 10",IF(Tabela8[[#This Row],[SETOR]]&lt;300,"GV 20",IF(Tabela8[[#This Row],[SETOR]]&lt;400,"GV 30","S/GV"))))</f>
        <v>GV 20</v>
      </c>
      <c r="E2278" t="s">
        <v>123</v>
      </c>
      <c r="G2278" t="str">
        <f>_xlfn.CONCAT(Tabela9[[#This Row],[Coluna1]],Tabela9[[#This Row],[Coluna2]])</f>
        <v>20-Rota</v>
      </c>
    </row>
    <row r="2279" spans="1:7" x14ac:dyDescent="0.25">
      <c r="A2279">
        <v>14492</v>
      </c>
      <c r="B2279">
        <v>306</v>
      </c>
      <c r="C2279" s="1" t="str">
        <f>IF(Tabela8[[#This Row],[SETOR]]="","",IF(Tabela8[[#This Row],[SETOR]]&lt;200,"GV 10",IF(Tabela8[[#This Row],[SETOR]]&lt;300,"GV 20",IF(Tabela8[[#This Row],[SETOR]]&lt;400,"GV 30","S/GV"))))</f>
        <v>GV 30</v>
      </c>
      <c r="E2279" t="s">
        <v>125</v>
      </c>
      <c r="G2279" t="str">
        <f>_xlfn.CONCAT(Tabela9[[#This Row],[Coluna1]],Tabela9[[#This Row],[Coluna2]])</f>
        <v>18-TRAD</v>
      </c>
    </row>
    <row r="2280" spans="1:7" x14ac:dyDescent="0.25">
      <c r="A2280">
        <v>14495</v>
      </c>
      <c r="B2280">
        <v>301</v>
      </c>
      <c r="C2280" s="1" t="str">
        <f>IF(Tabela8[[#This Row],[SETOR]]="","",IF(Tabela8[[#This Row],[SETOR]]&lt;200,"GV 10",IF(Tabela8[[#This Row],[SETOR]]&lt;300,"GV 20",IF(Tabela8[[#This Row],[SETOR]]&lt;400,"GV 30","S/GV"))))</f>
        <v>GV 30</v>
      </c>
      <c r="E2280" t="s">
        <v>123</v>
      </c>
      <c r="G2280" t="str">
        <f>_xlfn.CONCAT(Tabela9[[#This Row],[Coluna1]],Tabela9[[#This Row],[Coluna2]])</f>
        <v>20-Rota</v>
      </c>
    </row>
    <row r="2281" spans="1:7" x14ac:dyDescent="0.25">
      <c r="A2281">
        <v>14497</v>
      </c>
      <c r="B2281">
        <v>205</v>
      </c>
      <c r="C2281" s="1" t="str">
        <f>IF(Tabela8[[#This Row],[SETOR]]="","",IF(Tabela8[[#This Row],[SETOR]]&lt;200,"GV 10",IF(Tabela8[[#This Row],[SETOR]]&lt;300,"GV 20",IF(Tabela8[[#This Row],[SETOR]]&lt;400,"GV 30","S/GV"))))</f>
        <v>GV 20</v>
      </c>
      <c r="E2281" t="s">
        <v>123</v>
      </c>
      <c r="G2281" t="str">
        <f>_xlfn.CONCAT(Tabela9[[#This Row],[Coluna1]],Tabela9[[#This Row],[Coluna2]])</f>
        <v>20-Rota</v>
      </c>
    </row>
    <row r="2282" spans="1:7" x14ac:dyDescent="0.25">
      <c r="A2282">
        <v>14500</v>
      </c>
      <c r="B2282">
        <v>301</v>
      </c>
      <c r="C2282" s="1" t="str">
        <f>IF(Tabela8[[#This Row],[SETOR]]="","",IF(Tabela8[[#This Row],[SETOR]]&lt;200,"GV 10",IF(Tabela8[[#This Row],[SETOR]]&lt;300,"GV 20",IF(Tabela8[[#This Row],[SETOR]]&lt;400,"GV 30","S/GV"))))</f>
        <v>GV 30</v>
      </c>
      <c r="E2282" t="s">
        <v>123</v>
      </c>
      <c r="G2282" t="str">
        <f>_xlfn.CONCAT(Tabela9[[#This Row],[Coluna1]],Tabela9[[#This Row],[Coluna2]])</f>
        <v>20-Rota</v>
      </c>
    </row>
    <row r="2283" spans="1:7" x14ac:dyDescent="0.25">
      <c r="A2283">
        <v>14503</v>
      </c>
      <c r="B2283">
        <v>305</v>
      </c>
      <c r="C2283" s="1" t="str">
        <f>IF(Tabela8[[#This Row],[SETOR]]="","",IF(Tabela8[[#This Row],[SETOR]]&lt;200,"GV 10",IF(Tabela8[[#This Row],[SETOR]]&lt;300,"GV 20",IF(Tabela8[[#This Row],[SETOR]]&lt;400,"GV 30","S/GV"))))</f>
        <v>GV 30</v>
      </c>
      <c r="E2283" t="s">
        <v>123</v>
      </c>
      <c r="G2283" t="str">
        <f>_xlfn.CONCAT(Tabela9[[#This Row],[Coluna1]],Tabela9[[#This Row],[Coluna2]])</f>
        <v>20-Rota</v>
      </c>
    </row>
    <row r="2284" spans="1:7" x14ac:dyDescent="0.25">
      <c r="A2284">
        <v>14504</v>
      </c>
      <c r="B2284">
        <v>205</v>
      </c>
      <c r="C2284" s="1" t="str">
        <f>IF(Tabela8[[#This Row],[SETOR]]="","",IF(Tabela8[[#This Row],[SETOR]]&lt;200,"GV 10",IF(Tabela8[[#This Row],[SETOR]]&lt;300,"GV 20",IF(Tabela8[[#This Row],[SETOR]]&lt;400,"GV 30","S/GV"))))</f>
        <v>GV 20</v>
      </c>
      <c r="E2284" t="s">
        <v>123</v>
      </c>
      <c r="G2284" t="str">
        <f>_xlfn.CONCAT(Tabela9[[#This Row],[Coluna1]],Tabela9[[#This Row],[Coluna2]])</f>
        <v>20-Rota</v>
      </c>
    </row>
    <row r="2285" spans="1:7" x14ac:dyDescent="0.25">
      <c r="A2285">
        <v>14505</v>
      </c>
      <c r="B2285">
        <v>104</v>
      </c>
      <c r="C2285" s="1" t="str">
        <f>IF(Tabela8[[#This Row],[SETOR]]="","",IF(Tabela8[[#This Row],[SETOR]]&lt;200,"GV 10",IF(Tabela8[[#This Row],[SETOR]]&lt;300,"GV 20",IF(Tabela8[[#This Row],[SETOR]]&lt;400,"GV 30","S/GV"))))</f>
        <v>GV 10</v>
      </c>
      <c r="E2285" t="s">
        <v>123</v>
      </c>
      <c r="G2285" t="str">
        <f>_xlfn.CONCAT(Tabela9[[#This Row],[Coluna1]],Tabela9[[#This Row],[Coluna2]])</f>
        <v>20-Rota</v>
      </c>
    </row>
    <row r="2286" spans="1:7" x14ac:dyDescent="0.25">
      <c r="A2286">
        <v>14511</v>
      </c>
      <c r="B2286">
        <v>306</v>
      </c>
      <c r="C2286" s="1" t="str">
        <f>IF(Tabela8[[#This Row],[SETOR]]="","",IF(Tabela8[[#This Row],[SETOR]]&lt;200,"GV 10",IF(Tabela8[[#This Row],[SETOR]]&lt;300,"GV 20",IF(Tabela8[[#This Row],[SETOR]]&lt;400,"GV 30","S/GV"))))</f>
        <v>GV 30</v>
      </c>
      <c r="E2286" t="s">
        <v>125</v>
      </c>
      <c r="G2286" t="str">
        <f>_xlfn.CONCAT(Tabela9[[#This Row],[Coluna1]],Tabela9[[#This Row],[Coluna2]])</f>
        <v>18-TRAD</v>
      </c>
    </row>
    <row r="2287" spans="1:7" x14ac:dyDescent="0.25">
      <c r="A2287">
        <v>14512</v>
      </c>
      <c r="B2287">
        <v>101</v>
      </c>
      <c r="C2287" s="1" t="str">
        <f>IF(Tabela8[[#This Row],[SETOR]]="","",IF(Tabela8[[#This Row],[SETOR]]&lt;200,"GV 10",IF(Tabela8[[#This Row],[SETOR]]&lt;300,"GV 20",IF(Tabela8[[#This Row],[SETOR]]&lt;400,"GV 30","S/GV"))))</f>
        <v>GV 10</v>
      </c>
      <c r="E2287" t="s">
        <v>123</v>
      </c>
      <c r="G2287" t="str">
        <f>_xlfn.CONCAT(Tabela9[[#This Row],[Coluna1]],Tabela9[[#This Row],[Coluna2]])</f>
        <v>20-Rota</v>
      </c>
    </row>
    <row r="2288" spans="1:7" x14ac:dyDescent="0.25">
      <c r="A2288">
        <v>14516</v>
      </c>
      <c r="B2288">
        <v>108</v>
      </c>
      <c r="C2288" s="1" t="str">
        <f>IF(Tabela8[[#This Row],[SETOR]]="","",IF(Tabela8[[#This Row],[SETOR]]&lt;200,"GV 10",IF(Tabela8[[#This Row],[SETOR]]&lt;300,"GV 20",IF(Tabela8[[#This Row],[SETOR]]&lt;400,"GV 30","S/GV"))))</f>
        <v>GV 10</v>
      </c>
      <c r="E2288" t="s">
        <v>126</v>
      </c>
      <c r="F2288" t="s">
        <v>127</v>
      </c>
      <c r="G2288" t="str">
        <f>_xlfn.CONCAT(Tabela9[[#This Row],[Coluna1]],Tabela9[[#This Row],[Coluna2]])</f>
        <v>16-AS(5+)</v>
      </c>
    </row>
    <row r="2289" spans="1:7" x14ac:dyDescent="0.25">
      <c r="A2289">
        <v>14517</v>
      </c>
      <c r="B2289">
        <v>301</v>
      </c>
      <c r="C2289" s="1" t="str">
        <f>IF(Tabela8[[#This Row],[SETOR]]="","",IF(Tabela8[[#This Row],[SETOR]]&lt;200,"GV 10",IF(Tabela8[[#This Row],[SETOR]]&lt;300,"GV 20",IF(Tabela8[[#This Row],[SETOR]]&lt;400,"GV 30","S/GV"))))</f>
        <v>GV 30</v>
      </c>
      <c r="E2289" t="s">
        <v>123</v>
      </c>
      <c r="G2289" t="str">
        <f>_xlfn.CONCAT(Tabela9[[#This Row],[Coluna1]],Tabela9[[#This Row],[Coluna2]])</f>
        <v>20-Rota</v>
      </c>
    </row>
    <row r="2290" spans="1:7" x14ac:dyDescent="0.25">
      <c r="A2290">
        <v>14524</v>
      </c>
      <c r="B2290">
        <v>101</v>
      </c>
      <c r="C2290" s="1" t="str">
        <f>IF(Tabela8[[#This Row],[SETOR]]="","",IF(Tabela8[[#This Row],[SETOR]]&lt;200,"GV 10",IF(Tabela8[[#This Row],[SETOR]]&lt;300,"GV 20",IF(Tabela8[[#This Row],[SETOR]]&lt;400,"GV 30","S/GV"))))</f>
        <v>GV 10</v>
      </c>
      <c r="E2290" t="s">
        <v>123</v>
      </c>
      <c r="G2290" t="str">
        <f>_xlfn.CONCAT(Tabela9[[#This Row],[Coluna1]],Tabela9[[#This Row],[Coluna2]])</f>
        <v>20-Rota</v>
      </c>
    </row>
    <row r="2291" spans="1:7" x14ac:dyDescent="0.25">
      <c r="A2291">
        <v>14533</v>
      </c>
      <c r="B2291">
        <v>205</v>
      </c>
      <c r="C2291" s="1" t="str">
        <f>IF(Tabela8[[#This Row],[SETOR]]="","",IF(Tabela8[[#This Row],[SETOR]]&lt;200,"GV 10",IF(Tabela8[[#This Row],[SETOR]]&lt;300,"GV 20",IF(Tabela8[[#This Row],[SETOR]]&lt;400,"GV 30","S/GV"))))</f>
        <v>GV 20</v>
      </c>
      <c r="E2291" t="s">
        <v>123</v>
      </c>
      <c r="G2291" t="str">
        <f>_xlfn.CONCAT(Tabela9[[#This Row],[Coluna1]],Tabela9[[#This Row],[Coluna2]])</f>
        <v>20-Rota</v>
      </c>
    </row>
    <row r="2292" spans="1:7" x14ac:dyDescent="0.25">
      <c r="A2292">
        <v>14543</v>
      </c>
      <c r="B2292">
        <v>107</v>
      </c>
      <c r="C2292" s="1" t="str">
        <f>IF(Tabela8[[#This Row],[SETOR]]="","",IF(Tabela8[[#This Row],[SETOR]]&lt;200,"GV 10",IF(Tabela8[[#This Row],[SETOR]]&lt;300,"GV 20",IF(Tabela8[[#This Row],[SETOR]]&lt;400,"GV 30","S/GV"))))</f>
        <v>GV 10</v>
      </c>
      <c r="E2292" t="s">
        <v>125</v>
      </c>
      <c r="G2292" t="str">
        <f>_xlfn.CONCAT(Tabela9[[#This Row],[Coluna1]],Tabela9[[#This Row],[Coluna2]])</f>
        <v>18-TRAD</v>
      </c>
    </row>
    <row r="2293" spans="1:7" x14ac:dyDescent="0.25">
      <c r="A2293">
        <v>14547</v>
      </c>
      <c r="B2293">
        <v>907</v>
      </c>
      <c r="C2293" s="1" t="str">
        <f>IF(Tabela8[[#This Row],[SETOR]]="","",IF(Tabela8[[#This Row],[SETOR]]&lt;200,"GV 10",IF(Tabela8[[#This Row],[SETOR]]&lt;300,"GV 20",IF(Tabela8[[#This Row],[SETOR]]&lt;400,"GV 30","S/GV"))))</f>
        <v>S/GV</v>
      </c>
      <c r="G2293" t="str">
        <f>_xlfn.CONCAT(Tabela9[[#This Row],[Coluna1]],Tabela9[[#This Row],[Coluna2]])</f>
        <v/>
      </c>
    </row>
    <row r="2294" spans="1:7" x14ac:dyDescent="0.25">
      <c r="A2294">
        <v>14552</v>
      </c>
      <c r="B2294">
        <v>103</v>
      </c>
      <c r="C2294" s="1" t="str">
        <f>IF(Tabela8[[#This Row],[SETOR]]="","",IF(Tabela8[[#This Row],[SETOR]]&lt;200,"GV 10",IF(Tabela8[[#This Row],[SETOR]]&lt;300,"GV 20",IF(Tabela8[[#This Row],[SETOR]]&lt;400,"GV 30","S/GV"))))</f>
        <v>GV 10</v>
      </c>
      <c r="E2294" t="s">
        <v>123</v>
      </c>
      <c r="G2294" t="str">
        <f>_xlfn.CONCAT(Tabela9[[#This Row],[Coluna1]],Tabela9[[#This Row],[Coluna2]])</f>
        <v>20-Rota</v>
      </c>
    </row>
    <row r="2295" spans="1:7" x14ac:dyDescent="0.25">
      <c r="A2295">
        <v>14557</v>
      </c>
      <c r="B2295">
        <v>304</v>
      </c>
      <c r="C2295" s="1" t="str">
        <f>IF(Tabela8[[#This Row],[SETOR]]="","",IF(Tabela8[[#This Row],[SETOR]]&lt;200,"GV 10",IF(Tabela8[[#This Row],[SETOR]]&lt;300,"GV 20",IF(Tabela8[[#This Row],[SETOR]]&lt;400,"GV 30","S/GV"))))</f>
        <v>GV 30</v>
      </c>
      <c r="E2295" t="s">
        <v>123</v>
      </c>
      <c r="G2295" t="str">
        <f>_xlfn.CONCAT(Tabela9[[#This Row],[Coluna1]],Tabela9[[#This Row],[Coluna2]])</f>
        <v>20-Rota</v>
      </c>
    </row>
    <row r="2296" spans="1:7" x14ac:dyDescent="0.25">
      <c r="A2296">
        <v>14558</v>
      </c>
      <c r="B2296">
        <v>307</v>
      </c>
      <c r="C2296" s="1" t="str">
        <f>IF(Tabela8[[#This Row],[SETOR]]="","",IF(Tabela8[[#This Row],[SETOR]]&lt;200,"GV 10",IF(Tabela8[[#This Row],[SETOR]]&lt;300,"GV 20",IF(Tabela8[[#This Row],[SETOR]]&lt;400,"GV 30","S/GV"))))</f>
        <v>GV 30</v>
      </c>
      <c r="E2296" t="s">
        <v>125</v>
      </c>
      <c r="G2296" t="str">
        <f>_xlfn.CONCAT(Tabela9[[#This Row],[Coluna1]],Tabela9[[#This Row],[Coluna2]])</f>
        <v>18-TRAD</v>
      </c>
    </row>
    <row r="2297" spans="1:7" x14ac:dyDescent="0.25">
      <c r="A2297">
        <v>14559</v>
      </c>
      <c r="B2297">
        <v>907</v>
      </c>
      <c r="C2297" s="1" t="str">
        <f>IF(Tabela8[[#This Row],[SETOR]]="","",IF(Tabela8[[#This Row],[SETOR]]&lt;200,"GV 10",IF(Tabela8[[#This Row],[SETOR]]&lt;300,"GV 20",IF(Tabela8[[#This Row],[SETOR]]&lt;400,"GV 30","S/GV"))))</f>
        <v>S/GV</v>
      </c>
      <c r="G2297" t="str">
        <f>_xlfn.CONCAT(Tabela9[[#This Row],[Coluna1]],Tabela9[[#This Row],[Coluna2]])</f>
        <v/>
      </c>
    </row>
    <row r="2298" spans="1:7" x14ac:dyDescent="0.25">
      <c r="A2298">
        <v>14562</v>
      </c>
      <c r="B2298">
        <v>309</v>
      </c>
      <c r="C2298" s="1" t="str">
        <f>IF(Tabela8[[#This Row],[SETOR]]="","",IF(Tabela8[[#This Row],[SETOR]]&lt;200,"GV 10",IF(Tabela8[[#This Row],[SETOR]]&lt;300,"GV 20",IF(Tabela8[[#This Row],[SETOR]]&lt;400,"GV 30","S/GV"))))</f>
        <v>GV 30</v>
      </c>
      <c r="E2298" t="s">
        <v>128</v>
      </c>
      <c r="F2298" t="s">
        <v>129</v>
      </c>
      <c r="G2298" t="str">
        <f>_xlfn.CONCAT(Tabela9[[#This Row],[Coluna1]],Tabela9[[#This Row],[Coluna2]])</f>
        <v>15-AS(1-4)</v>
      </c>
    </row>
    <row r="2299" spans="1:7" x14ac:dyDescent="0.25">
      <c r="A2299">
        <v>14563</v>
      </c>
      <c r="B2299">
        <v>302</v>
      </c>
      <c r="C2299" s="1" t="str">
        <f>IF(Tabela8[[#This Row],[SETOR]]="","",IF(Tabela8[[#This Row],[SETOR]]&lt;200,"GV 10",IF(Tabela8[[#This Row],[SETOR]]&lt;300,"GV 20",IF(Tabela8[[#This Row],[SETOR]]&lt;400,"GV 30","S/GV"))))</f>
        <v>GV 30</v>
      </c>
      <c r="E2299" t="s">
        <v>125</v>
      </c>
      <c r="G2299" t="str">
        <f>_xlfn.CONCAT(Tabela9[[#This Row],[Coluna1]],Tabela9[[#This Row],[Coluna2]])</f>
        <v>18-TRAD</v>
      </c>
    </row>
    <row r="2300" spans="1:7" x14ac:dyDescent="0.25">
      <c r="A2300">
        <v>14569</v>
      </c>
      <c r="B2300">
        <v>201</v>
      </c>
      <c r="C2300" s="1" t="str">
        <f>IF(Tabela8[[#This Row],[SETOR]]="","",IF(Tabela8[[#This Row],[SETOR]]&lt;200,"GV 10",IF(Tabela8[[#This Row],[SETOR]]&lt;300,"GV 20",IF(Tabela8[[#This Row],[SETOR]]&lt;400,"GV 30","S/GV"))))</f>
        <v>GV 20</v>
      </c>
      <c r="E2300" t="s">
        <v>123</v>
      </c>
      <c r="G2300" t="str">
        <f>_xlfn.CONCAT(Tabela9[[#This Row],[Coluna1]],Tabela9[[#This Row],[Coluna2]])</f>
        <v>20-Rota</v>
      </c>
    </row>
    <row r="2301" spans="1:7" x14ac:dyDescent="0.25">
      <c r="A2301">
        <v>14571</v>
      </c>
      <c r="B2301">
        <v>107</v>
      </c>
      <c r="C2301" s="1" t="str">
        <f>IF(Tabela8[[#This Row],[SETOR]]="","",IF(Tabela8[[#This Row],[SETOR]]&lt;200,"GV 10",IF(Tabela8[[#This Row],[SETOR]]&lt;300,"GV 20",IF(Tabela8[[#This Row],[SETOR]]&lt;400,"GV 30","S/GV"))))</f>
        <v>GV 10</v>
      </c>
      <c r="E2301" t="s">
        <v>130</v>
      </c>
      <c r="G2301" t="str">
        <f>_xlfn.CONCAT(Tabela9[[#This Row],[Coluna1]],Tabela9[[#This Row],[Coluna2]])</f>
        <v>21-SUB</v>
      </c>
    </row>
    <row r="2302" spans="1:7" x14ac:dyDescent="0.25">
      <c r="A2302">
        <v>14572</v>
      </c>
      <c r="B2302">
        <v>108</v>
      </c>
      <c r="C2302" s="1" t="str">
        <f>IF(Tabela8[[#This Row],[SETOR]]="","",IF(Tabela8[[#This Row],[SETOR]]&lt;200,"GV 10",IF(Tabela8[[#This Row],[SETOR]]&lt;300,"GV 20",IF(Tabela8[[#This Row],[SETOR]]&lt;400,"GV 30","S/GV"))))</f>
        <v>GV 10</v>
      </c>
      <c r="E2302" t="s">
        <v>128</v>
      </c>
      <c r="F2302" t="s">
        <v>129</v>
      </c>
      <c r="G2302" t="str">
        <f>_xlfn.CONCAT(Tabela9[[#This Row],[Coluna1]],Tabela9[[#This Row],[Coluna2]])</f>
        <v>15-AS(1-4)</v>
      </c>
    </row>
    <row r="2303" spans="1:7" x14ac:dyDescent="0.25">
      <c r="A2303">
        <v>14573</v>
      </c>
      <c r="B2303">
        <v>203</v>
      </c>
      <c r="C2303" s="1" t="str">
        <f>IF(Tabela8[[#This Row],[SETOR]]="","",IF(Tabela8[[#This Row],[SETOR]]&lt;200,"GV 10",IF(Tabela8[[#This Row],[SETOR]]&lt;300,"GV 20",IF(Tabela8[[#This Row],[SETOR]]&lt;400,"GV 30","S/GV"))))</f>
        <v>GV 20</v>
      </c>
      <c r="E2303" t="s">
        <v>123</v>
      </c>
      <c r="G2303" t="str">
        <f>_xlfn.CONCAT(Tabela9[[#This Row],[Coluna1]],Tabela9[[#This Row],[Coluna2]])</f>
        <v>20-Rota</v>
      </c>
    </row>
    <row r="2304" spans="1:7" x14ac:dyDescent="0.25">
      <c r="A2304">
        <v>14574</v>
      </c>
      <c r="B2304">
        <v>103</v>
      </c>
      <c r="C2304" s="1" t="str">
        <f>IF(Tabela8[[#This Row],[SETOR]]="","",IF(Tabela8[[#This Row],[SETOR]]&lt;200,"GV 10",IF(Tabela8[[#This Row],[SETOR]]&lt;300,"GV 20",IF(Tabela8[[#This Row],[SETOR]]&lt;400,"GV 30","S/GV"))))</f>
        <v>GV 10</v>
      </c>
      <c r="E2304" t="s">
        <v>123</v>
      </c>
      <c r="G2304" t="str">
        <f>_xlfn.CONCAT(Tabela9[[#This Row],[Coluna1]],Tabela9[[#This Row],[Coluna2]])</f>
        <v>20-Rota</v>
      </c>
    </row>
    <row r="2305" spans="1:7" x14ac:dyDescent="0.25">
      <c r="A2305">
        <v>14577</v>
      </c>
      <c r="B2305">
        <v>207</v>
      </c>
      <c r="C2305" s="1" t="str">
        <f>IF(Tabela8[[#This Row],[SETOR]]="","",IF(Tabela8[[#This Row],[SETOR]]&lt;200,"GV 10",IF(Tabela8[[#This Row],[SETOR]]&lt;300,"GV 20",IF(Tabela8[[#This Row],[SETOR]]&lt;400,"GV 30","S/GV"))))</f>
        <v>GV 20</v>
      </c>
      <c r="E2305" t="s">
        <v>125</v>
      </c>
      <c r="G2305" t="str">
        <f>_xlfn.CONCAT(Tabela9[[#This Row],[Coluna1]],Tabela9[[#This Row],[Coluna2]])</f>
        <v>18-TRAD</v>
      </c>
    </row>
    <row r="2306" spans="1:7" x14ac:dyDescent="0.25">
      <c r="A2306">
        <v>14578</v>
      </c>
      <c r="B2306">
        <v>304</v>
      </c>
      <c r="C2306" s="1" t="str">
        <f>IF(Tabela8[[#This Row],[SETOR]]="","",IF(Tabela8[[#This Row],[SETOR]]&lt;200,"GV 10",IF(Tabela8[[#This Row],[SETOR]]&lt;300,"GV 20",IF(Tabela8[[#This Row],[SETOR]]&lt;400,"GV 30","S/GV"))))</f>
        <v>GV 30</v>
      </c>
      <c r="E2306" t="s">
        <v>123</v>
      </c>
      <c r="G2306" t="str">
        <f>_xlfn.CONCAT(Tabela9[[#This Row],[Coluna1]],Tabela9[[#This Row],[Coluna2]])</f>
        <v>20-Rota</v>
      </c>
    </row>
    <row r="2307" spans="1:7" x14ac:dyDescent="0.25">
      <c r="A2307">
        <v>14579</v>
      </c>
      <c r="B2307">
        <v>204</v>
      </c>
      <c r="C2307" s="1" t="str">
        <f>IF(Tabela8[[#This Row],[SETOR]]="","",IF(Tabela8[[#This Row],[SETOR]]&lt;200,"GV 10",IF(Tabela8[[#This Row],[SETOR]]&lt;300,"GV 20",IF(Tabela8[[#This Row],[SETOR]]&lt;400,"GV 30","S/GV"))))</f>
        <v>GV 20</v>
      </c>
      <c r="E2307" t="s">
        <v>123</v>
      </c>
      <c r="G2307" t="str">
        <f>_xlfn.CONCAT(Tabela9[[#This Row],[Coluna1]],Tabela9[[#This Row],[Coluna2]])</f>
        <v>20-Rota</v>
      </c>
    </row>
    <row r="2308" spans="1:7" x14ac:dyDescent="0.25">
      <c r="A2308">
        <v>14584</v>
      </c>
      <c r="B2308">
        <v>102</v>
      </c>
      <c r="C2308" s="1" t="str">
        <f>IF(Tabela8[[#This Row],[SETOR]]="","",IF(Tabela8[[#This Row],[SETOR]]&lt;200,"GV 10",IF(Tabela8[[#This Row],[SETOR]]&lt;300,"GV 20",IF(Tabela8[[#This Row],[SETOR]]&lt;400,"GV 30","S/GV"))))</f>
        <v>GV 10</v>
      </c>
      <c r="E2308" t="s">
        <v>123</v>
      </c>
      <c r="G2308" t="str">
        <f>_xlfn.CONCAT(Tabela9[[#This Row],[Coluna1]],Tabela9[[#This Row],[Coluna2]])</f>
        <v>20-Rota</v>
      </c>
    </row>
    <row r="2309" spans="1:7" x14ac:dyDescent="0.25">
      <c r="A2309">
        <v>14586</v>
      </c>
      <c r="B2309">
        <v>201</v>
      </c>
      <c r="C2309" s="1" t="str">
        <f>IF(Tabela8[[#This Row],[SETOR]]="","",IF(Tabela8[[#This Row],[SETOR]]&lt;200,"GV 10",IF(Tabela8[[#This Row],[SETOR]]&lt;300,"GV 20",IF(Tabela8[[#This Row],[SETOR]]&lt;400,"GV 30","S/GV"))))</f>
        <v>GV 20</v>
      </c>
      <c r="E2309" t="s">
        <v>123</v>
      </c>
      <c r="G2309" t="str">
        <f>_xlfn.CONCAT(Tabela9[[#This Row],[Coluna1]],Tabela9[[#This Row],[Coluna2]])</f>
        <v>20-Rota</v>
      </c>
    </row>
    <row r="2310" spans="1:7" x14ac:dyDescent="0.25">
      <c r="A2310">
        <v>14592</v>
      </c>
      <c r="B2310">
        <v>105</v>
      </c>
      <c r="C2310" s="1" t="str">
        <f>IF(Tabela8[[#This Row],[SETOR]]="","",IF(Tabela8[[#This Row],[SETOR]]&lt;200,"GV 10",IF(Tabela8[[#This Row],[SETOR]]&lt;300,"GV 20",IF(Tabela8[[#This Row],[SETOR]]&lt;400,"GV 30","S/GV"))))</f>
        <v>GV 10</v>
      </c>
      <c r="E2310" t="s">
        <v>123</v>
      </c>
      <c r="G2310" t="str">
        <f>_xlfn.CONCAT(Tabela9[[#This Row],[Coluna1]],Tabela9[[#This Row],[Coluna2]])</f>
        <v>20-Rota</v>
      </c>
    </row>
    <row r="2311" spans="1:7" x14ac:dyDescent="0.25">
      <c r="A2311">
        <v>14593</v>
      </c>
      <c r="B2311">
        <v>201</v>
      </c>
      <c r="C2311" s="1" t="str">
        <f>IF(Tabela8[[#This Row],[SETOR]]="","",IF(Tabela8[[#This Row],[SETOR]]&lt;200,"GV 10",IF(Tabela8[[#This Row],[SETOR]]&lt;300,"GV 20",IF(Tabela8[[#This Row],[SETOR]]&lt;400,"GV 30","S/GV"))))</f>
        <v>GV 20</v>
      </c>
      <c r="E2311" t="s">
        <v>123</v>
      </c>
      <c r="G2311" t="str">
        <f>_xlfn.CONCAT(Tabela9[[#This Row],[Coluna1]],Tabela9[[#This Row],[Coluna2]])</f>
        <v>20-Rota</v>
      </c>
    </row>
    <row r="2312" spans="1:7" x14ac:dyDescent="0.25">
      <c r="A2312">
        <v>14605</v>
      </c>
      <c r="B2312">
        <v>307</v>
      </c>
      <c r="C2312" s="1" t="str">
        <f>IF(Tabela8[[#This Row],[SETOR]]="","",IF(Tabela8[[#This Row],[SETOR]]&lt;200,"GV 10",IF(Tabela8[[#This Row],[SETOR]]&lt;300,"GV 20",IF(Tabela8[[#This Row],[SETOR]]&lt;400,"GV 30","S/GV"))))</f>
        <v>GV 30</v>
      </c>
      <c r="E2312" t="s">
        <v>130</v>
      </c>
      <c r="G2312" t="str">
        <f>_xlfn.CONCAT(Tabela9[[#This Row],[Coluna1]],Tabela9[[#This Row],[Coluna2]])</f>
        <v>21-SUB</v>
      </c>
    </row>
    <row r="2313" spans="1:7" x14ac:dyDescent="0.25">
      <c r="A2313">
        <v>14608</v>
      </c>
      <c r="B2313">
        <v>306</v>
      </c>
      <c r="C2313" s="1" t="str">
        <f>IF(Tabela8[[#This Row],[SETOR]]="","",IF(Tabela8[[#This Row],[SETOR]]&lt;200,"GV 10",IF(Tabela8[[#This Row],[SETOR]]&lt;300,"GV 20",IF(Tabela8[[#This Row],[SETOR]]&lt;400,"GV 30","S/GV"))))</f>
        <v>GV 30</v>
      </c>
      <c r="E2313" t="s">
        <v>125</v>
      </c>
      <c r="G2313" t="str">
        <f>_xlfn.CONCAT(Tabela9[[#This Row],[Coluna1]],Tabela9[[#This Row],[Coluna2]])</f>
        <v>18-TRAD</v>
      </c>
    </row>
    <row r="2314" spans="1:7" x14ac:dyDescent="0.25">
      <c r="A2314">
        <v>14610</v>
      </c>
      <c r="B2314">
        <v>201</v>
      </c>
      <c r="C2314" s="1" t="str">
        <f>IF(Tabela8[[#This Row],[SETOR]]="","",IF(Tabela8[[#This Row],[SETOR]]&lt;200,"GV 10",IF(Tabela8[[#This Row],[SETOR]]&lt;300,"GV 20",IF(Tabela8[[#This Row],[SETOR]]&lt;400,"GV 30","S/GV"))))</f>
        <v>GV 20</v>
      </c>
      <c r="E2314" t="s">
        <v>123</v>
      </c>
      <c r="G2314" t="str">
        <f>_xlfn.CONCAT(Tabela9[[#This Row],[Coluna1]],Tabela9[[#This Row],[Coluna2]])</f>
        <v>20-Rota</v>
      </c>
    </row>
    <row r="2315" spans="1:7" x14ac:dyDescent="0.25">
      <c r="A2315">
        <v>14612</v>
      </c>
      <c r="B2315">
        <v>307</v>
      </c>
      <c r="C2315" s="1" t="str">
        <f>IF(Tabela8[[#This Row],[SETOR]]="","",IF(Tabela8[[#This Row],[SETOR]]&lt;200,"GV 10",IF(Tabela8[[#This Row],[SETOR]]&lt;300,"GV 20",IF(Tabela8[[#This Row],[SETOR]]&lt;400,"GV 30","S/GV"))))</f>
        <v>GV 30</v>
      </c>
      <c r="E2315" t="s">
        <v>123</v>
      </c>
      <c r="G2315" t="str">
        <f>_xlfn.CONCAT(Tabela9[[#This Row],[Coluna1]],Tabela9[[#This Row],[Coluna2]])</f>
        <v>20-Rota</v>
      </c>
    </row>
    <row r="2316" spans="1:7" x14ac:dyDescent="0.25">
      <c r="A2316">
        <v>14621</v>
      </c>
      <c r="B2316">
        <v>301</v>
      </c>
      <c r="C2316" s="1" t="str">
        <f>IF(Tabela8[[#This Row],[SETOR]]="","",IF(Tabela8[[#This Row],[SETOR]]&lt;200,"GV 10",IF(Tabela8[[#This Row],[SETOR]]&lt;300,"GV 20",IF(Tabela8[[#This Row],[SETOR]]&lt;400,"GV 30","S/GV"))))</f>
        <v>GV 30</v>
      </c>
      <c r="E2316" t="s">
        <v>123</v>
      </c>
      <c r="G2316" t="str">
        <f>_xlfn.CONCAT(Tabela9[[#This Row],[Coluna1]],Tabela9[[#This Row],[Coluna2]])</f>
        <v>20-Rota</v>
      </c>
    </row>
    <row r="2317" spans="1:7" x14ac:dyDescent="0.25">
      <c r="A2317">
        <v>14637</v>
      </c>
      <c r="B2317">
        <v>107</v>
      </c>
      <c r="C2317" s="1" t="str">
        <f>IF(Tabela8[[#This Row],[SETOR]]="","",IF(Tabela8[[#This Row],[SETOR]]&lt;200,"GV 10",IF(Tabela8[[#This Row],[SETOR]]&lt;300,"GV 20",IF(Tabela8[[#This Row],[SETOR]]&lt;400,"GV 30","S/GV"))))</f>
        <v>GV 10</v>
      </c>
      <c r="E2317" t="s">
        <v>125</v>
      </c>
      <c r="G2317" t="str">
        <f>_xlfn.CONCAT(Tabela9[[#This Row],[Coluna1]],Tabela9[[#This Row],[Coluna2]])</f>
        <v>18-TRAD</v>
      </c>
    </row>
    <row r="2318" spans="1:7" x14ac:dyDescent="0.25">
      <c r="A2318">
        <v>14639</v>
      </c>
      <c r="B2318">
        <v>303</v>
      </c>
      <c r="C2318" s="1" t="str">
        <f>IF(Tabela8[[#This Row],[SETOR]]="","",IF(Tabela8[[#This Row],[SETOR]]&lt;200,"GV 10",IF(Tabela8[[#This Row],[SETOR]]&lt;300,"GV 20",IF(Tabela8[[#This Row],[SETOR]]&lt;400,"GV 30","S/GV"))))</f>
        <v>GV 30</v>
      </c>
      <c r="E2318" t="s">
        <v>123</v>
      </c>
      <c r="G2318" t="str">
        <f>_xlfn.CONCAT(Tabela9[[#This Row],[Coluna1]],Tabela9[[#This Row],[Coluna2]])</f>
        <v>20-Rota</v>
      </c>
    </row>
    <row r="2319" spans="1:7" x14ac:dyDescent="0.25">
      <c r="A2319">
        <v>14641</v>
      </c>
      <c r="B2319">
        <v>202</v>
      </c>
      <c r="C2319" s="1" t="str">
        <f>IF(Tabela8[[#This Row],[SETOR]]="","",IF(Tabela8[[#This Row],[SETOR]]&lt;200,"GV 10",IF(Tabela8[[#This Row],[SETOR]]&lt;300,"GV 20",IF(Tabela8[[#This Row],[SETOR]]&lt;400,"GV 30","S/GV"))))</f>
        <v>GV 20</v>
      </c>
      <c r="E2319" t="s">
        <v>123</v>
      </c>
      <c r="G2319" t="str">
        <f>_xlfn.CONCAT(Tabela9[[#This Row],[Coluna1]],Tabela9[[#This Row],[Coluna2]])</f>
        <v>20-Rota</v>
      </c>
    </row>
    <row r="2320" spans="1:7" x14ac:dyDescent="0.25">
      <c r="A2320">
        <v>14656</v>
      </c>
      <c r="B2320">
        <v>207</v>
      </c>
      <c r="C2320" s="1" t="str">
        <f>IF(Tabela8[[#This Row],[SETOR]]="","",IF(Tabela8[[#This Row],[SETOR]]&lt;200,"GV 10",IF(Tabela8[[#This Row],[SETOR]]&lt;300,"GV 20",IF(Tabela8[[#This Row],[SETOR]]&lt;400,"GV 30","S/GV"))))</f>
        <v>GV 20</v>
      </c>
      <c r="E2320" t="s">
        <v>130</v>
      </c>
      <c r="G2320" t="str">
        <f>_xlfn.CONCAT(Tabela9[[#This Row],[Coluna1]],Tabela9[[#This Row],[Coluna2]])</f>
        <v>21-SUB</v>
      </c>
    </row>
    <row r="2321" spans="1:7" x14ac:dyDescent="0.25">
      <c r="A2321">
        <v>14657</v>
      </c>
      <c r="B2321">
        <v>302</v>
      </c>
      <c r="C2321" s="1" t="str">
        <f>IF(Tabela8[[#This Row],[SETOR]]="","",IF(Tabela8[[#This Row],[SETOR]]&lt;200,"GV 10",IF(Tabela8[[#This Row],[SETOR]]&lt;300,"GV 20",IF(Tabela8[[#This Row],[SETOR]]&lt;400,"GV 30","S/GV"))))</f>
        <v>GV 30</v>
      </c>
      <c r="E2321" t="s">
        <v>123</v>
      </c>
      <c r="G2321" t="str">
        <f>_xlfn.CONCAT(Tabela9[[#This Row],[Coluna1]],Tabela9[[#This Row],[Coluna2]])</f>
        <v>20-Rota</v>
      </c>
    </row>
    <row r="2322" spans="1:7" x14ac:dyDescent="0.25">
      <c r="A2322">
        <v>14659</v>
      </c>
      <c r="B2322">
        <v>302</v>
      </c>
      <c r="C2322" s="1" t="str">
        <f>IF(Tabela8[[#This Row],[SETOR]]="","",IF(Tabela8[[#This Row],[SETOR]]&lt;200,"GV 10",IF(Tabela8[[#This Row],[SETOR]]&lt;300,"GV 20",IF(Tabela8[[#This Row],[SETOR]]&lt;400,"GV 30","S/GV"))))</f>
        <v>GV 30</v>
      </c>
      <c r="E2322" t="s">
        <v>123</v>
      </c>
      <c r="G2322" t="str">
        <f>_xlfn.CONCAT(Tabela9[[#This Row],[Coluna1]],Tabela9[[#This Row],[Coluna2]])</f>
        <v>20-Rota</v>
      </c>
    </row>
    <row r="2323" spans="1:7" x14ac:dyDescent="0.25">
      <c r="A2323">
        <v>14662</v>
      </c>
      <c r="B2323">
        <v>104</v>
      </c>
      <c r="C2323" s="1" t="str">
        <f>IF(Tabela8[[#This Row],[SETOR]]="","",IF(Tabela8[[#This Row],[SETOR]]&lt;200,"GV 10",IF(Tabela8[[#This Row],[SETOR]]&lt;300,"GV 20",IF(Tabela8[[#This Row],[SETOR]]&lt;400,"GV 30","S/GV"))))</f>
        <v>GV 10</v>
      </c>
      <c r="E2323" t="s">
        <v>123</v>
      </c>
      <c r="G2323" t="str">
        <f>_xlfn.CONCAT(Tabela9[[#This Row],[Coluna1]],Tabela9[[#This Row],[Coluna2]])</f>
        <v>20-Rota</v>
      </c>
    </row>
    <row r="2324" spans="1:7" x14ac:dyDescent="0.25">
      <c r="A2324">
        <v>14664</v>
      </c>
      <c r="B2324">
        <v>102</v>
      </c>
      <c r="C2324" s="1" t="str">
        <f>IF(Tabela8[[#This Row],[SETOR]]="","",IF(Tabela8[[#This Row],[SETOR]]&lt;200,"GV 10",IF(Tabela8[[#This Row],[SETOR]]&lt;300,"GV 20",IF(Tabela8[[#This Row],[SETOR]]&lt;400,"GV 30","S/GV"))))</f>
        <v>GV 10</v>
      </c>
      <c r="E2324" t="s">
        <v>123</v>
      </c>
      <c r="G2324" t="str">
        <f>_xlfn.CONCAT(Tabela9[[#This Row],[Coluna1]],Tabela9[[#This Row],[Coluna2]])</f>
        <v>20-Rota</v>
      </c>
    </row>
    <row r="2325" spans="1:7" x14ac:dyDescent="0.25">
      <c r="A2325">
        <v>14673</v>
      </c>
      <c r="B2325">
        <v>109</v>
      </c>
      <c r="C2325" s="1" t="str">
        <f>IF(Tabela8[[#This Row],[SETOR]]="","",IF(Tabela8[[#This Row],[SETOR]]&lt;200,"GV 10",IF(Tabela8[[#This Row],[SETOR]]&lt;300,"GV 20",IF(Tabela8[[#This Row],[SETOR]]&lt;400,"GV 30","S/GV"))))</f>
        <v>GV 10</v>
      </c>
      <c r="E2325" t="s">
        <v>123</v>
      </c>
      <c r="G2325" t="str">
        <f>_xlfn.CONCAT(Tabela9[[#This Row],[Coluna1]],Tabela9[[#This Row],[Coluna2]])</f>
        <v>20-Rota</v>
      </c>
    </row>
    <row r="2326" spans="1:7" x14ac:dyDescent="0.25">
      <c r="A2326">
        <v>14674</v>
      </c>
      <c r="B2326">
        <v>305</v>
      </c>
      <c r="C2326" s="1" t="str">
        <f>IF(Tabela8[[#This Row],[SETOR]]="","",IF(Tabela8[[#This Row],[SETOR]]&lt;200,"GV 10",IF(Tabela8[[#This Row],[SETOR]]&lt;300,"GV 20",IF(Tabela8[[#This Row],[SETOR]]&lt;400,"GV 30","S/GV"))))</f>
        <v>GV 30</v>
      </c>
      <c r="E2326" t="s">
        <v>124</v>
      </c>
      <c r="G2326" t="str">
        <f>_xlfn.CONCAT(Tabela9[[#This Row],[Coluna1]],Tabela9[[#This Row],[Coluna2]])</f>
        <v>19-VIP</v>
      </c>
    </row>
    <row r="2327" spans="1:7" x14ac:dyDescent="0.25">
      <c r="A2327">
        <v>14678</v>
      </c>
      <c r="B2327">
        <v>302</v>
      </c>
      <c r="C2327" s="1" t="str">
        <f>IF(Tabela8[[#This Row],[SETOR]]="","",IF(Tabela8[[#This Row],[SETOR]]&lt;200,"GV 10",IF(Tabela8[[#This Row],[SETOR]]&lt;300,"GV 20",IF(Tabela8[[#This Row],[SETOR]]&lt;400,"GV 30","S/GV"))))</f>
        <v>GV 30</v>
      </c>
      <c r="E2327" t="s">
        <v>123</v>
      </c>
      <c r="G2327" t="str">
        <f>_xlfn.CONCAT(Tabela9[[#This Row],[Coluna1]],Tabela9[[#This Row],[Coluna2]])</f>
        <v>20-Rota</v>
      </c>
    </row>
    <row r="2328" spans="1:7" x14ac:dyDescent="0.25">
      <c r="A2328">
        <v>14683</v>
      </c>
      <c r="B2328">
        <v>303</v>
      </c>
      <c r="C2328" s="1" t="str">
        <f>IF(Tabela8[[#This Row],[SETOR]]="","",IF(Tabela8[[#This Row],[SETOR]]&lt;200,"GV 10",IF(Tabela8[[#This Row],[SETOR]]&lt;300,"GV 20",IF(Tabela8[[#This Row],[SETOR]]&lt;400,"GV 30","S/GV"))))</f>
        <v>GV 30</v>
      </c>
      <c r="E2328" t="s">
        <v>123</v>
      </c>
      <c r="G2328" t="str">
        <f>_xlfn.CONCAT(Tabela9[[#This Row],[Coluna1]],Tabela9[[#This Row],[Coluna2]])</f>
        <v>20-Rota</v>
      </c>
    </row>
    <row r="2329" spans="1:7" x14ac:dyDescent="0.25">
      <c r="A2329">
        <v>14685</v>
      </c>
      <c r="B2329">
        <v>204</v>
      </c>
      <c r="C2329" s="1" t="str">
        <f>IF(Tabela8[[#This Row],[SETOR]]="","",IF(Tabela8[[#This Row],[SETOR]]&lt;200,"GV 10",IF(Tabela8[[#This Row],[SETOR]]&lt;300,"GV 20",IF(Tabela8[[#This Row],[SETOR]]&lt;400,"GV 30","S/GV"))))</f>
        <v>GV 20</v>
      </c>
      <c r="E2329" t="s">
        <v>123</v>
      </c>
      <c r="G2329" t="str">
        <f>_xlfn.CONCAT(Tabela9[[#This Row],[Coluna1]],Tabela9[[#This Row],[Coluna2]])</f>
        <v>20-Rota</v>
      </c>
    </row>
    <row r="2330" spans="1:7" x14ac:dyDescent="0.25">
      <c r="A2330">
        <v>14690</v>
      </c>
      <c r="B2330">
        <v>104</v>
      </c>
      <c r="C2330" s="1" t="str">
        <f>IF(Tabela8[[#This Row],[SETOR]]="","",IF(Tabela8[[#This Row],[SETOR]]&lt;200,"GV 10",IF(Tabela8[[#This Row],[SETOR]]&lt;300,"GV 20",IF(Tabela8[[#This Row],[SETOR]]&lt;400,"GV 30","S/GV"))))</f>
        <v>GV 10</v>
      </c>
      <c r="E2330" t="s">
        <v>123</v>
      </c>
      <c r="G2330" t="str">
        <f>_xlfn.CONCAT(Tabela9[[#This Row],[Coluna1]],Tabela9[[#This Row],[Coluna2]])</f>
        <v>20-Rota</v>
      </c>
    </row>
    <row r="2331" spans="1:7" x14ac:dyDescent="0.25">
      <c r="A2331">
        <v>14693</v>
      </c>
      <c r="B2331">
        <v>103</v>
      </c>
      <c r="C2331" s="1" t="str">
        <f>IF(Tabela8[[#This Row],[SETOR]]="","",IF(Tabela8[[#This Row],[SETOR]]&lt;200,"GV 10",IF(Tabela8[[#This Row],[SETOR]]&lt;300,"GV 20",IF(Tabela8[[#This Row],[SETOR]]&lt;400,"GV 30","S/GV"))))</f>
        <v>GV 10</v>
      </c>
      <c r="E2331" t="s">
        <v>123</v>
      </c>
      <c r="G2331" t="str">
        <f>_xlfn.CONCAT(Tabela9[[#This Row],[Coluna1]],Tabela9[[#This Row],[Coluna2]])</f>
        <v>20-Rota</v>
      </c>
    </row>
    <row r="2332" spans="1:7" x14ac:dyDescent="0.25">
      <c r="A2332">
        <v>14699</v>
      </c>
      <c r="B2332">
        <v>305</v>
      </c>
      <c r="C2332" s="1" t="str">
        <f>IF(Tabela8[[#This Row],[SETOR]]="","",IF(Tabela8[[#This Row],[SETOR]]&lt;200,"GV 10",IF(Tabela8[[#This Row],[SETOR]]&lt;300,"GV 20",IF(Tabela8[[#This Row],[SETOR]]&lt;400,"GV 30","S/GV"))))</f>
        <v>GV 30</v>
      </c>
      <c r="E2332" t="s">
        <v>123</v>
      </c>
      <c r="G2332" t="str">
        <f>_xlfn.CONCAT(Tabela9[[#This Row],[Coluna1]],Tabela9[[#This Row],[Coluna2]])</f>
        <v>20-Rota</v>
      </c>
    </row>
    <row r="2333" spans="1:7" x14ac:dyDescent="0.25">
      <c r="A2333">
        <v>14701</v>
      </c>
      <c r="B2333">
        <v>207</v>
      </c>
      <c r="C2333" s="1" t="str">
        <f>IF(Tabela8[[#This Row],[SETOR]]="","",IF(Tabela8[[#This Row],[SETOR]]&lt;200,"GV 10",IF(Tabela8[[#This Row],[SETOR]]&lt;300,"GV 20",IF(Tabela8[[#This Row],[SETOR]]&lt;400,"GV 30","S/GV"))))</f>
        <v>GV 20</v>
      </c>
      <c r="E2333" t="s">
        <v>123</v>
      </c>
      <c r="G2333" t="str">
        <f>_xlfn.CONCAT(Tabela9[[#This Row],[Coluna1]],Tabela9[[#This Row],[Coluna2]])</f>
        <v>20-Rota</v>
      </c>
    </row>
    <row r="2334" spans="1:7" x14ac:dyDescent="0.25">
      <c r="A2334">
        <v>14707</v>
      </c>
      <c r="B2334">
        <v>202</v>
      </c>
      <c r="C2334" s="1" t="str">
        <f>IF(Tabela8[[#This Row],[SETOR]]="","",IF(Tabela8[[#This Row],[SETOR]]&lt;200,"GV 10",IF(Tabela8[[#This Row],[SETOR]]&lt;300,"GV 20",IF(Tabela8[[#This Row],[SETOR]]&lt;400,"GV 30","S/GV"))))</f>
        <v>GV 20</v>
      </c>
      <c r="E2334" t="s">
        <v>123</v>
      </c>
      <c r="G2334" t="str">
        <f>_xlfn.CONCAT(Tabela9[[#This Row],[Coluna1]],Tabela9[[#This Row],[Coluna2]])</f>
        <v>20-Rota</v>
      </c>
    </row>
    <row r="2335" spans="1:7" x14ac:dyDescent="0.25">
      <c r="A2335">
        <v>14708</v>
      </c>
      <c r="B2335">
        <v>202</v>
      </c>
      <c r="C2335" s="1" t="str">
        <f>IF(Tabela8[[#This Row],[SETOR]]="","",IF(Tabela8[[#This Row],[SETOR]]&lt;200,"GV 10",IF(Tabela8[[#This Row],[SETOR]]&lt;300,"GV 20",IF(Tabela8[[#This Row],[SETOR]]&lt;400,"GV 30","S/GV"))))</f>
        <v>GV 20</v>
      </c>
      <c r="E2335" t="s">
        <v>123</v>
      </c>
      <c r="G2335" t="str">
        <f>_xlfn.CONCAT(Tabela9[[#This Row],[Coluna1]],Tabela9[[#This Row],[Coluna2]])</f>
        <v>20-Rota</v>
      </c>
    </row>
    <row r="2336" spans="1:7" x14ac:dyDescent="0.25">
      <c r="A2336">
        <v>14711</v>
      </c>
      <c r="B2336">
        <v>206</v>
      </c>
      <c r="C2336" s="1" t="str">
        <f>IF(Tabela8[[#This Row],[SETOR]]="","",IF(Tabela8[[#This Row],[SETOR]]&lt;200,"GV 10",IF(Tabela8[[#This Row],[SETOR]]&lt;300,"GV 20",IF(Tabela8[[#This Row],[SETOR]]&lt;400,"GV 30","S/GV"))))</f>
        <v>GV 20</v>
      </c>
      <c r="E2336" t="s">
        <v>123</v>
      </c>
      <c r="G2336" t="str">
        <f>_xlfn.CONCAT(Tabela9[[#This Row],[Coluna1]],Tabela9[[#This Row],[Coluna2]])</f>
        <v>20-Rota</v>
      </c>
    </row>
    <row r="2337" spans="1:7" x14ac:dyDescent="0.25">
      <c r="A2337">
        <v>14720</v>
      </c>
      <c r="B2337">
        <v>306</v>
      </c>
      <c r="C2337" s="1" t="str">
        <f>IF(Tabela8[[#This Row],[SETOR]]="","",IF(Tabela8[[#This Row],[SETOR]]&lt;200,"GV 10",IF(Tabela8[[#This Row],[SETOR]]&lt;300,"GV 20",IF(Tabela8[[#This Row],[SETOR]]&lt;400,"GV 30","S/GV"))))</f>
        <v>GV 30</v>
      </c>
      <c r="E2337" t="s">
        <v>125</v>
      </c>
      <c r="G2337" t="str">
        <f>_xlfn.CONCAT(Tabela9[[#This Row],[Coluna1]],Tabela9[[#This Row],[Coluna2]])</f>
        <v>18-TRAD</v>
      </c>
    </row>
    <row r="2338" spans="1:7" x14ac:dyDescent="0.25">
      <c r="A2338">
        <v>14724</v>
      </c>
      <c r="B2338">
        <v>303</v>
      </c>
      <c r="C2338" s="1" t="str">
        <f>IF(Tabela8[[#This Row],[SETOR]]="","",IF(Tabela8[[#This Row],[SETOR]]&lt;200,"GV 10",IF(Tabela8[[#This Row],[SETOR]]&lt;300,"GV 20",IF(Tabela8[[#This Row],[SETOR]]&lt;400,"GV 30","S/GV"))))</f>
        <v>GV 30</v>
      </c>
      <c r="E2338" t="s">
        <v>123</v>
      </c>
      <c r="G2338" t="str">
        <f>_xlfn.CONCAT(Tabela9[[#This Row],[Coluna1]],Tabela9[[#This Row],[Coluna2]])</f>
        <v>20-Rota</v>
      </c>
    </row>
    <row r="2339" spans="1:7" x14ac:dyDescent="0.25">
      <c r="A2339">
        <v>14729</v>
      </c>
      <c r="B2339">
        <v>301</v>
      </c>
      <c r="C2339" s="1" t="str">
        <f>IF(Tabela8[[#This Row],[SETOR]]="","",IF(Tabela8[[#This Row],[SETOR]]&lt;200,"GV 10",IF(Tabela8[[#This Row],[SETOR]]&lt;300,"GV 20",IF(Tabela8[[#This Row],[SETOR]]&lt;400,"GV 30","S/GV"))))</f>
        <v>GV 30</v>
      </c>
      <c r="E2339" t="s">
        <v>123</v>
      </c>
      <c r="G2339" t="str">
        <f>_xlfn.CONCAT(Tabela9[[#This Row],[Coluna1]],Tabela9[[#This Row],[Coluna2]])</f>
        <v>20-Rota</v>
      </c>
    </row>
    <row r="2340" spans="1:7" x14ac:dyDescent="0.25">
      <c r="A2340">
        <v>14730</v>
      </c>
      <c r="B2340">
        <v>302</v>
      </c>
      <c r="C2340" s="1" t="str">
        <f>IF(Tabela8[[#This Row],[SETOR]]="","",IF(Tabela8[[#This Row],[SETOR]]&lt;200,"GV 10",IF(Tabela8[[#This Row],[SETOR]]&lt;300,"GV 20",IF(Tabela8[[#This Row],[SETOR]]&lt;400,"GV 30","S/GV"))))</f>
        <v>GV 30</v>
      </c>
      <c r="E2340" t="s">
        <v>123</v>
      </c>
      <c r="G2340" t="str">
        <f>_xlfn.CONCAT(Tabela9[[#This Row],[Coluna1]],Tabela9[[#This Row],[Coluna2]])</f>
        <v>20-Rota</v>
      </c>
    </row>
    <row r="2341" spans="1:7" x14ac:dyDescent="0.25">
      <c r="A2341">
        <v>14731</v>
      </c>
      <c r="B2341">
        <v>201</v>
      </c>
      <c r="C2341" s="1" t="str">
        <f>IF(Tabela8[[#This Row],[SETOR]]="","",IF(Tabela8[[#This Row],[SETOR]]&lt;200,"GV 10",IF(Tabela8[[#This Row],[SETOR]]&lt;300,"GV 20",IF(Tabela8[[#This Row],[SETOR]]&lt;400,"GV 30","S/GV"))))</f>
        <v>GV 20</v>
      </c>
      <c r="E2341" t="s">
        <v>123</v>
      </c>
      <c r="G2341" t="str">
        <f>_xlfn.CONCAT(Tabela9[[#This Row],[Coluna1]],Tabela9[[#This Row],[Coluna2]])</f>
        <v>20-Rota</v>
      </c>
    </row>
    <row r="2342" spans="1:7" x14ac:dyDescent="0.25">
      <c r="A2342">
        <v>14732</v>
      </c>
      <c r="B2342">
        <v>201</v>
      </c>
      <c r="C2342" s="1" t="str">
        <f>IF(Tabela8[[#This Row],[SETOR]]="","",IF(Tabela8[[#This Row],[SETOR]]&lt;200,"GV 10",IF(Tabela8[[#This Row],[SETOR]]&lt;300,"GV 20",IF(Tabela8[[#This Row],[SETOR]]&lt;400,"GV 30","S/GV"))))</f>
        <v>GV 20</v>
      </c>
      <c r="E2342" t="s">
        <v>125</v>
      </c>
      <c r="G2342" t="str">
        <f>_xlfn.CONCAT(Tabela9[[#This Row],[Coluna1]],Tabela9[[#This Row],[Coluna2]])</f>
        <v>18-TRAD</v>
      </c>
    </row>
    <row r="2343" spans="1:7" x14ac:dyDescent="0.25">
      <c r="A2343">
        <v>14736</v>
      </c>
      <c r="B2343">
        <v>304</v>
      </c>
      <c r="C2343" s="1" t="str">
        <f>IF(Tabela8[[#This Row],[SETOR]]="","",IF(Tabela8[[#This Row],[SETOR]]&lt;200,"GV 10",IF(Tabela8[[#This Row],[SETOR]]&lt;300,"GV 20",IF(Tabela8[[#This Row],[SETOR]]&lt;400,"GV 30","S/GV"))))</f>
        <v>GV 30</v>
      </c>
      <c r="E2343" t="s">
        <v>123</v>
      </c>
      <c r="G2343" t="str">
        <f>_xlfn.CONCAT(Tabela9[[#This Row],[Coluna1]],Tabela9[[#This Row],[Coluna2]])</f>
        <v>20-Rota</v>
      </c>
    </row>
    <row r="2344" spans="1:7" x14ac:dyDescent="0.25">
      <c r="A2344">
        <v>14740</v>
      </c>
      <c r="B2344">
        <v>305</v>
      </c>
      <c r="C2344" s="1" t="str">
        <f>IF(Tabela8[[#This Row],[SETOR]]="","",IF(Tabela8[[#This Row],[SETOR]]&lt;200,"GV 10",IF(Tabela8[[#This Row],[SETOR]]&lt;300,"GV 20",IF(Tabela8[[#This Row],[SETOR]]&lt;400,"GV 30","S/GV"))))</f>
        <v>GV 30</v>
      </c>
      <c r="E2344" t="s">
        <v>123</v>
      </c>
      <c r="G2344" t="str">
        <f>_xlfn.CONCAT(Tabela9[[#This Row],[Coluna1]],Tabela9[[#This Row],[Coluna2]])</f>
        <v>20-Rota</v>
      </c>
    </row>
    <row r="2345" spans="1:7" x14ac:dyDescent="0.25">
      <c r="A2345">
        <v>14745</v>
      </c>
      <c r="B2345">
        <v>102</v>
      </c>
      <c r="C2345" s="1" t="str">
        <f>IF(Tabela8[[#This Row],[SETOR]]="","",IF(Tabela8[[#This Row],[SETOR]]&lt;200,"GV 10",IF(Tabela8[[#This Row],[SETOR]]&lt;300,"GV 20",IF(Tabela8[[#This Row],[SETOR]]&lt;400,"GV 30","S/GV"))))</f>
        <v>GV 10</v>
      </c>
      <c r="E2345" t="s">
        <v>123</v>
      </c>
      <c r="G2345" t="str">
        <f>_xlfn.CONCAT(Tabela9[[#This Row],[Coluna1]],Tabela9[[#This Row],[Coluna2]])</f>
        <v>20-Rota</v>
      </c>
    </row>
    <row r="2346" spans="1:7" x14ac:dyDescent="0.25">
      <c r="A2346">
        <v>14746</v>
      </c>
      <c r="B2346">
        <v>205</v>
      </c>
      <c r="C2346" s="1" t="str">
        <f>IF(Tabela8[[#This Row],[SETOR]]="","",IF(Tabela8[[#This Row],[SETOR]]&lt;200,"GV 10",IF(Tabela8[[#This Row],[SETOR]]&lt;300,"GV 20",IF(Tabela8[[#This Row],[SETOR]]&lt;400,"GV 30","S/GV"))))</f>
        <v>GV 20</v>
      </c>
      <c r="E2346" t="s">
        <v>125</v>
      </c>
      <c r="G2346" t="str">
        <f>_xlfn.CONCAT(Tabela9[[#This Row],[Coluna1]],Tabela9[[#This Row],[Coluna2]])</f>
        <v>18-TRAD</v>
      </c>
    </row>
    <row r="2347" spans="1:7" x14ac:dyDescent="0.25">
      <c r="A2347">
        <v>14751</v>
      </c>
      <c r="B2347">
        <v>104</v>
      </c>
      <c r="C2347" s="1" t="str">
        <f>IF(Tabela8[[#This Row],[SETOR]]="","",IF(Tabela8[[#This Row],[SETOR]]&lt;200,"GV 10",IF(Tabela8[[#This Row],[SETOR]]&lt;300,"GV 20",IF(Tabela8[[#This Row],[SETOR]]&lt;400,"GV 30","S/GV"))))</f>
        <v>GV 10</v>
      </c>
      <c r="E2347" t="s">
        <v>123</v>
      </c>
      <c r="G2347" t="str">
        <f>_xlfn.CONCAT(Tabela9[[#This Row],[Coluna1]],Tabela9[[#This Row],[Coluna2]])</f>
        <v>20-Rota</v>
      </c>
    </row>
    <row r="2348" spans="1:7" x14ac:dyDescent="0.25">
      <c r="A2348">
        <v>14756</v>
      </c>
      <c r="B2348">
        <v>302</v>
      </c>
      <c r="C2348" s="1" t="str">
        <f>IF(Tabela8[[#This Row],[SETOR]]="","",IF(Tabela8[[#This Row],[SETOR]]&lt;200,"GV 10",IF(Tabela8[[#This Row],[SETOR]]&lt;300,"GV 20",IF(Tabela8[[#This Row],[SETOR]]&lt;400,"GV 30","S/GV"))))</f>
        <v>GV 30</v>
      </c>
      <c r="E2348" t="s">
        <v>123</v>
      </c>
      <c r="G2348" t="str">
        <f>_xlfn.CONCAT(Tabela9[[#This Row],[Coluna1]],Tabela9[[#This Row],[Coluna2]])</f>
        <v>20-Rota</v>
      </c>
    </row>
    <row r="2349" spans="1:7" x14ac:dyDescent="0.25">
      <c r="A2349">
        <v>14778</v>
      </c>
      <c r="B2349">
        <v>102</v>
      </c>
      <c r="C2349" s="1" t="str">
        <f>IF(Tabela8[[#This Row],[SETOR]]="","",IF(Tabela8[[#This Row],[SETOR]]&lt;200,"GV 10",IF(Tabela8[[#This Row],[SETOR]]&lt;300,"GV 20",IF(Tabela8[[#This Row],[SETOR]]&lt;400,"GV 30","S/GV"))))</f>
        <v>GV 10</v>
      </c>
      <c r="E2349" t="s">
        <v>125</v>
      </c>
      <c r="G2349" t="str">
        <f>_xlfn.CONCAT(Tabela9[[#This Row],[Coluna1]],Tabela9[[#This Row],[Coluna2]])</f>
        <v>18-TRAD</v>
      </c>
    </row>
    <row r="2350" spans="1:7" x14ac:dyDescent="0.25">
      <c r="A2350">
        <v>14779</v>
      </c>
      <c r="B2350">
        <v>303</v>
      </c>
      <c r="C2350" s="1" t="str">
        <f>IF(Tabela8[[#This Row],[SETOR]]="","",IF(Tabela8[[#This Row],[SETOR]]&lt;200,"GV 10",IF(Tabela8[[#This Row],[SETOR]]&lt;300,"GV 20",IF(Tabela8[[#This Row],[SETOR]]&lt;400,"GV 30","S/GV"))))</f>
        <v>GV 30</v>
      </c>
      <c r="E2350" t="s">
        <v>123</v>
      </c>
      <c r="G2350" t="str">
        <f>_xlfn.CONCAT(Tabela9[[#This Row],[Coluna1]],Tabela9[[#This Row],[Coluna2]])</f>
        <v>20-Rota</v>
      </c>
    </row>
    <row r="2351" spans="1:7" x14ac:dyDescent="0.25">
      <c r="A2351">
        <v>14781</v>
      </c>
      <c r="B2351">
        <v>304</v>
      </c>
      <c r="C2351" s="1" t="str">
        <f>IF(Tabela8[[#This Row],[SETOR]]="","",IF(Tabela8[[#This Row],[SETOR]]&lt;200,"GV 10",IF(Tabela8[[#This Row],[SETOR]]&lt;300,"GV 20",IF(Tabela8[[#This Row],[SETOR]]&lt;400,"GV 30","S/GV"))))</f>
        <v>GV 30</v>
      </c>
      <c r="E2351" t="s">
        <v>123</v>
      </c>
      <c r="G2351" t="str">
        <f>_xlfn.CONCAT(Tabela9[[#This Row],[Coluna1]],Tabela9[[#This Row],[Coluna2]])</f>
        <v>20-Rota</v>
      </c>
    </row>
    <row r="2352" spans="1:7" x14ac:dyDescent="0.25">
      <c r="A2352">
        <v>14786</v>
      </c>
      <c r="B2352">
        <v>301</v>
      </c>
      <c r="C2352" s="1" t="str">
        <f>IF(Tabela8[[#This Row],[SETOR]]="","",IF(Tabela8[[#This Row],[SETOR]]&lt;200,"GV 10",IF(Tabela8[[#This Row],[SETOR]]&lt;300,"GV 20",IF(Tabela8[[#This Row],[SETOR]]&lt;400,"GV 30","S/GV"))))</f>
        <v>GV 30</v>
      </c>
      <c r="E2352" t="s">
        <v>123</v>
      </c>
      <c r="G2352" t="str">
        <f>_xlfn.CONCAT(Tabela9[[#This Row],[Coluna1]],Tabela9[[#This Row],[Coluna2]])</f>
        <v>20-Rota</v>
      </c>
    </row>
    <row r="2353" spans="1:7" x14ac:dyDescent="0.25">
      <c r="A2353">
        <v>14793</v>
      </c>
      <c r="B2353">
        <v>101</v>
      </c>
      <c r="C2353" s="1" t="str">
        <f>IF(Tabela8[[#This Row],[SETOR]]="","",IF(Tabela8[[#This Row],[SETOR]]&lt;200,"GV 10",IF(Tabela8[[#This Row],[SETOR]]&lt;300,"GV 20",IF(Tabela8[[#This Row],[SETOR]]&lt;400,"GV 30","S/GV"))))</f>
        <v>GV 10</v>
      </c>
      <c r="E2353" t="s">
        <v>123</v>
      </c>
      <c r="G2353" t="str">
        <f>_xlfn.CONCAT(Tabela9[[#This Row],[Coluna1]],Tabela9[[#This Row],[Coluna2]])</f>
        <v>20-Rota</v>
      </c>
    </row>
    <row r="2354" spans="1:7" x14ac:dyDescent="0.25">
      <c r="A2354">
        <v>14796</v>
      </c>
      <c r="B2354">
        <v>916</v>
      </c>
      <c r="C2354" s="1" t="str">
        <f>IF(Tabela8[[#This Row],[SETOR]]="","",IF(Tabela8[[#This Row],[SETOR]]&lt;200,"GV 10",IF(Tabela8[[#This Row],[SETOR]]&lt;300,"GV 20",IF(Tabela8[[#This Row],[SETOR]]&lt;400,"GV 30","S/GV"))))</f>
        <v>S/GV</v>
      </c>
      <c r="G2354" t="str">
        <f>_xlfn.CONCAT(Tabela9[[#This Row],[Coluna1]],Tabela9[[#This Row],[Coluna2]])</f>
        <v/>
      </c>
    </row>
    <row r="2355" spans="1:7" x14ac:dyDescent="0.25">
      <c r="A2355">
        <v>14800</v>
      </c>
      <c r="B2355">
        <v>205</v>
      </c>
      <c r="C2355" s="1" t="str">
        <f>IF(Tabela8[[#This Row],[SETOR]]="","",IF(Tabela8[[#This Row],[SETOR]]&lt;200,"GV 10",IF(Tabela8[[#This Row],[SETOR]]&lt;300,"GV 20",IF(Tabela8[[#This Row],[SETOR]]&lt;400,"GV 30","S/GV"))))</f>
        <v>GV 20</v>
      </c>
      <c r="E2355" t="s">
        <v>123</v>
      </c>
      <c r="G2355" t="str">
        <f>_xlfn.CONCAT(Tabela9[[#This Row],[Coluna1]],Tabela9[[#This Row],[Coluna2]])</f>
        <v>20-Rota</v>
      </c>
    </row>
    <row r="2356" spans="1:7" x14ac:dyDescent="0.25">
      <c r="A2356">
        <v>14805</v>
      </c>
      <c r="B2356">
        <v>916</v>
      </c>
      <c r="C2356" s="1" t="str">
        <f>IF(Tabela8[[#This Row],[SETOR]]="","",IF(Tabela8[[#This Row],[SETOR]]&lt;200,"GV 10",IF(Tabela8[[#This Row],[SETOR]]&lt;300,"GV 20",IF(Tabela8[[#This Row],[SETOR]]&lt;400,"GV 30","S/GV"))))</f>
        <v>S/GV</v>
      </c>
      <c r="G2356" t="str">
        <f>_xlfn.CONCAT(Tabela9[[#This Row],[Coluna1]],Tabela9[[#This Row],[Coluna2]])</f>
        <v/>
      </c>
    </row>
    <row r="2357" spans="1:7" x14ac:dyDescent="0.25">
      <c r="A2357">
        <v>14822</v>
      </c>
      <c r="B2357">
        <v>907</v>
      </c>
      <c r="C2357" s="1" t="str">
        <f>IF(Tabela8[[#This Row],[SETOR]]="","",IF(Tabela8[[#This Row],[SETOR]]&lt;200,"GV 10",IF(Tabela8[[#This Row],[SETOR]]&lt;300,"GV 20",IF(Tabela8[[#This Row],[SETOR]]&lt;400,"GV 30","S/GV"))))</f>
        <v>S/GV</v>
      </c>
      <c r="G2357" t="str">
        <f>_xlfn.CONCAT(Tabela9[[#This Row],[Coluna1]],Tabela9[[#This Row],[Coluna2]])</f>
        <v/>
      </c>
    </row>
    <row r="2358" spans="1:7" x14ac:dyDescent="0.25">
      <c r="A2358">
        <v>14823</v>
      </c>
      <c r="B2358">
        <v>307</v>
      </c>
      <c r="C2358" s="1" t="str">
        <f>IF(Tabela8[[#This Row],[SETOR]]="","",IF(Tabela8[[#This Row],[SETOR]]&lt;200,"GV 10",IF(Tabela8[[#This Row],[SETOR]]&lt;300,"GV 20",IF(Tabela8[[#This Row],[SETOR]]&lt;400,"GV 30","S/GV"))))</f>
        <v>GV 30</v>
      </c>
      <c r="E2358" t="s">
        <v>130</v>
      </c>
      <c r="G2358" t="str">
        <f>_xlfn.CONCAT(Tabela9[[#This Row],[Coluna1]],Tabela9[[#This Row],[Coluna2]])</f>
        <v>21-SUB</v>
      </c>
    </row>
    <row r="2359" spans="1:7" x14ac:dyDescent="0.25">
      <c r="A2359">
        <v>14825</v>
      </c>
      <c r="B2359">
        <v>906</v>
      </c>
      <c r="C2359" s="1" t="str">
        <f>IF(Tabela8[[#This Row],[SETOR]]="","",IF(Tabela8[[#This Row],[SETOR]]&lt;200,"GV 10",IF(Tabela8[[#This Row],[SETOR]]&lt;300,"GV 20",IF(Tabela8[[#This Row],[SETOR]]&lt;400,"GV 30","S/GV"))))</f>
        <v>S/GV</v>
      </c>
      <c r="G2359" t="str">
        <f>_xlfn.CONCAT(Tabela9[[#This Row],[Coluna1]],Tabela9[[#This Row],[Coluna2]])</f>
        <v/>
      </c>
    </row>
    <row r="2360" spans="1:7" x14ac:dyDescent="0.25">
      <c r="A2360">
        <v>14828</v>
      </c>
      <c r="B2360">
        <v>307</v>
      </c>
      <c r="C2360" s="1" t="str">
        <f>IF(Tabela8[[#This Row],[SETOR]]="","",IF(Tabela8[[#This Row],[SETOR]]&lt;200,"GV 10",IF(Tabela8[[#This Row],[SETOR]]&lt;300,"GV 20",IF(Tabela8[[#This Row],[SETOR]]&lt;400,"GV 30","S/GV"))))</f>
        <v>GV 30</v>
      </c>
      <c r="E2360" t="s">
        <v>130</v>
      </c>
      <c r="G2360" t="str">
        <f>_xlfn.CONCAT(Tabela9[[#This Row],[Coluna1]],Tabela9[[#This Row],[Coluna2]])</f>
        <v>21-SUB</v>
      </c>
    </row>
    <row r="2361" spans="1:7" x14ac:dyDescent="0.25">
      <c r="A2361">
        <v>14829</v>
      </c>
      <c r="B2361">
        <v>203</v>
      </c>
      <c r="C2361" s="1" t="str">
        <f>IF(Tabela8[[#This Row],[SETOR]]="","",IF(Tabela8[[#This Row],[SETOR]]&lt;200,"GV 10",IF(Tabela8[[#This Row],[SETOR]]&lt;300,"GV 20",IF(Tabela8[[#This Row],[SETOR]]&lt;400,"GV 30","S/GV"))))</f>
        <v>GV 20</v>
      </c>
      <c r="E2361" t="s">
        <v>123</v>
      </c>
      <c r="G2361" t="str">
        <f>_xlfn.CONCAT(Tabela9[[#This Row],[Coluna1]],Tabela9[[#This Row],[Coluna2]])</f>
        <v>20-Rota</v>
      </c>
    </row>
    <row r="2362" spans="1:7" x14ac:dyDescent="0.25">
      <c r="A2362">
        <v>14830</v>
      </c>
      <c r="B2362">
        <v>207</v>
      </c>
      <c r="C2362" s="1" t="str">
        <f>IF(Tabela8[[#This Row],[SETOR]]="","",IF(Tabela8[[#This Row],[SETOR]]&lt;200,"GV 10",IF(Tabela8[[#This Row],[SETOR]]&lt;300,"GV 20",IF(Tabela8[[#This Row],[SETOR]]&lt;400,"GV 30","S/GV"))))</f>
        <v>GV 20</v>
      </c>
      <c r="E2362" t="s">
        <v>125</v>
      </c>
      <c r="G2362" t="str">
        <f>_xlfn.CONCAT(Tabela9[[#This Row],[Coluna1]],Tabela9[[#This Row],[Coluna2]])</f>
        <v>18-TRAD</v>
      </c>
    </row>
    <row r="2363" spans="1:7" x14ac:dyDescent="0.25">
      <c r="A2363">
        <v>14834</v>
      </c>
      <c r="B2363">
        <v>104</v>
      </c>
      <c r="C2363" s="1" t="str">
        <f>IF(Tabela8[[#This Row],[SETOR]]="","",IF(Tabela8[[#This Row],[SETOR]]&lt;200,"GV 10",IF(Tabela8[[#This Row],[SETOR]]&lt;300,"GV 20",IF(Tabela8[[#This Row],[SETOR]]&lt;400,"GV 30","S/GV"))))</f>
        <v>GV 10</v>
      </c>
      <c r="E2363" t="s">
        <v>123</v>
      </c>
      <c r="G2363" t="str">
        <f>_xlfn.CONCAT(Tabela9[[#This Row],[Coluna1]],Tabela9[[#This Row],[Coluna2]])</f>
        <v>20-Rota</v>
      </c>
    </row>
    <row r="2364" spans="1:7" x14ac:dyDescent="0.25">
      <c r="A2364">
        <v>14839</v>
      </c>
      <c r="B2364">
        <v>302</v>
      </c>
      <c r="C2364" s="1" t="str">
        <f>IF(Tabela8[[#This Row],[SETOR]]="","",IF(Tabela8[[#This Row],[SETOR]]&lt;200,"GV 10",IF(Tabela8[[#This Row],[SETOR]]&lt;300,"GV 20",IF(Tabela8[[#This Row],[SETOR]]&lt;400,"GV 30","S/GV"))))</f>
        <v>GV 30</v>
      </c>
      <c r="E2364" t="s">
        <v>123</v>
      </c>
      <c r="G2364" t="str">
        <f>_xlfn.CONCAT(Tabela9[[#This Row],[Coluna1]],Tabela9[[#This Row],[Coluna2]])</f>
        <v>20-Rota</v>
      </c>
    </row>
    <row r="2365" spans="1:7" x14ac:dyDescent="0.25">
      <c r="A2365">
        <v>14847</v>
      </c>
      <c r="B2365">
        <v>304</v>
      </c>
      <c r="C2365" s="1" t="str">
        <f>IF(Tabela8[[#This Row],[SETOR]]="","",IF(Tabela8[[#This Row],[SETOR]]&lt;200,"GV 10",IF(Tabela8[[#This Row],[SETOR]]&lt;300,"GV 20",IF(Tabela8[[#This Row],[SETOR]]&lt;400,"GV 30","S/GV"))))</f>
        <v>GV 30</v>
      </c>
      <c r="E2365" t="s">
        <v>125</v>
      </c>
      <c r="G2365" t="str">
        <f>_xlfn.CONCAT(Tabela9[[#This Row],[Coluna1]],Tabela9[[#This Row],[Coluna2]])</f>
        <v>18-TRAD</v>
      </c>
    </row>
    <row r="2366" spans="1:7" x14ac:dyDescent="0.25">
      <c r="A2366">
        <v>14850</v>
      </c>
      <c r="B2366">
        <v>104</v>
      </c>
      <c r="C2366" s="1" t="str">
        <f>IF(Tabela8[[#This Row],[SETOR]]="","",IF(Tabela8[[#This Row],[SETOR]]&lt;200,"GV 10",IF(Tabela8[[#This Row],[SETOR]]&lt;300,"GV 20",IF(Tabela8[[#This Row],[SETOR]]&lt;400,"GV 30","S/GV"))))</f>
        <v>GV 10</v>
      </c>
      <c r="E2366" t="s">
        <v>123</v>
      </c>
      <c r="G2366" t="str">
        <f>_xlfn.CONCAT(Tabela9[[#This Row],[Coluna1]],Tabela9[[#This Row],[Coluna2]])</f>
        <v>20-Rota</v>
      </c>
    </row>
    <row r="2367" spans="1:7" x14ac:dyDescent="0.25">
      <c r="A2367">
        <v>14859</v>
      </c>
      <c r="B2367">
        <v>203</v>
      </c>
      <c r="C2367" s="1" t="str">
        <f>IF(Tabela8[[#This Row],[SETOR]]="","",IF(Tabela8[[#This Row],[SETOR]]&lt;200,"GV 10",IF(Tabela8[[#This Row],[SETOR]]&lt;300,"GV 20",IF(Tabela8[[#This Row],[SETOR]]&lt;400,"GV 30","S/GV"))))</f>
        <v>GV 20</v>
      </c>
      <c r="E2367" t="s">
        <v>123</v>
      </c>
      <c r="G2367" t="str">
        <f>_xlfn.CONCAT(Tabela9[[#This Row],[Coluna1]],Tabela9[[#This Row],[Coluna2]])</f>
        <v>20-Rota</v>
      </c>
    </row>
    <row r="2368" spans="1:7" x14ac:dyDescent="0.25">
      <c r="A2368">
        <v>14862</v>
      </c>
      <c r="B2368">
        <v>206</v>
      </c>
      <c r="C2368" s="1" t="str">
        <f>IF(Tabela8[[#This Row],[SETOR]]="","",IF(Tabela8[[#This Row],[SETOR]]&lt;200,"GV 10",IF(Tabela8[[#This Row],[SETOR]]&lt;300,"GV 20",IF(Tabela8[[#This Row],[SETOR]]&lt;400,"GV 30","S/GV"))))</f>
        <v>GV 20</v>
      </c>
      <c r="E2368" t="s">
        <v>123</v>
      </c>
      <c r="G2368" t="str">
        <f>_xlfn.CONCAT(Tabela9[[#This Row],[Coluna1]],Tabela9[[#This Row],[Coluna2]])</f>
        <v>20-Rota</v>
      </c>
    </row>
    <row r="2369" spans="1:7" x14ac:dyDescent="0.25">
      <c r="A2369">
        <v>14866</v>
      </c>
      <c r="B2369">
        <v>304</v>
      </c>
      <c r="C2369" s="1" t="str">
        <f>IF(Tabela8[[#This Row],[SETOR]]="","",IF(Tabela8[[#This Row],[SETOR]]&lt;200,"GV 10",IF(Tabela8[[#This Row],[SETOR]]&lt;300,"GV 20",IF(Tabela8[[#This Row],[SETOR]]&lt;400,"GV 30","S/GV"))))</f>
        <v>GV 30</v>
      </c>
      <c r="E2369" t="s">
        <v>125</v>
      </c>
      <c r="G2369" t="str">
        <f>_xlfn.CONCAT(Tabela9[[#This Row],[Coluna1]],Tabela9[[#This Row],[Coluna2]])</f>
        <v>18-TRAD</v>
      </c>
    </row>
    <row r="2370" spans="1:7" x14ac:dyDescent="0.25">
      <c r="A2370">
        <v>14868</v>
      </c>
      <c r="B2370">
        <v>305</v>
      </c>
      <c r="C2370" s="1" t="str">
        <f>IF(Tabela8[[#This Row],[SETOR]]="","",IF(Tabela8[[#This Row],[SETOR]]&lt;200,"GV 10",IF(Tabela8[[#This Row],[SETOR]]&lt;300,"GV 20",IF(Tabela8[[#This Row],[SETOR]]&lt;400,"GV 30","S/GV"))))</f>
        <v>GV 30</v>
      </c>
      <c r="E2370" t="s">
        <v>123</v>
      </c>
      <c r="G2370" t="str">
        <f>_xlfn.CONCAT(Tabela9[[#This Row],[Coluna1]],Tabela9[[#This Row],[Coluna2]])</f>
        <v>20-Rota</v>
      </c>
    </row>
    <row r="2371" spans="1:7" x14ac:dyDescent="0.25">
      <c r="A2371">
        <v>14882</v>
      </c>
      <c r="B2371">
        <v>301</v>
      </c>
      <c r="C2371" s="1" t="str">
        <f>IF(Tabela8[[#This Row],[SETOR]]="","",IF(Tabela8[[#This Row],[SETOR]]&lt;200,"GV 10",IF(Tabela8[[#This Row],[SETOR]]&lt;300,"GV 20",IF(Tabela8[[#This Row],[SETOR]]&lt;400,"GV 30","S/GV"))))</f>
        <v>GV 30</v>
      </c>
      <c r="E2371" t="s">
        <v>123</v>
      </c>
      <c r="G2371" t="str">
        <f>_xlfn.CONCAT(Tabela9[[#This Row],[Coluna1]],Tabela9[[#This Row],[Coluna2]])</f>
        <v>20-Rota</v>
      </c>
    </row>
    <row r="2372" spans="1:7" x14ac:dyDescent="0.25">
      <c r="A2372">
        <v>14884</v>
      </c>
      <c r="B2372">
        <v>101</v>
      </c>
      <c r="C2372" s="1" t="str">
        <f>IF(Tabela8[[#This Row],[SETOR]]="","",IF(Tabela8[[#This Row],[SETOR]]&lt;200,"GV 10",IF(Tabela8[[#This Row],[SETOR]]&lt;300,"GV 20",IF(Tabela8[[#This Row],[SETOR]]&lt;400,"GV 30","S/GV"))))</f>
        <v>GV 10</v>
      </c>
      <c r="E2372" t="s">
        <v>123</v>
      </c>
      <c r="G2372" t="str">
        <f>_xlfn.CONCAT(Tabela9[[#This Row],[Coluna1]],Tabela9[[#This Row],[Coluna2]])</f>
        <v>20-Rota</v>
      </c>
    </row>
    <row r="2373" spans="1:7" x14ac:dyDescent="0.25">
      <c r="A2373">
        <v>14887</v>
      </c>
      <c r="B2373">
        <v>304</v>
      </c>
      <c r="C2373" s="1" t="str">
        <f>IF(Tabela8[[#This Row],[SETOR]]="","",IF(Tabela8[[#This Row],[SETOR]]&lt;200,"GV 10",IF(Tabela8[[#This Row],[SETOR]]&lt;300,"GV 20",IF(Tabela8[[#This Row],[SETOR]]&lt;400,"GV 30","S/GV"))))</f>
        <v>GV 30</v>
      </c>
      <c r="E2373" t="s">
        <v>123</v>
      </c>
      <c r="G2373" t="str">
        <f>_xlfn.CONCAT(Tabela9[[#This Row],[Coluna1]],Tabela9[[#This Row],[Coluna2]])</f>
        <v>20-Rota</v>
      </c>
    </row>
    <row r="2374" spans="1:7" x14ac:dyDescent="0.25">
      <c r="A2374">
        <v>14889</v>
      </c>
      <c r="B2374">
        <v>204</v>
      </c>
      <c r="C2374" s="1" t="str">
        <f>IF(Tabela8[[#This Row],[SETOR]]="","",IF(Tabela8[[#This Row],[SETOR]]&lt;200,"GV 10",IF(Tabela8[[#This Row],[SETOR]]&lt;300,"GV 20",IF(Tabela8[[#This Row],[SETOR]]&lt;400,"GV 30","S/GV"))))</f>
        <v>GV 20</v>
      </c>
      <c r="E2374" t="s">
        <v>123</v>
      </c>
      <c r="G2374" t="str">
        <f>_xlfn.CONCAT(Tabela9[[#This Row],[Coluna1]],Tabela9[[#This Row],[Coluna2]])</f>
        <v>20-Rota</v>
      </c>
    </row>
    <row r="2375" spans="1:7" x14ac:dyDescent="0.25">
      <c r="A2375">
        <v>14891</v>
      </c>
      <c r="B2375">
        <v>205</v>
      </c>
      <c r="C2375" s="1" t="str">
        <f>IF(Tabela8[[#This Row],[SETOR]]="","",IF(Tabela8[[#This Row],[SETOR]]&lt;200,"GV 10",IF(Tabela8[[#This Row],[SETOR]]&lt;300,"GV 20",IF(Tabela8[[#This Row],[SETOR]]&lt;400,"GV 30","S/GV"))))</f>
        <v>GV 20</v>
      </c>
      <c r="E2375" t="s">
        <v>123</v>
      </c>
      <c r="G2375" t="str">
        <f>_xlfn.CONCAT(Tabela9[[#This Row],[Coluna1]],Tabela9[[#This Row],[Coluna2]])</f>
        <v>20-Rota</v>
      </c>
    </row>
    <row r="2376" spans="1:7" x14ac:dyDescent="0.25">
      <c r="A2376">
        <v>14892</v>
      </c>
      <c r="B2376">
        <v>907</v>
      </c>
      <c r="C2376" s="1" t="str">
        <f>IF(Tabela8[[#This Row],[SETOR]]="","",IF(Tabela8[[#This Row],[SETOR]]&lt;200,"GV 10",IF(Tabela8[[#This Row],[SETOR]]&lt;300,"GV 20",IF(Tabela8[[#This Row],[SETOR]]&lt;400,"GV 30","S/GV"))))</f>
        <v>S/GV</v>
      </c>
      <c r="G2376" t="str">
        <f>_xlfn.CONCAT(Tabela9[[#This Row],[Coluna1]],Tabela9[[#This Row],[Coluna2]])</f>
        <v/>
      </c>
    </row>
    <row r="2377" spans="1:7" x14ac:dyDescent="0.25">
      <c r="A2377">
        <v>14898</v>
      </c>
      <c r="B2377">
        <v>305</v>
      </c>
      <c r="C2377" s="1" t="str">
        <f>IF(Tabela8[[#This Row],[SETOR]]="","",IF(Tabela8[[#This Row],[SETOR]]&lt;200,"GV 10",IF(Tabela8[[#This Row],[SETOR]]&lt;300,"GV 20",IF(Tabela8[[#This Row],[SETOR]]&lt;400,"GV 30","S/GV"))))</f>
        <v>GV 30</v>
      </c>
      <c r="E2377" t="s">
        <v>123</v>
      </c>
      <c r="G2377" t="str">
        <f>_xlfn.CONCAT(Tabela9[[#This Row],[Coluna1]],Tabela9[[#This Row],[Coluna2]])</f>
        <v>20-Rota</v>
      </c>
    </row>
    <row r="2378" spans="1:7" x14ac:dyDescent="0.25">
      <c r="A2378">
        <v>14903</v>
      </c>
      <c r="B2378">
        <v>303</v>
      </c>
      <c r="C2378" s="1" t="str">
        <f>IF(Tabela8[[#This Row],[SETOR]]="","",IF(Tabela8[[#This Row],[SETOR]]&lt;200,"GV 10",IF(Tabela8[[#This Row],[SETOR]]&lt;300,"GV 20",IF(Tabela8[[#This Row],[SETOR]]&lt;400,"GV 30","S/GV"))))</f>
        <v>GV 30</v>
      </c>
      <c r="E2378" t="s">
        <v>123</v>
      </c>
      <c r="G2378" t="str">
        <f>_xlfn.CONCAT(Tabela9[[#This Row],[Coluna1]],Tabela9[[#This Row],[Coluna2]])</f>
        <v>20-Rota</v>
      </c>
    </row>
    <row r="2379" spans="1:7" x14ac:dyDescent="0.25">
      <c r="A2379">
        <v>14910</v>
      </c>
      <c r="B2379">
        <v>203</v>
      </c>
      <c r="C2379" s="1" t="str">
        <f>IF(Tabela8[[#This Row],[SETOR]]="","",IF(Tabela8[[#This Row],[SETOR]]&lt;200,"GV 10",IF(Tabela8[[#This Row],[SETOR]]&lt;300,"GV 20",IF(Tabela8[[#This Row],[SETOR]]&lt;400,"GV 30","S/GV"))))</f>
        <v>GV 20</v>
      </c>
      <c r="E2379" t="s">
        <v>125</v>
      </c>
      <c r="G2379" t="str">
        <f>_xlfn.CONCAT(Tabela9[[#This Row],[Coluna1]],Tabela9[[#This Row],[Coluna2]])</f>
        <v>18-TRAD</v>
      </c>
    </row>
    <row r="2380" spans="1:7" x14ac:dyDescent="0.25">
      <c r="A2380">
        <v>14911</v>
      </c>
      <c r="B2380">
        <v>203</v>
      </c>
      <c r="C2380" s="1" t="str">
        <f>IF(Tabela8[[#This Row],[SETOR]]="","",IF(Tabela8[[#This Row],[SETOR]]&lt;200,"GV 10",IF(Tabela8[[#This Row],[SETOR]]&lt;300,"GV 20",IF(Tabela8[[#This Row],[SETOR]]&lt;400,"GV 30","S/GV"))))</f>
        <v>GV 20</v>
      </c>
      <c r="E2380" t="s">
        <v>123</v>
      </c>
      <c r="G2380" t="str">
        <f>_xlfn.CONCAT(Tabela9[[#This Row],[Coluna1]],Tabela9[[#This Row],[Coluna2]])</f>
        <v>20-Rota</v>
      </c>
    </row>
    <row r="2381" spans="1:7" x14ac:dyDescent="0.25">
      <c r="A2381">
        <v>14922</v>
      </c>
      <c r="B2381">
        <v>102</v>
      </c>
      <c r="C2381" s="1" t="str">
        <f>IF(Tabela8[[#This Row],[SETOR]]="","",IF(Tabela8[[#This Row],[SETOR]]&lt;200,"GV 10",IF(Tabela8[[#This Row],[SETOR]]&lt;300,"GV 20",IF(Tabela8[[#This Row],[SETOR]]&lt;400,"GV 30","S/GV"))))</f>
        <v>GV 10</v>
      </c>
      <c r="E2381" t="s">
        <v>123</v>
      </c>
      <c r="G2381" t="str">
        <f>_xlfn.CONCAT(Tabela9[[#This Row],[Coluna1]],Tabela9[[#This Row],[Coluna2]])</f>
        <v>20-Rota</v>
      </c>
    </row>
    <row r="2382" spans="1:7" x14ac:dyDescent="0.25">
      <c r="A2382">
        <v>14923</v>
      </c>
      <c r="B2382">
        <v>109</v>
      </c>
      <c r="C2382" s="1" t="str">
        <f>IF(Tabela8[[#This Row],[SETOR]]="","",IF(Tabela8[[#This Row],[SETOR]]&lt;200,"GV 10",IF(Tabela8[[#This Row],[SETOR]]&lt;300,"GV 20",IF(Tabela8[[#This Row],[SETOR]]&lt;400,"GV 30","S/GV"))))</f>
        <v>GV 10</v>
      </c>
      <c r="E2382" t="s">
        <v>123</v>
      </c>
      <c r="G2382" t="str">
        <f>_xlfn.CONCAT(Tabela9[[#This Row],[Coluna1]],Tabela9[[#This Row],[Coluna2]])</f>
        <v>20-Rota</v>
      </c>
    </row>
    <row r="2383" spans="1:7" x14ac:dyDescent="0.25">
      <c r="A2383">
        <v>14927</v>
      </c>
      <c r="B2383">
        <v>206</v>
      </c>
      <c r="C2383" s="1" t="str">
        <f>IF(Tabela8[[#This Row],[SETOR]]="","",IF(Tabela8[[#This Row],[SETOR]]&lt;200,"GV 10",IF(Tabela8[[#This Row],[SETOR]]&lt;300,"GV 20",IF(Tabela8[[#This Row],[SETOR]]&lt;400,"GV 30","S/GV"))))</f>
        <v>GV 20</v>
      </c>
      <c r="E2383" t="s">
        <v>123</v>
      </c>
      <c r="G2383" t="str">
        <f>_xlfn.CONCAT(Tabela9[[#This Row],[Coluna1]],Tabela9[[#This Row],[Coluna2]])</f>
        <v>20-Rota</v>
      </c>
    </row>
    <row r="2384" spans="1:7" x14ac:dyDescent="0.25">
      <c r="A2384">
        <v>14928</v>
      </c>
      <c r="B2384">
        <v>205</v>
      </c>
      <c r="C2384" s="1" t="str">
        <f>IF(Tabela8[[#This Row],[SETOR]]="","",IF(Tabela8[[#This Row],[SETOR]]&lt;200,"GV 10",IF(Tabela8[[#This Row],[SETOR]]&lt;300,"GV 20",IF(Tabela8[[#This Row],[SETOR]]&lt;400,"GV 30","S/GV"))))</f>
        <v>GV 20</v>
      </c>
      <c r="E2384" t="s">
        <v>123</v>
      </c>
      <c r="G2384" t="str">
        <f>_xlfn.CONCAT(Tabela9[[#This Row],[Coluna1]],Tabela9[[#This Row],[Coluna2]])</f>
        <v>20-Rota</v>
      </c>
    </row>
    <row r="2385" spans="1:7" x14ac:dyDescent="0.25">
      <c r="A2385">
        <v>14930</v>
      </c>
      <c r="B2385">
        <v>301</v>
      </c>
      <c r="C2385" s="1" t="str">
        <f>IF(Tabela8[[#This Row],[SETOR]]="","",IF(Tabela8[[#This Row],[SETOR]]&lt;200,"GV 10",IF(Tabela8[[#This Row],[SETOR]]&lt;300,"GV 20",IF(Tabela8[[#This Row],[SETOR]]&lt;400,"GV 30","S/GV"))))</f>
        <v>GV 30</v>
      </c>
      <c r="E2385" t="s">
        <v>123</v>
      </c>
      <c r="G2385" t="str">
        <f>_xlfn.CONCAT(Tabela9[[#This Row],[Coluna1]],Tabela9[[#This Row],[Coluna2]])</f>
        <v>20-Rota</v>
      </c>
    </row>
    <row r="2386" spans="1:7" x14ac:dyDescent="0.25">
      <c r="A2386">
        <v>14935</v>
      </c>
      <c r="B2386">
        <v>101</v>
      </c>
      <c r="C2386" s="1" t="str">
        <f>IF(Tabela8[[#This Row],[SETOR]]="","",IF(Tabela8[[#This Row],[SETOR]]&lt;200,"GV 10",IF(Tabela8[[#This Row],[SETOR]]&lt;300,"GV 20",IF(Tabela8[[#This Row],[SETOR]]&lt;400,"GV 30","S/GV"))))</f>
        <v>GV 10</v>
      </c>
      <c r="E2386" t="s">
        <v>123</v>
      </c>
      <c r="G2386" t="str">
        <f>_xlfn.CONCAT(Tabela9[[#This Row],[Coluna1]],Tabela9[[#This Row],[Coluna2]])</f>
        <v>20-Rota</v>
      </c>
    </row>
    <row r="2387" spans="1:7" x14ac:dyDescent="0.25">
      <c r="A2387">
        <v>14936</v>
      </c>
      <c r="B2387">
        <v>103</v>
      </c>
      <c r="C2387" s="1" t="str">
        <f>IF(Tabela8[[#This Row],[SETOR]]="","",IF(Tabela8[[#This Row],[SETOR]]&lt;200,"GV 10",IF(Tabela8[[#This Row],[SETOR]]&lt;300,"GV 20",IF(Tabela8[[#This Row],[SETOR]]&lt;400,"GV 30","S/GV"))))</f>
        <v>GV 10</v>
      </c>
      <c r="E2387" t="s">
        <v>123</v>
      </c>
      <c r="G2387" t="str">
        <f>_xlfn.CONCAT(Tabela9[[#This Row],[Coluna1]],Tabela9[[#This Row],[Coluna2]])</f>
        <v>20-Rota</v>
      </c>
    </row>
    <row r="2388" spans="1:7" x14ac:dyDescent="0.25">
      <c r="A2388">
        <v>14939</v>
      </c>
      <c r="B2388">
        <v>206</v>
      </c>
      <c r="C2388" s="1" t="str">
        <f>IF(Tabela8[[#This Row],[SETOR]]="","",IF(Tabela8[[#This Row],[SETOR]]&lt;200,"GV 10",IF(Tabela8[[#This Row],[SETOR]]&lt;300,"GV 20",IF(Tabela8[[#This Row],[SETOR]]&lt;400,"GV 30","S/GV"))))</f>
        <v>GV 20</v>
      </c>
      <c r="E2388" t="s">
        <v>123</v>
      </c>
      <c r="G2388" t="str">
        <f>_xlfn.CONCAT(Tabela9[[#This Row],[Coluna1]],Tabela9[[#This Row],[Coluna2]])</f>
        <v>20-Rota</v>
      </c>
    </row>
    <row r="2389" spans="1:7" x14ac:dyDescent="0.25">
      <c r="A2389">
        <v>14944</v>
      </c>
      <c r="B2389">
        <v>109</v>
      </c>
      <c r="C2389" s="1" t="str">
        <f>IF(Tabela8[[#This Row],[SETOR]]="","",IF(Tabela8[[#This Row],[SETOR]]&lt;200,"GV 10",IF(Tabela8[[#This Row],[SETOR]]&lt;300,"GV 20",IF(Tabela8[[#This Row],[SETOR]]&lt;400,"GV 30","S/GV"))))</f>
        <v>GV 10</v>
      </c>
      <c r="E2389" t="s">
        <v>123</v>
      </c>
      <c r="G2389" t="str">
        <f>_xlfn.CONCAT(Tabela9[[#This Row],[Coluna1]],Tabela9[[#This Row],[Coluna2]])</f>
        <v>20-Rota</v>
      </c>
    </row>
    <row r="2390" spans="1:7" x14ac:dyDescent="0.25">
      <c r="A2390">
        <v>14947</v>
      </c>
      <c r="B2390">
        <v>109</v>
      </c>
      <c r="C2390" s="1" t="str">
        <f>IF(Tabela8[[#This Row],[SETOR]]="","",IF(Tabela8[[#This Row],[SETOR]]&lt;200,"GV 10",IF(Tabela8[[#This Row],[SETOR]]&lt;300,"GV 20",IF(Tabela8[[#This Row],[SETOR]]&lt;400,"GV 30","S/GV"))))</f>
        <v>GV 10</v>
      </c>
      <c r="E2390" t="s">
        <v>123</v>
      </c>
      <c r="G2390" t="str">
        <f>_xlfn.CONCAT(Tabela9[[#This Row],[Coluna1]],Tabela9[[#This Row],[Coluna2]])</f>
        <v>20-Rota</v>
      </c>
    </row>
    <row r="2391" spans="1:7" x14ac:dyDescent="0.25">
      <c r="A2391">
        <v>14948</v>
      </c>
      <c r="B2391">
        <v>304</v>
      </c>
      <c r="C2391" s="1" t="str">
        <f>IF(Tabela8[[#This Row],[SETOR]]="","",IF(Tabela8[[#This Row],[SETOR]]&lt;200,"GV 10",IF(Tabela8[[#This Row],[SETOR]]&lt;300,"GV 20",IF(Tabela8[[#This Row],[SETOR]]&lt;400,"GV 30","S/GV"))))</f>
        <v>GV 30</v>
      </c>
      <c r="E2391" t="s">
        <v>123</v>
      </c>
      <c r="G2391" t="str">
        <f>_xlfn.CONCAT(Tabela9[[#This Row],[Coluna1]],Tabela9[[#This Row],[Coluna2]])</f>
        <v>20-Rota</v>
      </c>
    </row>
    <row r="2392" spans="1:7" x14ac:dyDescent="0.25">
      <c r="A2392">
        <v>14949</v>
      </c>
      <c r="B2392">
        <v>302</v>
      </c>
      <c r="C2392" s="1" t="str">
        <f>IF(Tabela8[[#This Row],[SETOR]]="","",IF(Tabela8[[#This Row],[SETOR]]&lt;200,"GV 10",IF(Tabela8[[#This Row],[SETOR]]&lt;300,"GV 20",IF(Tabela8[[#This Row],[SETOR]]&lt;400,"GV 30","S/GV"))))</f>
        <v>GV 30</v>
      </c>
      <c r="E2392" t="s">
        <v>123</v>
      </c>
      <c r="G2392" t="str">
        <f>_xlfn.CONCAT(Tabela9[[#This Row],[Coluna1]],Tabela9[[#This Row],[Coluna2]])</f>
        <v>20-Rota</v>
      </c>
    </row>
    <row r="2393" spans="1:7" x14ac:dyDescent="0.25">
      <c r="A2393">
        <v>14957</v>
      </c>
      <c r="B2393">
        <v>102</v>
      </c>
      <c r="C2393" s="1" t="str">
        <f>IF(Tabela8[[#This Row],[SETOR]]="","",IF(Tabela8[[#This Row],[SETOR]]&lt;200,"GV 10",IF(Tabela8[[#This Row],[SETOR]]&lt;300,"GV 20",IF(Tabela8[[#This Row],[SETOR]]&lt;400,"GV 30","S/GV"))))</f>
        <v>GV 10</v>
      </c>
      <c r="E2393" t="s">
        <v>123</v>
      </c>
      <c r="G2393" t="str">
        <f>_xlfn.CONCAT(Tabela9[[#This Row],[Coluna1]],Tabela9[[#This Row],[Coluna2]])</f>
        <v>20-Rota</v>
      </c>
    </row>
    <row r="2394" spans="1:7" x14ac:dyDescent="0.25">
      <c r="A2394">
        <v>14961</v>
      </c>
      <c r="B2394">
        <v>103</v>
      </c>
      <c r="C2394" s="1" t="str">
        <f>IF(Tabela8[[#This Row],[SETOR]]="","",IF(Tabela8[[#This Row],[SETOR]]&lt;200,"GV 10",IF(Tabela8[[#This Row],[SETOR]]&lt;300,"GV 20",IF(Tabela8[[#This Row],[SETOR]]&lt;400,"GV 30","S/GV"))))</f>
        <v>GV 10</v>
      </c>
      <c r="E2394" t="s">
        <v>123</v>
      </c>
      <c r="G2394" t="str">
        <f>_xlfn.CONCAT(Tabela9[[#This Row],[Coluna1]],Tabela9[[#This Row],[Coluna2]])</f>
        <v>20-Rota</v>
      </c>
    </row>
    <row r="2395" spans="1:7" x14ac:dyDescent="0.25">
      <c r="A2395">
        <v>14967</v>
      </c>
      <c r="B2395">
        <v>201</v>
      </c>
      <c r="C2395" s="1" t="str">
        <f>IF(Tabela8[[#This Row],[SETOR]]="","",IF(Tabela8[[#This Row],[SETOR]]&lt;200,"GV 10",IF(Tabela8[[#This Row],[SETOR]]&lt;300,"GV 20",IF(Tabela8[[#This Row],[SETOR]]&lt;400,"GV 30","S/GV"))))</f>
        <v>GV 20</v>
      </c>
      <c r="E2395" t="s">
        <v>123</v>
      </c>
      <c r="G2395" t="str">
        <f>_xlfn.CONCAT(Tabela9[[#This Row],[Coluna1]],Tabela9[[#This Row],[Coluna2]])</f>
        <v>20-Rota</v>
      </c>
    </row>
    <row r="2396" spans="1:7" x14ac:dyDescent="0.25">
      <c r="A2396">
        <v>14974</v>
      </c>
      <c r="B2396">
        <v>109</v>
      </c>
      <c r="C2396" s="1" t="str">
        <f>IF(Tabela8[[#This Row],[SETOR]]="","",IF(Tabela8[[#This Row],[SETOR]]&lt;200,"GV 10",IF(Tabela8[[#This Row],[SETOR]]&lt;300,"GV 20",IF(Tabela8[[#This Row],[SETOR]]&lt;400,"GV 30","S/GV"))))</f>
        <v>GV 10</v>
      </c>
      <c r="E2396" t="s">
        <v>123</v>
      </c>
      <c r="G2396" t="str">
        <f>_xlfn.CONCAT(Tabela9[[#This Row],[Coluna1]],Tabela9[[#This Row],[Coluna2]])</f>
        <v>20-Rota</v>
      </c>
    </row>
    <row r="2397" spans="1:7" x14ac:dyDescent="0.25">
      <c r="A2397">
        <v>14980</v>
      </c>
      <c r="B2397">
        <v>305</v>
      </c>
      <c r="C2397" s="1" t="str">
        <f>IF(Tabela8[[#This Row],[SETOR]]="","",IF(Tabela8[[#This Row],[SETOR]]&lt;200,"GV 10",IF(Tabela8[[#This Row],[SETOR]]&lt;300,"GV 20",IF(Tabela8[[#This Row],[SETOR]]&lt;400,"GV 30","S/GV"))))</f>
        <v>GV 30</v>
      </c>
      <c r="E2397" t="s">
        <v>123</v>
      </c>
      <c r="G2397" t="str">
        <f>_xlfn.CONCAT(Tabela9[[#This Row],[Coluna1]],Tabela9[[#This Row],[Coluna2]])</f>
        <v>20-Rota</v>
      </c>
    </row>
    <row r="2398" spans="1:7" x14ac:dyDescent="0.25">
      <c r="A2398">
        <v>14991</v>
      </c>
      <c r="B2398">
        <v>202</v>
      </c>
      <c r="C2398" s="1" t="str">
        <f>IF(Tabela8[[#This Row],[SETOR]]="","",IF(Tabela8[[#This Row],[SETOR]]&lt;200,"GV 10",IF(Tabela8[[#This Row],[SETOR]]&lt;300,"GV 20",IF(Tabela8[[#This Row],[SETOR]]&lt;400,"GV 30","S/GV"))))</f>
        <v>GV 20</v>
      </c>
      <c r="E2398" t="s">
        <v>125</v>
      </c>
      <c r="G2398" t="str">
        <f>_xlfn.CONCAT(Tabela9[[#This Row],[Coluna1]],Tabela9[[#This Row],[Coluna2]])</f>
        <v>18-TRAD</v>
      </c>
    </row>
    <row r="2399" spans="1:7" x14ac:dyDescent="0.25">
      <c r="A2399">
        <v>14997</v>
      </c>
      <c r="B2399">
        <v>302</v>
      </c>
      <c r="C2399" s="1" t="str">
        <f>IF(Tabela8[[#This Row],[SETOR]]="","",IF(Tabela8[[#This Row],[SETOR]]&lt;200,"GV 10",IF(Tabela8[[#This Row],[SETOR]]&lt;300,"GV 20",IF(Tabela8[[#This Row],[SETOR]]&lt;400,"GV 30","S/GV"))))</f>
        <v>GV 30</v>
      </c>
      <c r="E2399" t="s">
        <v>123</v>
      </c>
      <c r="G2399" t="str">
        <f>_xlfn.CONCAT(Tabela9[[#This Row],[Coluna1]],Tabela9[[#This Row],[Coluna2]])</f>
        <v>20-Rota</v>
      </c>
    </row>
    <row r="2400" spans="1:7" x14ac:dyDescent="0.25">
      <c r="A2400">
        <v>15020</v>
      </c>
      <c r="B2400">
        <v>916</v>
      </c>
      <c r="C2400" s="1" t="str">
        <f>IF(Tabela8[[#This Row],[SETOR]]="","",IF(Tabela8[[#This Row],[SETOR]]&lt;200,"GV 10",IF(Tabela8[[#This Row],[SETOR]]&lt;300,"GV 20",IF(Tabela8[[#This Row],[SETOR]]&lt;400,"GV 30","S/GV"))))</f>
        <v>S/GV</v>
      </c>
      <c r="E2400" t="s">
        <v>123</v>
      </c>
      <c r="G2400" t="str">
        <f>_xlfn.CONCAT(Tabela9[[#This Row],[Coluna1]],Tabela9[[#This Row],[Coluna2]])</f>
        <v>20-Rota</v>
      </c>
    </row>
    <row r="2401" spans="1:7" x14ac:dyDescent="0.25">
      <c r="A2401">
        <v>15025</v>
      </c>
      <c r="B2401">
        <v>301</v>
      </c>
      <c r="C2401" s="1" t="str">
        <f>IF(Tabela8[[#This Row],[SETOR]]="","",IF(Tabela8[[#This Row],[SETOR]]&lt;200,"GV 10",IF(Tabela8[[#This Row],[SETOR]]&lt;300,"GV 20",IF(Tabela8[[#This Row],[SETOR]]&lt;400,"GV 30","S/GV"))))</f>
        <v>GV 30</v>
      </c>
      <c r="E2401" t="s">
        <v>123</v>
      </c>
      <c r="G2401" t="str">
        <f>_xlfn.CONCAT(Tabela9[[#This Row],[Coluna1]],Tabela9[[#This Row],[Coluna2]])</f>
        <v>20-Rota</v>
      </c>
    </row>
    <row r="2402" spans="1:7" x14ac:dyDescent="0.25">
      <c r="A2402">
        <v>15026</v>
      </c>
      <c r="B2402">
        <v>109</v>
      </c>
      <c r="C2402" s="1" t="str">
        <f>IF(Tabela8[[#This Row],[SETOR]]="","",IF(Tabela8[[#This Row],[SETOR]]&lt;200,"GV 10",IF(Tabela8[[#This Row],[SETOR]]&lt;300,"GV 20",IF(Tabela8[[#This Row],[SETOR]]&lt;400,"GV 30","S/GV"))))</f>
        <v>GV 10</v>
      </c>
      <c r="E2402" t="s">
        <v>123</v>
      </c>
      <c r="G2402" t="str">
        <f>_xlfn.CONCAT(Tabela9[[#This Row],[Coluna1]],Tabela9[[#This Row],[Coluna2]])</f>
        <v>20-Rota</v>
      </c>
    </row>
    <row r="2403" spans="1:7" x14ac:dyDescent="0.25">
      <c r="A2403">
        <v>15033</v>
      </c>
      <c r="B2403">
        <v>307</v>
      </c>
      <c r="C2403" s="1" t="str">
        <f>IF(Tabela8[[#This Row],[SETOR]]="","",IF(Tabela8[[#This Row],[SETOR]]&lt;200,"GV 10",IF(Tabela8[[#This Row],[SETOR]]&lt;300,"GV 20",IF(Tabela8[[#This Row],[SETOR]]&lt;400,"GV 30","S/GV"))))</f>
        <v>GV 30</v>
      </c>
      <c r="E2403" t="s">
        <v>130</v>
      </c>
      <c r="G2403" t="str">
        <f>_xlfn.CONCAT(Tabela9[[#This Row],[Coluna1]],Tabela9[[#This Row],[Coluna2]])</f>
        <v>21-SUB</v>
      </c>
    </row>
    <row r="2404" spans="1:7" x14ac:dyDescent="0.25">
      <c r="A2404">
        <v>15043</v>
      </c>
      <c r="B2404">
        <v>302</v>
      </c>
      <c r="C2404" s="1" t="str">
        <f>IF(Tabela8[[#This Row],[SETOR]]="","",IF(Tabela8[[#This Row],[SETOR]]&lt;200,"GV 10",IF(Tabela8[[#This Row],[SETOR]]&lt;300,"GV 20",IF(Tabela8[[#This Row],[SETOR]]&lt;400,"GV 30","S/GV"))))</f>
        <v>GV 30</v>
      </c>
      <c r="E2404" t="s">
        <v>125</v>
      </c>
      <c r="G2404" t="str">
        <f>_xlfn.CONCAT(Tabela9[[#This Row],[Coluna1]],Tabela9[[#This Row],[Coluna2]])</f>
        <v>18-TRAD</v>
      </c>
    </row>
    <row r="2405" spans="1:7" x14ac:dyDescent="0.25">
      <c r="A2405">
        <v>15046</v>
      </c>
      <c r="B2405">
        <v>302</v>
      </c>
      <c r="C2405" s="1" t="str">
        <f>IF(Tabela8[[#This Row],[SETOR]]="","",IF(Tabela8[[#This Row],[SETOR]]&lt;200,"GV 10",IF(Tabela8[[#This Row],[SETOR]]&lt;300,"GV 20",IF(Tabela8[[#This Row],[SETOR]]&lt;400,"GV 30","S/GV"))))</f>
        <v>GV 30</v>
      </c>
      <c r="E2405" t="s">
        <v>123</v>
      </c>
      <c r="G2405" t="str">
        <f>_xlfn.CONCAT(Tabela9[[#This Row],[Coluna1]],Tabela9[[#This Row],[Coluna2]])</f>
        <v>20-Rota</v>
      </c>
    </row>
    <row r="2406" spans="1:7" x14ac:dyDescent="0.25">
      <c r="A2406">
        <v>15051</v>
      </c>
      <c r="B2406">
        <v>309</v>
      </c>
      <c r="C2406" s="1" t="str">
        <f>IF(Tabela8[[#This Row],[SETOR]]="","",IF(Tabela8[[#This Row],[SETOR]]&lt;200,"GV 10",IF(Tabela8[[#This Row],[SETOR]]&lt;300,"GV 20",IF(Tabela8[[#This Row],[SETOR]]&lt;400,"GV 30","S/GV"))))</f>
        <v>GV 30</v>
      </c>
      <c r="E2406" t="s">
        <v>126</v>
      </c>
      <c r="F2406" t="s">
        <v>127</v>
      </c>
      <c r="G2406" t="str">
        <f>_xlfn.CONCAT(Tabela9[[#This Row],[Coluna1]],Tabela9[[#This Row],[Coluna2]])</f>
        <v>16-AS(5+)</v>
      </c>
    </row>
    <row r="2407" spans="1:7" x14ac:dyDescent="0.25">
      <c r="A2407">
        <v>15052</v>
      </c>
      <c r="B2407">
        <v>302</v>
      </c>
      <c r="C2407" s="1" t="str">
        <f>IF(Tabela8[[#This Row],[SETOR]]="","",IF(Tabela8[[#This Row],[SETOR]]&lt;200,"GV 10",IF(Tabela8[[#This Row],[SETOR]]&lt;300,"GV 20",IF(Tabela8[[#This Row],[SETOR]]&lt;400,"GV 30","S/GV"))))</f>
        <v>GV 30</v>
      </c>
      <c r="E2407" t="s">
        <v>123</v>
      </c>
      <c r="G2407" t="str">
        <f>_xlfn.CONCAT(Tabela9[[#This Row],[Coluna1]],Tabela9[[#This Row],[Coluna2]])</f>
        <v>20-Rota</v>
      </c>
    </row>
    <row r="2408" spans="1:7" x14ac:dyDescent="0.25">
      <c r="A2408">
        <v>15056</v>
      </c>
      <c r="B2408">
        <v>302</v>
      </c>
      <c r="C2408" s="1" t="str">
        <f>IF(Tabela8[[#This Row],[SETOR]]="","",IF(Tabela8[[#This Row],[SETOR]]&lt;200,"GV 10",IF(Tabela8[[#This Row],[SETOR]]&lt;300,"GV 20",IF(Tabela8[[#This Row],[SETOR]]&lt;400,"GV 30","S/GV"))))</f>
        <v>GV 30</v>
      </c>
      <c r="E2408" t="s">
        <v>123</v>
      </c>
      <c r="G2408" t="str">
        <f>_xlfn.CONCAT(Tabela9[[#This Row],[Coluna1]],Tabela9[[#This Row],[Coluna2]])</f>
        <v>20-Rota</v>
      </c>
    </row>
    <row r="2409" spans="1:7" x14ac:dyDescent="0.25">
      <c r="A2409">
        <v>15059</v>
      </c>
      <c r="B2409">
        <v>302</v>
      </c>
      <c r="C2409" s="1" t="str">
        <f>IF(Tabela8[[#This Row],[SETOR]]="","",IF(Tabela8[[#This Row],[SETOR]]&lt;200,"GV 10",IF(Tabela8[[#This Row],[SETOR]]&lt;300,"GV 20",IF(Tabela8[[#This Row],[SETOR]]&lt;400,"GV 30","S/GV"))))</f>
        <v>GV 30</v>
      </c>
      <c r="E2409" t="s">
        <v>123</v>
      </c>
      <c r="G2409" t="str">
        <f>_xlfn.CONCAT(Tabela9[[#This Row],[Coluna1]],Tabela9[[#This Row],[Coluna2]])</f>
        <v>20-Rota</v>
      </c>
    </row>
    <row r="2410" spans="1:7" x14ac:dyDescent="0.25">
      <c r="A2410">
        <v>15063</v>
      </c>
      <c r="B2410">
        <v>305</v>
      </c>
      <c r="C2410" s="1" t="str">
        <f>IF(Tabela8[[#This Row],[SETOR]]="","",IF(Tabela8[[#This Row],[SETOR]]&lt;200,"GV 10",IF(Tabela8[[#This Row],[SETOR]]&lt;300,"GV 20",IF(Tabela8[[#This Row],[SETOR]]&lt;400,"GV 30","S/GV"))))</f>
        <v>GV 30</v>
      </c>
      <c r="E2410" t="s">
        <v>123</v>
      </c>
      <c r="G2410" t="str">
        <f>_xlfn.CONCAT(Tabela9[[#This Row],[Coluna1]],Tabela9[[#This Row],[Coluna2]])</f>
        <v>20-Rota</v>
      </c>
    </row>
    <row r="2411" spans="1:7" x14ac:dyDescent="0.25">
      <c r="A2411">
        <v>15065</v>
      </c>
      <c r="B2411">
        <v>303</v>
      </c>
      <c r="C2411" s="1" t="str">
        <f>IF(Tabela8[[#This Row],[SETOR]]="","",IF(Tabela8[[#This Row],[SETOR]]&lt;200,"GV 10",IF(Tabela8[[#This Row],[SETOR]]&lt;300,"GV 20",IF(Tabela8[[#This Row],[SETOR]]&lt;400,"GV 30","S/GV"))))</f>
        <v>GV 30</v>
      </c>
      <c r="E2411" t="s">
        <v>123</v>
      </c>
      <c r="G2411" t="str">
        <f>_xlfn.CONCAT(Tabela9[[#This Row],[Coluna1]],Tabela9[[#This Row],[Coluna2]])</f>
        <v>20-Rota</v>
      </c>
    </row>
    <row r="2412" spans="1:7" x14ac:dyDescent="0.25">
      <c r="A2412">
        <v>15069</v>
      </c>
      <c r="B2412">
        <v>302</v>
      </c>
      <c r="C2412" s="1" t="str">
        <f>IF(Tabela8[[#This Row],[SETOR]]="","",IF(Tabela8[[#This Row],[SETOR]]&lt;200,"GV 10",IF(Tabela8[[#This Row],[SETOR]]&lt;300,"GV 20",IF(Tabela8[[#This Row],[SETOR]]&lt;400,"GV 30","S/GV"))))</f>
        <v>GV 30</v>
      </c>
      <c r="E2412" t="s">
        <v>123</v>
      </c>
      <c r="G2412" t="str">
        <f>_xlfn.CONCAT(Tabela9[[#This Row],[Coluna1]],Tabela9[[#This Row],[Coluna2]])</f>
        <v>20-Rota</v>
      </c>
    </row>
    <row r="2413" spans="1:7" x14ac:dyDescent="0.25">
      <c r="A2413">
        <v>15071</v>
      </c>
      <c r="B2413">
        <v>303</v>
      </c>
      <c r="C2413" s="1" t="str">
        <f>IF(Tabela8[[#This Row],[SETOR]]="","",IF(Tabela8[[#This Row],[SETOR]]&lt;200,"GV 10",IF(Tabela8[[#This Row],[SETOR]]&lt;300,"GV 20",IF(Tabela8[[#This Row],[SETOR]]&lt;400,"GV 30","S/GV"))))</f>
        <v>GV 30</v>
      </c>
      <c r="E2413" t="s">
        <v>123</v>
      </c>
      <c r="G2413" t="str">
        <f>_xlfn.CONCAT(Tabela9[[#This Row],[Coluna1]],Tabela9[[#This Row],[Coluna2]])</f>
        <v>20-Rota</v>
      </c>
    </row>
    <row r="2414" spans="1:7" x14ac:dyDescent="0.25">
      <c r="A2414">
        <v>15087</v>
      </c>
      <c r="B2414">
        <v>204</v>
      </c>
      <c r="C2414" s="1" t="str">
        <f>IF(Tabela8[[#This Row],[SETOR]]="","",IF(Tabela8[[#This Row],[SETOR]]&lt;200,"GV 10",IF(Tabela8[[#This Row],[SETOR]]&lt;300,"GV 20",IF(Tabela8[[#This Row],[SETOR]]&lt;400,"GV 30","S/GV"))))</f>
        <v>GV 20</v>
      </c>
      <c r="E2414" t="s">
        <v>123</v>
      </c>
      <c r="G2414" t="str">
        <f>_xlfn.CONCAT(Tabela9[[#This Row],[Coluna1]],Tabela9[[#This Row],[Coluna2]])</f>
        <v>20-Rota</v>
      </c>
    </row>
    <row r="2415" spans="1:7" x14ac:dyDescent="0.25">
      <c r="A2415">
        <v>15093</v>
      </c>
      <c r="B2415">
        <v>204</v>
      </c>
      <c r="C2415" s="1" t="str">
        <f>IF(Tabela8[[#This Row],[SETOR]]="","",IF(Tabela8[[#This Row],[SETOR]]&lt;200,"GV 10",IF(Tabela8[[#This Row],[SETOR]]&lt;300,"GV 20",IF(Tabela8[[#This Row],[SETOR]]&lt;400,"GV 30","S/GV"))))</f>
        <v>GV 20</v>
      </c>
      <c r="E2415" t="s">
        <v>123</v>
      </c>
      <c r="G2415" t="str">
        <f>_xlfn.CONCAT(Tabela9[[#This Row],[Coluna1]],Tabela9[[#This Row],[Coluna2]])</f>
        <v>20-Rota</v>
      </c>
    </row>
    <row r="2416" spans="1:7" x14ac:dyDescent="0.25">
      <c r="A2416">
        <v>15098</v>
      </c>
      <c r="B2416">
        <v>207</v>
      </c>
      <c r="C2416" s="1" t="str">
        <f>IF(Tabela8[[#This Row],[SETOR]]="","",IF(Tabela8[[#This Row],[SETOR]]&lt;200,"GV 10",IF(Tabela8[[#This Row],[SETOR]]&lt;300,"GV 20",IF(Tabela8[[#This Row],[SETOR]]&lt;400,"GV 30","S/GV"))))</f>
        <v>GV 20</v>
      </c>
      <c r="E2416" t="s">
        <v>125</v>
      </c>
      <c r="G2416" t="str">
        <f>_xlfn.CONCAT(Tabela9[[#This Row],[Coluna1]],Tabela9[[#This Row],[Coluna2]])</f>
        <v>18-TRAD</v>
      </c>
    </row>
    <row r="2417" spans="1:7" x14ac:dyDescent="0.25">
      <c r="A2417">
        <v>15109</v>
      </c>
      <c r="B2417">
        <v>105</v>
      </c>
      <c r="C2417" s="1" t="str">
        <f>IF(Tabela8[[#This Row],[SETOR]]="","",IF(Tabela8[[#This Row],[SETOR]]&lt;200,"GV 10",IF(Tabela8[[#This Row],[SETOR]]&lt;300,"GV 20",IF(Tabela8[[#This Row],[SETOR]]&lt;400,"GV 30","S/GV"))))</f>
        <v>GV 10</v>
      </c>
      <c r="E2417" t="s">
        <v>123</v>
      </c>
      <c r="G2417" t="str">
        <f>_xlfn.CONCAT(Tabela9[[#This Row],[Coluna1]],Tabela9[[#This Row],[Coluna2]])</f>
        <v>20-Rota</v>
      </c>
    </row>
    <row r="2418" spans="1:7" x14ac:dyDescent="0.25">
      <c r="A2418">
        <v>15110</v>
      </c>
      <c r="B2418">
        <v>103</v>
      </c>
      <c r="C2418" s="1" t="str">
        <f>IF(Tabela8[[#This Row],[SETOR]]="","",IF(Tabela8[[#This Row],[SETOR]]&lt;200,"GV 10",IF(Tabela8[[#This Row],[SETOR]]&lt;300,"GV 20",IF(Tabela8[[#This Row],[SETOR]]&lt;400,"GV 30","S/GV"))))</f>
        <v>GV 10</v>
      </c>
      <c r="E2418" t="s">
        <v>123</v>
      </c>
      <c r="G2418" t="str">
        <f>_xlfn.CONCAT(Tabela9[[#This Row],[Coluna1]],Tabela9[[#This Row],[Coluna2]])</f>
        <v>20-Rota</v>
      </c>
    </row>
    <row r="2419" spans="1:7" x14ac:dyDescent="0.25">
      <c r="A2419">
        <v>15114</v>
      </c>
      <c r="B2419">
        <v>101</v>
      </c>
      <c r="C2419" s="1" t="str">
        <f>IF(Tabela8[[#This Row],[SETOR]]="","",IF(Tabela8[[#This Row],[SETOR]]&lt;200,"GV 10",IF(Tabela8[[#This Row],[SETOR]]&lt;300,"GV 20",IF(Tabela8[[#This Row],[SETOR]]&lt;400,"GV 30","S/GV"))))</f>
        <v>GV 10</v>
      </c>
      <c r="E2419" t="s">
        <v>123</v>
      </c>
      <c r="G2419" t="str">
        <f>_xlfn.CONCAT(Tabela9[[#This Row],[Coluna1]],Tabela9[[#This Row],[Coluna2]])</f>
        <v>20-Rota</v>
      </c>
    </row>
    <row r="2420" spans="1:7" x14ac:dyDescent="0.25">
      <c r="A2420">
        <v>15127</v>
      </c>
      <c r="B2420">
        <v>301</v>
      </c>
      <c r="C2420" s="1" t="str">
        <f>IF(Tabela8[[#This Row],[SETOR]]="","",IF(Tabela8[[#This Row],[SETOR]]&lt;200,"GV 10",IF(Tabela8[[#This Row],[SETOR]]&lt;300,"GV 20",IF(Tabela8[[#This Row],[SETOR]]&lt;400,"GV 30","S/GV"))))</f>
        <v>GV 30</v>
      </c>
      <c r="E2420" t="s">
        <v>123</v>
      </c>
      <c r="G2420" t="str">
        <f>_xlfn.CONCAT(Tabela9[[#This Row],[Coluna1]],Tabela9[[#This Row],[Coluna2]])</f>
        <v>20-Rota</v>
      </c>
    </row>
    <row r="2421" spans="1:7" x14ac:dyDescent="0.25">
      <c r="A2421">
        <v>15132</v>
      </c>
      <c r="B2421">
        <v>204</v>
      </c>
      <c r="C2421" s="1" t="str">
        <f>IF(Tabela8[[#This Row],[SETOR]]="","",IF(Tabela8[[#This Row],[SETOR]]&lt;200,"GV 10",IF(Tabela8[[#This Row],[SETOR]]&lt;300,"GV 20",IF(Tabela8[[#This Row],[SETOR]]&lt;400,"GV 30","S/GV"))))</f>
        <v>GV 20</v>
      </c>
      <c r="E2421" t="s">
        <v>128</v>
      </c>
      <c r="F2421" t="s">
        <v>129</v>
      </c>
      <c r="G2421" t="str">
        <f>_xlfn.CONCAT(Tabela9[[#This Row],[Coluna1]],Tabela9[[#This Row],[Coluna2]])</f>
        <v>15-AS(1-4)</v>
      </c>
    </row>
    <row r="2422" spans="1:7" x14ac:dyDescent="0.25">
      <c r="A2422">
        <v>15137</v>
      </c>
      <c r="B2422">
        <v>101</v>
      </c>
      <c r="C2422" s="1" t="str">
        <f>IF(Tabela8[[#This Row],[SETOR]]="","",IF(Tabela8[[#This Row],[SETOR]]&lt;200,"GV 10",IF(Tabela8[[#This Row],[SETOR]]&lt;300,"GV 20",IF(Tabela8[[#This Row],[SETOR]]&lt;400,"GV 30","S/GV"))))</f>
        <v>GV 10</v>
      </c>
      <c r="E2422" t="s">
        <v>123</v>
      </c>
      <c r="G2422" t="str">
        <f>_xlfn.CONCAT(Tabela9[[#This Row],[Coluna1]],Tabela9[[#This Row],[Coluna2]])</f>
        <v>20-Rota</v>
      </c>
    </row>
    <row r="2423" spans="1:7" x14ac:dyDescent="0.25">
      <c r="A2423">
        <v>15140</v>
      </c>
      <c r="B2423">
        <v>205</v>
      </c>
      <c r="C2423" s="1" t="str">
        <f>IF(Tabela8[[#This Row],[SETOR]]="","",IF(Tabela8[[#This Row],[SETOR]]&lt;200,"GV 10",IF(Tabela8[[#This Row],[SETOR]]&lt;300,"GV 20",IF(Tabela8[[#This Row],[SETOR]]&lt;400,"GV 30","S/GV"))))</f>
        <v>GV 20</v>
      </c>
      <c r="E2423" t="s">
        <v>123</v>
      </c>
      <c r="G2423" t="str">
        <f>_xlfn.CONCAT(Tabela9[[#This Row],[Coluna1]],Tabela9[[#This Row],[Coluna2]])</f>
        <v>20-Rota</v>
      </c>
    </row>
    <row r="2424" spans="1:7" x14ac:dyDescent="0.25">
      <c r="A2424">
        <v>15146</v>
      </c>
      <c r="B2424">
        <v>304</v>
      </c>
      <c r="C2424" s="1" t="str">
        <f>IF(Tabela8[[#This Row],[SETOR]]="","",IF(Tabela8[[#This Row],[SETOR]]&lt;200,"GV 10",IF(Tabela8[[#This Row],[SETOR]]&lt;300,"GV 20",IF(Tabela8[[#This Row],[SETOR]]&lt;400,"GV 30","S/GV"))))</f>
        <v>GV 30</v>
      </c>
      <c r="E2424" t="s">
        <v>123</v>
      </c>
      <c r="G2424" t="str">
        <f>_xlfn.CONCAT(Tabela9[[#This Row],[Coluna1]],Tabela9[[#This Row],[Coluna2]])</f>
        <v>20-Rota</v>
      </c>
    </row>
    <row r="2425" spans="1:7" x14ac:dyDescent="0.25">
      <c r="A2425">
        <v>15150</v>
      </c>
      <c r="B2425">
        <v>916</v>
      </c>
      <c r="C2425" s="1" t="str">
        <f>IF(Tabela8[[#This Row],[SETOR]]="","",IF(Tabela8[[#This Row],[SETOR]]&lt;200,"GV 10",IF(Tabela8[[#This Row],[SETOR]]&lt;300,"GV 20",IF(Tabela8[[#This Row],[SETOR]]&lt;400,"GV 30","S/GV"))))</f>
        <v>S/GV</v>
      </c>
      <c r="G2425" t="str">
        <f>_xlfn.CONCAT(Tabela9[[#This Row],[Coluna1]],Tabela9[[#This Row],[Coluna2]])</f>
        <v/>
      </c>
    </row>
    <row r="2426" spans="1:7" x14ac:dyDescent="0.25">
      <c r="A2426">
        <v>15160</v>
      </c>
      <c r="B2426">
        <v>109</v>
      </c>
      <c r="C2426" s="1" t="str">
        <f>IF(Tabela8[[#This Row],[SETOR]]="","",IF(Tabela8[[#This Row],[SETOR]]&lt;200,"GV 10",IF(Tabela8[[#This Row],[SETOR]]&lt;300,"GV 20",IF(Tabela8[[#This Row],[SETOR]]&lt;400,"GV 30","S/GV"))))</f>
        <v>GV 10</v>
      </c>
      <c r="E2426" t="s">
        <v>123</v>
      </c>
      <c r="G2426" t="str">
        <f>_xlfn.CONCAT(Tabela9[[#This Row],[Coluna1]],Tabela9[[#This Row],[Coluna2]])</f>
        <v>20-Rota</v>
      </c>
    </row>
    <row r="2427" spans="1:7" x14ac:dyDescent="0.25">
      <c r="A2427">
        <v>15166</v>
      </c>
      <c r="B2427">
        <v>203</v>
      </c>
      <c r="C2427" s="1" t="str">
        <f>IF(Tabela8[[#This Row],[SETOR]]="","",IF(Tabela8[[#This Row],[SETOR]]&lt;200,"GV 10",IF(Tabela8[[#This Row],[SETOR]]&lt;300,"GV 20",IF(Tabela8[[#This Row],[SETOR]]&lt;400,"GV 30","S/GV"))))</f>
        <v>GV 20</v>
      </c>
      <c r="E2427" t="s">
        <v>123</v>
      </c>
      <c r="G2427" t="str">
        <f>_xlfn.CONCAT(Tabela9[[#This Row],[Coluna1]],Tabela9[[#This Row],[Coluna2]])</f>
        <v>20-Rota</v>
      </c>
    </row>
    <row r="2428" spans="1:7" x14ac:dyDescent="0.25">
      <c r="A2428">
        <v>15168</v>
      </c>
      <c r="B2428">
        <v>103</v>
      </c>
      <c r="C2428" s="1" t="str">
        <f>IF(Tabela8[[#This Row],[SETOR]]="","",IF(Tabela8[[#This Row],[SETOR]]&lt;200,"GV 10",IF(Tabela8[[#This Row],[SETOR]]&lt;300,"GV 20",IF(Tabela8[[#This Row],[SETOR]]&lt;400,"GV 30","S/GV"))))</f>
        <v>GV 10</v>
      </c>
      <c r="E2428" t="s">
        <v>123</v>
      </c>
      <c r="G2428" t="str">
        <f>_xlfn.CONCAT(Tabela9[[#This Row],[Coluna1]],Tabela9[[#This Row],[Coluna2]])</f>
        <v>20-Rota</v>
      </c>
    </row>
    <row r="2429" spans="1:7" x14ac:dyDescent="0.25">
      <c r="A2429">
        <v>15171</v>
      </c>
      <c r="B2429">
        <v>303</v>
      </c>
      <c r="C2429" s="1" t="str">
        <f>IF(Tabela8[[#This Row],[SETOR]]="","",IF(Tabela8[[#This Row],[SETOR]]&lt;200,"GV 10",IF(Tabela8[[#This Row],[SETOR]]&lt;300,"GV 20",IF(Tabela8[[#This Row],[SETOR]]&lt;400,"GV 30","S/GV"))))</f>
        <v>GV 30</v>
      </c>
      <c r="E2429" t="s">
        <v>123</v>
      </c>
      <c r="G2429" t="str">
        <f>_xlfn.CONCAT(Tabela9[[#This Row],[Coluna1]],Tabela9[[#This Row],[Coluna2]])</f>
        <v>20-Rota</v>
      </c>
    </row>
    <row r="2430" spans="1:7" x14ac:dyDescent="0.25">
      <c r="A2430">
        <v>15177</v>
      </c>
      <c r="B2430">
        <v>106</v>
      </c>
      <c r="C2430" s="1" t="str">
        <f>IF(Tabela8[[#This Row],[SETOR]]="","",IF(Tabela8[[#This Row],[SETOR]]&lt;200,"GV 10",IF(Tabela8[[#This Row],[SETOR]]&lt;300,"GV 20",IF(Tabela8[[#This Row],[SETOR]]&lt;400,"GV 30","S/GV"))))</f>
        <v>GV 10</v>
      </c>
      <c r="E2430" t="s">
        <v>123</v>
      </c>
      <c r="G2430" t="str">
        <f>_xlfn.CONCAT(Tabela9[[#This Row],[Coluna1]],Tabela9[[#This Row],[Coluna2]])</f>
        <v>20-Rota</v>
      </c>
    </row>
    <row r="2431" spans="1:7" x14ac:dyDescent="0.25">
      <c r="A2431">
        <v>15180</v>
      </c>
      <c r="B2431">
        <v>301</v>
      </c>
      <c r="C2431" s="1" t="str">
        <f>IF(Tabela8[[#This Row],[SETOR]]="","",IF(Tabela8[[#This Row],[SETOR]]&lt;200,"GV 10",IF(Tabela8[[#This Row],[SETOR]]&lt;300,"GV 20",IF(Tabela8[[#This Row],[SETOR]]&lt;400,"GV 30","S/GV"))))</f>
        <v>GV 30</v>
      </c>
      <c r="E2431" t="s">
        <v>123</v>
      </c>
      <c r="G2431" t="str">
        <f>_xlfn.CONCAT(Tabela9[[#This Row],[Coluna1]],Tabela9[[#This Row],[Coluna2]])</f>
        <v>20-Rota</v>
      </c>
    </row>
    <row r="2432" spans="1:7" x14ac:dyDescent="0.25">
      <c r="A2432">
        <v>15184</v>
      </c>
      <c r="B2432">
        <v>104</v>
      </c>
      <c r="C2432" s="1" t="str">
        <f>IF(Tabela8[[#This Row],[SETOR]]="","",IF(Tabela8[[#This Row],[SETOR]]&lt;200,"GV 10",IF(Tabela8[[#This Row],[SETOR]]&lt;300,"GV 20",IF(Tabela8[[#This Row],[SETOR]]&lt;400,"GV 30","S/GV"))))</f>
        <v>GV 10</v>
      </c>
      <c r="E2432" t="s">
        <v>123</v>
      </c>
      <c r="G2432" t="str">
        <f>_xlfn.CONCAT(Tabela9[[#This Row],[Coluna1]],Tabela9[[#This Row],[Coluna2]])</f>
        <v>20-Rota</v>
      </c>
    </row>
    <row r="2433" spans="1:7" x14ac:dyDescent="0.25">
      <c r="A2433">
        <v>15185</v>
      </c>
      <c r="B2433">
        <v>205</v>
      </c>
      <c r="C2433" s="1" t="str">
        <f>IF(Tabela8[[#This Row],[SETOR]]="","",IF(Tabela8[[#This Row],[SETOR]]&lt;200,"GV 10",IF(Tabela8[[#This Row],[SETOR]]&lt;300,"GV 20",IF(Tabela8[[#This Row],[SETOR]]&lt;400,"GV 30","S/GV"))))</f>
        <v>GV 20</v>
      </c>
      <c r="E2433" t="s">
        <v>123</v>
      </c>
      <c r="G2433" t="str">
        <f>_xlfn.CONCAT(Tabela9[[#This Row],[Coluna1]],Tabela9[[#This Row],[Coluna2]])</f>
        <v>20-Rota</v>
      </c>
    </row>
    <row r="2434" spans="1:7" x14ac:dyDescent="0.25">
      <c r="A2434">
        <v>15193</v>
      </c>
      <c r="B2434">
        <v>303</v>
      </c>
      <c r="C2434" s="1" t="str">
        <f>IF(Tabela8[[#This Row],[SETOR]]="","",IF(Tabela8[[#This Row],[SETOR]]&lt;200,"GV 10",IF(Tabela8[[#This Row],[SETOR]]&lt;300,"GV 20",IF(Tabela8[[#This Row],[SETOR]]&lt;400,"GV 30","S/GV"))))</f>
        <v>GV 30</v>
      </c>
      <c r="E2434" t="s">
        <v>123</v>
      </c>
      <c r="G2434" t="str">
        <f>_xlfn.CONCAT(Tabela9[[#This Row],[Coluna1]],Tabela9[[#This Row],[Coluna2]])</f>
        <v>20-Rota</v>
      </c>
    </row>
    <row r="2435" spans="1:7" x14ac:dyDescent="0.25">
      <c r="A2435">
        <v>15194</v>
      </c>
      <c r="B2435">
        <v>913</v>
      </c>
      <c r="C2435" s="1" t="str">
        <f>IF(Tabela8[[#This Row],[SETOR]]="","",IF(Tabela8[[#This Row],[SETOR]]&lt;200,"GV 10",IF(Tabela8[[#This Row],[SETOR]]&lt;300,"GV 20",IF(Tabela8[[#This Row],[SETOR]]&lt;400,"GV 30","S/GV"))))</f>
        <v>S/GV</v>
      </c>
      <c r="E2435" t="s">
        <v>123</v>
      </c>
      <c r="G2435" t="str">
        <f>_xlfn.CONCAT(Tabela9[[#This Row],[Coluna1]],Tabela9[[#This Row],[Coluna2]])</f>
        <v>20-Rota</v>
      </c>
    </row>
    <row r="2436" spans="1:7" x14ac:dyDescent="0.25">
      <c r="A2436">
        <v>15196</v>
      </c>
      <c r="B2436">
        <v>102</v>
      </c>
      <c r="C2436" s="1" t="str">
        <f>IF(Tabela8[[#This Row],[SETOR]]="","",IF(Tabela8[[#This Row],[SETOR]]&lt;200,"GV 10",IF(Tabela8[[#This Row],[SETOR]]&lt;300,"GV 20",IF(Tabela8[[#This Row],[SETOR]]&lt;400,"GV 30","S/GV"))))</f>
        <v>GV 10</v>
      </c>
      <c r="E2436" t="s">
        <v>123</v>
      </c>
      <c r="G2436" t="str">
        <f>_xlfn.CONCAT(Tabela9[[#This Row],[Coluna1]],Tabela9[[#This Row],[Coluna2]])</f>
        <v>20-Rota</v>
      </c>
    </row>
    <row r="2437" spans="1:7" x14ac:dyDescent="0.25">
      <c r="A2437">
        <v>15206</v>
      </c>
      <c r="B2437">
        <v>205</v>
      </c>
      <c r="C2437" s="1" t="str">
        <f>IF(Tabela8[[#This Row],[SETOR]]="","",IF(Tabela8[[#This Row],[SETOR]]&lt;200,"GV 10",IF(Tabela8[[#This Row],[SETOR]]&lt;300,"GV 20",IF(Tabela8[[#This Row],[SETOR]]&lt;400,"GV 30","S/GV"))))</f>
        <v>GV 20</v>
      </c>
      <c r="E2437" t="s">
        <v>130</v>
      </c>
      <c r="G2437" t="str">
        <f>_xlfn.CONCAT(Tabela9[[#This Row],[Coluna1]],Tabela9[[#This Row],[Coluna2]])</f>
        <v>21-SUB</v>
      </c>
    </row>
    <row r="2438" spans="1:7" x14ac:dyDescent="0.25">
      <c r="A2438">
        <v>15207</v>
      </c>
      <c r="B2438">
        <v>204</v>
      </c>
      <c r="C2438" s="1" t="str">
        <f>IF(Tabela8[[#This Row],[SETOR]]="","",IF(Tabela8[[#This Row],[SETOR]]&lt;200,"GV 10",IF(Tabela8[[#This Row],[SETOR]]&lt;300,"GV 20",IF(Tabela8[[#This Row],[SETOR]]&lt;400,"GV 30","S/GV"))))</f>
        <v>GV 20</v>
      </c>
      <c r="E2438" t="s">
        <v>123</v>
      </c>
      <c r="G2438" t="str">
        <f>_xlfn.CONCAT(Tabela9[[#This Row],[Coluna1]],Tabela9[[#This Row],[Coluna2]])</f>
        <v>20-Rota</v>
      </c>
    </row>
    <row r="2439" spans="1:7" x14ac:dyDescent="0.25">
      <c r="A2439">
        <v>15212</v>
      </c>
      <c r="B2439">
        <v>102</v>
      </c>
      <c r="C2439" s="1" t="str">
        <f>IF(Tabela8[[#This Row],[SETOR]]="","",IF(Tabela8[[#This Row],[SETOR]]&lt;200,"GV 10",IF(Tabela8[[#This Row],[SETOR]]&lt;300,"GV 20",IF(Tabela8[[#This Row],[SETOR]]&lt;400,"GV 30","S/GV"))))</f>
        <v>GV 10</v>
      </c>
      <c r="E2439" t="s">
        <v>125</v>
      </c>
      <c r="G2439" t="str">
        <f>_xlfn.CONCAT(Tabela9[[#This Row],[Coluna1]],Tabela9[[#This Row],[Coluna2]])</f>
        <v>18-TRAD</v>
      </c>
    </row>
    <row r="2440" spans="1:7" x14ac:dyDescent="0.25">
      <c r="A2440">
        <v>15214</v>
      </c>
      <c r="B2440">
        <v>304</v>
      </c>
      <c r="C2440" s="1" t="str">
        <f>IF(Tabela8[[#This Row],[SETOR]]="","",IF(Tabela8[[#This Row],[SETOR]]&lt;200,"GV 10",IF(Tabela8[[#This Row],[SETOR]]&lt;300,"GV 20",IF(Tabela8[[#This Row],[SETOR]]&lt;400,"GV 30","S/GV"))))</f>
        <v>GV 30</v>
      </c>
      <c r="E2440" t="s">
        <v>123</v>
      </c>
      <c r="G2440" t="str">
        <f>_xlfn.CONCAT(Tabela9[[#This Row],[Coluna1]],Tabela9[[#This Row],[Coluna2]])</f>
        <v>20-Rota</v>
      </c>
    </row>
    <row r="2441" spans="1:7" x14ac:dyDescent="0.25">
      <c r="A2441">
        <v>15229</v>
      </c>
      <c r="B2441">
        <v>201</v>
      </c>
      <c r="C2441" s="1" t="str">
        <f>IF(Tabela8[[#This Row],[SETOR]]="","",IF(Tabela8[[#This Row],[SETOR]]&lt;200,"GV 10",IF(Tabela8[[#This Row],[SETOR]]&lt;300,"GV 20",IF(Tabela8[[#This Row],[SETOR]]&lt;400,"GV 30","S/GV"))))</f>
        <v>GV 20</v>
      </c>
      <c r="E2441" t="s">
        <v>123</v>
      </c>
      <c r="G2441" t="str">
        <f>_xlfn.CONCAT(Tabela9[[#This Row],[Coluna1]],Tabela9[[#This Row],[Coluna2]])</f>
        <v>20-Rota</v>
      </c>
    </row>
    <row r="2442" spans="1:7" x14ac:dyDescent="0.25">
      <c r="A2442">
        <v>15230</v>
      </c>
      <c r="B2442">
        <v>105</v>
      </c>
      <c r="C2442" s="1" t="str">
        <f>IF(Tabela8[[#This Row],[SETOR]]="","",IF(Tabela8[[#This Row],[SETOR]]&lt;200,"GV 10",IF(Tabela8[[#This Row],[SETOR]]&lt;300,"GV 20",IF(Tabela8[[#This Row],[SETOR]]&lt;400,"GV 30","S/GV"))))</f>
        <v>GV 10</v>
      </c>
      <c r="E2442" t="s">
        <v>123</v>
      </c>
      <c r="G2442" t="str">
        <f>_xlfn.CONCAT(Tabela9[[#This Row],[Coluna1]],Tabela9[[#This Row],[Coluna2]])</f>
        <v>20-Rota</v>
      </c>
    </row>
    <row r="2443" spans="1:7" x14ac:dyDescent="0.25">
      <c r="A2443">
        <v>15231</v>
      </c>
      <c r="B2443">
        <v>303</v>
      </c>
      <c r="C2443" s="1" t="str">
        <f>IF(Tabela8[[#This Row],[SETOR]]="","",IF(Tabela8[[#This Row],[SETOR]]&lt;200,"GV 10",IF(Tabela8[[#This Row],[SETOR]]&lt;300,"GV 20",IF(Tabela8[[#This Row],[SETOR]]&lt;400,"GV 30","S/GV"))))</f>
        <v>GV 30</v>
      </c>
      <c r="E2443" t="s">
        <v>123</v>
      </c>
      <c r="G2443" t="str">
        <f>_xlfn.CONCAT(Tabela9[[#This Row],[Coluna1]],Tabela9[[#This Row],[Coluna2]])</f>
        <v>20-Rota</v>
      </c>
    </row>
    <row r="2444" spans="1:7" x14ac:dyDescent="0.25">
      <c r="A2444">
        <v>15235</v>
      </c>
      <c r="B2444">
        <v>204</v>
      </c>
      <c r="C2444" s="1" t="str">
        <f>IF(Tabela8[[#This Row],[SETOR]]="","",IF(Tabela8[[#This Row],[SETOR]]&lt;200,"GV 10",IF(Tabela8[[#This Row],[SETOR]]&lt;300,"GV 20",IF(Tabela8[[#This Row],[SETOR]]&lt;400,"GV 30","S/GV"))))</f>
        <v>GV 20</v>
      </c>
      <c r="E2444" t="s">
        <v>123</v>
      </c>
      <c r="G2444" t="str">
        <f>_xlfn.CONCAT(Tabela9[[#This Row],[Coluna1]],Tabela9[[#This Row],[Coluna2]])</f>
        <v>20-Rota</v>
      </c>
    </row>
    <row r="2445" spans="1:7" x14ac:dyDescent="0.25">
      <c r="A2445">
        <v>15241</v>
      </c>
      <c r="B2445">
        <v>303</v>
      </c>
      <c r="C2445" s="1" t="str">
        <f>IF(Tabela8[[#This Row],[SETOR]]="","",IF(Tabela8[[#This Row],[SETOR]]&lt;200,"GV 10",IF(Tabela8[[#This Row],[SETOR]]&lt;300,"GV 20",IF(Tabela8[[#This Row],[SETOR]]&lt;400,"GV 30","S/GV"))))</f>
        <v>GV 30</v>
      </c>
      <c r="E2445" t="s">
        <v>123</v>
      </c>
      <c r="G2445" t="str">
        <f>_xlfn.CONCAT(Tabela9[[#This Row],[Coluna1]],Tabela9[[#This Row],[Coluna2]])</f>
        <v>20-Rota</v>
      </c>
    </row>
    <row r="2446" spans="1:7" x14ac:dyDescent="0.25">
      <c r="A2446">
        <v>15244</v>
      </c>
      <c r="B2446">
        <v>101</v>
      </c>
      <c r="C2446" s="1" t="str">
        <f>IF(Tabela8[[#This Row],[SETOR]]="","",IF(Tabela8[[#This Row],[SETOR]]&lt;200,"GV 10",IF(Tabela8[[#This Row],[SETOR]]&lt;300,"GV 20",IF(Tabela8[[#This Row],[SETOR]]&lt;400,"GV 30","S/GV"))))</f>
        <v>GV 10</v>
      </c>
      <c r="E2446" t="s">
        <v>123</v>
      </c>
      <c r="G2446" t="str">
        <f>_xlfn.CONCAT(Tabela9[[#This Row],[Coluna1]],Tabela9[[#This Row],[Coluna2]])</f>
        <v>20-Rota</v>
      </c>
    </row>
    <row r="2447" spans="1:7" x14ac:dyDescent="0.25">
      <c r="A2447">
        <v>15249</v>
      </c>
      <c r="B2447">
        <v>107</v>
      </c>
      <c r="C2447" s="1" t="str">
        <f>IF(Tabela8[[#This Row],[SETOR]]="","",IF(Tabela8[[#This Row],[SETOR]]&lt;200,"GV 10",IF(Tabela8[[#This Row],[SETOR]]&lt;300,"GV 20",IF(Tabela8[[#This Row],[SETOR]]&lt;400,"GV 30","S/GV"))))</f>
        <v>GV 10</v>
      </c>
      <c r="E2447" t="s">
        <v>125</v>
      </c>
      <c r="G2447" t="str">
        <f>_xlfn.CONCAT(Tabela9[[#This Row],[Coluna1]],Tabela9[[#This Row],[Coluna2]])</f>
        <v>18-TRAD</v>
      </c>
    </row>
    <row r="2448" spans="1:7" x14ac:dyDescent="0.25">
      <c r="A2448">
        <v>15251</v>
      </c>
      <c r="B2448">
        <v>906</v>
      </c>
      <c r="C2448" s="1" t="str">
        <f>IF(Tabela8[[#This Row],[SETOR]]="","",IF(Tabela8[[#This Row],[SETOR]]&lt;200,"GV 10",IF(Tabela8[[#This Row],[SETOR]]&lt;300,"GV 20",IF(Tabela8[[#This Row],[SETOR]]&lt;400,"GV 30","S/GV"))))</f>
        <v>S/GV</v>
      </c>
      <c r="G2448" t="str">
        <f>_xlfn.CONCAT(Tabela9[[#This Row],[Coluna1]],Tabela9[[#This Row],[Coluna2]])</f>
        <v/>
      </c>
    </row>
    <row r="2449" spans="1:7" x14ac:dyDescent="0.25">
      <c r="A2449">
        <v>15269</v>
      </c>
      <c r="B2449">
        <v>301</v>
      </c>
      <c r="C2449" s="1" t="str">
        <f>IF(Tabela8[[#This Row],[SETOR]]="","",IF(Tabela8[[#This Row],[SETOR]]&lt;200,"GV 10",IF(Tabela8[[#This Row],[SETOR]]&lt;300,"GV 20",IF(Tabela8[[#This Row],[SETOR]]&lt;400,"GV 30","S/GV"))))</f>
        <v>GV 30</v>
      </c>
      <c r="E2449" t="s">
        <v>123</v>
      </c>
      <c r="G2449" t="str">
        <f>_xlfn.CONCAT(Tabela9[[#This Row],[Coluna1]],Tabela9[[#This Row],[Coluna2]])</f>
        <v>20-Rota</v>
      </c>
    </row>
    <row r="2450" spans="1:7" x14ac:dyDescent="0.25">
      <c r="A2450">
        <v>15271</v>
      </c>
      <c r="B2450">
        <v>916</v>
      </c>
      <c r="C2450" s="1" t="str">
        <f>IF(Tabela8[[#This Row],[SETOR]]="","",IF(Tabela8[[#This Row],[SETOR]]&lt;200,"GV 10",IF(Tabela8[[#This Row],[SETOR]]&lt;300,"GV 20",IF(Tabela8[[#This Row],[SETOR]]&lt;400,"GV 30","S/GV"))))</f>
        <v>S/GV</v>
      </c>
      <c r="G2450" t="str">
        <f>_xlfn.CONCAT(Tabela9[[#This Row],[Coluna1]],Tabela9[[#This Row],[Coluna2]])</f>
        <v/>
      </c>
    </row>
    <row r="2451" spans="1:7" x14ac:dyDescent="0.25">
      <c r="A2451">
        <v>15272</v>
      </c>
      <c r="B2451">
        <v>105</v>
      </c>
      <c r="C2451" s="1" t="str">
        <f>IF(Tabela8[[#This Row],[SETOR]]="","",IF(Tabela8[[#This Row],[SETOR]]&lt;200,"GV 10",IF(Tabela8[[#This Row],[SETOR]]&lt;300,"GV 20",IF(Tabela8[[#This Row],[SETOR]]&lt;400,"GV 30","S/GV"))))</f>
        <v>GV 10</v>
      </c>
      <c r="E2451" t="s">
        <v>123</v>
      </c>
      <c r="G2451" t="str">
        <f>_xlfn.CONCAT(Tabela9[[#This Row],[Coluna1]],Tabela9[[#This Row],[Coluna2]])</f>
        <v>20-Rota</v>
      </c>
    </row>
    <row r="2452" spans="1:7" x14ac:dyDescent="0.25">
      <c r="A2452">
        <v>15280</v>
      </c>
      <c r="B2452">
        <v>306</v>
      </c>
      <c r="C2452" s="1" t="str">
        <f>IF(Tabela8[[#This Row],[SETOR]]="","",IF(Tabela8[[#This Row],[SETOR]]&lt;200,"GV 10",IF(Tabela8[[#This Row],[SETOR]]&lt;300,"GV 20",IF(Tabela8[[#This Row],[SETOR]]&lt;400,"GV 30","S/GV"))))</f>
        <v>GV 30</v>
      </c>
      <c r="E2452" t="s">
        <v>125</v>
      </c>
      <c r="G2452" t="str">
        <f>_xlfn.CONCAT(Tabela9[[#This Row],[Coluna1]],Tabela9[[#This Row],[Coluna2]])</f>
        <v>18-TRAD</v>
      </c>
    </row>
    <row r="2453" spans="1:7" x14ac:dyDescent="0.25">
      <c r="A2453">
        <v>15281</v>
      </c>
      <c r="B2453">
        <v>206</v>
      </c>
      <c r="C2453" s="1" t="str">
        <f>IF(Tabela8[[#This Row],[SETOR]]="","",IF(Tabela8[[#This Row],[SETOR]]&lt;200,"GV 10",IF(Tabela8[[#This Row],[SETOR]]&lt;300,"GV 20",IF(Tabela8[[#This Row],[SETOR]]&lt;400,"GV 30","S/GV"))))</f>
        <v>GV 20</v>
      </c>
      <c r="E2453" t="s">
        <v>123</v>
      </c>
      <c r="G2453" t="str">
        <f>_xlfn.CONCAT(Tabela9[[#This Row],[Coluna1]],Tabela9[[#This Row],[Coluna2]])</f>
        <v>20-Rota</v>
      </c>
    </row>
    <row r="2454" spans="1:7" x14ac:dyDescent="0.25">
      <c r="A2454">
        <v>15283</v>
      </c>
      <c r="B2454">
        <v>912</v>
      </c>
      <c r="C2454" s="1" t="str">
        <f>IF(Tabela8[[#This Row],[SETOR]]="","",IF(Tabela8[[#This Row],[SETOR]]&lt;200,"GV 10",IF(Tabela8[[#This Row],[SETOR]]&lt;300,"GV 20",IF(Tabela8[[#This Row],[SETOR]]&lt;400,"GV 30","S/GV"))))</f>
        <v>S/GV</v>
      </c>
      <c r="E2454" t="s">
        <v>123</v>
      </c>
      <c r="G2454" t="str">
        <f>_xlfn.CONCAT(Tabela9[[#This Row],[Coluna1]],Tabela9[[#This Row],[Coluna2]])</f>
        <v>20-Rota</v>
      </c>
    </row>
    <row r="2455" spans="1:7" x14ac:dyDescent="0.25">
      <c r="A2455">
        <v>15289</v>
      </c>
      <c r="B2455">
        <v>304</v>
      </c>
      <c r="C2455" s="1" t="str">
        <f>IF(Tabela8[[#This Row],[SETOR]]="","",IF(Tabela8[[#This Row],[SETOR]]&lt;200,"GV 10",IF(Tabela8[[#This Row],[SETOR]]&lt;300,"GV 20",IF(Tabela8[[#This Row],[SETOR]]&lt;400,"GV 30","S/GV"))))</f>
        <v>GV 30</v>
      </c>
      <c r="E2455" t="s">
        <v>124</v>
      </c>
      <c r="G2455" t="str">
        <f>_xlfn.CONCAT(Tabela9[[#This Row],[Coluna1]],Tabela9[[#This Row],[Coluna2]])</f>
        <v>19-VIP</v>
      </c>
    </row>
    <row r="2456" spans="1:7" x14ac:dyDescent="0.25">
      <c r="A2456">
        <v>15297</v>
      </c>
      <c r="B2456">
        <v>106</v>
      </c>
      <c r="C2456" s="1" t="str">
        <f>IF(Tabela8[[#This Row],[SETOR]]="","",IF(Tabela8[[#This Row],[SETOR]]&lt;200,"GV 10",IF(Tabela8[[#This Row],[SETOR]]&lt;300,"GV 20",IF(Tabela8[[#This Row],[SETOR]]&lt;400,"GV 30","S/GV"))))</f>
        <v>GV 10</v>
      </c>
      <c r="E2456" t="s">
        <v>123</v>
      </c>
      <c r="G2456" t="str">
        <f>_xlfn.CONCAT(Tabela9[[#This Row],[Coluna1]],Tabela9[[#This Row],[Coluna2]])</f>
        <v>20-Rota</v>
      </c>
    </row>
    <row r="2457" spans="1:7" x14ac:dyDescent="0.25">
      <c r="A2457">
        <v>15305</v>
      </c>
      <c r="B2457">
        <v>101</v>
      </c>
      <c r="C2457" s="1" t="str">
        <f>IF(Tabela8[[#This Row],[SETOR]]="","",IF(Tabela8[[#This Row],[SETOR]]&lt;200,"GV 10",IF(Tabela8[[#This Row],[SETOR]]&lt;300,"GV 20",IF(Tabela8[[#This Row],[SETOR]]&lt;400,"GV 30","S/GV"))))</f>
        <v>GV 10</v>
      </c>
      <c r="E2457" t="s">
        <v>123</v>
      </c>
      <c r="G2457" t="str">
        <f>_xlfn.CONCAT(Tabela9[[#This Row],[Coluna1]],Tabela9[[#This Row],[Coluna2]])</f>
        <v>20-Rota</v>
      </c>
    </row>
    <row r="2458" spans="1:7" x14ac:dyDescent="0.25">
      <c r="A2458">
        <v>15307</v>
      </c>
      <c r="B2458">
        <v>101</v>
      </c>
      <c r="C2458" s="1" t="str">
        <f>IF(Tabela8[[#This Row],[SETOR]]="","",IF(Tabela8[[#This Row],[SETOR]]&lt;200,"GV 10",IF(Tabela8[[#This Row],[SETOR]]&lt;300,"GV 20",IF(Tabela8[[#This Row],[SETOR]]&lt;400,"GV 30","S/GV"))))</f>
        <v>GV 10</v>
      </c>
      <c r="E2458" t="s">
        <v>123</v>
      </c>
      <c r="G2458" t="str">
        <f>_xlfn.CONCAT(Tabela9[[#This Row],[Coluna1]],Tabela9[[#This Row],[Coluna2]])</f>
        <v>20-Rota</v>
      </c>
    </row>
    <row r="2459" spans="1:7" x14ac:dyDescent="0.25">
      <c r="A2459">
        <v>15310</v>
      </c>
      <c r="B2459">
        <v>101</v>
      </c>
      <c r="C2459" s="1" t="str">
        <f>IF(Tabela8[[#This Row],[SETOR]]="","",IF(Tabela8[[#This Row],[SETOR]]&lt;200,"GV 10",IF(Tabela8[[#This Row],[SETOR]]&lt;300,"GV 20",IF(Tabela8[[#This Row],[SETOR]]&lt;400,"GV 30","S/GV"))))</f>
        <v>GV 10</v>
      </c>
      <c r="E2459" t="s">
        <v>123</v>
      </c>
      <c r="G2459" t="str">
        <f>_xlfn.CONCAT(Tabela9[[#This Row],[Coluna1]],Tabela9[[#This Row],[Coluna2]])</f>
        <v>20-Rota</v>
      </c>
    </row>
    <row r="2460" spans="1:7" x14ac:dyDescent="0.25">
      <c r="A2460">
        <v>15311</v>
      </c>
      <c r="B2460">
        <v>107</v>
      </c>
      <c r="C2460" s="1" t="str">
        <f>IF(Tabela8[[#This Row],[SETOR]]="","",IF(Tabela8[[#This Row],[SETOR]]&lt;200,"GV 10",IF(Tabela8[[#This Row],[SETOR]]&lt;300,"GV 20",IF(Tabela8[[#This Row],[SETOR]]&lt;400,"GV 30","S/GV"))))</f>
        <v>GV 10</v>
      </c>
      <c r="E2460" t="s">
        <v>130</v>
      </c>
      <c r="G2460" t="str">
        <f>_xlfn.CONCAT(Tabela9[[#This Row],[Coluna1]],Tabela9[[#This Row],[Coluna2]])</f>
        <v>21-SUB</v>
      </c>
    </row>
    <row r="2461" spans="1:7" x14ac:dyDescent="0.25">
      <c r="A2461">
        <v>15312</v>
      </c>
      <c r="B2461">
        <v>102</v>
      </c>
      <c r="C2461" s="1" t="str">
        <f>IF(Tabela8[[#This Row],[SETOR]]="","",IF(Tabela8[[#This Row],[SETOR]]&lt;200,"GV 10",IF(Tabela8[[#This Row],[SETOR]]&lt;300,"GV 20",IF(Tabela8[[#This Row],[SETOR]]&lt;400,"GV 30","S/GV"))))</f>
        <v>GV 10</v>
      </c>
      <c r="E2461" t="s">
        <v>123</v>
      </c>
      <c r="G2461" t="str">
        <f>_xlfn.CONCAT(Tabela9[[#This Row],[Coluna1]],Tabela9[[#This Row],[Coluna2]])</f>
        <v>20-Rota</v>
      </c>
    </row>
    <row r="2462" spans="1:7" x14ac:dyDescent="0.25">
      <c r="A2462">
        <v>15317</v>
      </c>
      <c r="B2462">
        <v>204</v>
      </c>
      <c r="C2462" s="1" t="str">
        <f>IF(Tabela8[[#This Row],[SETOR]]="","",IF(Tabela8[[#This Row],[SETOR]]&lt;200,"GV 10",IF(Tabela8[[#This Row],[SETOR]]&lt;300,"GV 20",IF(Tabela8[[#This Row],[SETOR]]&lt;400,"GV 30","S/GV"))))</f>
        <v>GV 20</v>
      </c>
      <c r="E2462" t="s">
        <v>123</v>
      </c>
      <c r="G2462" t="str">
        <f>_xlfn.CONCAT(Tabela9[[#This Row],[Coluna1]],Tabela9[[#This Row],[Coluna2]])</f>
        <v>20-Rota</v>
      </c>
    </row>
    <row r="2463" spans="1:7" x14ac:dyDescent="0.25">
      <c r="A2463">
        <v>15319</v>
      </c>
      <c r="B2463">
        <v>201</v>
      </c>
      <c r="C2463" s="1" t="str">
        <f>IF(Tabela8[[#This Row],[SETOR]]="","",IF(Tabela8[[#This Row],[SETOR]]&lt;200,"GV 10",IF(Tabela8[[#This Row],[SETOR]]&lt;300,"GV 20",IF(Tabela8[[#This Row],[SETOR]]&lt;400,"GV 30","S/GV"))))</f>
        <v>GV 20</v>
      </c>
      <c r="E2463" t="s">
        <v>123</v>
      </c>
      <c r="G2463" t="str">
        <f>_xlfn.CONCAT(Tabela9[[#This Row],[Coluna1]],Tabela9[[#This Row],[Coluna2]])</f>
        <v>20-Rota</v>
      </c>
    </row>
    <row r="2464" spans="1:7" x14ac:dyDescent="0.25">
      <c r="A2464">
        <v>15320</v>
      </c>
      <c r="B2464">
        <v>305</v>
      </c>
      <c r="C2464" s="1" t="str">
        <f>IF(Tabela8[[#This Row],[SETOR]]="","",IF(Tabela8[[#This Row],[SETOR]]&lt;200,"GV 10",IF(Tabela8[[#This Row],[SETOR]]&lt;300,"GV 20",IF(Tabela8[[#This Row],[SETOR]]&lt;400,"GV 30","S/GV"))))</f>
        <v>GV 30</v>
      </c>
      <c r="E2464" t="s">
        <v>123</v>
      </c>
      <c r="G2464" t="str">
        <f>_xlfn.CONCAT(Tabela9[[#This Row],[Coluna1]],Tabela9[[#This Row],[Coluna2]])</f>
        <v>20-Rota</v>
      </c>
    </row>
    <row r="2465" spans="1:7" x14ac:dyDescent="0.25">
      <c r="A2465">
        <v>15322</v>
      </c>
      <c r="B2465">
        <v>304</v>
      </c>
      <c r="C2465" s="1" t="str">
        <f>IF(Tabela8[[#This Row],[SETOR]]="","",IF(Tabela8[[#This Row],[SETOR]]&lt;200,"GV 10",IF(Tabela8[[#This Row],[SETOR]]&lt;300,"GV 20",IF(Tabela8[[#This Row],[SETOR]]&lt;400,"GV 30","S/GV"))))</f>
        <v>GV 30</v>
      </c>
      <c r="E2465" t="s">
        <v>123</v>
      </c>
      <c r="G2465" t="str">
        <f>_xlfn.CONCAT(Tabela9[[#This Row],[Coluna1]],Tabela9[[#This Row],[Coluna2]])</f>
        <v>20-Rota</v>
      </c>
    </row>
    <row r="2466" spans="1:7" x14ac:dyDescent="0.25">
      <c r="A2466">
        <v>15324</v>
      </c>
      <c r="B2466">
        <v>306</v>
      </c>
      <c r="C2466" s="1" t="str">
        <f>IF(Tabela8[[#This Row],[SETOR]]="","",IF(Tabela8[[#This Row],[SETOR]]&lt;200,"GV 10",IF(Tabela8[[#This Row],[SETOR]]&lt;300,"GV 20",IF(Tabela8[[#This Row],[SETOR]]&lt;400,"GV 30","S/GV"))))</f>
        <v>GV 30</v>
      </c>
      <c r="E2466" t="s">
        <v>125</v>
      </c>
      <c r="G2466" t="str">
        <f>_xlfn.CONCAT(Tabela9[[#This Row],[Coluna1]],Tabela9[[#This Row],[Coluna2]])</f>
        <v>18-TRAD</v>
      </c>
    </row>
    <row r="2467" spans="1:7" x14ac:dyDescent="0.25">
      <c r="A2467">
        <v>15330</v>
      </c>
      <c r="B2467">
        <v>205</v>
      </c>
      <c r="C2467" s="1" t="str">
        <f>IF(Tabela8[[#This Row],[SETOR]]="","",IF(Tabela8[[#This Row],[SETOR]]&lt;200,"GV 10",IF(Tabela8[[#This Row],[SETOR]]&lt;300,"GV 20",IF(Tabela8[[#This Row],[SETOR]]&lt;400,"GV 30","S/GV"))))</f>
        <v>GV 20</v>
      </c>
      <c r="E2467" t="s">
        <v>123</v>
      </c>
      <c r="G2467" t="str">
        <f>_xlfn.CONCAT(Tabela9[[#This Row],[Coluna1]],Tabela9[[#This Row],[Coluna2]])</f>
        <v>20-Rota</v>
      </c>
    </row>
    <row r="2468" spans="1:7" x14ac:dyDescent="0.25">
      <c r="A2468">
        <v>15334</v>
      </c>
      <c r="B2468">
        <v>205</v>
      </c>
      <c r="C2468" s="1" t="str">
        <f>IF(Tabela8[[#This Row],[SETOR]]="","",IF(Tabela8[[#This Row],[SETOR]]&lt;200,"GV 10",IF(Tabela8[[#This Row],[SETOR]]&lt;300,"GV 20",IF(Tabela8[[#This Row],[SETOR]]&lt;400,"GV 30","S/GV"))))</f>
        <v>GV 20</v>
      </c>
      <c r="E2468" t="s">
        <v>123</v>
      </c>
      <c r="G2468" t="str">
        <f>_xlfn.CONCAT(Tabela9[[#This Row],[Coluna1]],Tabela9[[#This Row],[Coluna2]])</f>
        <v>20-Rota</v>
      </c>
    </row>
    <row r="2469" spans="1:7" x14ac:dyDescent="0.25">
      <c r="A2469">
        <v>15335</v>
      </c>
      <c r="B2469">
        <v>205</v>
      </c>
      <c r="C2469" s="1" t="str">
        <f>IF(Tabela8[[#This Row],[SETOR]]="","",IF(Tabela8[[#This Row],[SETOR]]&lt;200,"GV 10",IF(Tabela8[[#This Row],[SETOR]]&lt;300,"GV 20",IF(Tabela8[[#This Row],[SETOR]]&lt;400,"GV 30","S/GV"))))</f>
        <v>GV 20</v>
      </c>
      <c r="E2469" t="s">
        <v>123</v>
      </c>
      <c r="G2469" t="str">
        <f>_xlfn.CONCAT(Tabela9[[#This Row],[Coluna1]],Tabela9[[#This Row],[Coluna2]])</f>
        <v>20-Rota</v>
      </c>
    </row>
    <row r="2470" spans="1:7" x14ac:dyDescent="0.25">
      <c r="A2470">
        <v>15337</v>
      </c>
      <c r="B2470">
        <v>205</v>
      </c>
      <c r="C2470" s="1" t="str">
        <f>IF(Tabela8[[#This Row],[SETOR]]="","",IF(Tabela8[[#This Row],[SETOR]]&lt;200,"GV 10",IF(Tabela8[[#This Row],[SETOR]]&lt;300,"GV 20",IF(Tabela8[[#This Row],[SETOR]]&lt;400,"GV 30","S/GV"))))</f>
        <v>GV 20</v>
      </c>
      <c r="E2470" t="s">
        <v>123</v>
      </c>
      <c r="G2470" t="str">
        <f>_xlfn.CONCAT(Tabela9[[#This Row],[Coluna1]],Tabela9[[#This Row],[Coluna2]])</f>
        <v>20-Rota</v>
      </c>
    </row>
    <row r="2471" spans="1:7" x14ac:dyDescent="0.25">
      <c r="A2471">
        <v>15339</v>
      </c>
      <c r="B2471">
        <v>101</v>
      </c>
      <c r="C2471" s="1" t="str">
        <f>IF(Tabela8[[#This Row],[SETOR]]="","",IF(Tabela8[[#This Row],[SETOR]]&lt;200,"GV 10",IF(Tabela8[[#This Row],[SETOR]]&lt;300,"GV 20",IF(Tabela8[[#This Row],[SETOR]]&lt;400,"GV 30","S/GV"))))</f>
        <v>GV 10</v>
      </c>
      <c r="E2471" t="s">
        <v>123</v>
      </c>
      <c r="G2471" t="str">
        <f>_xlfn.CONCAT(Tabela9[[#This Row],[Coluna1]],Tabela9[[#This Row],[Coluna2]])</f>
        <v>20-Rota</v>
      </c>
    </row>
    <row r="2472" spans="1:7" x14ac:dyDescent="0.25">
      <c r="A2472">
        <v>15340</v>
      </c>
      <c r="B2472">
        <v>203</v>
      </c>
      <c r="C2472" s="1" t="str">
        <f>IF(Tabela8[[#This Row],[SETOR]]="","",IF(Tabela8[[#This Row],[SETOR]]&lt;200,"GV 10",IF(Tabela8[[#This Row],[SETOR]]&lt;300,"GV 20",IF(Tabela8[[#This Row],[SETOR]]&lt;400,"GV 30","S/GV"))))</f>
        <v>GV 20</v>
      </c>
      <c r="E2472" t="s">
        <v>123</v>
      </c>
      <c r="G2472" t="str">
        <f>_xlfn.CONCAT(Tabela9[[#This Row],[Coluna1]],Tabela9[[#This Row],[Coluna2]])</f>
        <v>20-Rota</v>
      </c>
    </row>
    <row r="2473" spans="1:7" x14ac:dyDescent="0.25">
      <c r="A2473">
        <v>15343</v>
      </c>
      <c r="B2473">
        <v>906</v>
      </c>
      <c r="C2473" s="1" t="str">
        <f>IF(Tabela8[[#This Row],[SETOR]]="","",IF(Tabela8[[#This Row],[SETOR]]&lt;200,"GV 10",IF(Tabela8[[#This Row],[SETOR]]&lt;300,"GV 20",IF(Tabela8[[#This Row],[SETOR]]&lt;400,"GV 30","S/GV"))))</f>
        <v>S/GV</v>
      </c>
      <c r="G2473" t="str">
        <f>_xlfn.CONCAT(Tabela9[[#This Row],[Coluna1]],Tabela9[[#This Row],[Coluna2]])</f>
        <v/>
      </c>
    </row>
    <row r="2474" spans="1:7" x14ac:dyDescent="0.25">
      <c r="A2474">
        <v>15345</v>
      </c>
      <c r="B2474">
        <v>109</v>
      </c>
      <c r="C2474" s="1" t="str">
        <f>IF(Tabela8[[#This Row],[SETOR]]="","",IF(Tabela8[[#This Row],[SETOR]]&lt;200,"GV 10",IF(Tabela8[[#This Row],[SETOR]]&lt;300,"GV 20",IF(Tabela8[[#This Row],[SETOR]]&lt;400,"GV 30","S/GV"))))</f>
        <v>GV 10</v>
      </c>
      <c r="E2474" t="s">
        <v>123</v>
      </c>
      <c r="G2474" t="str">
        <f>_xlfn.CONCAT(Tabela9[[#This Row],[Coluna1]],Tabela9[[#This Row],[Coluna2]])</f>
        <v>20-Rota</v>
      </c>
    </row>
    <row r="2475" spans="1:7" x14ac:dyDescent="0.25">
      <c r="A2475">
        <v>15365</v>
      </c>
      <c r="B2475">
        <v>307</v>
      </c>
      <c r="C2475" s="1" t="str">
        <f>IF(Tabela8[[#This Row],[SETOR]]="","",IF(Tabela8[[#This Row],[SETOR]]&lt;200,"GV 10",IF(Tabela8[[#This Row],[SETOR]]&lt;300,"GV 20",IF(Tabela8[[#This Row],[SETOR]]&lt;400,"GV 30","S/GV"))))</f>
        <v>GV 30</v>
      </c>
      <c r="E2475" t="s">
        <v>130</v>
      </c>
      <c r="G2475" t="str">
        <f>_xlfn.CONCAT(Tabela9[[#This Row],[Coluna1]],Tabela9[[#This Row],[Coluna2]])</f>
        <v>21-SUB</v>
      </c>
    </row>
    <row r="2476" spans="1:7" x14ac:dyDescent="0.25">
      <c r="A2476">
        <v>15367</v>
      </c>
      <c r="B2476">
        <v>109</v>
      </c>
      <c r="C2476" s="1" t="str">
        <f>IF(Tabela8[[#This Row],[SETOR]]="","",IF(Tabela8[[#This Row],[SETOR]]&lt;200,"GV 10",IF(Tabela8[[#This Row],[SETOR]]&lt;300,"GV 20",IF(Tabela8[[#This Row],[SETOR]]&lt;400,"GV 30","S/GV"))))</f>
        <v>GV 10</v>
      </c>
      <c r="E2476" t="s">
        <v>123</v>
      </c>
      <c r="G2476" t="str">
        <f>_xlfn.CONCAT(Tabela9[[#This Row],[Coluna1]],Tabela9[[#This Row],[Coluna2]])</f>
        <v>20-Rota</v>
      </c>
    </row>
    <row r="2477" spans="1:7" x14ac:dyDescent="0.25">
      <c r="A2477">
        <v>15370</v>
      </c>
      <c r="B2477">
        <v>107</v>
      </c>
      <c r="C2477" s="1" t="str">
        <f>IF(Tabela8[[#This Row],[SETOR]]="","",IF(Tabela8[[#This Row],[SETOR]]&lt;200,"GV 10",IF(Tabela8[[#This Row],[SETOR]]&lt;300,"GV 20",IF(Tabela8[[#This Row],[SETOR]]&lt;400,"GV 30","S/GV"))))</f>
        <v>GV 10</v>
      </c>
      <c r="E2477" t="s">
        <v>130</v>
      </c>
      <c r="G2477" t="str">
        <f>_xlfn.CONCAT(Tabela9[[#This Row],[Coluna1]],Tabela9[[#This Row],[Coluna2]])</f>
        <v>21-SUB</v>
      </c>
    </row>
    <row r="2478" spans="1:7" x14ac:dyDescent="0.25">
      <c r="A2478">
        <v>15371</v>
      </c>
      <c r="B2478">
        <v>202</v>
      </c>
      <c r="C2478" s="1" t="str">
        <f>IF(Tabela8[[#This Row],[SETOR]]="","",IF(Tabela8[[#This Row],[SETOR]]&lt;200,"GV 10",IF(Tabela8[[#This Row],[SETOR]]&lt;300,"GV 20",IF(Tabela8[[#This Row],[SETOR]]&lt;400,"GV 30","S/GV"))))</f>
        <v>GV 20</v>
      </c>
      <c r="E2478" t="s">
        <v>123</v>
      </c>
      <c r="G2478" t="str">
        <f>_xlfn.CONCAT(Tabela9[[#This Row],[Coluna1]],Tabela9[[#This Row],[Coluna2]])</f>
        <v>20-Rota</v>
      </c>
    </row>
    <row r="2479" spans="1:7" x14ac:dyDescent="0.25">
      <c r="A2479">
        <v>15373</v>
      </c>
      <c r="B2479">
        <v>102</v>
      </c>
      <c r="C2479" s="1" t="str">
        <f>IF(Tabela8[[#This Row],[SETOR]]="","",IF(Tabela8[[#This Row],[SETOR]]&lt;200,"GV 10",IF(Tabela8[[#This Row],[SETOR]]&lt;300,"GV 20",IF(Tabela8[[#This Row],[SETOR]]&lt;400,"GV 30","S/GV"))))</f>
        <v>GV 10</v>
      </c>
      <c r="E2479" t="s">
        <v>123</v>
      </c>
      <c r="G2479" t="str">
        <f>_xlfn.CONCAT(Tabela9[[#This Row],[Coluna1]],Tabela9[[#This Row],[Coluna2]])</f>
        <v>20-Rota</v>
      </c>
    </row>
    <row r="2480" spans="1:7" x14ac:dyDescent="0.25">
      <c r="A2480">
        <v>15378</v>
      </c>
      <c r="B2480">
        <v>201</v>
      </c>
      <c r="C2480" s="1" t="str">
        <f>IF(Tabela8[[#This Row],[SETOR]]="","",IF(Tabela8[[#This Row],[SETOR]]&lt;200,"GV 10",IF(Tabela8[[#This Row],[SETOR]]&lt;300,"GV 20",IF(Tabela8[[#This Row],[SETOR]]&lt;400,"GV 30","S/GV"))))</f>
        <v>GV 20</v>
      </c>
      <c r="E2480" t="s">
        <v>123</v>
      </c>
      <c r="G2480" t="str">
        <f>_xlfn.CONCAT(Tabela9[[#This Row],[Coluna1]],Tabela9[[#This Row],[Coluna2]])</f>
        <v>20-Rota</v>
      </c>
    </row>
    <row r="2481" spans="1:7" x14ac:dyDescent="0.25">
      <c r="A2481">
        <v>15385</v>
      </c>
      <c r="B2481">
        <v>208</v>
      </c>
      <c r="C2481" s="1" t="str">
        <f>IF(Tabela8[[#This Row],[SETOR]]="","",IF(Tabela8[[#This Row],[SETOR]]&lt;200,"GV 10",IF(Tabela8[[#This Row],[SETOR]]&lt;300,"GV 20",IF(Tabela8[[#This Row],[SETOR]]&lt;400,"GV 30","S/GV"))))</f>
        <v>GV 20</v>
      </c>
      <c r="E2481" t="s">
        <v>125</v>
      </c>
      <c r="G2481" t="str">
        <f>_xlfn.CONCAT(Tabela9[[#This Row],[Coluna1]],Tabela9[[#This Row],[Coluna2]])</f>
        <v>18-TRAD</v>
      </c>
    </row>
    <row r="2482" spans="1:7" x14ac:dyDescent="0.25">
      <c r="A2482">
        <v>15387</v>
      </c>
      <c r="B2482">
        <v>206</v>
      </c>
      <c r="C2482" s="1" t="str">
        <f>IF(Tabela8[[#This Row],[SETOR]]="","",IF(Tabela8[[#This Row],[SETOR]]&lt;200,"GV 10",IF(Tabela8[[#This Row],[SETOR]]&lt;300,"GV 20",IF(Tabela8[[#This Row],[SETOR]]&lt;400,"GV 30","S/GV"))))</f>
        <v>GV 20</v>
      </c>
      <c r="E2482" t="s">
        <v>123</v>
      </c>
      <c r="G2482" t="str">
        <f>_xlfn.CONCAT(Tabela9[[#This Row],[Coluna1]],Tabela9[[#This Row],[Coluna2]])</f>
        <v>20-Rota</v>
      </c>
    </row>
    <row r="2483" spans="1:7" x14ac:dyDescent="0.25">
      <c r="A2483">
        <v>15392</v>
      </c>
      <c r="B2483">
        <v>907</v>
      </c>
      <c r="C2483" s="1" t="str">
        <f>IF(Tabela8[[#This Row],[SETOR]]="","",IF(Tabela8[[#This Row],[SETOR]]&lt;200,"GV 10",IF(Tabela8[[#This Row],[SETOR]]&lt;300,"GV 20",IF(Tabela8[[#This Row],[SETOR]]&lt;400,"GV 30","S/GV"))))</f>
        <v>S/GV</v>
      </c>
      <c r="G2483" t="str">
        <f>_xlfn.CONCAT(Tabela9[[#This Row],[Coluna1]],Tabela9[[#This Row],[Coluna2]])</f>
        <v/>
      </c>
    </row>
    <row r="2484" spans="1:7" x14ac:dyDescent="0.25">
      <c r="A2484">
        <v>15400</v>
      </c>
      <c r="B2484">
        <v>307</v>
      </c>
      <c r="C2484" s="1" t="str">
        <f>IF(Tabela8[[#This Row],[SETOR]]="","",IF(Tabela8[[#This Row],[SETOR]]&lt;200,"GV 10",IF(Tabela8[[#This Row],[SETOR]]&lt;300,"GV 20",IF(Tabela8[[#This Row],[SETOR]]&lt;400,"GV 30","S/GV"))))</f>
        <v>GV 30</v>
      </c>
      <c r="E2484" t="s">
        <v>130</v>
      </c>
      <c r="G2484" t="str">
        <f>_xlfn.CONCAT(Tabela9[[#This Row],[Coluna1]],Tabela9[[#This Row],[Coluna2]])</f>
        <v>21-SUB</v>
      </c>
    </row>
    <row r="2485" spans="1:7" x14ac:dyDescent="0.25">
      <c r="A2485">
        <v>15401</v>
      </c>
      <c r="B2485">
        <v>205</v>
      </c>
      <c r="C2485" s="1" t="str">
        <f>IF(Tabela8[[#This Row],[SETOR]]="","",IF(Tabela8[[#This Row],[SETOR]]&lt;200,"GV 10",IF(Tabela8[[#This Row],[SETOR]]&lt;300,"GV 20",IF(Tabela8[[#This Row],[SETOR]]&lt;400,"GV 30","S/GV"))))</f>
        <v>GV 20</v>
      </c>
      <c r="E2485" t="s">
        <v>123</v>
      </c>
      <c r="G2485" t="str">
        <f>_xlfn.CONCAT(Tabela9[[#This Row],[Coluna1]],Tabela9[[#This Row],[Coluna2]])</f>
        <v>20-Rota</v>
      </c>
    </row>
    <row r="2486" spans="1:7" x14ac:dyDescent="0.25">
      <c r="A2486">
        <v>15403</v>
      </c>
      <c r="B2486">
        <v>202</v>
      </c>
      <c r="C2486" s="1" t="str">
        <f>IF(Tabela8[[#This Row],[SETOR]]="","",IF(Tabela8[[#This Row],[SETOR]]&lt;200,"GV 10",IF(Tabela8[[#This Row],[SETOR]]&lt;300,"GV 20",IF(Tabela8[[#This Row],[SETOR]]&lt;400,"GV 30","S/GV"))))</f>
        <v>GV 20</v>
      </c>
      <c r="E2486" t="s">
        <v>125</v>
      </c>
      <c r="G2486" t="str">
        <f>_xlfn.CONCAT(Tabela9[[#This Row],[Coluna1]],Tabela9[[#This Row],[Coluna2]])</f>
        <v>18-TRAD</v>
      </c>
    </row>
    <row r="2487" spans="1:7" x14ac:dyDescent="0.25">
      <c r="A2487">
        <v>15408</v>
      </c>
      <c r="B2487">
        <v>913</v>
      </c>
      <c r="C2487" s="1" t="str">
        <f>IF(Tabela8[[#This Row],[SETOR]]="","",IF(Tabela8[[#This Row],[SETOR]]&lt;200,"GV 10",IF(Tabela8[[#This Row],[SETOR]]&lt;300,"GV 20",IF(Tabela8[[#This Row],[SETOR]]&lt;400,"GV 30","S/GV"))))</f>
        <v>S/GV</v>
      </c>
      <c r="E2487" t="s">
        <v>123</v>
      </c>
      <c r="G2487" t="str">
        <f>_xlfn.CONCAT(Tabela9[[#This Row],[Coluna1]],Tabela9[[#This Row],[Coluna2]])</f>
        <v>20-Rota</v>
      </c>
    </row>
    <row r="2488" spans="1:7" x14ac:dyDescent="0.25">
      <c r="A2488">
        <v>15410</v>
      </c>
      <c r="B2488">
        <v>203</v>
      </c>
      <c r="C2488" s="1" t="str">
        <f>IF(Tabela8[[#This Row],[SETOR]]="","",IF(Tabela8[[#This Row],[SETOR]]&lt;200,"GV 10",IF(Tabela8[[#This Row],[SETOR]]&lt;300,"GV 20",IF(Tabela8[[#This Row],[SETOR]]&lt;400,"GV 30","S/GV"))))</f>
        <v>GV 20</v>
      </c>
      <c r="E2488" t="s">
        <v>123</v>
      </c>
      <c r="G2488" t="str">
        <f>_xlfn.CONCAT(Tabela9[[#This Row],[Coluna1]],Tabela9[[#This Row],[Coluna2]])</f>
        <v>20-Rota</v>
      </c>
    </row>
    <row r="2489" spans="1:7" x14ac:dyDescent="0.25">
      <c r="A2489">
        <v>15419</v>
      </c>
      <c r="B2489">
        <v>303</v>
      </c>
      <c r="C2489" s="1" t="str">
        <f>IF(Tabela8[[#This Row],[SETOR]]="","",IF(Tabela8[[#This Row],[SETOR]]&lt;200,"GV 10",IF(Tabela8[[#This Row],[SETOR]]&lt;300,"GV 20",IF(Tabela8[[#This Row],[SETOR]]&lt;400,"GV 30","S/GV"))))</f>
        <v>GV 30</v>
      </c>
      <c r="E2489" t="s">
        <v>123</v>
      </c>
      <c r="G2489" t="str">
        <f>_xlfn.CONCAT(Tabela9[[#This Row],[Coluna1]],Tabela9[[#This Row],[Coluna2]])</f>
        <v>20-Rota</v>
      </c>
    </row>
    <row r="2490" spans="1:7" x14ac:dyDescent="0.25">
      <c r="A2490">
        <v>15426</v>
      </c>
      <c r="B2490">
        <v>202</v>
      </c>
      <c r="C2490" s="1" t="str">
        <f>IF(Tabela8[[#This Row],[SETOR]]="","",IF(Tabela8[[#This Row],[SETOR]]&lt;200,"GV 10",IF(Tabela8[[#This Row],[SETOR]]&lt;300,"GV 20",IF(Tabela8[[#This Row],[SETOR]]&lt;400,"GV 30","S/GV"))))</f>
        <v>GV 20</v>
      </c>
      <c r="E2490" t="s">
        <v>123</v>
      </c>
      <c r="G2490" t="str">
        <f>_xlfn.CONCAT(Tabela9[[#This Row],[Coluna1]],Tabela9[[#This Row],[Coluna2]])</f>
        <v>20-Rota</v>
      </c>
    </row>
    <row r="2491" spans="1:7" x14ac:dyDescent="0.25">
      <c r="A2491">
        <v>15428</v>
      </c>
      <c r="B2491">
        <v>303</v>
      </c>
      <c r="C2491" s="1" t="str">
        <f>IF(Tabela8[[#This Row],[SETOR]]="","",IF(Tabela8[[#This Row],[SETOR]]&lt;200,"GV 10",IF(Tabela8[[#This Row],[SETOR]]&lt;300,"GV 20",IF(Tabela8[[#This Row],[SETOR]]&lt;400,"GV 30","S/GV"))))</f>
        <v>GV 30</v>
      </c>
      <c r="E2491" t="s">
        <v>123</v>
      </c>
      <c r="G2491" t="str">
        <f>_xlfn.CONCAT(Tabela9[[#This Row],[Coluna1]],Tabela9[[#This Row],[Coluna2]])</f>
        <v>20-Rota</v>
      </c>
    </row>
    <row r="2492" spans="1:7" x14ac:dyDescent="0.25">
      <c r="A2492">
        <v>15433</v>
      </c>
      <c r="B2492">
        <v>108</v>
      </c>
      <c r="C2492" s="1" t="str">
        <f>IF(Tabela8[[#This Row],[SETOR]]="","",IF(Tabela8[[#This Row],[SETOR]]&lt;200,"GV 10",IF(Tabela8[[#This Row],[SETOR]]&lt;300,"GV 20",IF(Tabela8[[#This Row],[SETOR]]&lt;400,"GV 30","S/GV"))))</f>
        <v>GV 10</v>
      </c>
      <c r="E2492" t="s">
        <v>128</v>
      </c>
      <c r="F2492" t="s">
        <v>129</v>
      </c>
      <c r="G2492" t="str">
        <f>_xlfn.CONCAT(Tabela9[[#This Row],[Coluna1]],Tabela9[[#This Row],[Coluna2]])</f>
        <v>15-AS(1-4)</v>
      </c>
    </row>
    <row r="2493" spans="1:7" x14ac:dyDescent="0.25">
      <c r="A2493">
        <v>15448</v>
      </c>
      <c r="B2493">
        <v>305</v>
      </c>
      <c r="C2493" s="1" t="str">
        <f>IF(Tabela8[[#This Row],[SETOR]]="","",IF(Tabela8[[#This Row],[SETOR]]&lt;200,"GV 10",IF(Tabela8[[#This Row],[SETOR]]&lt;300,"GV 20",IF(Tabela8[[#This Row],[SETOR]]&lt;400,"GV 30","S/GV"))))</f>
        <v>GV 30</v>
      </c>
      <c r="E2493" t="s">
        <v>123</v>
      </c>
      <c r="G2493" t="str">
        <f>_xlfn.CONCAT(Tabela9[[#This Row],[Coluna1]],Tabela9[[#This Row],[Coluna2]])</f>
        <v>20-Rota</v>
      </c>
    </row>
    <row r="2494" spans="1:7" x14ac:dyDescent="0.25">
      <c r="A2494">
        <v>15451</v>
      </c>
      <c r="B2494">
        <v>105</v>
      </c>
      <c r="C2494" s="1" t="str">
        <f>IF(Tabela8[[#This Row],[SETOR]]="","",IF(Tabela8[[#This Row],[SETOR]]&lt;200,"GV 10",IF(Tabela8[[#This Row],[SETOR]]&lt;300,"GV 20",IF(Tabela8[[#This Row],[SETOR]]&lt;400,"GV 30","S/GV"))))</f>
        <v>GV 10</v>
      </c>
      <c r="E2494" t="s">
        <v>123</v>
      </c>
      <c r="G2494" t="str">
        <f>_xlfn.CONCAT(Tabela9[[#This Row],[Coluna1]],Tabela9[[#This Row],[Coluna2]])</f>
        <v>20-Rota</v>
      </c>
    </row>
    <row r="2495" spans="1:7" x14ac:dyDescent="0.25">
      <c r="A2495">
        <v>15457</v>
      </c>
      <c r="B2495">
        <v>916</v>
      </c>
      <c r="C2495" s="1" t="str">
        <f>IF(Tabela8[[#This Row],[SETOR]]="","",IF(Tabela8[[#This Row],[SETOR]]&lt;200,"GV 10",IF(Tabela8[[#This Row],[SETOR]]&lt;300,"GV 20",IF(Tabela8[[#This Row],[SETOR]]&lt;400,"GV 30","S/GV"))))</f>
        <v>S/GV</v>
      </c>
      <c r="E2495" t="s">
        <v>123</v>
      </c>
      <c r="G2495" t="str">
        <f>_xlfn.CONCAT(Tabela9[[#This Row],[Coluna1]],Tabela9[[#This Row],[Coluna2]])</f>
        <v>20-Rota</v>
      </c>
    </row>
    <row r="2496" spans="1:7" x14ac:dyDescent="0.25">
      <c r="A2496">
        <v>15458</v>
      </c>
      <c r="B2496">
        <v>306</v>
      </c>
      <c r="C2496" s="1" t="str">
        <f>IF(Tabela8[[#This Row],[SETOR]]="","",IF(Tabela8[[#This Row],[SETOR]]&lt;200,"GV 10",IF(Tabela8[[#This Row],[SETOR]]&lt;300,"GV 20",IF(Tabela8[[#This Row],[SETOR]]&lt;400,"GV 30","S/GV"))))</f>
        <v>GV 30</v>
      </c>
      <c r="E2496" t="s">
        <v>125</v>
      </c>
      <c r="G2496" t="str">
        <f>_xlfn.CONCAT(Tabela9[[#This Row],[Coluna1]],Tabela9[[#This Row],[Coluna2]])</f>
        <v>18-TRAD</v>
      </c>
    </row>
    <row r="2497" spans="1:7" x14ac:dyDescent="0.25">
      <c r="A2497">
        <v>15463</v>
      </c>
      <c r="B2497">
        <v>201</v>
      </c>
      <c r="C2497" s="1" t="str">
        <f>IF(Tabela8[[#This Row],[SETOR]]="","",IF(Tabela8[[#This Row],[SETOR]]&lt;200,"GV 10",IF(Tabela8[[#This Row],[SETOR]]&lt;300,"GV 20",IF(Tabela8[[#This Row],[SETOR]]&lt;400,"GV 30","S/GV"))))</f>
        <v>GV 20</v>
      </c>
      <c r="E2497" t="s">
        <v>123</v>
      </c>
      <c r="G2497" t="str">
        <f>_xlfn.CONCAT(Tabela9[[#This Row],[Coluna1]],Tabela9[[#This Row],[Coluna2]])</f>
        <v>20-Rota</v>
      </c>
    </row>
    <row r="2498" spans="1:7" x14ac:dyDescent="0.25">
      <c r="A2498">
        <v>15474</v>
      </c>
      <c r="B2498">
        <v>907</v>
      </c>
      <c r="C2498" s="1" t="str">
        <f>IF(Tabela8[[#This Row],[SETOR]]="","",IF(Tabela8[[#This Row],[SETOR]]&lt;200,"GV 10",IF(Tabela8[[#This Row],[SETOR]]&lt;300,"GV 20",IF(Tabela8[[#This Row],[SETOR]]&lt;400,"GV 30","S/GV"))))</f>
        <v>S/GV</v>
      </c>
      <c r="G2498" t="str">
        <f>_xlfn.CONCAT(Tabela9[[#This Row],[Coluna1]],Tabela9[[#This Row],[Coluna2]])</f>
        <v/>
      </c>
    </row>
    <row r="2499" spans="1:7" x14ac:dyDescent="0.25">
      <c r="A2499">
        <v>15478</v>
      </c>
      <c r="B2499">
        <v>101</v>
      </c>
      <c r="C2499" s="1" t="str">
        <f>IF(Tabela8[[#This Row],[SETOR]]="","",IF(Tabela8[[#This Row],[SETOR]]&lt;200,"GV 10",IF(Tabela8[[#This Row],[SETOR]]&lt;300,"GV 20",IF(Tabela8[[#This Row],[SETOR]]&lt;400,"GV 30","S/GV"))))</f>
        <v>GV 10</v>
      </c>
      <c r="E2499" t="s">
        <v>123</v>
      </c>
      <c r="G2499" t="str">
        <f>_xlfn.CONCAT(Tabela9[[#This Row],[Coluna1]],Tabela9[[#This Row],[Coluna2]])</f>
        <v>20-Rota</v>
      </c>
    </row>
    <row r="2500" spans="1:7" x14ac:dyDescent="0.25">
      <c r="A2500">
        <v>15481</v>
      </c>
      <c r="B2500">
        <v>913</v>
      </c>
      <c r="C2500" s="1" t="str">
        <f>IF(Tabela8[[#This Row],[SETOR]]="","",IF(Tabela8[[#This Row],[SETOR]]&lt;200,"GV 10",IF(Tabela8[[#This Row],[SETOR]]&lt;300,"GV 20",IF(Tabela8[[#This Row],[SETOR]]&lt;400,"GV 30","S/GV"))))</f>
        <v>S/GV</v>
      </c>
      <c r="E2500" t="s">
        <v>123</v>
      </c>
      <c r="G2500" t="str">
        <f>_xlfn.CONCAT(Tabela9[[#This Row],[Coluna1]],Tabela9[[#This Row],[Coluna2]])</f>
        <v>20-Rota</v>
      </c>
    </row>
    <row r="2501" spans="1:7" x14ac:dyDescent="0.25">
      <c r="A2501">
        <v>15482</v>
      </c>
      <c r="B2501">
        <v>301</v>
      </c>
      <c r="C2501" s="1" t="str">
        <f>IF(Tabela8[[#This Row],[SETOR]]="","",IF(Tabela8[[#This Row],[SETOR]]&lt;200,"GV 10",IF(Tabela8[[#This Row],[SETOR]]&lt;300,"GV 20",IF(Tabela8[[#This Row],[SETOR]]&lt;400,"GV 30","S/GV"))))</f>
        <v>GV 30</v>
      </c>
      <c r="E2501" t="s">
        <v>123</v>
      </c>
      <c r="G2501" t="str">
        <f>_xlfn.CONCAT(Tabela9[[#This Row],[Coluna1]],Tabela9[[#This Row],[Coluna2]])</f>
        <v>20-Rota</v>
      </c>
    </row>
    <row r="2502" spans="1:7" x14ac:dyDescent="0.25">
      <c r="A2502">
        <v>15487</v>
      </c>
      <c r="B2502">
        <v>109</v>
      </c>
      <c r="C2502" s="1" t="str">
        <f>IF(Tabela8[[#This Row],[SETOR]]="","",IF(Tabela8[[#This Row],[SETOR]]&lt;200,"GV 10",IF(Tabela8[[#This Row],[SETOR]]&lt;300,"GV 20",IF(Tabela8[[#This Row],[SETOR]]&lt;400,"GV 30","S/GV"))))</f>
        <v>GV 10</v>
      </c>
      <c r="E2502" t="s">
        <v>123</v>
      </c>
      <c r="G2502" t="str">
        <f>_xlfn.CONCAT(Tabela9[[#This Row],[Coluna1]],Tabela9[[#This Row],[Coluna2]])</f>
        <v>20-Rota</v>
      </c>
    </row>
    <row r="2503" spans="1:7" x14ac:dyDescent="0.25">
      <c r="A2503">
        <v>15488</v>
      </c>
      <c r="B2503">
        <v>106</v>
      </c>
      <c r="C2503" s="1" t="str">
        <f>IF(Tabela8[[#This Row],[SETOR]]="","",IF(Tabela8[[#This Row],[SETOR]]&lt;200,"GV 10",IF(Tabela8[[#This Row],[SETOR]]&lt;300,"GV 20",IF(Tabela8[[#This Row],[SETOR]]&lt;400,"GV 30","S/GV"))))</f>
        <v>GV 10</v>
      </c>
      <c r="E2503" t="s">
        <v>123</v>
      </c>
      <c r="G2503" t="str">
        <f>_xlfn.CONCAT(Tabela9[[#This Row],[Coluna1]],Tabela9[[#This Row],[Coluna2]])</f>
        <v>20-Rota</v>
      </c>
    </row>
    <row r="2504" spans="1:7" x14ac:dyDescent="0.25">
      <c r="A2504">
        <v>15493</v>
      </c>
      <c r="B2504">
        <v>204</v>
      </c>
      <c r="C2504" s="1" t="str">
        <f>IF(Tabela8[[#This Row],[SETOR]]="","",IF(Tabela8[[#This Row],[SETOR]]&lt;200,"GV 10",IF(Tabela8[[#This Row],[SETOR]]&lt;300,"GV 20",IF(Tabela8[[#This Row],[SETOR]]&lt;400,"GV 30","S/GV"))))</f>
        <v>GV 20</v>
      </c>
      <c r="E2504" t="s">
        <v>123</v>
      </c>
      <c r="G2504" t="str">
        <f>_xlfn.CONCAT(Tabela9[[#This Row],[Coluna1]],Tabela9[[#This Row],[Coluna2]])</f>
        <v>20-Rota</v>
      </c>
    </row>
    <row r="2505" spans="1:7" x14ac:dyDescent="0.25">
      <c r="A2505">
        <v>15495</v>
      </c>
      <c r="B2505">
        <v>106</v>
      </c>
      <c r="C2505" s="1" t="str">
        <f>IF(Tabela8[[#This Row],[SETOR]]="","",IF(Tabela8[[#This Row],[SETOR]]&lt;200,"GV 10",IF(Tabela8[[#This Row],[SETOR]]&lt;300,"GV 20",IF(Tabela8[[#This Row],[SETOR]]&lt;400,"GV 30","S/GV"))))</f>
        <v>GV 10</v>
      </c>
      <c r="E2505" t="s">
        <v>123</v>
      </c>
      <c r="G2505" t="str">
        <f>_xlfn.CONCAT(Tabela9[[#This Row],[Coluna1]],Tabela9[[#This Row],[Coluna2]])</f>
        <v>20-Rota</v>
      </c>
    </row>
    <row r="2506" spans="1:7" x14ac:dyDescent="0.25">
      <c r="A2506">
        <v>15499</v>
      </c>
      <c r="B2506">
        <v>104</v>
      </c>
      <c r="C2506" s="1" t="str">
        <f>IF(Tabela8[[#This Row],[SETOR]]="","",IF(Tabela8[[#This Row],[SETOR]]&lt;200,"GV 10",IF(Tabela8[[#This Row],[SETOR]]&lt;300,"GV 20",IF(Tabela8[[#This Row],[SETOR]]&lt;400,"GV 30","S/GV"))))</f>
        <v>GV 10</v>
      </c>
      <c r="E2506" t="s">
        <v>125</v>
      </c>
      <c r="G2506" t="str">
        <f>_xlfn.CONCAT(Tabela9[[#This Row],[Coluna1]],Tabela9[[#This Row],[Coluna2]])</f>
        <v>18-TRAD</v>
      </c>
    </row>
    <row r="2507" spans="1:7" x14ac:dyDescent="0.25">
      <c r="A2507">
        <v>15501</v>
      </c>
      <c r="B2507">
        <v>109</v>
      </c>
      <c r="C2507" s="1" t="str">
        <f>IF(Tabela8[[#This Row],[SETOR]]="","",IF(Tabela8[[#This Row],[SETOR]]&lt;200,"GV 10",IF(Tabela8[[#This Row],[SETOR]]&lt;300,"GV 20",IF(Tabela8[[#This Row],[SETOR]]&lt;400,"GV 30","S/GV"))))</f>
        <v>GV 10</v>
      </c>
      <c r="E2507" t="s">
        <v>123</v>
      </c>
      <c r="G2507" t="str">
        <f>_xlfn.CONCAT(Tabela9[[#This Row],[Coluna1]],Tabela9[[#This Row],[Coluna2]])</f>
        <v>20-Rota</v>
      </c>
    </row>
    <row r="2508" spans="1:7" x14ac:dyDescent="0.25">
      <c r="A2508">
        <v>15506</v>
      </c>
      <c r="B2508">
        <v>301</v>
      </c>
      <c r="C2508" s="1" t="str">
        <f>IF(Tabela8[[#This Row],[SETOR]]="","",IF(Tabela8[[#This Row],[SETOR]]&lt;200,"GV 10",IF(Tabela8[[#This Row],[SETOR]]&lt;300,"GV 20",IF(Tabela8[[#This Row],[SETOR]]&lt;400,"GV 30","S/GV"))))</f>
        <v>GV 30</v>
      </c>
      <c r="E2508" t="s">
        <v>123</v>
      </c>
      <c r="G2508" t="str">
        <f>_xlfn.CONCAT(Tabela9[[#This Row],[Coluna1]],Tabela9[[#This Row],[Coluna2]])</f>
        <v>20-Rota</v>
      </c>
    </row>
    <row r="2509" spans="1:7" x14ac:dyDescent="0.25">
      <c r="A2509">
        <v>15507</v>
      </c>
      <c r="B2509">
        <v>907</v>
      </c>
      <c r="C2509" s="1" t="str">
        <f>IF(Tabela8[[#This Row],[SETOR]]="","",IF(Tabela8[[#This Row],[SETOR]]&lt;200,"GV 10",IF(Tabela8[[#This Row],[SETOR]]&lt;300,"GV 20",IF(Tabela8[[#This Row],[SETOR]]&lt;400,"GV 30","S/GV"))))</f>
        <v>S/GV</v>
      </c>
      <c r="G2509" t="str">
        <f>_xlfn.CONCAT(Tabela9[[#This Row],[Coluna1]],Tabela9[[#This Row],[Coluna2]])</f>
        <v/>
      </c>
    </row>
    <row r="2510" spans="1:7" x14ac:dyDescent="0.25">
      <c r="A2510">
        <v>15512</v>
      </c>
      <c r="B2510">
        <v>907</v>
      </c>
      <c r="C2510" s="1" t="str">
        <f>IF(Tabela8[[#This Row],[SETOR]]="","",IF(Tabela8[[#This Row],[SETOR]]&lt;200,"GV 10",IF(Tabela8[[#This Row],[SETOR]]&lt;300,"GV 20",IF(Tabela8[[#This Row],[SETOR]]&lt;400,"GV 30","S/GV"))))</f>
        <v>S/GV</v>
      </c>
      <c r="G2510" t="str">
        <f>_xlfn.CONCAT(Tabela9[[#This Row],[Coluna1]],Tabela9[[#This Row],[Coluna2]])</f>
        <v/>
      </c>
    </row>
    <row r="2511" spans="1:7" x14ac:dyDescent="0.25">
      <c r="A2511">
        <v>15518</v>
      </c>
      <c r="B2511">
        <v>304</v>
      </c>
      <c r="C2511" s="1" t="str">
        <f>IF(Tabela8[[#This Row],[SETOR]]="","",IF(Tabela8[[#This Row],[SETOR]]&lt;200,"GV 10",IF(Tabela8[[#This Row],[SETOR]]&lt;300,"GV 20",IF(Tabela8[[#This Row],[SETOR]]&lt;400,"GV 30","S/GV"))))</f>
        <v>GV 30</v>
      </c>
      <c r="E2511" t="s">
        <v>123</v>
      </c>
      <c r="G2511" t="str">
        <f>_xlfn.CONCAT(Tabela9[[#This Row],[Coluna1]],Tabela9[[#This Row],[Coluna2]])</f>
        <v>20-Rota</v>
      </c>
    </row>
    <row r="2512" spans="1:7" x14ac:dyDescent="0.25">
      <c r="A2512">
        <v>15526</v>
      </c>
      <c r="B2512">
        <v>206</v>
      </c>
      <c r="C2512" s="1" t="str">
        <f>IF(Tabela8[[#This Row],[SETOR]]="","",IF(Tabela8[[#This Row],[SETOR]]&lt;200,"GV 10",IF(Tabela8[[#This Row],[SETOR]]&lt;300,"GV 20",IF(Tabela8[[#This Row],[SETOR]]&lt;400,"GV 30","S/GV"))))</f>
        <v>GV 20</v>
      </c>
      <c r="E2512" t="s">
        <v>123</v>
      </c>
      <c r="G2512" t="str">
        <f>_xlfn.CONCAT(Tabela9[[#This Row],[Coluna1]],Tabela9[[#This Row],[Coluna2]])</f>
        <v>20-Rota</v>
      </c>
    </row>
    <row r="2513" spans="1:7" x14ac:dyDescent="0.25">
      <c r="A2513">
        <v>15530</v>
      </c>
      <c r="B2513">
        <v>201</v>
      </c>
      <c r="C2513" s="1" t="str">
        <f>IF(Tabela8[[#This Row],[SETOR]]="","",IF(Tabela8[[#This Row],[SETOR]]&lt;200,"GV 10",IF(Tabela8[[#This Row],[SETOR]]&lt;300,"GV 20",IF(Tabela8[[#This Row],[SETOR]]&lt;400,"GV 30","S/GV"))))</f>
        <v>GV 20</v>
      </c>
      <c r="E2513" t="s">
        <v>123</v>
      </c>
      <c r="G2513" t="str">
        <f>_xlfn.CONCAT(Tabela9[[#This Row],[Coluna1]],Tabela9[[#This Row],[Coluna2]])</f>
        <v>20-Rota</v>
      </c>
    </row>
    <row r="2514" spans="1:7" x14ac:dyDescent="0.25">
      <c r="A2514">
        <v>15541</v>
      </c>
      <c r="B2514">
        <v>101</v>
      </c>
      <c r="C2514" s="1" t="str">
        <f>IF(Tabela8[[#This Row],[SETOR]]="","",IF(Tabela8[[#This Row],[SETOR]]&lt;200,"GV 10",IF(Tabela8[[#This Row],[SETOR]]&lt;300,"GV 20",IF(Tabela8[[#This Row],[SETOR]]&lt;400,"GV 30","S/GV"))))</f>
        <v>GV 10</v>
      </c>
      <c r="E2514" t="s">
        <v>123</v>
      </c>
      <c r="G2514" t="str">
        <f>_xlfn.CONCAT(Tabela9[[#This Row],[Coluna1]],Tabela9[[#This Row],[Coluna2]])</f>
        <v>20-Rota</v>
      </c>
    </row>
    <row r="2515" spans="1:7" x14ac:dyDescent="0.25">
      <c r="A2515">
        <v>15543</v>
      </c>
      <c r="B2515">
        <v>301</v>
      </c>
      <c r="C2515" s="1" t="str">
        <f>IF(Tabela8[[#This Row],[SETOR]]="","",IF(Tabela8[[#This Row],[SETOR]]&lt;200,"GV 10",IF(Tabela8[[#This Row],[SETOR]]&lt;300,"GV 20",IF(Tabela8[[#This Row],[SETOR]]&lt;400,"GV 30","S/GV"))))</f>
        <v>GV 30</v>
      </c>
      <c r="E2515" t="s">
        <v>123</v>
      </c>
      <c r="G2515" t="str">
        <f>_xlfn.CONCAT(Tabela9[[#This Row],[Coluna1]],Tabela9[[#This Row],[Coluna2]])</f>
        <v>20-Rota</v>
      </c>
    </row>
    <row r="2516" spans="1:7" x14ac:dyDescent="0.25">
      <c r="A2516">
        <v>15547</v>
      </c>
      <c r="B2516">
        <v>207</v>
      </c>
      <c r="C2516" s="1" t="str">
        <f>IF(Tabela8[[#This Row],[SETOR]]="","",IF(Tabela8[[#This Row],[SETOR]]&lt;200,"GV 10",IF(Tabela8[[#This Row],[SETOR]]&lt;300,"GV 20",IF(Tabela8[[#This Row],[SETOR]]&lt;400,"GV 30","S/GV"))))</f>
        <v>GV 20</v>
      </c>
      <c r="E2516" t="s">
        <v>125</v>
      </c>
      <c r="G2516" t="str">
        <f>_xlfn.CONCAT(Tabela9[[#This Row],[Coluna1]],Tabela9[[#This Row],[Coluna2]])</f>
        <v>18-TRAD</v>
      </c>
    </row>
    <row r="2517" spans="1:7" x14ac:dyDescent="0.25">
      <c r="A2517">
        <v>15548</v>
      </c>
      <c r="B2517">
        <v>907</v>
      </c>
      <c r="C2517" s="1" t="str">
        <f>IF(Tabela8[[#This Row],[SETOR]]="","",IF(Tabela8[[#This Row],[SETOR]]&lt;200,"GV 10",IF(Tabela8[[#This Row],[SETOR]]&lt;300,"GV 20",IF(Tabela8[[#This Row],[SETOR]]&lt;400,"GV 30","S/GV"))))</f>
        <v>S/GV</v>
      </c>
      <c r="G2517" t="str">
        <f>_xlfn.CONCAT(Tabela9[[#This Row],[Coluna1]],Tabela9[[#This Row],[Coluna2]])</f>
        <v/>
      </c>
    </row>
    <row r="2518" spans="1:7" x14ac:dyDescent="0.25">
      <c r="A2518">
        <v>15550</v>
      </c>
      <c r="B2518">
        <v>102</v>
      </c>
      <c r="C2518" s="1" t="str">
        <f>IF(Tabela8[[#This Row],[SETOR]]="","",IF(Tabela8[[#This Row],[SETOR]]&lt;200,"GV 10",IF(Tabela8[[#This Row],[SETOR]]&lt;300,"GV 20",IF(Tabela8[[#This Row],[SETOR]]&lt;400,"GV 30","S/GV"))))</f>
        <v>GV 10</v>
      </c>
      <c r="E2518" t="s">
        <v>123</v>
      </c>
      <c r="G2518" t="str">
        <f>_xlfn.CONCAT(Tabela9[[#This Row],[Coluna1]],Tabela9[[#This Row],[Coluna2]])</f>
        <v>20-Rota</v>
      </c>
    </row>
    <row r="2519" spans="1:7" x14ac:dyDescent="0.25">
      <c r="A2519">
        <v>15554</v>
      </c>
      <c r="B2519">
        <v>103</v>
      </c>
      <c r="C2519" s="1" t="str">
        <f>IF(Tabela8[[#This Row],[SETOR]]="","",IF(Tabela8[[#This Row],[SETOR]]&lt;200,"GV 10",IF(Tabela8[[#This Row],[SETOR]]&lt;300,"GV 20",IF(Tabela8[[#This Row],[SETOR]]&lt;400,"GV 30","S/GV"))))</f>
        <v>GV 10</v>
      </c>
      <c r="E2519" t="s">
        <v>123</v>
      </c>
      <c r="G2519" t="str">
        <f>_xlfn.CONCAT(Tabela9[[#This Row],[Coluna1]],Tabela9[[#This Row],[Coluna2]])</f>
        <v>20-Rota</v>
      </c>
    </row>
    <row r="2520" spans="1:7" x14ac:dyDescent="0.25">
      <c r="A2520">
        <v>15556</v>
      </c>
      <c r="B2520">
        <v>906</v>
      </c>
      <c r="C2520" s="1" t="str">
        <f>IF(Tabela8[[#This Row],[SETOR]]="","",IF(Tabela8[[#This Row],[SETOR]]&lt;200,"GV 10",IF(Tabela8[[#This Row],[SETOR]]&lt;300,"GV 20",IF(Tabela8[[#This Row],[SETOR]]&lt;400,"GV 30","S/GV"))))</f>
        <v>S/GV</v>
      </c>
      <c r="E2520" t="s">
        <v>123</v>
      </c>
      <c r="G2520" t="str">
        <f>_xlfn.CONCAT(Tabela9[[#This Row],[Coluna1]],Tabela9[[#This Row],[Coluna2]])</f>
        <v>20-Rota</v>
      </c>
    </row>
    <row r="2521" spans="1:7" x14ac:dyDescent="0.25">
      <c r="A2521">
        <v>15561</v>
      </c>
      <c r="B2521">
        <v>307</v>
      </c>
      <c r="C2521" s="1" t="str">
        <f>IF(Tabela8[[#This Row],[SETOR]]="","",IF(Tabela8[[#This Row],[SETOR]]&lt;200,"GV 10",IF(Tabela8[[#This Row],[SETOR]]&lt;300,"GV 20",IF(Tabela8[[#This Row],[SETOR]]&lt;400,"GV 30","S/GV"))))</f>
        <v>GV 30</v>
      </c>
      <c r="E2521" t="s">
        <v>130</v>
      </c>
      <c r="G2521" t="str">
        <f>_xlfn.CONCAT(Tabela9[[#This Row],[Coluna1]],Tabela9[[#This Row],[Coluna2]])</f>
        <v>21-SUB</v>
      </c>
    </row>
    <row r="2522" spans="1:7" x14ac:dyDescent="0.25">
      <c r="A2522">
        <v>15566</v>
      </c>
      <c r="B2522">
        <v>107</v>
      </c>
      <c r="C2522" s="1" t="str">
        <f>IF(Tabela8[[#This Row],[SETOR]]="","",IF(Tabela8[[#This Row],[SETOR]]&lt;200,"GV 10",IF(Tabela8[[#This Row],[SETOR]]&lt;300,"GV 20",IF(Tabela8[[#This Row],[SETOR]]&lt;400,"GV 30","S/GV"))))</f>
        <v>GV 10</v>
      </c>
      <c r="E2522" t="s">
        <v>123</v>
      </c>
      <c r="G2522" t="str">
        <f>_xlfn.CONCAT(Tabela9[[#This Row],[Coluna1]],Tabela9[[#This Row],[Coluna2]])</f>
        <v>20-Rota</v>
      </c>
    </row>
    <row r="2523" spans="1:7" x14ac:dyDescent="0.25">
      <c r="A2523">
        <v>15574</v>
      </c>
      <c r="B2523">
        <v>109</v>
      </c>
      <c r="C2523" s="1" t="str">
        <f>IF(Tabela8[[#This Row],[SETOR]]="","",IF(Tabela8[[#This Row],[SETOR]]&lt;200,"GV 10",IF(Tabela8[[#This Row],[SETOR]]&lt;300,"GV 20",IF(Tabela8[[#This Row],[SETOR]]&lt;400,"GV 30","S/GV"))))</f>
        <v>GV 10</v>
      </c>
      <c r="E2523" t="s">
        <v>123</v>
      </c>
      <c r="G2523" t="str">
        <f>_xlfn.CONCAT(Tabela9[[#This Row],[Coluna1]],Tabela9[[#This Row],[Coluna2]])</f>
        <v>20-Rota</v>
      </c>
    </row>
    <row r="2524" spans="1:7" x14ac:dyDescent="0.25">
      <c r="A2524">
        <v>15601</v>
      </c>
      <c r="B2524">
        <v>208</v>
      </c>
      <c r="C2524" s="1" t="str">
        <f>IF(Tabela8[[#This Row],[SETOR]]="","",IF(Tabela8[[#This Row],[SETOR]]&lt;200,"GV 10",IF(Tabela8[[#This Row],[SETOR]]&lt;300,"GV 20",IF(Tabela8[[#This Row],[SETOR]]&lt;400,"GV 30","S/GV"))))</f>
        <v>GV 20</v>
      </c>
      <c r="E2524" t="s">
        <v>128</v>
      </c>
      <c r="F2524" t="s">
        <v>129</v>
      </c>
      <c r="G2524" t="str">
        <f>_xlfn.CONCAT(Tabela9[[#This Row],[Coluna1]],Tabela9[[#This Row],[Coluna2]])</f>
        <v>15-AS(1-4)</v>
      </c>
    </row>
    <row r="2525" spans="1:7" x14ac:dyDescent="0.25">
      <c r="A2525">
        <v>15606</v>
      </c>
      <c r="B2525">
        <v>304</v>
      </c>
      <c r="C2525" s="1" t="str">
        <f>IF(Tabela8[[#This Row],[SETOR]]="","",IF(Tabela8[[#This Row],[SETOR]]&lt;200,"GV 10",IF(Tabela8[[#This Row],[SETOR]]&lt;300,"GV 20",IF(Tabela8[[#This Row],[SETOR]]&lt;400,"GV 30","S/GV"))))</f>
        <v>GV 30</v>
      </c>
      <c r="E2525" t="s">
        <v>123</v>
      </c>
      <c r="G2525" t="str">
        <f>_xlfn.CONCAT(Tabela9[[#This Row],[Coluna1]],Tabela9[[#This Row],[Coluna2]])</f>
        <v>20-Rota</v>
      </c>
    </row>
    <row r="2526" spans="1:7" x14ac:dyDescent="0.25">
      <c r="A2526">
        <v>15607</v>
      </c>
      <c r="B2526">
        <v>203</v>
      </c>
      <c r="C2526" s="1" t="str">
        <f>IF(Tabela8[[#This Row],[SETOR]]="","",IF(Tabela8[[#This Row],[SETOR]]&lt;200,"GV 10",IF(Tabela8[[#This Row],[SETOR]]&lt;300,"GV 20",IF(Tabela8[[#This Row],[SETOR]]&lt;400,"GV 30","S/GV"))))</f>
        <v>GV 20</v>
      </c>
      <c r="E2526" t="s">
        <v>123</v>
      </c>
      <c r="G2526" t="str">
        <f>_xlfn.CONCAT(Tabela9[[#This Row],[Coluna1]],Tabela9[[#This Row],[Coluna2]])</f>
        <v>20-Rota</v>
      </c>
    </row>
    <row r="2527" spans="1:7" x14ac:dyDescent="0.25">
      <c r="A2527">
        <v>15611</v>
      </c>
      <c r="B2527">
        <v>101</v>
      </c>
      <c r="C2527" s="1" t="str">
        <f>IF(Tabela8[[#This Row],[SETOR]]="","",IF(Tabela8[[#This Row],[SETOR]]&lt;200,"GV 10",IF(Tabela8[[#This Row],[SETOR]]&lt;300,"GV 20",IF(Tabela8[[#This Row],[SETOR]]&lt;400,"GV 30","S/GV"))))</f>
        <v>GV 10</v>
      </c>
      <c r="E2527" t="s">
        <v>123</v>
      </c>
      <c r="G2527" t="str">
        <f>_xlfn.CONCAT(Tabela9[[#This Row],[Coluna1]],Tabela9[[#This Row],[Coluna2]])</f>
        <v>20-Rota</v>
      </c>
    </row>
    <row r="2528" spans="1:7" x14ac:dyDescent="0.25">
      <c r="A2528">
        <v>15622</v>
      </c>
      <c r="B2528">
        <v>201</v>
      </c>
      <c r="C2528" s="1" t="str">
        <f>IF(Tabela8[[#This Row],[SETOR]]="","",IF(Tabela8[[#This Row],[SETOR]]&lt;200,"GV 10",IF(Tabela8[[#This Row],[SETOR]]&lt;300,"GV 20",IF(Tabela8[[#This Row],[SETOR]]&lt;400,"GV 30","S/GV"))))</f>
        <v>GV 20</v>
      </c>
      <c r="E2528" t="s">
        <v>123</v>
      </c>
      <c r="G2528" t="str">
        <f>_xlfn.CONCAT(Tabela9[[#This Row],[Coluna1]],Tabela9[[#This Row],[Coluna2]])</f>
        <v>20-Rota</v>
      </c>
    </row>
    <row r="2529" spans="1:7" x14ac:dyDescent="0.25">
      <c r="A2529">
        <v>15633</v>
      </c>
      <c r="B2529">
        <v>306</v>
      </c>
      <c r="C2529" s="1" t="str">
        <f>IF(Tabela8[[#This Row],[SETOR]]="","",IF(Tabela8[[#This Row],[SETOR]]&lt;200,"GV 10",IF(Tabela8[[#This Row],[SETOR]]&lt;300,"GV 20",IF(Tabela8[[#This Row],[SETOR]]&lt;400,"GV 30","S/GV"))))</f>
        <v>GV 30</v>
      </c>
      <c r="E2529" t="s">
        <v>125</v>
      </c>
      <c r="G2529" t="str">
        <f>_xlfn.CONCAT(Tabela9[[#This Row],[Coluna1]],Tabela9[[#This Row],[Coluna2]])</f>
        <v>18-TRAD</v>
      </c>
    </row>
    <row r="2530" spans="1:7" x14ac:dyDescent="0.25">
      <c r="A2530">
        <v>15640</v>
      </c>
      <c r="B2530">
        <v>307</v>
      </c>
      <c r="C2530" s="1" t="str">
        <f>IF(Tabela8[[#This Row],[SETOR]]="","",IF(Tabela8[[#This Row],[SETOR]]&lt;200,"GV 10",IF(Tabela8[[#This Row],[SETOR]]&lt;300,"GV 20",IF(Tabela8[[#This Row],[SETOR]]&lt;400,"GV 30","S/GV"))))</f>
        <v>GV 30</v>
      </c>
      <c r="E2530" t="s">
        <v>130</v>
      </c>
      <c r="G2530" t="str">
        <f>_xlfn.CONCAT(Tabela9[[#This Row],[Coluna1]],Tabela9[[#This Row],[Coluna2]])</f>
        <v>21-SUB</v>
      </c>
    </row>
    <row r="2531" spans="1:7" x14ac:dyDescent="0.25">
      <c r="A2531">
        <v>15642</v>
      </c>
      <c r="B2531">
        <v>916</v>
      </c>
      <c r="C2531" s="1" t="str">
        <f>IF(Tabela8[[#This Row],[SETOR]]="","",IF(Tabela8[[#This Row],[SETOR]]&lt;200,"GV 10",IF(Tabela8[[#This Row],[SETOR]]&lt;300,"GV 20",IF(Tabela8[[#This Row],[SETOR]]&lt;400,"GV 30","S/GV"))))</f>
        <v>S/GV</v>
      </c>
      <c r="G2531" t="str">
        <f>_xlfn.CONCAT(Tabela9[[#This Row],[Coluna1]],Tabela9[[#This Row],[Coluna2]])</f>
        <v/>
      </c>
    </row>
    <row r="2532" spans="1:7" x14ac:dyDescent="0.25">
      <c r="A2532">
        <v>15657</v>
      </c>
      <c r="B2532">
        <v>306</v>
      </c>
      <c r="C2532" s="1" t="str">
        <f>IF(Tabela8[[#This Row],[SETOR]]="","",IF(Tabela8[[#This Row],[SETOR]]&lt;200,"GV 10",IF(Tabela8[[#This Row],[SETOR]]&lt;300,"GV 20",IF(Tabela8[[#This Row],[SETOR]]&lt;400,"GV 30","S/GV"))))</f>
        <v>GV 30</v>
      </c>
      <c r="E2532" t="s">
        <v>125</v>
      </c>
      <c r="G2532" t="str">
        <f>_xlfn.CONCAT(Tabela9[[#This Row],[Coluna1]],Tabela9[[#This Row],[Coluna2]])</f>
        <v>18-TRAD</v>
      </c>
    </row>
    <row r="2533" spans="1:7" x14ac:dyDescent="0.25">
      <c r="A2533">
        <v>15665</v>
      </c>
      <c r="B2533">
        <v>203</v>
      </c>
      <c r="C2533" s="1" t="str">
        <f>IF(Tabela8[[#This Row],[SETOR]]="","",IF(Tabela8[[#This Row],[SETOR]]&lt;200,"GV 10",IF(Tabela8[[#This Row],[SETOR]]&lt;300,"GV 20",IF(Tabela8[[#This Row],[SETOR]]&lt;400,"GV 30","S/GV"))))</f>
        <v>GV 20</v>
      </c>
      <c r="E2533" t="s">
        <v>123</v>
      </c>
      <c r="G2533" t="str">
        <f>_xlfn.CONCAT(Tabela9[[#This Row],[Coluna1]],Tabela9[[#This Row],[Coluna2]])</f>
        <v>20-Rota</v>
      </c>
    </row>
    <row r="2534" spans="1:7" x14ac:dyDescent="0.25">
      <c r="A2534">
        <v>15666</v>
      </c>
      <c r="B2534">
        <v>907</v>
      </c>
      <c r="C2534" s="1" t="str">
        <f>IF(Tabela8[[#This Row],[SETOR]]="","",IF(Tabela8[[#This Row],[SETOR]]&lt;200,"GV 10",IF(Tabela8[[#This Row],[SETOR]]&lt;300,"GV 20",IF(Tabela8[[#This Row],[SETOR]]&lt;400,"GV 30","S/GV"))))</f>
        <v>S/GV</v>
      </c>
      <c r="G2534" t="str">
        <f>_xlfn.CONCAT(Tabela9[[#This Row],[Coluna1]],Tabela9[[#This Row],[Coluna2]])</f>
        <v/>
      </c>
    </row>
    <row r="2535" spans="1:7" x14ac:dyDescent="0.25">
      <c r="A2535">
        <v>15676</v>
      </c>
      <c r="B2535">
        <v>106</v>
      </c>
      <c r="C2535" s="1" t="str">
        <f>IF(Tabela8[[#This Row],[SETOR]]="","",IF(Tabela8[[#This Row],[SETOR]]&lt;200,"GV 10",IF(Tabela8[[#This Row],[SETOR]]&lt;300,"GV 20",IF(Tabela8[[#This Row],[SETOR]]&lt;400,"GV 30","S/GV"))))</f>
        <v>GV 10</v>
      </c>
      <c r="E2535" t="s">
        <v>123</v>
      </c>
      <c r="G2535" t="str">
        <f>_xlfn.CONCAT(Tabela9[[#This Row],[Coluna1]],Tabela9[[#This Row],[Coluna2]])</f>
        <v>20-Rota</v>
      </c>
    </row>
    <row r="2536" spans="1:7" x14ac:dyDescent="0.25">
      <c r="A2536">
        <v>15678</v>
      </c>
      <c r="B2536">
        <v>101</v>
      </c>
      <c r="C2536" s="1" t="str">
        <f>IF(Tabela8[[#This Row],[SETOR]]="","",IF(Tabela8[[#This Row],[SETOR]]&lt;200,"GV 10",IF(Tabela8[[#This Row],[SETOR]]&lt;300,"GV 20",IF(Tabela8[[#This Row],[SETOR]]&lt;400,"GV 30","S/GV"))))</f>
        <v>GV 10</v>
      </c>
      <c r="E2536" t="s">
        <v>123</v>
      </c>
      <c r="G2536" t="str">
        <f>_xlfn.CONCAT(Tabela9[[#This Row],[Coluna1]],Tabela9[[#This Row],[Coluna2]])</f>
        <v>20-Rota</v>
      </c>
    </row>
    <row r="2537" spans="1:7" x14ac:dyDescent="0.25">
      <c r="A2537">
        <v>15685</v>
      </c>
      <c r="B2537">
        <v>203</v>
      </c>
      <c r="C2537" s="1" t="str">
        <f>IF(Tabela8[[#This Row],[SETOR]]="","",IF(Tabela8[[#This Row],[SETOR]]&lt;200,"GV 10",IF(Tabela8[[#This Row],[SETOR]]&lt;300,"GV 20",IF(Tabela8[[#This Row],[SETOR]]&lt;400,"GV 30","S/GV"))))</f>
        <v>GV 20</v>
      </c>
      <c r="E2537" t="s">
        <v>123</v>
      </c>
      <c r="G2537" t="str">
        <f>_xlfn.CONCAT(Tabela9[[#This Row],[Coluna1]],Tabela9[[#This Row],[Coluna2]])</f>
        <v>20-Rota</v>
      </c>
    </row>
    <row r="2538" spans="1:7" x14ac:dyDescent="0.25">
      <c r="A2538">
        <v>15686</v>
      </c>
      <c r="B2538">
        <v>103</v>
      </c>
      <c r="C2538" s="1" t="str">
        <f>IF(Tabela8[[#This Row],[SETOR]]="","",IF(Tabela8[[#This Row],[SETOR]]&lt;200,"GV 10",IF(Tabela8[[#This Row],[SETOR]]&lt;300,"GV 20",IF(Tabela8[[#This Row],[SETOR]]&lt;400,"GV 30","S/GV"))))</f>
        <v>GV 10</v>
      </c>
      <c r="E2538" t="s">
        <v>123</v>
      </c>
      <c r="G2538" t="str">
        <f>_xlfn.CONCAT(Tabela9[[#This Row],[Coluna1]],Tabela9[[#This Row],[Coluna2]])</f>
        <v>20-Rota</v>
      </c>
    </row>
    <row r="2539" spans="1:7" x14ac:dyDescent="0.25">
      <c r="A2539">
        <v>15687</v>
      </c>
      <c r="B2539">
        <v>205</v>
      </c>
      <c r="C2539" s="1" t="str">
        <f>IF(Tabela8[[#This Row],[SETOR]]="","",IF(Tabela8[[#This Row],[SETOR]]&lt;200,"GV 10",IF(Tabela8[[#This Row],[SETOR]]&lt;300,"GV 20",IF(Tabela8[[#This Row],[SETOR]]&lt;400,"GV 30","S/GV"))))</f>
        <v>GV 20</v>
      </c>
      <c r="E2539" t="s">
        <v>125</v>
      </c>
      <c r="G2539" t="str">
        <f>_xlfn.CONCAT(Tabela9[[#This Row],[Coluna1]],Tabela9[[#This Row],[Coluna2]])</f>
        <v>18-TRAD</v>
      </c>
    </row>
    <row r="2540" spans="1:7" x14ac:dyDescent="0.25">
      <c r="A2540">
        <v>15691</v>
      </c>
      <c r="B2540">
        <v>201</v>
      </c>
      <c r="C2540" s="1" t="str">
        <f>IF(Tabela8[[#This Row],[SETOR]]="","",IF(Tabela8[[#This Row],[SETOR]]&lt;200,"GV 10",IF(Tabela8[[#This Row],[SETOR]]&lt;300,"GV 20",IF(Tabela8[[#This Row],[SETOR]]&lt;400,"GV 30","S/GV"))))</f>
        <v>GV 20</v>
      </c>
      <c r="E2540" t="s">
        <v>123</v>
      </c>
      <c r="G2540" t="str">
        <f>_xlfn.CONCAT(Tabela9[[#This Row],[Coluna1]],Tabela9[[#This Row],[Coluna2]])</f>
        <v>20-Rota</v>
      </c>
    </row>
    <row r="2541" spans="1:7" x14ac:dyDescent="0.25">
      <c r="A2541">
        <v>15696</v>
      </c>
      <c r="B2541">
        <v>301</v>
      </c>
      <c r="C2541" s="1" t="str">
        <f>IF(Tabela8[[#This Row],[SETOR]]="","",IF(Tabela8[[#This Row],[SETOR]]&lt;200,"GV 10",IF(Tabela8[[#This Row],[SETOR]]&lt;300,"GV 20",IF(Tabela8[[#This Row],[SETOR]]&lt;400,"GV 30","S/GV"))))</f>
        <v>GV 30</v>
      </c>
      <c r="E2541" t="s">
        <v>123</v>
      </c>
      <c r="G2541" t="str">
        <f>_xlfn.CONCAT(Tabela9[[#This Row],[Coluna1]],Tabela9[[#This Row],[Coluna2]])</f>
        <v>20-Rota</v>
      </c>
    </row>
    <row r="2542" spans="1:7" x14ac:dyDescent="0.25">
      <c r="A2542">
        <v>15698</v>
      </c>
      <c r="B2542">
        <v>101</v>
      </c>
      <c r="C2542" s="1" t="str">
        <f>IF(Tabela8[[#This Row],[SETOR]]="","",IF(Tabela8[[#This Row],[SETOR]]&lt;200,"GV 10",IF(Tabela8[[#This Row],[SETOR]]&lt;300,"GV 20",IF(Tabela8[[#This Row],[SETOR]]&lt;400,"GV 30","S/GV"))))</f>
        <v>GV 10</v>
      </c>
      <c r="E2542" t="s">
        <v>123</v>
      </c>
      <c r="G2542" t="str">
        <f>_xlfn.CONCAT(Tabela9[[#This Row],[Coluna1]],Tabela9[[#This Row],[Coluna2]])</f>
        <v>20-Rota</v>
      </c>
    </row>
    <row r="2543" spans="1:7" x14ac:dyDescent="0.25">
      <c r="A2543">
        <v>15707</v>
      </c>
      <c r="B2543">
        <v>206</v>
      </c>
      <c r="C2543" s="1" t="str">
        <f>IF(Tabela8[[#This Row],[SETOR]]="","",IF(Tabela8[[#This Row],[SETOR]]&lt;200,"GV 10",IF(Tabela8[[#This Row],[SETOR]]&lt;300,"GV 20",IF(Tabela8[[#This Row],[SETOR]]&lt;400,"GV 30","S/GV"))))</f>
        <v>GV 20</v>
      </c>
      <c r="E2543" t="s">
        <v>123</v>
      </c>
      <c r="G2543" t="str">
        <f>_xlfn.CONCAT(Tabela9[[#This Row],[Coluna1]],Tabela9[[#This Row],[Coluna2]])</f>
        <v>20-Rota</v>
      </c>
    </row>
    <row r="2544" spans="1:7" x14ac:dyDescent="0.25">
      <c r="A2544">
        <v>15710</v>
      </c>
      <c r="B2544">
        <v>102</v>
      </c>
      <c r="C2544" s="1" t="str">
        <f>IF(Tabela8[[#This Row],[SETOR]]="","",IF(Tabela8[[#This Row],[SETOR]]&lt;200,"GV 10",IF(Tabela8[[#This Row],[SETOR]]&lt;300,"GV 20",IF(Tabela8[[#This Row],[SETOR]]&lt;400,"GV 30","S/GV"))))</f>
        <v>GV 10</v>
      </c>
      <c r="E2544" t="s">
        <v>123</v>
      </c>
      <c r="G2544" t="str">
        <f>_xlfn.CONCAT(Tabela9[[#This Row],[Coluna1]],Tabela9[[#This Row],[Coluna2]])</f>
        <v>20-Rota</v>
      </c>
    </row>
    <row r="2545" spans="1:7" x14ac:dyDescent="0.25">
      <c r="A2545">
        <v>15712</v>
      </c>
      <c r="B2545">
        <v>102</v>
      </c>
      <c r="C2545" s="1" t="str">
        <f>IF(Tabela8[[#This Row],[SETOR]]="","",IF(Tabela8[[#This Row],[SETOR]]&lt;200,"GV 10",IF(Tabela8[[#This Row],[SETOR]]&lt;300,"GV 20",IF(Tabela8[[#This Row],[SETOR]]&lt;400,"GV 30","S/GV"))))</f>
        <v>GV 10</v>
      </c>
      <c r="E2545" t="s">
        <v>123</v>
      </c>
      <c r="G2545" t="str">
        <f>_xlfn.CONCAT(Tabela9[[#This Row],[Coluna1]],Tabela9[[#This Row],[Coluna2]])</f>
        <v>20-Rota</v>
      </c>
    </row>
    <row r="2546" spans="1:7" x14ac:dyDescent="0.25">
      <c r="A2546">
        <v>15716</v>
      </c>
      <c r="B2546">
        <v>104</v>
      </c>
      <c r="C2546" s="1" t="str">
        <f>IF(Tabela8[[#This Row],[SETOR]]="","",IF(Tabela8[[#This Row],[SETOR]]&lt;200,"GV 10",IF(Tabela8[[#This Row],[SETOR]]&lt;300,"GV 20",IF(Tabela8[[#This Row],[SETOR]]&lt;400,"GV 30","S/GV"))))</f>
        <v>GV 10</v>
      </c>
      <c r="E2546" t="s">
        <v>123</v>
      </c>
      <c r="G2546" t="str">
        <f>_xlfn.CONCAT(Tabela9[[#This Row],[Coluna1]],Tabela9[[#This Row],[Coluna2]])</f>
        <v>20-Rota</v>
      </c>
    </row>
    <row r="2547" spans="1:7" x14ac:dyDescent="0.25">
      <c r="A2547">
        <v>15719</v>
      </c>
      <c r="B2547">
        <v>307</v>
      </c>
      <c r="C2547" s="1" t="str">
        <f>IF(Tabela8[[#This Row],[SETOR]]="","",IF(Tabela8[[#This Row],[SETOR]]&lt;200,"GV 10",IF(Tabela8[[#This Row],[SETOR]]&lt;300,"GV 20",IF(Tabela8[[#This Row],[SETOR]]&lt;400,"GV 30","S/GV"))))</f>
        <v>GV 30</v>
      </c>
      <c r="E2547" t="s">
        <v>130</v>
      </c>
      <c r="G2547" t="str">
        <f>_xlfn.CONCAT(Tabela9[[#This Row],[Coluna1]],Tabela9[[#This Row],[Coluna2]])</f>
        <v>21-SUB</v>
      </c>
    </row>
    <row r="2548" spans="1:7" x14ac:dyDescent="0.25">
      <c r="A2548">
        <v>15720</v>
      </c>
      <c r="B2548">
        <v>301</v>
      </c>
      <c r="C2548" s="1" t="str">
        <f>IF(Tabela8[[#This Row],[SETOR]]="","",IF(Tabela8[[#This Row],[SETOR]]&lt;200,"GV 10",IF(Tabela8[[#This Row],[SETOR]]&lt;300,"GV 20",IF(Tabela8[[#This Row],[SETOR]]&lt;400,"GV 30","S/GV"))))</f>
        <v>GV 30</v>
      </c>
      <c r="E2548" t="s">
        <v>123</v>
      </c>
      <c r="G2548" t="str">
        <f>_xlfn.CONCAT(Tabela9[[#This Row],[Coluna1]],Tabela9[[#This Row],[Coluna2]])</f>
        <v>20-Rota</v>
      </c>
    </row>
    <row r="2549" spans="1:7" x14ac:dyDescent="0.25">
      <c r="A2549">
        <v>15721</v>
      </c>
      <c r="B2549">
        <v>106</v>
      </c>
      <c r="C2549" s="1" t="str">
        <f>IF(Tabela8[[#This Row],[SETOR]]="","",IF(Tabela8[[#This Row],[SETOR]]&lt;200,"GV 10",IF(Tabela8[[#This Row],[SETOR]]&lt;300,"GV 20",IF(Tabela8[[#This Row],[SETOR]]&lt;400,"GV 30","S/GV"))))</f>
        <v>GV 10</v>
      </c>
      <c r="E2549" t="s">
        <v>123</v>
      </c>
      <c r="G2549" t="str">
        <f>_xlfn.CONCAT(Tabela9[[#This Row],[Coluna1]],Tabela9[[#This Row],[Coluna2]])</f>
        <v>20-Rota</v>
      </c>
    </row>
    <row r="2550" spans="1:7" x14ac:dyDescent="0.25">
      <c r="A2550">
        <v>15729</v>
      </c>
      <c r="B2550">
        <v>303</v>
      </c>
      <c r="C2550" s="1" t="str">
        <f>IF(Tabela8[[#This Row],[SETOR]]="","",IF(Tabela8[[#This Row],[SETOR]]&lt;200,"GV 10",IF(Tabela8[[#This Row],[SETOR]]&lt;300,"GV 20",IF(Tabela8[[#This Row],[SETOR]]&lt;400,"GV 30","S/GV"))))</f>
        <v>GV 30</v>
      </c>
      <c r="E2550" t="s">
        <v>123</v>
      </c>
      <c r="G2550" t="str">
        <f>_xlfn.CONCAT(Tabela9[[#This Row],[Coluna1]],Tabela9[[#This Row],[Coluna2]])</f>
        <v>20-Rota</v>
      </c>
    </row>
    <row r="2551" spans="1:7" x14ac:dyDescent="0.25">
      <c r="A2551">
        <v>15730</v>
      </c>
      <c r="B2551">
        <v>305</v>
      </c>
      <c r="C2551" s="1" t="str">
        <f>IF(Tabela8[[#This Row],[SETOR]]="","",IF(Tabela8[[#This Row],[SETOR]]&lt;200,"GV 10",IF(Tabela8[[#This Row],[SETOR]]&lt;300,"GV 20",IF(Tabela8[[#This Row],[SETOR]]&lt;400,"GV 30","S/GV"))))</f>
        <v>GV 30</v>
      </c>
      <c r="E2551" t="s">
        <v>123</v>
      </c>
      <c r="G2551" t="str">
        <f>_xlfn.CONCAT(Tabela9[[#This Row],[Coluna1]],Tabela9[[#This Row],[Coluna2]])</f>
        <v>20-Rota</v>
      </c>
    </row>
    <row r="2552" spans="1:7" x14ac:dyDescent="0.25">
      <c r="A2552">
        <v>15749</v>
      </c>
      <c r="B2552">
        <v>201</v>
      </c>
      <c r="C2552" s="1" t="str">
        <f>IF(Tabela8[[#This Row],[SETOR]]="","",IF(Tabela8[[#This Row],[SETOR]]&lt;200,"GV 10",IF(Tabela8[[#This Row],[SETOR]]&lt;300,"GV 20",IF(Tabela8[[#This Row],[SETOR]]&lt;400,"GV 30","S/GV"))))</f>
        <v>GV 20</v>
      </c>
      <c r="E2552" t="s">
        <v>123</v>
      </c>
      <c r="G2552" t="str">
        <f>_xlfn.CONCAT(Tabela9[[#This Row],[Coluna1]],Tabela9[[#This Row],[Coluna2]])</f>
        <v>20-Rota</v>
      </c>
    </row>
    <row r="2553" spans="1:7" x14ac:dyDescent="0.25">
      <c r="A2553">
        <v>15753</v>
      </c>
      <c r="B2553">
        <v>304</v>
      </c>
      <c r="C2553" s="1" t="str">
        <f>IF(Tabela8[[#This Row],[SETOR]]="","",IF(Tabela8[[#This Row],[SETOR]]&lt;200,"GV 10",IF(Tabela8[[#This Row],[SETOR]]&lt;300,"GV 20",IF(Tabela8[[#This Row],[SETOR]]&lt;400,"GV 30","S/GV"))))</f>
        <v>GV 30</v>
      </c>
      <c r="E2553" t="s">
        <v>123</v>
      </c>
      <c r="G2553" t="str">
        <f>_xlfn.CONCAT(Tabela9[[#This Row],[Coluna1]],Tabela9[[#This Row],[Coluna2]])</f>
        <v>20-Rota</v>
      </c>
    </row>
    <row r="2554" spans="1:7" x14ac:dyDescent="0.25">
      <c r="A2554">
        <v>15764</v>
      </c>
      <c r="B2554">
        <v>304</v>
      </c>
      <c r="C2554" s="1" t="str">
        <f>IF(Tabela8[[#This Row],[SETOR]]="","",IF(Tabela8[[#This Row],[SETOR]]&lt;200,"GV 10",IF(Tabela8[[#This Row],[SETOR]]&lt;300,"GV 20",IF(Tabela8[[#This Row],[SETOR]]&lt;400,"GV 30","S/GV"))))</f>
        <v>GV 30</v>
      </c>
      <c r="E2554" t="s">
        <v>123</v>
      </c>
      <c r="G2554" t="str">
        <f>_xlfn.CONCAT(Tabela9[[#This Row],[Coluna1]],Tabela9[[#This Row],[Coluna2]])</f>
        <v>20-Rota</v>
      </c>
    </row>
    <row r="2555" spans="1:7" x14ac:dyDescent="0.25">
      <c r="A2555">
        <v>15770</v>
      </c>
      <c r="B2555">
        <v>208</v>
      </c>
      <c r="C2555" s="1" t="str">
        <f>IF(Tabela8[[#This Row],[SETOR]]="","",IF(Tabela8[[#This Row],[SETOR]]&lt;200,"GV 10",IF(Tabela8[[#This Row],[SETOR]]&lt;300,"GV 20",IF(Tabela8[[#This Row],[SETOR]]&lt;400,"GV 30","S/GV"))))</f>
        <v>GV 20</v>
      </c>
      <c r="E2555" t="s">
        <v>126</v>
      </c>
      <c r="F2555" t="s">
        <v>127</v>
      </c>
      <c r="G2555" t="str">
        <f>_xlfn.CONCAT(Tabela9[[#This Row],[Coluna1]],Tabela9[[#This Row],[Coluna2]])</f>
        <v>16-AS(5+)</v>
      </c>
    </row>
    <row r="2556" spans="1:7" x14ac:dyDescent="0.25">
      <c r="A2556">
        <v>15773</v>
      </c>
      <c r="B2556">
        <v>101</v>
      </c>
      <c r="C2556" s="1" t="str">
        <f>IF(Tabela8[[#This Row],[SETOR]]="","",IF(Tabela8[[#This Row],[SETOR]]&lt;200,"GV 10",IF(Tabela8[[#This Row],[SETOR]]&lt;300,"GV 20",IF(Tabela8[[#This Row],[SETOR]]&lt;400,"GV 30","S/GV"))))</f>
        <v>GV 10</v>
      </c>
      <c r="E2556" t="s">
        <v>123</v>
      </c>
      <c r="G2556" t="str">
        <f>_xlfn.CONCAT(Tabela9[[#This Row],[Coluna1]],Tabela9[[#This Row],[Coluna2]])</f>
        <v>20-Rota</v>
      </c>
    </row>
    <row r="2557" spans="1:7" x14ac:dyDescent="0.25">
      <c r="A2557">
        <v>15782</v>
      </c>
      <c r="B2557">
        <v>101</v>
      </c>
      <c r="C2557" s="1" t="str">
        <f>IF(Tabela8[[#This Row],[SETOR]]="","",IF(Tabela8[[#This Row],[SETOR]]&lt;200,"GV 10",IF(Tabela8[[#This Row],[SETOR]]&lt;300,"GV 20",IF(Tabela8[[#This Row],[SETOR]]&lt;400,"GV 30","S/GV"))))</f>
        <v>GV 10</v>
      </c>
      <c r="E2557" t="s">
        <v>123</v>
      </c>
      <c r="G2557" t="str">
        <f>_xlfn.CONCAT(Tabela9[[#This Row],[Coluna1]],Tabela9[[#This Row],[Coluna2]])</f>
        <v>20-Rota</v>
      </c>
    </row>
    <row r="2558" spans="1:7" x14ac:dyDescent="0.25">
      <c r="A2558">
        <v>15783</v>
      </c>
      <c r="B2558">
        <v>107</v>
      </c>
      <c r="C2558" s="1" t="str">
        <f>IF(Tabela8[[#This Row],[SETOR]]="","",IF(Tabela8[[#This Row],[SETOR]]&lt;200,"GV 10",IF(Tabela8[[#This Row],[SETOR]]&lt;300,"GV 20",IF(Tabela8[[#This Row],[SETOR]]&lt;400,"GV 30","S/GV"))))</f>
        <v>GV 10</v>
      </c>
      <c r="E2558" t="s">
        <v>125</v>
      </c>
      <c r="G2558" t="str">
        <f>_xlfn.CONCAT(Tabela9[[#This Row],[Coluna1]],Tabela9[[#This Row],[Coluna2]])</f>
        <v>18-TRAD</v>
      </c>
    </row>
    <row r="2559" spans="1:7" x14ac:dyDescent="0.25">
      <c r="A2559">
        <v>15787</v>
      </c>
      <c r="B2559">
        <v>304</v>
      </c>
      <c r="C2559" s="1" t="str">
        <f>IF(Tabela8[[#This Row],[SETOR]]="","",IF(Tabela8[[#This Row],[SETOR]]&lt;200,"GV 10",IF(Tabela8[[#This Row],[SETOR]]&lt;300,"GV 20",IF(Tabela8[[#This Row],[SETOR]]&lt;400,"GV 30","S/GV"))))</f>
        <v>GV 30</v>
      </c>
      <c r="E2559" t="s">
        <v>128</v>
      </c>
      <c r="F2559" t="s">
        <v>129</v>
      </c>
      <c r="G2559" t="str">
        <f>_xlfn.CONCAT(Tabela9[[#This Row],[Coluna1]],Tabela9[[#This Row],[Coluna2]])</f>
        <v>15-AS(1-4)</v>
      </c>
    </row>
    <row r="2560" spans="1:7" x14ac:dyDescent="0.25">
      <c r="A2560">
        <v>15788</v>
      </c>
      <c r="B2560">
        <v>305</v>
      </c>
      <c r="C2560" s="1" t="str">
        <f>IF(Tabela8[[#This Row],[SETOR]]="","",IF(Tabela8[[#This Row],[SETOR]]&lt;200,"GV 10",IF(Tabela8[[#This Row],[SETOR]]&lt;300,"GV 20",IF(Tabela8[[#This Row],[SETOR]]&lt;400,"GV 30","S/GV"))))</f>
        <v>GV 30</v>
      </c>
      <c r="E2560" t="s">
        <v>123</v>
      </c>
      <c r="G2560" t="str">
        <f>_xlfn.CONCAT(Tabela9[[#This Row],[Coluna1]],Tabela9[[#This Row],[Coluna2]])</f>
        <v>20-Rota</v>
      </c>
    </row>
    <row r="2561" spans="1:7" x14ac:dyDescent="0.25">
      <c r="A2561">
        <v>15790</v>
      </c>
      <c r="B2561">
        <v>102</v>
      </c>
      <c r="C2561" s="1" t="str">
        <f>IF(Tabela8[[#This Row],[SETOR]]="","",IF(Tabela8[[#This Row],[SETOR]]&lt;200,"GV 10",IF(Tabela8[[#This Row],[SETOR]]&lt;300,"GV 20",IF(Tabela8[[#This Row],[SETOR]]&lt;400,"GV 30","S/GV"))))</f>
        <v>GV 10</v>
      </c>
      <c r="E2561" t="s">
        <v>123</v>
      </c>
      <c r="G2561" t="str">
        <f>_xlfn.CONCAT(Tabela9[[#This Row],[Coluna1]],Tabela9[[#This Row],[Coluna2]])</f>
        <v>20-Rota</v>
      </c>
    </row>
    <row r="2562" spans="1:7" x14ac:dyDescent="0.25">
      <c r="A2562">
        <v>15796</v>
      </c>
      <c r="B2562">
        <v>102</v>
      </c>
      <c r="C2562" s="1" t="str">
        <f>IF(Tabela8[[#This Row],[SETOR]]="","",IF(Tabela8[[#This Row],[SETOR]]&lt;200,"GV 10",IF(Tabela8[[#This Row],[SETOR]]&lt;300,"GV 20",IF(Tabela8[[#This Row],[SETOR]]&lt;400,"GV 30","S/GV"))))</f>
        <v>GV 10</v>
      </c>
      <c r="E2562" t="s">
        <v>123</v>
      </c>
      <c r="G2562" t="str">
        <f>_xlfn.CONCAT(Tabela9[[#This Row],[Coluna1]],Tabela9[[#This Row],[Coluna2]])</f>
        <v>20-Rota</v>
      </c>
    </row>
    <row r="2563" spans="1:7" x14ac:dyDescent="0.25">
      <c r="A2563">
        <v>15800</v>
      </c>
      <c r="B2563">
        <v>907</v>
      </c>
      <c r="C2563" s="1" t="str">
        <f>IF(Tabela8[[#This Row],[SETOR]]="","",IF(Tabela8[[#This Row],[SETOR]]&lt;200,"GV 10",IF(Tabela8[[#This Row],[SETOR]]&lt;300,"GV 20",IF(Tabela8[[#This Row],[SETOR]]&lt;400,"GV 30","S/GV"))))</f>
        <v>S/GV</v>
      </c>
      <c r="G2563" t="str">
        <f>_xlfn.CONCAT(Tabela9[[#This Row],[Coluna1]],Tabela9[[#This Row],[Coluna2]])</f>
        <v/>
      </c>
    </row>
    <row r="2564" spans="1:7" x14ac:dyDescent="0.25">
      <c r="A2564">
        <v>15805</v>
      </c>
      <c r="B2564">
        <v>203</v>
      </c>
      <c r="C2564" s="1" t="str">
        <f>IF(Tabela8[[#This Row],[SETOR]]="","",IF(Tabela8[[#This Row],[SETOR]]&lt;200,"GV 10",IF(Tabela8[[#This Row],[SETOR]]&lt;300,"GV 20",IF(Tabela8[[#This Row],[SETOR]]&lt;400,"GV 30","S/GV"))))</f>
        <v>GV 20</v>
      </c>
      <c r="E2564" t="s">
        <v>123</v>
      </c>
      <c r="G2564" t="str">
        <f>_xlfn.CONCAT(Tabela9[[#This Row],[Coluna1]],Tabela9[[#This Row],[Coluna2]])</f>
        <v>20-Rota</v>
      </c>
    </row>
    <row r="2565" spans="1:7" x14ac:dyDescent="0.25">
      <c r="A2565">
        <v>15809</v>
      </c>
      <c r="B2565">
        <v>206</v>
      </c>
      <c r="C2565" s="1" t="str">
        <f>IF(Tabela8[[#This Row],[SETOR]]="","",IF(Tabela8[[#This Row],[SETOR]]&lt;200,"GV 10",IF(Tabela8[[#This Row],[SETOR]]&lt;300,"GV 20",IF(Tabela8[[#This Row],[SETOR]]&lt;400,"GV 30","S/GV"))))</f>
        <v>GV 20</v>
      </c>
      <c r="E2565" t="s">
        <v>123</v>
      </c>
      <c r="G2565" t="str">
        <f>_xlfn.CONCAT(Tabela9[[#This Row],[Coluna1]],Tabela9[[#This Row],[Coluna2]])</f>
        <v>20-Rota</v>
      </c>
    </row>
    <row r="2566" spans="1:7" x14ac:dyDescent="0.25">
      <c r="A2566">
        <v>15812</v>
      </c>
      <c r="B2566">
        <v>205</v>
      </c>
      <c r="C2566" s="1" t="str">
        <f>IF(Tabela8[[#This Row],[SETOR]]="","",IF(Tabela8[[#This Row],[SETOR]]&lt;200,"GV 10",IF(Tabela8[[#This Row],[SETOR]]&lt;300,"GV 20",IF(Tabela8[[#This Row],[SETOR]]&lt;400,"GV 30","S/GV"))))</f>
        <v>GV 20</v>
      </c>
      <c r="E2566" t="s">
        <v>123</v>
      </c>
      <c r="G2566" t="str">
        <f>_xlfn.CONCAT(Tabela9[[#This Row],[Coluna1]],Tabela9[[#This Row],[Coluna2]])</f>
        <v>20-Rota</v>
      </c>
    </row>
    <row r="2567" spans="1:7" x14ac:dyDescent="0.25">
      <c r="A2567">
        <v>15814</v>
      </c>
      <c r="B2567">
        <v>308</v>
      </c>
      <c r="C2567" s="1" t="str">
        <f>IF(Tabela8[[#This Row],[SETOR]]="","",IF(Tabela8[[#This Row],[SETOR]]&lt;200,"GV 10",IF(Tabela8[[#This Row],[SETOR]]&lt;300,"GV 20",IF(Tabela8[[#This Row],[SETOR]]&lt;400,"GV 30","S/GV"))))</f>
        <v>GV 30</v>
      </c>
      <c r="E2567" t="s">
        <v>128</v>
      </c>
      <c r="F2567" t="s">
        <v>129</v>
      </c>
      <c r="G2567" t="str">
        <f>_xlfn.CONCAT(Tabela9[[#This Row],[Coluna1]],Tabela9[[#This Row],[Coluna2]])</f>
        <v>15-AS(1-4)</v>
      </c>
    </row>
    <row r="2568" spans="1:7" x14ac:dyDescent="0.25">
      <c r="A2568">
        <v>15815</v>
      </c>
      <c r="B2568">
        <v>101</v>
      </c>
      <c r="C2568" s="1" t="str">
        <f>IF(Tabela8[[#This Row],[SETOR]]="","",IF(Tabela8[[#This Row],[SETOR]]&lt;200,"GV 10",IF(Tabela8[[#This Row],[SETOR]]&lt;300,"GV 20",IF(Tabela8[[#This Row],[SETOR]]&lt;400,"GV 30","S/GV"))))</f>
        <v>GV 10</v>
      </c>
      <c r="E2568" t="s">
        <v>123</v>
      </c>
      <c r="G2568" t="str">
        <f>_xlfn.CONCAT(Tabela9[[#This Row],[Coluna1]],Tabela9[[#This Row],[Coluna2]])</f>
        <v>20-Rota</v>
      </c>
    </row>
    <row r="2569" spans="1:7" x14ac:dyDescent="0.25">
      <c r="A2569">
        <v>15819</v>
      </c>
      <c r="B2569">
        <v>201</v>
      </c>
      <c r="C2569" s="1" t="str">
        <f>IF(Tabela8[[#This Row],[SETOR]]="","",IF(Tabela8[[#This Row],[SETOR]]&lt;200,"GV 10",IF(Tabela8[[#This Row],[SETOR]]&lt;300,"GV 20",IF(Tabela8[[#This Row],[SETOR]]&lt;400,"GV 30","S/GV"))))</f>
        <v>GV 20</v>
      </c>
      <c r="E2569" t="s">
        <v>123</v>
      </c>
      <c r="G2569" t="str">
        <f>_xlfn.CONCAT(Tabela9[[#This Row],[Coluna1]],Tabela9[[#This Row],[Coluna2]])</f>
        <v>20-Rota</v>
      </c>
    </row>
    <row r="2570" spans="1:7" x14ac:dyDescent="0.25">
      <c r="A2570">
        <v>15821</v>
      </c>
      <c r="B2570">
        <v>205</v>
      </c>
      <c r="C2570" s="1" t="str">
        <f>IF(Tabela8[[#This Row],[SETOR]]="","",IF(Tabela8[[#This Row],[SETOR]]&lt;200,"GV 10",IF(Tabela8[[#This Row],[SETOR]]&lt;300,"GV 20",IF(Tabela8[[#This Row],[SETOR]]&lt;400,"GV 30","S/GV"))))</f>
        <v>GV 20</v>
      </c>
      <c r="E2570" t="s">
        <v>123</v>
      </c>
      <c r="G2570" t="str">
        <f>_xlfn.CONCAT(Tabela9[[#This Row],[Coluna1]],Tabela9[[#This Row],[Coluna2]])</f>
        <v>20-Rota</v>
      </c>
    </row>
    <row r="2571" spans="1:7" x14ac:dyDescent="0.25">
      <c r="A2571">
        <v>15828</v>
      </c>
      <c r="B2571">
        <v>203</v>
      </c>
      <c r="C2571" s="1" t="str">
        <f>IF(Tabela8[[#This Row],[SETOR]]="","",IF(Tabela8[[#This Row],[SETOR]]&lt;200,"GV 10",IF(Tabela8[[#This Row],[SETOR]]&lt;300,"GV 20",IF(Tabela8[[#This Row],[SETOR]]&lt;400,"GV 30","S/GV"))))</f>
        <v>GV 20</v>
      </c>
      <c r="E2571" t="s">
        <v>123</v>
      </c>
      <c r="G2571" t="str">
        <f>_xlfn.CONCAT(Tabela9[[#This Row],[Coluna1]],Tabela9[[#This Row],[Coluna2]])</f>
        <v>20-Rota</v>
      </c>
    </row>
    <row r="2572" spans="1:7" x14ac:dyDescent="0.25">
      <c r="A2572">
        <v>15830</v>
      </c>
      <c r="B2572">
        <v>304</v>
      </c>
      <c r="C2572" s="1" t="str">
        <f>IF(Tabela8[[#This Row],[SETOR]]="","",IF(Tabela8[[#This Row],[SETOR]]&lt;200,"GV 10",IF(Tabela8[[#This Row],[SETOR]]&lt;300,"GV 20",IF(Tabela8[[#This Row],[SETOR]]&lt;400,"GV 30","S/GV"))))</f>
        <v>GV 30</v>
      </c>
      <c r="E2572" t="s">
        <v>123</v>
      </c>
      <c r="G2572" t="str">
        <f>_xlfn.CONCAT(Tabela9[[#This Row],[Coluna1]],Tabela9[[#This Row],[Coluna2]])</f>
        <v>20-Rota</v>
      </c>
    </row>
    <row r="2573" spans="1:7" x14ac:dyDescent="0.25">
      <c r="A2573">
        <v>15840</v>
      </c>
      <c r="B2573">
        <v>204</v>
      </c>
      <c r="C2573" s="1" t="str">
        <f>IF(Tabela8[[#This Row],[SETOR]]="","",IF(Tabela8[[#This Row],[SETOR]]&lt;200,"GV 10",IF(Tabela8[[#This Row],[SETOR]]&lt;300,"GV 20",IF(Tabela8[[#This Row],[SETOR]]&lt;400,"GV 30","S/GV"))))</f>
        <v>GV 20</v>
      </c>
      <c r="E2573" t="s">
        <v>123</v>
      </c>
      <c r="G2573" t="str">
        <f>_xlfn.CONCAT(Tabela9[[#This Row],[Coluna1]],Tabela9[[#This Row],[Coluna2]])</f>
        <v>20-Rota</v>
      </c>
    </row>
    <row r="2574" spans="1:7" x14ac:dyDescent="0.25">
      <c r="A2574">
        <v>15851</v>
      </c>
      <c r="B2574">
        <v>907</v>
      </c>
      <c r="C2574" s="1" t="str">
        <f>IF(Tabela8[[#This Row],[SETOR]]="","",IF(Tabela8[[#This Row],[SETOR]]&lt;200,"GV 10",IF(Tabela8[[#This Row],[SETOR]]&lt;300,"GV 20",IF(Tabela8[[#This Row],[SETOR]]&lt;400,"GV 30","S/GV"))))</f>
        <v>S/GV</v>
      </c>
      <c r="G2574" t="str">
        <f>_xlfn.CONCAT(Tabela9[[#This Row],[Coluna1]],Tabela9[[#This Row],[Coluna2]])</f>
        <v/>
      </c>
    </row>
    <row r="2575" spans="1:7" x14ac:dyDescent="0.25">
      <c r="A2575">
        <v>15857</v>
      </c>
      <c r="B2575">
        <v>305</v>
      </c>
      <c r="C2575" s="1" t="str">
        <f>IF(Tabela8[[#This Row],[SETOR]]="","",IF(Tabela8[[#This Row],[SETOR]]&lt;200,"GV 10",IF(Tabela8[[#This Row],[SETOR]]&lt;300,"GV 20",IF(Tabela8[[#This Row],[SETOR]]&lt;400,"GV 30","S/GV"))))</f>
        <v>GV 30</v>
      </c>
      <c r="E2575" t="s">
        <v>123</v>
      </c>
      <c r="G2575" t="str">
        <f>_xlfn.CONCAT(Tabela9[[#This Row],[Coluna1]],Tabela9[[#This Row],[Coluna2]])</f>
        <v>20-Rota</v>
      </c>
    </row>
    <row r="2576" spans="1:7" x14ac:dyDescent="0.25">
      <c r="A2576">
        <v>15858</v>
      </c>
      <c r="B2576">
        <v>916</v>
      </c>
      <c r="C2576" s="1" t="str">
        <f>IF(Tabela8[[#This Row],[SETOR]]="","",IF(Tabela8[[#This Row],[SETOR]]&lt;200,"GV 10",IF(Tabela8[[#This Row],[SETOR]]&lt;300,"GV 20",IF(Tabela8[[#This Row],[SETOR]]&lt;400,"GV 30","S/GV"))))</f>
        <v>S/GV</v>
      </c>
      <c r="G2576" t="str">
        <f>_xlfn.CONCAT(Tabela9[[#This Row],[Coluna1]],Tabela9[[#This Row],[Coluna2]])</f>
        <v/>
      </c>
    </row>
    <row r="2577" spans="1:7" x14ac:dyDescent="0.25">
      <c r="A2577">
        <v>15867</v>
      </c>
      <c r="B2577">
        <v>205</v>
      </c>
      <c r="C2577" s="1" t="str">
        <f>IF(Tabela8[[#This Row],[SETOR]]="","",IF(Tabela8[[#This Row],[SETOR]]&lt;200,"GV 10",IF(Tabela8[[#This Row],[SETOR]]&lt;300,"GV 20",IF(Tabela8[[#This Row],[SETOR]]&lt;400,"GV 30","S/GV"))))</f>
        <v>GV 20</v>
      </c>
      <c r="E2577" t="s">
        <v>123</v>
      </c>
      <c r="G2577" t="str">
        <f>_xlfn.CONCAT(Tabela9[[#This Row],[Coluna1]],Tabela9[[#This Row],[Coluna2]])</f>
        <v>20-Rota</v>
      </c>
    </row>
    <row r="2578" spans="1:7" x14ac:dyDescent="0.25">
      <c r="A2578">
        <v>15871</v>
      </c>
      <c r="B2578">
        <v>108</v>
      </c>
      <c r="C2578" s="1" t="str">
        <f>IF(Tabela8[[#This Row],[SETOR]]="","",IF(Tabela8[[#This Row],[SETOR]]&lt;200,"GV 10",IF(Tabela8[[#This Row],[SETOR]]&lt;300,"GV 20",IF(Tabela8[[#This Row],[SETOR]]&lt;400,"GV 30","S/GV"))))</f>
        <v>GV 10</v>
      </c>
      <c r="E2578" t="s">
        <v>126</v>
      </c>
      <c r="F2578" t="s">
        <v>127</v>
      </c>
      <c r="G2578" t="str">
        <f>_xlfn.CONCAT(Tabela9[[#This Row],[Coluna1]],Tabela9[[#This Row],[Coluna2]])</f>
        <v>16-AS(5+)</v>
      </c>
    </row>
    <row r="2579" spans="1:7" x14ac:dyDescent="0.25">
      <c r="A2579">
        <v>15877</v>
      </c>
      <c r="B2579">
        <v>204</v>
      </c>
      <c r="C2579" s="1" t="str">
        <f>IF(Tabela8[[#This Row],[SETOR]]="","",IF(Tabela8[[#This Row],[SETOR]]&lt;200,"GV 10",IF(Tabela8[[#This Row],[SETOR]]&lt;300,"GV 20",IF(Tabela8[[#This Row],[SETOR]]&lt;400,"GV 30","S/GV"))))</f>
        <v>GV 20</v>
      </c>
      <c r="E2579" t="s">
        <v>123</v>
      </c>
      <c r="G2579" t="str">
        <f>_xlfn.CONCAT(Tabela9[[#This Row],[Coluna1]],Tabela9[[#This Row],[Coluna2]])</f>
        <v>20-Rota</v>
      </c>
    </row>
    <row r="2580" spans="1:7" x14ac:dyDescent="0.25">
      <c r="A2580">
        <v>15878</v>
      </c>
      <c r="B2580">
        <v>308</v>
      </c>
      <c r="C2580" s="1" t="str">
        <f>IF(Tabela8[[#This Row],[SETOR]]="","",IF(Tabela8[[#This Row],[SETOR]]&lt;200,"GV 10",IF(Tabela8[[#This Row],[SETOR]]&lt;300,"GV 20",IF(Tabela8[[#This Row],[SETOR]]&lt;400,"GV 30","S/GV"))))</f>
        <v>GV 30</v>
      </c>
      <c r="E2580" t="s">
        <v>128</v>
      </c>
      <c r="F2580" t="s">
        <v>129</v>
      </c>
      <c r="G2580" t="str">
        <f>_xlfn.CONCAT(Tabela9[[#This Row],[Coluna1]],Tabela9[[#This Row],[Coluna2]])</f>
        <v>15-AS(1-4)</v>
      </c>
    </row>
    <row r="2581" spans="1:7" x14ac:dyDescent="0.25">
      <c r="A2581">
        <v>15879</v>
      </c>
      <c r="B2581">
        <v>104</v>
      </c>
      <c r="C2581" s="1" t="str">
        <f>IF(Tabela8[[#This Row],[SETOR]]="","",IF(Tabela8[[#This Row],[SETOR]]&lt;200,"GV 10",IF(Tabela8[[#This Row],[SETOR]]&lt;300,"GV 20",IF(Tabela8[[#This Row],[SETOR]]&lt;400,"GV 30","S/GV"))))</f>
        <v>GV 10</v>
      </c>
      <c r="E2581" t="s">
        <v>123</v>
      </c>
      <c r="G2581" t="str">
        <f>_xlfn.CONCAT(Tabela9[[#This Row],[Coluna1]],Tabela9[[#This Row],[Coluna2]])</f>
        <v>20-Rota</v>
      </c>
    </row>
    <row r="2582" spans="1:7" x14ac:dyDescent="0.25">
      <c r="A2582">
        <v>15882</v>
      </c>
      <c r="B2582">
        <v>201</v>
      </c>
      <c r="C2582" s="1" t="str">
        <f>IF(Tabela8[[#This Row],[SETOR]]="","",IF(Tabela8[[#This Row],[SETOR]]&lt;200,"GV 10",IF(Tabela8[[#This Row],[SETOR]]&lt;300,"GV 20",IF(Tabela8[[#This Row],[SETOR]]&lt;400,"GV 30","S/GV"))))</f>
        <v>GV 20</v>
      </c>
      <c r="E2582" t="s">
        <v>123</v>
      </c>
      <c r="G2582" t="str">
        <f>_xlfn.CONCAT(Tabela9[[#This Row],[Coluna1]],Tabela9[[#This Row],[Coluna2]])</f>
        <v>20-Rota</v>
      </c>
    </row>
    <row r="2583" spans="1:7" x14ac:dyDescent="0.25">
      <c r="A2583">
        <v>15883</v>
      </c>
      <c r="B2583">
        <v>103</v>
      </c>
      <c r="C2583" s="1" t="str">
        <f>IF(Tabela8[[#This Row],[SETOR]]="","",IF(Tabela8[[#This Row],[SETOR]]&lt;200,"GV 10",IF(Tabela8[[#This Row],[SETOR]]&lt;300,"GV 20",IF(Tabela8[[#This Row],[SETOR]]&lt;400,"GV 30","S/GV"))))</f>
        <v>GV 10</v>
      </c>
      <c r="E2583" t="s">
        <v>123</v>
      </c>
      <c r="G2583" t="str">
        <f>_xlfn.CONCAT(Tabela9[[#This Row],[Coluna1]],Tabela9[[#This Row],[Coluna2]])</f>
        <v>20-Rota</v>
      </c>
    </row>
    <row r="2584" spans="1:7" x14ac:dyDescent="0.25">
      <c r="A2584">
        <v>15885</v>
      </c>
      <c r="B2584">
        <v>101</v>
      </c>
      <c r="C2584" s="1" t="str">
        <f>IF(Tabela8[[#This Row],[SETOR]]="","",IF(Tabela8[[#This Row],[SETOR]]&lt;200,"GV 10",IF(Tabela8[[#This Row],[SETOR]]&lt;300,"GV 20",IF(Tabela8[[#This Row],[SETOR]]&lt;400,"GV 30","S/GV"))))</f>
        <v>GV 10</v>
      </c>
      <c r="E2584" t="s">
        <v>124</v>
      </c>
      <c r="G2584" t="str">
        <f>_xlfn.CONCAT(Tabela9[[#This Row],[Coluna1]],Tabela9[[#This Row],[Coluna2]])</f>
        <v>19-VIP</v>
      </c>
    </row>
    <row r="2585" spans="1:7" x14ac:dyDescent="0.25">
      <c r="A2585">
        <v>15888</v>
      </c>
      <c r="B2585">
        <v>206</v>
      </c>
      <c r="C2585" s="1" t="str">
        <f>IF(Tabela8[[#This Row],[SETOR]]="","",IF(Tabela8[[#This Row],[SETOR]]&lt;200,"GV 10",IF(Tabela8[[#This Row],[SETOR]]&lt;300,"GV 20",IF(Tabela8[[#This Row],[SETOR]]&lt;400,"GV 30","S/GV"))))</f>
        <v>GV 20</v>
      </c>
      <c r="E2585" t="s">
        <v>123</v>
      </c>
      <c r="G2585" t="str">
        <f>_xlfn.CONCAT(Tabela9[[#This Row],[Coluna1]],Tabela9[[#This Row],[Coluna2]])</f>
        <v>20-Rota</v>
      </c>
    </row>
    <row r="2586" spans="1:7" x14ac:dyDescent="0.25">
      <c r="A2586">
        <v>15889</v>
      </c>
      <c r="B2586">
        <v>105</v>
      </c>
      <c r="C2586" s="1" t="str">
        <f>IF(Tabela8[[#This Row],[SETOR]]="","",IF(Tabela8[[#This Row],[SETOR]]&lt;200,"GV 10",IF(Tabela8[[#This Row],[SETOR]]&lt;300,"GV 20",IF(Tabela8[[#This Row],[SETOR]]&lt;400,"GV 30","S/GV"))))</f>
        <v>GV 10</v>
      </c>
      <c r="E2586" t="s">
        <v>123</v>
      </c>
      <c r="G2586" t="str">
        <f>_xlfn.CONCAT(Tabela9[[#This Row],[Coluna1]],Tabela9[[#This Row],[Coluna2]])</f>
        <v>20-Rota</v>
      </c>
    </row>
    <row r="2587" spans="1:7" x14ac:dyDescent="0.25">
      <c r="A2587">
        <v>15891</v>
      </c>
      <c r="B2587">
        <v>203</v>
      </c>
      <c r="C2587" s="1" t="str">
        <f>IF(Tabela8[[#This Row],[SETOR]]="","",IF(Tabela8[[#This Row],[SETOR]]&lt;200,"GV 10",IF(Tabela8[[#This Row],[SETOR]]&lt;300,"GV 20",IF(Tabela8[[#This Row],[SETOR]]&lt;400,"GV 30","S/GV"))))</f>
        <v>GV 20</v>
      </c>
      <c r="E2587" t="s">
        <v>123</v>
      </c>
      <c r="G2587" t="str">
        <f>_xlfn.CONCAT(Tabela9[[#This Row],[Coluna1]],Tabela9[[#This Row],[Coluna2]])</f>
        <v>20-Rota</v>
      </c>
    </row>
    <row r="2588" spans="1:7" x14ac:dyDescent="0.25">
      <c r="A2588">
        <v>15897</v>
      </c>
      <c r="B2588">
        <v>102</v>
      </c>
      <c r="C2588" s="1" t="str">
        <f>IF(Tabela8[[#This Row],[SETOR]]="","",IF(Tabela8[[#This Row],[SETOR]]&lt;200,"GV 10",IF(Tabela8[[#This Row],[SETOR]]&lt;300,"GV 20",IF(Tabela8[[#This Row],[SETOR]]&lt;400,"GV 30","S/GV"))))</f>
        <v>GV 10</v>
      </c>
      <c r="E2588" t="s">
        <v>123</v>
      </c>
      <c r="G2588" t="str">
        <f>_xlfn.CONCAT(Tabela9[[#This Row],[Coluna1]],Tabela9[[#This Row],[Coluna2]])</f>
        <v>20-Rota</v>
      </c>
    </row>
    <row r="2589" spans="1:7" x14ac:dyDescent="0.25">
      <c r="A2589">
        <v>15901</v>
      </c>
      <c r="B2589">
        <v>105</v>
      </c>
      <c r="C2589" s="1" t="str">
        <f>IF(Tabela8[[#This Row],[SETOR]]="","",IF(Tabela8[[#This Row],[SETOR]]&lt;200,"GV 10",IF(Tabela8[[#This Row],[SETOR]]&lt;300,"GV 20",IF(Tabela8[[#This Row],[SETOR]]&lt;400,"GV 30","S/GV"))))</f>
        <v>GV 10</v>
      </c>
      <c r="E2589" t="s">
        <v>123</v>
      </c>
      <c r="G2589" t="str">
        <f>_xlfn.CONCAT(Tabela9[[#This Row],[Coluna1]],Tabela9[[#This Row],[Coluna2]])</f>
        <v>20-Rota</v>
      </c>
    </row>
    <row r="2590" spans="1:7" x14ac:dyDescent="0.25">
      <c r="A2590">
        <v>15906</v>
      </c>
      <c r="B2590">
        <v>102</v>
      </c>
      <c r="C2590" s="1" t="str">
        <f>IF(Tabela8[[#This Row],[SETOR]]="","",IF(Tabela8[[#This Row],[SETOR]]&lt;200,"GV 10",IF(Tabela8[[#This Row],[SETOR]]&lt;300,"GV 20",IF(Tabela8[[#This Row],[SETOR]]&lt;400,"GV 30","S/GV"))))</f>
        <v>GV 10</v>
      </c>
      <c r="E2590" t="s">
        <v>123</v>
      </c>
      <c r="G2590" t="str">
        <f>_xlfn.CONCAT(Tabela9[[#This Row],[Coluna1]],Tabela9[[#This Row],[Coluna2]])</f>
        <v>20-Rota</v>
      </c>
    </row>
    <row r="2591" spans="1:7" x14ac:dyDescent="0.25">
      <c r="A2591">
        <v>15907</v>
      </c>
      <c r="B2591">
        <v>202</v>
      </c>
      <c r="C2591" s="1" t="str">
        <f>IF(Tabela8[[#This Row],[SETOR]]="","",IF(Tabela8[[#This Row],[SETOR]]&lt;200,"GV 10",IF(Tabela8[[#This Row],[SETOR]]&lt;300,"GV 20",IF(Tabela8[[#This Row],[SETOR]]&lt;400,"GV 30","S/GV"))))</f>
        <v>GV 20</v>
      </c>
      <c r="E2591" t="s">
        <v>123</v>
      </c>
      <c r="G2591" t="str">
        <f>_xlfn.CONCAT(Tabela9[[#This Row],[Coluna1]],Tabela9[[#This Row],[Coluna2]])</f>
        <v>20-Rota</v>
      </c>
    </row>
    <row r="2592" spans="1:7" x14ac:dyDescent="0.25">
      <c r="A2592">
        <v>15916</v>
      </c>
      <c r="B2592">
        <v>105</v>
      </c>
      <c r="C2592" s="1" t="str">
        <f>IF(Tabela8[[#This Row],[SETOR]]="","",IF(Tabela8[[#This Row],[SETOR]]&lt;200,"GV 10",IF(Tabela8[[#This Row],[SETOR]]&lt;300,"GV 20",IF(Tabela8[[#This Row],[SETOR]]&lt;400,"GV 30","S/GV"))))</f>
        <v>GV 10</v>
      </c>
      <c r="E2592" t="s">
        <v>123</v>
      </c>
      <c r="G2592" t="str">
        <f>_xlfn.CONCAT(Tabela9[[#This Row],[Coluna1]],Tabela9[[#This Row],[Coluna2]])</f>
        <v>20-Rota</v>
      </c>
    </row>
    <row r="2593" spans="1:7" x14ac:dyDescent="0.25">
      <c r="A2593">
        <v>15923</v>
      </c>
      <c r="B2593">
        <v>305</v>
      </c>
      <c r="C2593" s="1" t="str">
        <f>IF(Tabela8[[#This Row],[SETOR]]="","",IF(Tabela8[[#This Row],[SETOR]]&lt;200,"GV 10",IF(Tabela8[[#This Row],[SETOR]]&lt;300,"GV 20",IF(Tabela8[[#This Row],[SETOR]]&lt;400,"GV 30","S/GV"))))</f>
        <v>GV 30</v>
      </c>
      <c r="E2593" t="s">
        <v>123</v>
      </c>
      <c r="G2593" t="str">
        <f>_xlfn.CONCAT(Tabela9[[#This Row],[Coluna1]],Tabela9[[#This Row],[Coluna2]])</f>
        <v>20-Rota</v>
      </c>
    </row>
    <row r="2594" spans="1:7" x14ac:dyDescent="0.25">
      <c r="A2594">
        <v>15929</v>
      </c>
      <c r="B2594">
        <v>301</v>
      </c>
      <c r="C2594" s="1" t="str">
        <f>IF(Tabela8[[#This Row],[SETOR]]="","",IF(Tabela8[[#This Row],[SETOR]]&lt;200,"GV 10",IF(Tabela8[[#This Row],[SETOR]]&lt;300,"GV 20",IF(Tabela8[[#This Row],[SETOR]]&lt;400,"GV 30","S/GV"))))</f>
        <v>GV 30</v>
      </c>
      <c r="E2594" t="s">
        <v>123</v>
      </c>
      <c r="G2594" t="str">
        <f>_xlfn.CONCAT(Tabela9[[#This Row],[Coluna1]],Tabela9[[#This Row],[Coluna2]])</f>
        <v>20-Rota</v>
      </c>
    </row>
    <row r="2595" spans="1:7" x14ac:dyDescent="0.25">
      <c r="A2595">
        <v>15940</v>
      </c>
      <c r="B2595">
        <v>302</v>
      </c>
      <c r="C2595" s="1" t="str">
        <f>IF(Tabela8[[#This Row],[SETOR]]="","",IF(Tabela8[[#This Row],[SETOR]]&lt;200,"GV 10",IF(Tabela8[[#This Row],[SETOR]]&lt;300,"GV 20",IF(Tabela8[[#This Row],[SETOR]]&lt;400,"GV 30","S/GV"))))</f>
        <v>GV 30</v>
      </c>
      <c r="E2595" t="s">
        <v>123</v>
      </c>
      <c r="G2595" t="str">
        <f>_xlfn.CONCAT(Tabela9[[#This Row],[Coluna1]],Tabela9[[#This Row],[Coluna2]])</f>
        <v>20-Rota</v>
      </c>
    </row>
    <row r="2596" spans="1:7" x14ac:dyDescent="0.25">
      <c r="A2596">
        <v>15942</v>
      </c>
      <c r="B2596">
        <v>205</v>
      </c>
      <c r="C2596" s="1" t="str">
        <f>IF(Tabela8[[#This Row],[SETOR]]="","",IF(Tabela8[[#This Row],[SETOR]]&lt;200,"GV 10",IF(Tabela8[[#This Row],[SETOR]]&lt;300,"GV 20",IF(Tabela8[[#This Row],[SETOR]]&lt;400,"GV 30","S/GV"))))</f>
        <v>GV 20</v>
      </c>
      <c r="E2596" t="s">
        <v>123</v>
      </c>
      <c r="G2596" t="str">
        <f>_xlfn.CONCAT(Tabela9[[#This Row],[Coluna1]],Tabela9[[#This Row],[Coluna2]])</f>
        <v>20-Rota</v>
      </c>
    </row>
    <row r="2597" spans="1:7" x14ac:dyDescent="0.25">
      <c r="A2597">
        <v>15945</v>
      </c>
      <c r="B2597">
        <v>206</v>
      </c>
      <c r="C2597" s="1" t="str">
        <f>IF(Tabela8[[#This Row],[SETOR]]="","",IF(Tabela8[[#This Row],[SETOR]]&lt;200,"GV 10",IF(Tabela8[[#This Row],[SETOR]]&lt;300,"GV 20",IF(Tabela8[[#This Row],[SETOR]]&lt;400,"GV 30","S/GV"))))</f>
        <v>GV 20</v>
      </c>
      <c r="E2597" t="s">
        <v>123</v>
      </c>
      <c r="G2597" t="str">
        <f>_xlfn.CONCAT(Tabela9[[#This Row],[Coluna1]],Tabela9[[#This Row],[Coluna2]])</f>
        <v>20-Rota</v>
      </c>
    </row>
    <row r="2598" spans="1:7" x14ac:dyDescent="0.25">
      <c r="A2598">
        <v>15950</v>
      </c>
      <c r="B2598">
        <v>302</v>
      </c>
      <c r="C2598" s="1" t="str">
        <f>IF(Tabela8[[#This Row],[SETOR]]="","",IF(Tabela8[[#This Row],[SETOR]]&lt;200,"GV 10",IF(Tabela8[[#This Row],[SETOR]]&lt;300,"GV 20",IF(Tabela8[[#This Row],[SETOR]]&lt;400,"GV 30","S/GV"))))</f>
        <v>GV 30</v>
      </c>
      <c r="E2598" t="s">
        <v>123</v>
      </c>
      <c r="G2598" t="str">
        <f>_xlfn.CONCAT(Tabela9[[#This Row],[Coluna1]],Tabela9[[#This Row],[Coluna2]])</f>
        <v>20-Rota</v>
      </c>
    </row>
    <row r="2599" spans="1:7" x14ac:dyDescent="0.25">
      <c r="A2599">
        <v>15955</v>
      </c>
      <c r="B2599">
        <v>108</v>
      </c>
      <c r="C2599" s="1" t="str">
        <f>IF(Tabela8[[#This Row],[SETOR]]="","",IF(Tabela8[[#This Row],[SETOR]]&lt;200,"GV 10",IF(Tabela8[[#This Row],[SETOR]]&lt;300,"GV 20",IF(Tabela8[[#This Row],[SETOR]]&lt;400,"GV 30","S/GV"))))</f>
        <v>GV 10</v>
      </c>
      <c r="E2599" t="s">
        <v>128</v>
      </c>
      <c r="F2599" t="s">
        <v>129</v>
      </c>
      <c r="G2599" t="str">
        <f>_xlfn.CONCAT(Tabela9[[#This Row],[Coluna1]],Tabela9[[#This Row],[Coluna2]])</f>
        <v>15-AS(1-4)</v>
      </c>
    </row>
    <row r="2600" spans="1:7" x14ac:dyDescent="0.25">
      <c r="A2600">
        <v>15959</v>
      </c>
      <c r="B2600">
        <v>101</v>
      </c>
      <c r="C2600" s="1" t="str">
        <f>IF(Tabela8[[#This Row],[SETOR]]="","",IF(Tabela8[[#This Row],[SETOR]]&lt;200,"GV 10",IF(Tabela8[[#This Row],[SETOR]]&lt;300,"GV 20",IF(Tabela8[[#This Row],[SETOR]]&lt;400,"GV 30","S/GV"))))</f>
        <v>GV 10</v>
      </c>
      <c r="E2600" t="s">
        <v>123</v>
      </c>
      <c r="G2600" t="str">
        <f>_xlfn.CONCAT(Tabela9[[#This Row],[Coluna1]],Tabela9[[#This Row],[Coluna2]])</f>
        <v>20-Rota</v>
      </c>
    </row>
    <row r="2601" spans="1:7" x14ac:dyDescent="0.25">
      <c r="A2601">
        <v>15967</v>
      </c>
      <c r="B2601">
        <v>204</v>
      </c>
      <c r="C2601" s="1" t="str">
        <f>IF(Tabela8[[#This Row],[SETOR]]="","",IF(Tabela8[[#This Row],[SETOR]]&lt;200,"GV 10",IF(Tabela8[[#This Row],[SETOR]]&lt;300,"GV 20",IF(Tabela8[[#This Row],[SETOR]]&lt;400,"GV 30","S/GV"))))</f>
        <v>GV 20</v>
      </c>
      <c r="E2601" t="s">
        <v>123</v>
      </c>
      <c r="G2601" t="str">
        <f>_xlfn.CONCAT(Tabela9[[#This Row],[Coluna1]],Tabela9[[#This Row],[Coluna2]])</f>
        <v>20-Rota</v>
      </c>
    </row>
    <row r="2602" spans="1:7" x14ac:dyDescent="0.25">
      <c r="A2602">
        <v>15969</v>
      </c>
      <c r="B2602">
        <v>201</v>
      </c>
      <c r="C2602" s="1" t="str">
        <f>IF(Tabela8[[#This Row],[SETOR]]="","",IF(Tabela8[[#This Row],[SETOR]]&lt;200,"GV 10",IF(Tabela8[[#This Row],[SETOR]]&lt;300,"GV 20",IF(Tabela8[[#This Row],[SETOR]]&lt;400,"GV 30","S/GV"))))</f>
        <v>GV 20</v>
      </c>
      <c r="E2602" t="s">
        <v>125</v>
      </c>
      <c r="G2602" t="str">
        <f>_xlfn.CONCAT(Tabela9[[#This Row],[Coluna1]],Tabela9[[#This Row],[Coluna2]])</f>
        <v>18-TRAD</v>
      </c>
    </row>
    <row r="2603" spans="1:7" x14ac:dyDescent="0.25">
      <c r="A2603">
        <v>15971</v>
      </c>
      <c r="B2603">
        <v>207</v>
      </c>
      <c r="C2603" s="1" t="str">
        <f>IF(Tabela8[[#This Row],[SETOR]]="","",IF(Tabela8[[#This Row],[SETOR]]&lt;200,"GV 10",IF(Tabela8[[#This Row],[SETOR]]&lt;300,"GV 20",IF(Tabela8[[#This Row],[SETOR]]&lt;400,"GV 30","S/GV"))))</f>
        <v>GV 20</v>
      </c>
      <c r="E2603" t="s">
        <v>125</v>
      </c>
      <c r="G2603" t="str">
        <f>_xlfn.CONCAT(Tabela9[[#This Row],[Coluna1]],Tabela9[[#This Row],[Coluna2]])</f>
        <v>18-TRAD</v>
      </c>
    </row>
    <row r="2604" spans="1:7" x14ac:dyDescent="0.25">
      <c r="A2604">
        <v>15972</v>
      </c>
      <c r="B2604">
        <v>103</v>
      </c>
      <c r="C2604" s="1" t="str">
        <f>IF(Tabela8[[#This Row],[SETOR]]="","",IF(Tabela8[[#This Row],[SETOR]]&lt;200,"GV 10",IF(Tabela8[[#This Row],[SETOR]]&lt;300,"GV 20",IF(Tabela8[[#This Row],[SETOR]]&lt;400,"GV 30","S/GV"))))</f>
        <v>GV 10</v>
      </c>
      <c r="E2604" t="s">
        <v>123</v>
      </c>
      <c r="G2604" t="str">
        <f>_xlfn.CONCAT(Tabela9[[#This Row],[Coluna1]],Tabela9[[#This Row],[Coluna2]])</f>
        <v>20-Rota</v>
      </c>
    </row>
    <row r="2605" spans="1:7" x14ac:dyDescent="0.25">
      <c r="A2605">
        <v>15975</v>
      </c>
      <c r="B2605">
        <v>101</v>
      </c>
      <c r="C2605" s="1" t="str">
        <f>IF(Tabela8[[#This Row],[SETOR]]="","",IF(Tabela8[[#This Row],[SETOR]]&lt;200,"GV 10",IF(Tabela8[[#This Row],[SETOR]]&lt;300,"GV 20",IF(Tabela8[[#This Row],[SETOR]]&lt;400,"GV 30","S/GV"))))</f>
        <v>GV 10</v>
      </c>
      <c r="E2605" t="s">
        <v>123</v>
      </c>
      <c r="G2605" t="str">
        <f>_xlfn.CONCAT(Tabela9[[#This Row],[Coluna1]],Tabela9[[#This Row],[Coluna2]])</f>
        <v>20-Rota</v>
      </c>
    </row>
    <row r="2606" spans="1:7" x14ac:dyDescent="0.25">
      <c r="A2606">
        <v>15978</v>
      </c>
      <c r="B2606">
        <v>302</v>
      </c>
      <c r="C2606" s="1" t="str">
        <f>IF(Tabela8[[#This Row],[SETOR]]="","",IF(Tabela8[[#This Row],[SETOR]]&lt;200,"GV 10",IF(Tabela8[[#This Row],[SETOR]]&lt;300,"GV 20",IF(Tabela8[[#This Row],[SETOR]]&lt;400,"GV 30","S/GV"))))</f>
        <v>GV 30</v>
      </c>
      <c r="E2606" t="s">
        <v>123</v>
      </c>
      <c r="G2606" t="str">
        <f>_xlfn.CONCAT(Tabela9[[#This Row],[Coluna1]],Tabela9[[#This Row],[Coluna2]])</f>
        <v>20-Rota</v>
      </c>
    </row>
    <row r="2607" spans="1:7" x14ac:dyDescent="0.25">
      <c r="A2607">
        <v>15979</v>
      </c>
      <c r="B2607">
        <v>102</v>
      </c>
      <c r="C2607" s="1" t="str">
        <f>IF(Tabela8[[#This Row],[SETOR]]="","",IF(Tabela8[[#This Row],[SETOR]]&lt;200,"GV 10",IF(Tabela8[[#This Row],[SETOR]]&lt;300,"GV 20",IF(Tabela8[[#This Row],[SETOR]]&lt;400,"GV 30","S/GV"))))</f>
        <v>GV 10</v>
      </c>
      <c r="E2607" t="s">
        <v>123</v>
      </c>
      <c r="G2607" t="str">
        <f>_xlfn.CONCAT(Tabela9[[#This Row],[Coluna1]],Tabela9[[#This Row],[Coluna2]])</f>
        <v>20-Rota</v>
      </c>
    </row>
    <row r="2608" spans="1:7" x14ac:dyDescent="0.25">
      <c r="A2608">
        <v>15980</v>
      </c>
      <c r="B2608">
        <v>301</v>
      </c>
      <c r="C2608" s="1" t="str">
        <f>IF(Tabela8[[#This Row],[SETOR]]="","",IF(Tabela8[[#This Row],[SETOR]]&lt;200,"GV 10",IF(Tabela8[[#This Row],[SETOR]]&lt;300,"GV 20",IF(Tabela8[[#This Row],[SETOR]]&lt;400,"GV 30","S/GV"))))</f>
        <v>GV 30</v>
      </c>
      <c r="E2608" t="s">
        <v>123</v>
      </c>
      <c r="G2608" t="str">
        <f>_xlfn.CONCAT(Tabela9[[#This Row],[Coluna1]],Tabela9[[#This Row],[Coluna2]])</f>
        <v>20-Rota</v>
      </c>
    </row>
    <row r="2609" spans="1:7" x14ac:dyDescent="0.25">
      <c r="A2609">
        <v>15998</v>
      </c>
      <c r="B2609">
        <v>201</v>
      </c>
      <c r="C2609" s="1" t="str">
        <f>IF(Tabela8[[#This Row],[SETOR]]="","",IF(Tabela8[[#This Row],[SETOR]]&lt;200,"GV 10",IF(Tabela8[[#This Row],[SETOR]]&lt;300,"GV 20",IF(Tabela8[[#This Row],[SETOR]]&lt;400,"GV 30","S/GV"))))</f>
        <v>GV 20</v>
      </c>
      <c r="E2609" t="s">
        <v>123</v>
      </c>
      <c r="G2609" t="str">
        <f>_xlfn.CONCAT(Tabela9[[#This Row],[Coluna1]],Tabela9[[#This Row],[Coluna2]])</f>
        <v>20-Rota</v>
      </c>
    </row>
    <row r="2610" spans="1:7" x14ac:dyDescent="0.25">
      <c r="A2610">
        <v>16003</v>
      </c>
      <c r="B2610">
        <v>204</v>
      </c>
      <c r="C2610" s="1" t="str">
        <f>IF(Tabela8[[#This Row],[SETOR]]="","",IF(Tabela8[[#This Row],[SETOR]]&lt;200,"GV 10",IF(Tabela8[[#This Row],[SETOR]]&lt;300,"GV 20",IF(Tabela8[[#This Row],[SETOR]]&lt;400,"GV 30","S/GV"))))</f>
        <v>GV 20</v>
      </c>
      <c r="E2610" t="s">
        <v>123</v>
      </c>
      <c r="G2610" t="str">
        <f>_xlfn.CONCAT(Tabela9[[#This Row],[Coluna1]],Tabela9[[#This Row],[Coluna2]])</f>
        <v>20-Rota</v>
      </c>
    </row>
    <row r="2611" spans="1:7" x14ac:dyDescent="0.25">
      <c r="A2611">
        <v>16006</v>
      </c>
      <c r="B2611">
        <v>204</v>
      </c>
      <c r="C2611" s="1" t="str">
        <f>IF(Tabela8[[#This Row],[SETOR]]="","",IF(Tabela8[[#This Row],[SETOR]]&lt;200,"GV 10",IF(Tabela8[[#This Row],[SETOR]]&lt;300,"GV 20",IF(Tabela8[[#This Row],[SETOR]]&lt;400,"GV 30","S/GV"))))</f>
        <v>GV 20</v>
      </c>
      <c r="E2611" t="s">
        <v>128</v>
      </c>
      <c r="F2611" t="s">
        <v>129</v>
      </c>
      <c r="G2611" t="str">
        <f>_xlfn.CONCAT(Tabela9[[#This Row],[Coluna1]],Tabela9[[#This Row],[Coluna2]])</f>
        <v>15-AS(1-4)</v>
      </c>
    </row>
    <row r="2612" spans="1:7" x14ac:dyDescent="0.25">
      <c r="A2612">
        <v>16010</v>
      </c>
      <c r="B2612">
        <v>305</v>
      </c>
      <c r="C2612" s="1" t="str">
        <f>IF(Tabela8[[#This Row],[SETOR]]="","",IF(Tabela8[[#This Row],[SETOR]]&lt;200,"GV 10",IF(Tabela8[[#This Row],[SETOR]]&lt;300,"GV 20",IF(Tabela8[[#This Row],[SETOR]]&lt;400,"GV 30","S/GV"))))</f>
        <v>GV 30</v>
      </c>
      <c r="E2612" t="s">
        <v>123</v>
      </c>
      <c r="G2612" t="str">
        <f>_xlfn.CONCAT(Tabela9[[#This Row],[Coluna1]],Tabela9[[#This Row],[Coluna2]])</f>
        <v>20-Rota</v>
      </c>
    </row>
    <row r="2613" spans="1:7" x14ac:dyDescent="0.25">
      <c r="A2613">
        <v>16016</v>
      </c>
      <c r="B2613">
        <v>302</v>
      </c>
      <c r="C2613" s="1" t="str">
        <f>IF(Tabela8[[#This Row],[SETOR]]="","",IF(Tabela8[[#This Row],[SETOR]]&lt;200,"GV 10",IF(Tabela8[[#This Row],[SETOR]]&lt;300,"GV 20",IF(Tabela8[[#This Row],[SETOR]]&lt;400,"GV 30","S/GV"))))</f>
        <v>GV 30</v>
      </c>
      <c r="E2613" t="s">
        <v>123</v>
      </c>
      <c r="G2613" t="str">
        <f>_xlfn.CONCAT(Tabela9[[#This Row],[Coluna1]],Tabela9[[#This Row],[Coluna2]])</f>
        <v>20-Rota</v>
      </c>
    </row>
    <row r="2614" spans="1:7" x14ac:dyDescent="0.25">
      <c r="A2614">
        <v>16017</v>
      </c>
      <c r="B2614">
        <v>105</v>
      </c>
      <c r="C2614" s="1" t="str">
        <f>IF(Tabela8[[#This Row],[SETOR]]="","",IF(Tabela8[[#This Row],[SETOR]]&lt;200,"GV 10",IF(Tabela8[[#This Row],[SETOR]]&lt;300,"GV 20",IF(Tabela8[[#This Row],[SETOR]]&lt;400,"GV 30","S/GV"))))</f>
        <v>GV 10</v>
      </c>
      <c r="E2614" t="s">
        <v>123</v>
      </c>
      <c r="G2614" t="str">
        <f>_xlfn.CONCAT(Tabela9[[#This Row],[Coluna1]],Tabela9[[#This Row],[Coluna2]])</f>
        <v>20-Rota</v>
      </c>
    </row>
    <row r="2615" spans="1:7" x14ac:dyDescent="0.25">
      <c r="A2615">
        <v>16018</v>
      </c>
      <c r="B2615">
        <v>102</v>
      </c>
      <c r="C2615" s="1" t="str">
        <f>IF(Tabela8[[#This Row],[SETOR]]="","",IF(Tabela8[[#This Row],[SETOR]]&lt;200,"GV 10",IF(Tabela8[[#This Row],[SETOR]]&lt;300,"GV 20",IF(Tabela8[[#This Row],[SETOR]]&lt;400,"GV 30","S/GV"))))</f>
        <v>GV 10</v>
      </c>
      <c r="E2615" t="s">
        <v>123</v>
      </c>
      <c r="G2615" t="str">
        <f>_xlfn.CONCAT(Tabela9[[#This Row],[Coluna1]],Tabela9[[#This Row],[Coluna2]])</f>
        <v>20-Rota</v>
      </c>
    </row>
    <row r="2616" spans="1:7" x14ac:dyDescent="0.25">
      <c r="A2616">
        <v>16019</v>
      </c>
      <c r="B2616">
        <v>106</v>
      </c>
      <c r="C2616" s="1" t="str">
        <f>IF(Tabela8[[#This Row],[SETOR]]="","",IF(Tabela8[[#This Row],[SETOR]]&lt;200,"GV 10",IF(Tabela8[[#This Row],[SETOR]]&lt;300,"GV 20",IF(Tabela8[[#This Row],[SETOR]]&lt;400,"GV 30","S/GV"))))</f>
        <v>GV 10</v>
      </c>
      <c r="E2616" t="s">
        <v>123</v>
      </c>
      <c r="G2616" t="str">
        <f>_xlfn.CONCAT(Tabela9[[#This Row],[Coluna1]],Tabela9[[#This Row],[Coluna2]])</f>
        <v>20-Rota</v>
      </c>
    </row>
    <row r="2617" spans="1:7" x14ac:dyDescent="0.25">
      <c r="A2617">
        <v>16020</v>
      </c>
      <c r="B2617">
        <v>201</v>
      </c>
      <c r="C2617" s="1" t="str">
        <f>IF(Tabela8[[#This Row],[SETOR]]="","",IF(Tabela8[[#This Row],[SETOR]]&lt;200,"GV 10",IF(Tabela8[[#This Row],[SETOR]]&lt;300,"GV 20",IF(Tabela8[[#This Row],[SETOR]]&lt;400,"GV 30","S/GV"))))</f>
        <v>GV 20</v>
      </c>
      <c r="E2617" t="s">
        <v>123</v>
      </c>
      <c r="G2617" t="str">
        <f>_xlfn.CONCAT(Tabela9[[#This Row],[Coluna1]],Tabela9[[#This Row],[Coluna2]])</f>
        <v>20-Rota</v>
      </c>
    </row>
    <row r="2618" spans="1:7" x14ac:dyDescent="0.25">
      <c r="A2618">
        <v>16022</v>
      </c>
      <c r="B2618">
        <v>101</v>
      </c>
      <c r="C2618" s="1" t="str">
        <f>IF(Tabela8[[#This Row],[SETOR]]="","",IF(Tabela8[[#This Row],[SETOR]]&lt;200,"GV 10",IF(Tabela8[[#This Row],[SETOR]]&lt;300,"GV 20",IF(Tabela8[[#This Row],[SETOR]]&lt;400,"GV 30","S/GV"))))</f>
        <v>GV 10</v>
      </c>
      <c r="E2618" t="s">
        <v>123</v>
      </c>
      <c r="G2618" t="str">
        <f>_xlfn.CONCAT(Tabela9[[#This Row],[Coluna1]],Tabela9[[#This Row],[Coluna2]])</f>
        <v>20-Rota</v>
      </c>
    </row>
    <row r="2619" spans="1:7" x14ac:dyDescent="0.25">
      <c r="A2619">
        <v>16025</v>
      </c>
      <c r="B2619">
        <v>303</v>
      </c>
      <c r="C2619" s="1" t="str">
        <f>IF(Tabela8[[#This Row],[SETOR]]="","",IF(Tabela8[[#This Row],[SETOR]]&lt;200,"GV 10",IF(Tabela8[[#This Row],[SETOR]]&lt;300,"GV 20",IF(Tabela8[[#This Row],[SETOR]]&lt;400,"GV 30","S/GV"))))</f>
        <v>GV 30</v>
      </c>
      <c r="E2619" t="s">
        <v>123</v>
      </c>
      <c r="G2619" t="str">
        <f>_xlfn.CONCAT(Tabela9[[#This Row],[Coluna1]],Tabela9[[#This Row],[Coluna2]])</f>
        <v>20-Rota</v>
      </c>
    </row>
    <row r="2620" spans="1:7" x14ac:dyDescent="0.25">
      <c r="A2620">
        <v>16027</v>
      </c>
      <c r="B2620">
        <v>912</v>
      </c>
      <c r="C2620" s="1" t="str">
        <f>IF(Tabela8[[#This Row],[SETOR]]="","",IF(Tabela8[[#This Row],[SETOR]]&lt;200,"GV 10",IF(Tabela8[[#This Row],[SETOR]]&lt;300,"GV 20",IF(Tabela8[[#This Row],[SETOR]]&lt;400,"GV 30","S/GV"))))</f>
        <v>S/GV</v>
      </c>
      <c r="E2620" t="s">
        <v>124</v>
      </c>
      <c r="G2620" t="str">
        <f>_xlfn.CONCAT(Tabela9[[#This Row],[Coluna1]],Tabela9[[#This Row],[Coluna2]])</f>
        <v>19-VIP</v>
      </c>
    </row>
    <row r="2621" spans="1:7" x14ac:dyDescent="0.25">
      <c r="A2621">
        <v>16029</v>
      </c>
      <c r="B2621">
        <v>303</v>
      </c>
      <c r="C2621" s="1" t="str">
        <f>IF(Tabela8[[#This Row],[SETOR]]="","",IF(Tabela8[[#This Row],[SETOR]]&lt;200,"GV 10",IF(Tabela8[[#This Row],[SETOR]]&lt;300,"GV 20",IF(Tabela8[[#This Row],[SETOR]]&lt;400,"GV 30","S/GV"))))</f>
        <v>GV 30</v>
      </c>
      <c r="E2621" t="s">
        <v>123</v>
      </c>
      <c r="G2621" t="str">
        <f>_xlfn.CONCAT(Tabela9[[#This Row],[Coluna1]],Tabela9[[#This Row],[Coluna2]])</f>
        <v>20-Rota</v>
      </c>
    </row>
    <row r="2622" spans="1:7" x14ac:dyDescent="0.25">
      <c r="A2622">
        <v>16030</v>
      </c>
      <c r="B2622">
        <v>207</v>
      </c>
      <c r="C2622" s="1" t="str">
        <f>IF(Tabela8[[#This Row],[SETOR]]="","",IF(Tabela8[[#This Row],[SETOR]]&lt;200,"GV 10",IF(Tabela8[[#This Row],[SETOR]]&lt;300,"GV 20",IF(Tabela8[[#This Row],[SETOR]]&lt;400,"GV 30","S/GV"))))</f>
        <v>GV 20</v>
      </c>
      <c r="E2622" t="s">
        <v>130</v>
      </c>
      <c r="G2622" t="str">
        <f>_xlfn.CONCAT(Tabela9[[#This Row],[Coluna1]],Tabela9[[#This Row],[Coluna2]])</f>
        <v>21-SUB</v>
      </c>
    </row>
    <row r="2623" spans="1:7" x14ac:dyDescent="0.25">
      <c r="A2623">
        <v>16031</v>
      </c>
      <c r="B2623">
        <v>103</v>
      </c>
      <c r="C2623" s="1" t="str">
        <f>IF(Tabela8[[#This Row],[SETOR]]="","",IF(Tabela8[[#This Row],[SETOR]]&lt;200,"GV 10",IF(Tabela8[[#This Row],[SETOR]]&lt;300,"GV 20",IF(Tabela8[[#This Row],[SETOR]]&lt;400,"GV 30","S/GV"))))</f>
        <v>GV 10</v>
      </c>
      <c r="E2623" t="s">
        <v>123</v>
      </c>
      <c r="G2623" t="str">
        <f>_xlfn.CONCAT(Tabela9[[#This Row],[Coluna1]],Tabela9[[#This Row],[Coluna2]])</f>
        <v>20-Rota</v>
      </c>
    </row>
    <row r="2624" spans="1:7" x14ac:dyDescent="0.25">
      <c r="A2624">
        <v>16033</v>
      </c>
      <c r="B2624">
        <v>104</v>
      </c>
      <c r="C2624" s="1" t="str">
        <f>IF(Tabela8[[#This Row],[SETOR]]="","",IF(Tabela8[[#This Row],[SETOR]]&lt;200,"GV 10",IF(Tabela8[[#This Row],[SETOR]]&lt;300,"GV 20",IF(Tabela8[[#This Row],[SETOR]]&lt;400,"GV 30","S/GV"))))</f>
        <v>GV 10</v>
      </c>
      <c r="E2624" t="s">
        <v>123</v>
      </c>
      <c r="G2624" t="str">
        <f>_xlfn.CONCAT(Tabela9[[#This Row],[Coluna1]],Tabela9[[#This Row],[Coluna2]])</f>
        <v>20-Rota</v>
      </c>
    </row>
    <row r="2625" spans="1:7" x14ac:dyDescent="0.25">
      <c r="A2625">
        <v>16037</v>
      </c>
      <c r="B2625">
        <v>207</v>
      </c>
      <c r="C2625" s="1" t="str">
        <f>IF(Tabela8[[#This Row],[SETOR]]="","",IF(Tabela8[[#This Row],[SETOR]]&lt;200,"GV 10",IF(Tabela8[[#This Row],[SETOR]]&lt;300,"GV 20",IF(Tabela8[[#This Row],[SETOR]]&lt;400,"GV 30","S/GV"))))</f>
        <v>GV 20</v>
      </c>
      <c r="E2625" t="s">
        <v>125</v>
      </c>
      <c r="G2625" t="str">
        <f>_xlfn.CONCAT(Tabela9[[#This Row],[Coluna1]],Tabela9[[#This Row],[Coluna2]])</f>
        <v>18-TRAD</v>
      </c>
    </row>
    <row r="2626" spans="1:7" x14ac:dyDescent="0.25">
      <c r="A2626">
        <v>16042</v>
      </c>
      <c r="B2626">
        <v>205</v>
      </c>
      <c r="C2626" s="1" t="str">
        <f>IF(Tabela8[[#This Row],[SETOR]]="","",IF(Tabela8[[#This Row],[SETOR]]&lt;200,"GV 10",IF(Tabela8[[#This Row],[SETOR]]&lt;300,"GV 20",IF(Tabela8[[#This Row],[SETOR]]&lt;400,"GV 30","S/GV"))))</f>
        <v>GV 20</v>
      </c>
      <c r="E2626" t="s">
        <v>123</v>
      </c>
      <c r="G2626" t="str">
        <f>_xlfn.CONCAT(Tabela9[[#This Row],[Coluna1]],Tabela9[[#This Row],[Coluna2]])</f>
        <v>20-Rota</v>
      </c>
    </row>
    <row r="2627" spans="1:7" x14ac:dyDescent="0.25">
      <c r="A2627">
        <v>16043</v>
      </c>
      <c r="B2627">
        <v>206</v>
      </c>
      <c r="C2627" s="1" t="str">
        <f>IF(Tabela8[[#This Row],[SETOR]]="","",IF(Tabela8[[#This Row],[SETOR]]&lt;200,"GV 10",IF(Tabela8[[#This Row],[SETOR]]&lt;300,"GV 20",IF(Tabela8[[#This Row],[SETOR]]&lt;400,"GV 30","S/GV"))))</f>
        <v>GV 20</v>
      </c>
      <c r="E2627" t="s">
        <v>123</v>
      </c>
      <c r="G2627" t="str">
        <f>_xlfn.CONCAT(Tabela9[[#This Row],[Coluna1]],Tabela9[[#This Row],[Coluna2]])</f>
        <v>20-Rota</v>
      </c>
    </row>
    <row r="2628" spans="1:7" x14ac:dyDescent="0.25">
      <c r="A2628">
        <v>16051</v>
      </c>
      <c r="B2628">
        <v>203</v>
      </c>
      <c r="C2628" s="1" t="str">
        <f>IF(Tabela8[[#This Row],[SETOR]]="","",IF(Tabela8[[#This Row],[SETOR]]&lt;200,"GV 10",IF(Tabela8[[#This Row],[SETOR]]&lt;300,"GV 20",IF(Tabela8[[#This Row],[SETOR]]&lt;400,"GV 30","S/GV"))))</f>
        <v>GV 20</v>
      </c>
      <c r="E2628" t="s">
        <v>125</v>
      </c>
      <c r="G2628" t="str">
        <f>_xlfn.CONCAT(Tabela9[[#This Row],[Coluna1]],Tabela9[[#This Row],[Coluna2]])</f>
        <v>18-TRAD</v>
      </c>
    </row>
    <row r="2629" spans="1:7" x14ac:dyDescent="0.25">
      <c r="A2629">
        <v>16052</v>
      </c>
      <c r="B2629">
        <v>203</v>
      </c>
      <c r="C2629" s="1" t="str">
        <f>IF(Tabela8[[#This Row],[SETOR]]="","",IF(Tabela8[[#This Row],[SETOR]]&lt;200,"GV 10",IF(Tabela8[[#This Row],[SETOR]]&lt;300,"GV 20",IF(Tabela8[[#This Row],[SETOR]]&lt;400,"GV 30","S/GV"))))</f>
        <v>GV 20</v>
      </c>
      <c r="E2629" t="s">
        <v>123</v>
      </c>
      <c r="G2629" t="str">
        <f>_xlfn.CONCAT(Tabela9[[#This Row],[Coluna1]],Tabela9[[#This Row],[Coluna2]])</f>
        <v>20-Rota</v>
      </c>
    </row>
    <row r="2630" spans="1:7" x14ac:dyDescent="0.25">
      <c r="A2630">
        <v>16053</v>
      </c>
      <c r="B2630">
        <v>101</v>
      </c>
      <c r="C2630" s="1" t="str">
        <f>IF(Tabela8[[#This Row],[SETOR]]="","",IF(Tabela8[[#This Row],[SETOR]]&lt;200,"GV 10",IF(Tabela8[[#This Row],[SETOR]]&lt;300,"GV 20",IF(Tabela8[[#This Row],[SETOR]]&lt;400,"GV 30","S/GV"))))</f>
        <v>GV 10</v>
      </c>
      <c r="E2630" t="s">
        <v>123</v>
      </c>
      <c r="G2630" t="str">
        <f>_xlfn.CONCAT(Tabela9[[#This Row],[Coluna1]],Tabela9[[#This Row],[Coluna2]])</f>
        <v>20-Rota</v>
      </c>
    </row>
    <row r="2631" spans="1:7" x14ac:dyDescent="0.25">
      <c r="A2631">
        <v>16055</v>
      </c>
      <c r="B2631">
        <v>202</v>
      </c>
      <c r="C2631" s="1" t="str">
        <f>IF(Tabela8[[#This Row],[SETOR]]="","",IF(Tabela8[[#This Row],[SETOR]]&lt;200,"GV 10",IF(Tabela8[[#This Row],[SETOR]]&lt;300,"GV 20",IF(Tabela8[[#This Row],[SETOR]]&lt;400,"GV 30","S/GV"))))</f>
        <v>GV 20</v>
      </c>
      <c r="E2631" t="s">
        <v>123</v>
      </c>
      <c r="G2631" t="str">
        <f>_xlfn.CONCAT(Tabela9[[#This Row],[Coluna1]],Tabela9[[#This Row],[Coluna2]])</f>
        <v>20-Rota</v>
      </c>
    </row>
    <row r="2632" spans="1:7" x14ac:dyDescent="0.25">
      <c r="A2632">
        <v>16058</v>
      </c>
      <c r="B2632">
        <v>308</v>
      </c>
      <c r="C2632" s="1" t="str">
        <f>IF(Tabela8[[#This Row],[SETOR]]="","",IF(Tabela8[[#This Row],[SETOR]]&lt;200,"GV 10",IF(Tabela8[[#This Row],[SETOR]]&lt;300,"GV 20",IF(Tabela8[[#This Row],[SETOR]]&lt;400,"GV 30","S/GV"))))</f>
        <v>GV 30</v>
      </c>
      <c r="E2632" t="s">
        <v>128</v>
      </c>
      <c r="F2632" t="s">
        <v>129</v>
      </c>
      <c r="G2632" t="str">
        <f>_xlfn.CONCAT(Tabela9[[#This Row],[Coluna1]],Tabela9[[#This Row],[Coluna2]])</f>
        <v>15-AS(1-4)</v>
      </c>
    </row>
    <row r="2633" spans="1:7" x14ac:dyDescent="0.25">
      <c r="A2633">
        <v>16059</v>
      </c>
      <c r="B2633">
        <v>201</v>
      </c>
      <c r="C2633" s="1" t="str">
        <f>IF(Tabela8[[#This Row],[SETOR]]="","",IF(Tabela8[[#This Row],[SETOR]]&lt;200,"GV 10",IF(Tabela8[[#This Row],[SETOR]]&lt;300,"GV 20",IF(Tabela8[[#This Row],[SETOR]]&lt;400,"GV 30","S/GV"))))</f>
        <v>GV 20</v>
      </c>
      <c r="E2633" t="s">
        <v>123</v>
      </c>
      <c r="G2633" t="str">
        <f>_xlfn.CONCAT(Tabela9[[#This Row],[Coluna1]],Tabela9[[#This Row],[Coluna2]])</f>
        <v>20-Rota</v>
      </c>
    </row>
    <row r="2634" spans="1:7" x14ac:dyDescent="0.25">
      <c r="A2634">
        <v>16060</v>
      </c>
      <c r="B2634">
        <v>204</v>
      </c>
      <c r="C2634" s="1" t="str">
        <f>IF(Tabela8[[#This Row],[SETOR]]="","",IF(Tabela8[[#This Row],[SETOR]]&lt;200,"GV 10",IF(Tabela8[[#This Row],[SETOR]]&lt;300,"GV 20",IF(Tabela8[[#This Row],[SETOR]]&lt;400,"GV 30","S/GV"))))</f>
        <v>GV 20</v>
      </c>
      <c r="E2634" t="s">
        <v>123</v>
      </c>
      <c r="G2634" t="str">
        <f>_xlfn.CONCAT(Tabela9[[#This Row],[Coluna1]],Tabela9[[#This Row],[Coluna2]])</f>
        <v>20-Rota</v>
      </c>
    </row>
    <row r="2635" spans="1:7" x14ac:dyDescent="0.25">
      <c r="A2635">
        <v>16061</v>
      </c>
      <c r="B2635">
        <v>204</v>
      </c>
      <c r="C2635" s="1" t="str">
        <f>IF(Tabela8[[#This Row],[SETOR]]="","",IF(Tabela8[[#This Row],[SETOR]]&lt;200,"GV 10",IF(Tabela8[[#This Row],[SETOR]]&lt;300,"GV 20",IF(Tabela8[[#This Row],[SETOR]]&lt;400,"GV 30","S/GV"))))</f>
        <v>GV 20</v>
      </c>
      <c r="E2635" t="s">
        <v>123</v>
      </c>
      <c r="G2635" t="str">
        <f>_xlfn.CONCAT(Tabela9[[#This Row],[Coluna1]],Tabela9[[#This Row],[Coluna2]])</f>
        <v>20-Rota</v>
      </c>
    </row>
    <row r="2636" spans="1:7" x14ac:dyDescent="0.25">
      <c r="A2636">
        <v>16063</v>
      </c>
      <c r="B2636">
        <v>103</v>
      </c>
      <c r="C2636" s="1" t="str">
        <f>IF(Tabela8[[#This Row],[SETOR]]="","",IF(Tabela8[[#This Row],[SETOR]]&lt;200,"GV 10",IF(Tabela8[[#This Row],[SETOR]]&lt;300,"GV 20",IF(Tabela8[[#This Row],[SETOR]]&lt;400,"GV 30","S/GV"))))</f>
        <v>GV 10</v>
      </c>
      <c r="E2636" t="s">
        <v>123</v>
      </c>
      <c r="G2636" t="str">
        <f>_xlfn.CONCAT(Tabela9[[#This Row],[Coluna1]],Tabela9[[#This Row],[Coluna2]])</f>
        <v>20-Rota</v>
      </c>
    </row>
    <row r="2637" spans="1:7" x14ac:dyDescent="0.25">
      <c r="A2637">
        <v>16064</v>
      </c>
      <c r="B2637">
        <v>303</v>
      </c>
      <c r="C2637" s="1" t="str">
        <f>IF(Tabela8[[#This Row],[SETOR]]="","",IF(Tabela8[[#This Row],[SETOR]]&lt;200,"GV 10",IF(Tabela8[[#This Row],[SETOR]]&lt;300,"GV 20",IF(Tabela8[[#This Row],[SETOR]]&lt;400,"GV 30","S/GV"))))</f>
        <v>GV 30</v>
      </c>
      <c r="E2637" t="s">
        <v>123</v>
      </c>
      <c r="G2637" t="str">
        <f>_xlfn.CONCAT(Tabela9[[#This Row],[Coluna1]],Tabela9[[#This Row],[Coluna2]])</f>
        <v>20-Rota</v>
      </c>
    </row>
    <row r="2638" spans="1:7" x14ac:dyDescent="0.25">
      <c r="A2638">
        <v>16066</v>
      </c>
      <c r="B2638">
        <v>205</v>
      </c>
      <c r="C2638" s="1" t="str">
        <f>IF(Tabela8[[#This Row],[SETOR]]="","",IF(Tabela8[[#This Row],[SETOR]]&lt;200,"GV 10",IF(Tabela8[[#This Row],[SETOR]]&lt;300,"GV 20",IF(Tabela8[[#This Row],[SETOR]]&lt;400,"GV 30","S/GV"))))</f>
        <v>GV 20</v>
      </c>
      <c r="E2638" t="s">
        <v>123</v>
      </c>
      <c r="G2638" t="str">
        <f>_xlfn.CONCAT(Tabela9[[#This Row],[Coluna1]],Tabela9[[#This Row],[Coluna2]])</f>
        <v>20-Rota</v>
      </c>
    </row>
    <row r="2639" spans="1:7" x14ac:dyDescent="0.25">
      <c r="A2639">
        <v>16067</v>
      </c>
      <c r="B2639">
        <v>304</v>
      </c>
      <c r="C2639" s="1" t="str">
        <f>IF(Tabela8[[#This Row],[SETOR]]="","",IF(Tabela8[[#This Row],[SETOR]]&lt;200,"GV 10",IF(Tabela8[[#This Row],[SETOR]]&lt;300,"GV 20",IF(Tabela8[[#This Row],[SETOR]]&lt;400,"GV 30","S/GV"))))</f>
        <v>GV 30</v>
      </c>
      <c r="E2639" t="s">
        <v>123</v>
      </c>
      <c r="G2639" t="str">
        <f>_xlfn.CONCAT(Tabela9[[#This Row],[Coluna1]],Tabela9[[#This Row],[Coluna2]])</f>
        <v>20-Rota</v>
      </c>
    </row>
    <row r="2640" spans="1:7" x14ac:dyDescent="0.25">
      <c r="A2640">
        <v>16068</v>
      </c>
      <c r="B2640">
        <v>105</v>
      </c>
      <c r="C2640" s="1" t="str">
        <f>IF(Tabela8[[#This Row],[SETOR]]="","",IF(Tabela8[[#This Row],[SETOR]]&lt;200,"GV 10",IF(Tabela8[[#This Row],[SETOR]]&lt;300,"GV 20",IF(Tabela8[[#This Row],[SETOR]]&lt;400,"GV 30","S/GV"))))</f>
        <v>GV 10</v>
      </c>
      <c r="E2640" t="s">
        <v>123</v>
      </c>
      <c r="G2640" t="str">
        <f>_xlfn.CONCAT(Tabela9[[#This Row],[Coluna1]],Tabela9[[#This Row],[Coluna2]])</f>
        <v>20-Rota</v>
      </c>
    </row>
    <row r="2641" spans="1:7" x14ac:dyDescent="0.25">
      <c r="A2641">
        <v>16069</v>
      </c>
      <c r="B2641">
        <v>303</v>
      </c>
      <c r="C2641" s="1" t="str">
        <f>IF(Tabela8[[#This Row],[SETOR]]="","",IF(Tabela8[[#This Row],[SETOR]]&lt;200,"GV 10",IF(Tabela8[[#This Row],[SETOR]]&lt;300,"GV 20",IF(Tabela8[[#This Row],[SETOR]]&lt;400,"GV 30","S/GV"))))</f>
        <v>GV 30</v>
      </c>
      <c r="E2641" t="s">
        <v>123</v>
      </c>
      <c r="G2641" t="str">
        <f>_xlfn.CONCAT(Tabela9[[#This Row],[Coluna1]],Tabela9[[#This Row],[Coluna2]])</f>
        <v>20-Rota</v>
      </c>
    </row>
    <row r="2642" spans="1:7" x14ac:dyDescent="0.25">
      <c r="A2642">
        <v>16073</v>
      </c>
      <c r="B2642">
        <v>204</v>
      </c>
      <c r="C2642" s="1" t="str">
        <f>IF(Tabela8[[#This Row],[SETOR]]="","",IF(Tabela8[[#This Row],[SETOR]]&lt;200,"GV 10",IF(Tabela8[[#This Row],[SETOR]]&lt;300,"GV 20",IF(Tabela8[[#This Row],[SETOR]]&lt;400,"GV 30","S/GV"))))</f>
        <v>GV 20</v>
      </c>
      <c r="E2642" t="s">
        <v>123</v>
      </c>
      <c r="G2642" t="str">
        <f>_xlfn.CONCAT(Tabela9[[#This Row],[Coluna1]],Tabela9[[#This Row],[Coluna2]])</f>
        <v>20-Rota</v>
      </c>
    </row>
    <row r="2643" spans="1:7" x14ac:dyDescent="0.25">
      <c r="A2643">
        <v>16074</v>
      </c>
      <c r="B2643">
        <v>201</v>
      </c>
      <c r="C2643" s="1" t="str">
        <f>IF(Tabela8[[#This Row],[SETOR]]="","",IF(Tabela8[[#This Row],[SETOR]]&lt;200,"GV 10",IF(Tabela8[[#This Row],[SETOR]]&lt;300,"GV 20",IF(Tabela8[[#This Row],[SETOR]]&lt;400,"GV 30","S/GV"))))</f>
        <v>GV 20</v>
      </c>
      <c r="E2643" t="s">
        <v>123</v>
      </c>
      <c r="G2643" t="str">
        <f>_xlfn.CONCAT(Tabela9[[#This Row],[Coluna1]],Tabela9[[#This Row],[Coluna2]])</f>
        <v>20-Rota</v>
      </c>
    </row>
    <row r="2644" spans="1:7" x14ac:dyDescent="0.25">
      <c r="A2644">
        <v>16075</v>
      </c>
      <c r="B2644">
        <v>203</v>
      </c>
      <c r="C2644" s="1" t="str">
        <f>IF(Tabela8[[#This Row],[SETOR]]="","",IF(Tabela8[[#This Row],[SETOR]]&lt;200,"GV 10",IF(Tabela8[[#This Row],[SETOR]]&lt;300,"GV 20",IF(Tabela8[[#This Row],[SETOR]]&lt;400,"GV 30","S/GV"))))</f>
        <v>GV 20</v>
      </c>
      <c r="E2644" t="s">
        <v>123</v>
      </c>
      <c r="G2644" t="str">
        <f>_xlfn.CONCAT(Tabela9[[#This Row],[Coluna1]],Tabela9[[#This Row],[Coluna2]])</f>
        <v>20-Rota</v>
      </c>
    </row>
    <row r="2645" spans="1:7" x14ac:dyDescent="0.25">
      <c r="A2645">
        <v>16076</v>
      </c>
      <c r="B2645">
        <v>201</v>
      </c>
      <c r="C2645" s="1" t="str">
        <f>IF(Tabela8[[#This Row],[SETOR]]="","",IF(Tabela8[[#This Row],[SETOR]]&lt;200,"GV 10",IF(Tabela8[[#This Row],[SETOR]]&lt;300,"GV 20",IF(Tabela8[[#This Row],[SETOR]]&lt;400,"GV 30","S/GV"))))</f>
        <v>GV 20</v>
      </c>
      <c r="E2645" t="s">
        <v>123</v>
      </c>
      <c r="G2645" t="str">
        <f>_xlfn.CONCAT(Tabela9[[#This Row],[Coluna1]],Tabela9[[#This Row],[Coluna2]])</f>
        <v>20-Rota</v>
      </c>
    </row>
    <row r="2646" spans="1:7" x14ac:dyDescent="0.25">
      <c r="A2646">
        <v>16078</v>
      </c>
      <c r="B2646">
        <v>302</v>
      </c>
      <c r="C2646" s="1" t="str">
        <f>IF(Tabela8[[#This Row],[SETOR]]="","",IF(Tabela8[[#This Row],[SETOR]]&lt;200,"GV 10",IF(Tabela8[[#This Row],[SETOR]]&lt;300,"GV 20",IF(Tabela8[[#This Row],[SETOR]]&lt;400,"GV 30","S/GV"))))</f>
        <v>GV 30</v>
      </c>
      <c r="E2646" t="s">
        <v>123</v>
      </c>
      <c r="G2646" t="str">
        <f>_xlfn.CONCAT(Tabela9[[#This Row],[Coluna1]],Tabela9[[#This Row],[Coluna2]])</f>
        <v>20-Rota</v>
      </c>
    </row>
    <row r="2647" spans="1:7" x14ac:dyDescent="0.25">
      <c r="A2647">
        <v>16081</v>
      </c>
      <c r="B2647">
        <v>102</v>
      </c>
      <c r="C2647" s="1" t="str">
        <f>IF(Tabela8[[#This Row],[SETOR]]="","",IF(Tabela8[[#This Row],[SETOR]]&lt;200,"GV 10",IF(Tabela8[[#This Row],[SETOR]]&lt;300,"GV 20",IF(Tabela8[[#This Row],[SETOR]]&lt;400,"GV 30","S/GV"))))</f>
        <v>GV 10</v>
      </c>
      <c r="E2647" t="s">
        <v>123</v>
      </c>
      <c r="G2647" t="str">
        <f>_xlfn.CONCAT(Tabela9[[#This Row],[Coluna1]],Tabela9[[#This Row],[Coluna2]])</f>
        <v>20-Rota</v>
      </c>
    </row>
    <row r="2648" spans="1:7" x14ac:dyDescent="0.25">
      <c r="A2648">
        <v>16082</v>
      </c>
      <c r="B2648">
        <v>205</v>
      </c>
      <c r="C2648" s="1" t="str">
        <f>IF(Tabela8[[#This Row],[SETOR]]="","",IF(Tabela8[[#This Row],[SETOR]]&lt;200,"GV 10",IF(Tabela8[[#This Row],[SETOR]]&lt;300,"GV 20",IF(Tabela8[[#This Row],[SETOR]]&lt;400,"GV 30","S/GV"))))</f>
        <v>GV 20</v>
      </c>
      <c r="E2648" t="s">
        <v>123</v>
      </c>
      <c r="G2648" t="str">
        <f>_xlfn.CONCAT(Tabela9[[#This Row],[Coluna1]],Tabela9[[#This Row],[Coluna2]])</f>
        <v>20-Rota</v>
      </c>
    </row>
    <row r="2649" spans="1:7" x14ac:dyDescent="0.25">
      <c r="A2649">
        <v>16084</v>
      </c>
      <c r="B2649">
        <v>201</v>
      </c>
      <c r="C2649" s="1" t="str">
        <f>IF(Tabela8[[#This Row],[SETOR]]="","",IF(Tabela8[[#This Row],[SETOR]]&lt;200,"GV 10",IF(Tabela8[[#This Row],[SETOR]]&lt;300,"GV 20",IF(Tabela8[[#This Row],[SETOR]]&lt;400,"GV 30","S/GV"))))</f>
        <v>GV 20</v>
      </c>
      <c r="E2649" t="s">
        <v>123</v>
      </c>
      <c r="G2649" t="str">
        <f>_xlfn.CONCAT(Tabela9[[#This Row],[Coluna1]],Tabela9[[#This Row],[Coluna2]])</f>
        <v>20-Rota</v>
      </c>
    </row>
    <row r="2650" spans="1:7" x14ac:dyDescent="0.25">
      <c r="A2650">
        <v>16087</v>
      </c>
      <c r="B2650">
        <v>304</v>
      </c>
      <c r="C2650" s="1" t="str">
        <f>IF(Tabela8[[#This Row],[SETOR]]="","",IF(Tabela8[[#This Row],[SETOR]]&lt;200,"GV 10",IF(Tabela8[[#This Row],[SETOR]]&lt;300,"GV 20",IF(Tabela8[[#This Row],[SETOR]]&lt;400,"GV 30","S/GV"))))</f>
        <v>GV 30</v>
      </c>
      <c r="E2650" t="s">
        <v>123</v>
      </c>
      <c r="G2650" t="str">
        <f>_xlfn.CONCAT(Tabela9[[#This Row],[Coluna1]],Tabela9[[#This Row],[Coluna2]])</f>
        <v>20-Rota</v>
      </c>
    </row>
    <row r="2651" spans="1:7" x14ac:dyDescent="0.25">
      <c r="A2651">
        <v>16088</v>
      </c>
      <c r="B2651">
        <v>304</v>
      </c>
      <c r="C2651" s="1" t="str">
        <f>IF(Tabela8[[#This Row],[SETOR]]="","",IF(Tabela8[[#This Row],[SETOR]]&lt;200,"GV 10",IF(Tabela8[[#This Row],[SETOR]]&lt;300,"GV 20",IF(Tabela8[[#This Row],[SETOR]]&lt;400,"GV 30","S/GV"))))</f>
        <v>GV 30</v>
      </c>
      <c r="E2651" t="s">
        <v>123</v>
      </c>
      <c r="G2651" t="str">
        <f>_xlfn.CONCAT(Tabela9[[#This Row],[Coluna1]],Tabela9[[#This Row],[Coluna2]])</f>
        <v>20-Rota</v>
      </c>
    </row>
    <row r="2652" spans="1:7" x14ac:dyDescent="0.25">
      <c r="A2652">
        <v>16089</v>
      </c>
      <c r="B2652">
        <v>103</v>
      </c>
      <c r="C2652" s="1" t="str">
        <f>IF(Tabela8[[#This Row],[SETOR]]="","",IF(Tabela8[[#This Row],[SETOR]]&lt;200,"GV 10",IF(Tabela8[[#This Row],[SETOR]]&lt;300,"GV 20",IF(Tabela8[[#This Row],[SETOR]]&lt;400,"GV 30","S/GV"))))</f>
        <v>GV 10</v>
      </c>
      <c r="E2652" t="s">
        <v>123</v>
      </c>
      <c r="G2652" t="str">
        <f>_xlfn.CONCAT(Tabela9[[#This Row],[Coluna1]],Tabela9[[#This Row],[Coluna2]])</f>
        <v>20-Rota</v>
      </c>
    </row>
    <row r="2653" spans="1:7" x14ac:dyDescent="0.25">
      <c r="A2653">
        <v>16093</v>
      </c>
      <c r="B2653">
        <v>105</v>
      </c>
      <c r="C2653" s="1" t="str">
        <f>IF(Tabela8[[#This Row],[SETOR]]="","",IF(Tabela8[[#This Row],[SETOR]]&lt;200,"GV 10",IF(Tabela8[[#This Row],[SETOR]]&lt;300,"GV 20",IF(Tabela8[[#This Row],[SETOR]]&lt;400,"GV 30","S/GV"))))</f>
        <v>GV 10</v>
      </c>
      <c r="E2653" t="s">
        <v>123</v>
      </c>
      <c r="G2653" t="str">
        <f>_xlfn.CONCAT(Tabela9[[#This Row],[Coluna1]],Tabela9[[#This Row],[Coluna2]])</f>
        <v>20-Rota</v>
      </c>
    </row>
    <row r="2654" spans="1:7" x14ac:dyDescent="0.25">
      <c r="A2654">
        <v>16094</v>
      </c>
      <c r="B2654">
        <v>105</v>
      </c>
      <c r="C2654" s="1" t="str">
        <f>IF(Tabela8[[#This Row],[SETOR]]="","",IF(Tabela8[[#This Row],[SETOR]]&lt;200,"GV 10",IF(Tabela8[[#This Row],[SETOR]]&lt;300,"GV 20",IF(Tabela8[[#This Row],[SETOR]]&lt;400,"GV 30","S/GV"))))</f>
        <v>GV 10</v>
      </c>
      <c r="E2654" t="s">
        <v>123</v>
      </c>
      <c r="G2654" t="str">
        <f>_xlfn.CONCAT(Tabela9[[#This Row],[Coluna1]],Tabela9[[#This Row],[Coluna2]])</f>
        <v>20-Rota</v>
      </c>
    </row>
    <row r="2655" spans="1:7" x14ac:dyDescent="0.25">
      <c r="A2655">
        <v>16095</v>
      </c>
      <c r="B2655">
        <v>303</v>
      </c>
      <c r="C2655" s="1" t="str">
        <f>IF(Tabela8[[#This Row],[SETOR]]="","",IF(Tabela8[[#This Row],[SETOR]]&lt;200,"GV 10",IF(Tabela8[[#This Row],[SETOR]]&lt;300,"GV 20",IF(Tabela8[[#This Row],[SETOR]]&lt;400,"GV 30","S/GV"))))</f>
        <v>GV 30</v>
      </c>
      <c r="E2655" t="s">
        <v>123</v>
      </c>
      <c r="G2655" t="str">
        <f>_xlfn.CONCAT(Tabela9[[#This Row],[Coluna1]],Tabela9[[#This Row],[Coluna2]])</f>
        <v>20-Rota</v>
      </c>
    </row>
    <row r="2656" spans="1:7" x14ac:dyDescent="0.25">
      <c r="A2656">
        <v>16097</v>
      </c>
      <c r="B2656">
        <v>301</v>
      </c>
      <c r="C2656" s="1" t="str">
        <f>IF(Tabela8[[#This Row],[SETOR]]="","",IF(Tabela8[[#This Row],[SETOR]]&lt;200,"GV 10",IF(Tabela8[[#This Row],[SETOR]]&lt;300,"GV 20",IF(Tabela8[[#This Row],[SETOR]]&lt;400,"GV 30","S/GV"))))</f>
        <v>GV 30</v>
      </c>
      <c r="E2656" t="s">
        <v>123</v>
      </c>
      <c r="G2656" t="str">
        <f>_xlfn.CONCAT(Tabela9[[#This Row],[Coluna1]],Tabela9[[#This Row],[Coluna2]])</f>
        <v>20-Rota</v>
      </c>
    </row>
    <row r="2657" spans="1:7" x14ac:dyDescent="0.25">
      <c r="A2657">
        <v>16099</v>
      </c>
      <c r="B2657">
        <v>306</v>
      </c>
      <c r="C2657" s="1" t="str">
        <f>IF(Tabela8[[#This Row],[SETOR]]="","",IF(Tabela8[[#This Row],[SETOR]]&lt;200,"GV 10",IF(Tabela8[[#This Row],[SETOR]]&lt;300,"GV 20",IF(Tabela8[[#This Row],[SETOR]]&lt;400,"GV 30","S/GV"))))</f>
        <v>GV 30</v>
      </c>
      <c r="E2657" t="s">
        <v>123</v>
      </c>
      <c r="G2657" t="str">
        <f>_xlfn.CONCAT(Tabela9[[#This Row],[Coluna1]],Tabela9[[#This Row],[Coluna2]])</f>
        <v>20-Rota</v>
      </c>
    </row>
    <row r="2658" spans="1:7" x14ac:dyDescent="0.25">
      <c r="A2658">
        <v>16100</v>
      </c>
      <c r="B2658">
        <v>208</v>
      </c>
      <c r="C2658" s="1" t="str">
        <f>IF(Tabela8[[#This Row],[SETOR]]="","",IF(Tabela8[[#This Row],[SETOR]]&lt;200,"GV 10",IF(Tabela8[[#This Row],[SETOR]]&lt;300,"GV 20",IF(Tabela8[[#This Row],[SETOR]]&lt;400,"GV 30","S/GV"))))</f>
        <v>GV 20</v>
      </c>
      <c r="E2658" t="s">
        <v>130</v>
      </c>
      <c r="G2658" t="str">
        <f>_xlfn.CONCAT(Tabela9[[#This Row],[Coluna1]],Tabela9[[#This Row],[Coluna2]])</f>
        <v>21-SUB</v>
      </c>
    </row>
    <row r="2659" spans="1:7" x14ac:dyDescent="0.25">
      <c r="A2659">
        <v>16103</v>
      </c>
      <c r="B2659">
        <v>305</v>
      </c>
      <c r="C2659" s="1" t="str">
        <f>IF(Tabela8[[#This Row],[SETOR]]="","",IF(Tabela8[[#This Row],[SETOR]]&lt;200,"GV 10",IF(Tabela8[[#This Row],[SETOR]]&lt;300,"GV 20",IF(Tabela8[[#This Row],[SETOR]]&lt;400,"GV 30","S/GV"))))</f>
        <v>GV 30</v>
      </c>
      <c r="E2659" t="s">
        <v>123</v>
      </c>
      <c r="G2659" t="str">
        <f>_xlfn.CONCAT(Tabela9[[#This Row],[Coluna1]],Tabela9[[#This Row],[Coluna2]])</f>
        <v>20-Rota</v>
      </c>
    </row>
    <row r="2660" spans="1:7" x14ac:dyDescent="0.25">
      <c r="A2660">
        <v>16104</v>
      </c>
      <c r="B2660">
        <v>204</v>
      </c>
      <c r="C2660" s="1" t="str">
        <f>IF(Tabela8[[#This Row],[SETOR]]="","",IF(Tabela8[[#This Row],[SETOR]]&lt;200,"GV 10",IF(Tabela8[[#This Row],[SETOR]]&lt;300,"GV 20",IF(Tabela8[[#This Row],[SETOR]]&lt;400,"GV 30","S/GV"))))</f>
        <v>GV 20</v>
      </c>
      <c r="E2660" t="s">
        <v>123</v>
      </c>
      <c r="G2660" t="str">
        <f>_xlfn.CONCAT(Tabela9[[#This Row],[Coluna1]],Tabela9[[#This Row],[Coluna2]])</f>
        <v>20-Rota</v>
      </c>
    </row>
    <row r="2661" spans="1:7" x14ac:dyDescent="0.25">
      <c r="A2661">
        <v>16109</v>
      </c>
      <c r="B2661">
        <v>102</v>
      </c>
      <c r="C2661" s="1" t="str">
        <f>IF(Tabela8[[#This Row],[SETOR]]="","",IF(Tabela8[[#This Row],[SETOR]]&lt;200,"GV 10",IF(Tabela8[[#This Row],[SETOR]]&lt;300,"GV 20",IF(Tabela8[[#This Row],[SETOR]]&lt;400,"GV 30","S/GV"))))</f>
        <v>GV 10</v>
      </c>
      <c r="E2661" t="s">
        <v>123</v>
      </c>
      <c r="G2661" t="str">
        <f>_xlfn.CONCAT(Tabela9[[#This Row],[Coluna1]],Tabela9[[#This Row],[Coluna2]])</f>
        <v>20-Rota</v>
      </c>
    </row>
    <row r="2662" spans="1:7" x14ac:dyDescent="0.25">
      <c r="A2662">
        <v>16110</v>
      </c>
      <c r="B2662">
        <v>205</v>
      </c>
      <c r="C2662" s="1" t="str">
        <f>IF(Tabela8[[#This Row],[SETOR]]="","",IF(Tabela8[[#This Row],[SETOR]]&lt;200,"GV 10",IF(Tabela8[[#This Row],[SETOR]]&lt;300,"GV 20",IF(Tabela8[[#This Row],[SETOR]]&lt;400,"GV 30","S/GV"))))</f>
        <v>GV 20</v>
      </c>
      <c r="E2662" t="s">
        <v>123</v>
      </c>
      <c r="G2662" t="str">
        <f>_xlfn.CONCAT(Tabela9[[#This Row],[Coluna1]],Tabela9[[#This Row],[Coluna2]])</f>
        <v>20-Rota</v>
      </c>
    </row>
    <row r="2663" spans="1:7" x14ac:dyDescent="0.25">
      <c r="A2663">
        <v>16113</v>
      </c>
      <c r="B2663">
        <v>307</v>
      </c>
      <c r="C2663" s="1" t="str">
        <f>IF(Tabela8[[#This Row],[SETOR]]="","",IF(Tabela8[[#This Row],[SETOR]]&lt;200,"GV 10",IF(Tabela8[[#This Row],[SETOR]]&lt;300,"GV 20",IF(Tabela8[[#This Row],[SETOR]]&lt;400,"GV 30","S/GV"))))</f>
        <v>GV 30</v>
      </c>
      <c r="E2663" t="s">
        <v>125</v>
      </c>
      <c r="G2663" t="str">
        <f>_xlfn.CONCAT(Tabela9[[#This Row],[Coluna1]],Tabela9[[#This Row],[Coluna2]])</f>
        <v>18-TRAD</v>
      </c>
    </row>
    <row r="2664" spans="1:7" x14ac:dyDescent="0.25">
      <c r="A2664">
        <v>16116</v>
      </c>
      <c r="B2664">
        <v>301</v>
      </c>
      <c r="C2664" s="1" t="str">
        <f>IF(Tabela8[[#This Row],[SETOR]]="","",IF(Tabela8[[#This Row],[SETOR]]&lt;200,"GV 10",IF(Tabela8[[#This Row],[SETOR]]&lt;300,"GV 20",IF(Tabela8[[#This Row],[SETOR]]&lt;400,"GV 30","S/GV"))))</f>
        <v>GV 30</v>
      </c>
      <c r="E2664" t="s">
        <v>123</v>
      </c>
      <c r="G2664" t="str">
        <f>_xlfn.CONCAT(Tabela9[[#This Row],[Coluna1]],Tabela9[[#This Row],[Coluna2]])</f>
        <v>20-Rota</v>
      </c>
    </row>
    <row r="2665" spans="1:7" x14ac:dyDescent="0.25">
      <c r="A2665">
        <v>16122</v>
      </c>
      <c r="B2665">
        <v>101</v>
      </c>
      <c r="C2665" s="1" t="str">
        <f>IF(Tabela8[[#This Row],[SETOR]]="","",IF(Tabela8[[#This Row],[SETOR]]&lt;200,"GV 10",IF(Tabela8[[#This Row],[SETOR]]&lt;300,"GV 20",IF(Tabela8[[#This Row],[SETOR]]&lt;400,"GV 30","S/GV"))))</f>
        <v>GV 10</v>
      </c>
      <c r="E2665" t="s">
        <v>123</v>
      </c>
      <c r="G2665" t="str">
        <f>_xlfn.CONCAT(Tabela9[[#This Row],[Coluna1]],Tabela9[[#This Row],[Coluna2]])</f>
        <v>20-Rota</v>
      </c>
    </row>
    <row r="2666" spans="1:7" x14ac:dyDescent="0.25">
      <c r="A2666">
        <v>16127</v>
      </c>
      <c r="B2666">
        <v>206</v>
      </c>
      <c r="C2666" s="1" t="str">
        <f>IF(Tabela8[[#This Row],[SETOR]]="","",IF(Tabela8[[#This Row],[SETOR]]&lt;200,"GV 10",IF(Tabela8[[#This Row],[SETOR]]&lt;300,"GV 20",IF(Tabela8[[#This Row],[SETOR]]&lt;400,"GV 30","S/GV"))))</f>
        <v>GV 20</v>
      </c>
      <c r="E2666" t="s">
        <v>123</v>
      </c>
      <c r="G2666" t="str">
        <f>_xlfn.CONCAT(Tabela9[[#This Row],[Coluna1]],Tabela9[[#This Row],[Coluna2]])</f>
        <v>20-Rota</v>
      </c>
    </row>
    <row r="2667" spans="1:7" x14ac:dyDescent="0.25">
      <c r="A2667">
        <v>16128</v>
      </c>
      <c r="B2667">
        <v>102</v>
      </c>
      <c r="C2667" s="1" t="str">
        <f>IF(Tabela8[[#This Row],[SETOR]]="","",IF(Tabela8[[#This Row],[SETOR]]&lt;200,"GV 10",IF(Tabela8[[#This Row],[SETOR]]&lt;300,"GV 20",IF(Tabela8[[#This Row],[SETOR]]&lt;400,"GV 30","S/GV"))))</f>
        <v>GV 10</v>
      </c>
      <c r="E2667" t="s">
        <v>123</v>
      </c>
      <c r="G2667" t="str">
        <f>_xlfn.CONCAT(Tabela9[[#This Row],[Coluna1]],Tabela9[[#This Row],[Coluna2]])</f>
        <v>20-Rota</v>
      </c>
    </row>
    <row r="2668" spans="1:7" x14ac:dyDescent="0.25">
      <c r="A2668">
        <v>16129</v>
      </c>
      <c r="B2668">
        <v>105</v>
      </c>
      <c r="C2668" s="1" t="str">
        <f>IF(Tabela8[[#This Row],[SETOR]]="","",IF(Tabela8[[#This Row],[SETOR]]&lt;200,"GV 10",IF(Tabela8[[#This Row],[SETOR]]&lt;300,"GV 20",IF(Tabela8[[#This Row],[SETOR]]&lt;400,"GV 30","S/GV"))))</f>
        <v>GV 10</v>
      </c>
      <c r="E2668" t="s">
        <v>123</v>
      </c>
      <c r="G2668" t="str">
        <f>_xlfn.CONCAT(Tabela9[[#This Row],[Coluna1]],Tabela9[[#This Row],[Coluna2]])</f>
        <v>20-Rota</v>
      </c>
    </row>
    <row r="2669" spans="1:7" x14ac:dyDescent="0.25">
      <c r="A2669">
        <v>16131</v>
      </c>
      <c r="B2669">
        <v>204</v>
      </c>
      <c r="C2669" s="1" t="str">
        <f>IF(Tabela8[[#This Row],[SETOR]]="","",IF(Tabela8[[#This Row],[SETOR]]&lt;200,"GV 10",IF(Tabela8[[#This Row],[SETOR]]&lt;300,"GV 20",IF(Tabela8[[#This Row],[SETOR]]&lt;400,"GV 30","S/GV"))))</f>
        <v>GV 20</v>
      </c>
      <c r="E2669" t="s">
        <v>123</v>
      </c>
      <c r="G2669" t="str">
        <f>_xlfn.CONCAT(Tabela9[[#This Row],[Coluna1]],Tabela9[[#This Row],[Coluna2]])</f>
        <v>20-Rota</v>
      </c>
    </row>
    <row r="2670" spans="1:7" x14ac:dyDescent="0.25">
      <c r="A2670">
        <v>16132</v>
      </c>
      <c r="B2670">
        <v>108</v>
      </c>
      <c r="C2670" s="1" t="str">
        <f>IF(Tabela8[[#This Row],[SETOR]]="","",IF(Tabela8[[#This Row],[SETOR]]&lt;200,"GV 10",IF(Tabela8[[#This Row],[SETOR]]&lt;300,"GV 20",IF(Tabela8[[#This Row],[SETOR]]&lt;400,"GV 30","S/GV"))))</f>
        <v>GV 10</v>
      </c>
      <c r="E2670" t="s">
        <v>130</v>
      </c>
      <c r="G2670" t="str">
        <f>_xlfn.CONCAT(Tabela9[[#This Row],[Coluna1]],Tabela9[[#This Row],[Coluna2]])</f>
        <v>21-SUB</v>
      </c>
    </row>
    <row r="2671" spans="1:7" x14ac:dyDescent="0.25">
      <c r="A2671">
        <v>16134</v>
      </c>
      <c r="B2671">
        <v>204</v>
      </c>
      <c r="C2671" s="1" t="str">
        <f>IF(Tabela8[[#This Row],[SETOR]]="","",IF(Tabela8[[#This Row],[SETOR]]&lt;200,"GV 10",IF(Tabela8[[#This Row],[SETOR]]&lt;300,"GV 20",IF(Tabela8[[#This Row],[SETOR]]&lt;400,"GV 30","S/GV"))))</f>
        <v>GV 20</v>
      </c>
      <c r="E2671" t="s">
        <v>125</v>
      </c>
      <c r="G2671" t="str">
        <f>_xlfn.CONCAT(Tabela9[[#This Row],[Coluna1]],Tabela9[[#This Row],[Coluna2]])</f>
        <v>18-TRAD</v>
      </c>
    </row>
    <row r="2672" spans="1:7" x14ac:dyDescent="0.25">
      <c r="A2672">
        <v>16136</v>
      </c>
      <c r="B2672">
        <v>302</v>
      </c>
      <c r="C2672" s="1" t="str">
        <f>IF(Tabela8[[#This Row],[SETOR]]="","",IF(Tabela8[[#This Row],[SETOR]]&lt;200,"GV 10",IF(Tabela8[[#This Row],[SETOR]]&lt;300,"GV 20",IF(Tabela8[[#This Row],[SETOR]]&lt;400,"GV 30","S/GV"))))</f>
        <v>GV 30</v>
      </c>
      <c r="E2672" t="s">
        <v>123</v>
      </c>
      <c r="G2672" t="str">
        <f>_xlfn.CONCAT(Tabela9[[#This Row],[Coluna1]],Tabela9[[#This Row],[Coluna2]])</f>
        <v>20-Rota</v>
      </c>
    </row>
    <row r="2673" spans="1:7" x14ac:dyDescent="0.25">
      <c r="A2673">
        <v>16140</v>
      </c>
      <c r="B2673">
        <v>206</v>
      </c>
      <c r="C2673" s="1" t="str">
        <f>IF(Tabela8[[#This Row],[SETOR]]="","",IF(Tabela8[[#This Row],[SETOR]]&lt;200,"GV 10",IF(Tabela8[[#This Row],[SETOR]]&lt;300,"GV 20",IF(Tabela8[[#This Row],[SETOR]]&lt;400,"GV 30","S/GV"))))</f>
        <v>GV 20</v>
      </c>
      <c r="E2673" t="s">
        <v>125</v>
      </c>
      <c r="G2673" t="str">
        <f>_xlfn.CONCAT(Tabela9[[#This Row],[Coluna1]],Tabela9[[#This Row],[Coluna2]])</f>
        <v>18-TRAD</v>
      </c>
    </row>
    <row r="2674" spans="1:7" x14ac:dyDescent="0.25">
      <c r="A2674">
        <v>16141</v>
      </c>
      <c r="B2674">
        <v>102</v>
      </c>
      <c r="C2674" s="1" t="str">
        <f>IF(Tabela8[[#This Row],[SETOR]]="","",IF(Tabela8[[#This Row],[SETOR]]&lt;200,"GV 10",IF(Tabela8[[#This Row],[SETOR]]&lt;300,"GV 20",IF(Tabela8[[#This Row],[SETOR]]&lt;400,"GV 30","S/GV"))))</f>
        <v>GV 10</v>
      </c>
      <c r="E2674" t="s">
        <v>123</v>
      </c>
      <c r="G2674" t="str">
        <f>_xlfn.CONCAT(Tabela9[[#This Row],[Coluna1]],Tabela9[[#This Row],[Coluna2]])</f>
        <v>20-Rota</v>
      </c>
    </row>
    <row r="2675" spans="1:7" x14ac:dyDescent="0.25">
      <c r="A2675">
        <v>16142</v>
      </c>
      <c r="B2675">
        <v>206</v>
      </c>
      <c r="C2675" s="1" t="str">
        <f>IF(Tabela8[[#This Row],[SETOR]]="","",IF(Tabela8[[#This Row],[SETOR]]&lt;200,"GV 10",IF(Tabela8[[#This Row],[SETOR]]&lt;300,"GV 20",IF(Tabela8[[#This Row],[SETOR]]&lt;400,"GV 30","S/GV"))))</f>
        <v>GV 20</v>
      </c>
      <c r="E2675" t="s">
        <v>123</v>
      </c>
      <c r="G2675" t="str">
        <f>_xlfn.CONCAT(Tabela9[[#This Row],[Coluna1]],Tabela9[[#This Row],[Coluna2]])</f>
        <v>20-Rota</v>
      </c>
    </row>
    <row r="2676" spans="1:7" x14ac:dyDescent="0.25">
      <c r="A2676">
        <v>16144</v>
      </c>
      <c r="B2676">
        <v>907</v>
      </c>
      <c r="C2676" s="1" t="str">
        <f>IF(Tabela8[[#This Row],[SETOR]]="","",IF(Tabela8[[#This Row],[SETOR]]&lt;200,"GV 10",IF(Tabela8[[#This Row],[SETOR]]&lt;300,"GV 20",IF(Tabela8[[#This Row],[SETOR]]&lt;400,"GV 30","S/GV"))))</f>
        <v>S/GV</v>
      </c>
      <c r="G2676" t="str">
        <f>_xlfn.CONCAT(Tabela9[[#This Row],[Coluna1]],Tabela9[[#This Row],[Coluna2]])</f>
        <v/>
      </c>
    </row>
    <row r="2677" spans="1:7" x14ac:dyDescent="0.25">
      <c r="A2677">
        <v>16145</v>
      </c>
      <c r="B2677">
        <v>204</v>
      </c>
      <c r="C2677" s="1" t="str">
        <f>IF(Tabela8[[#This Row],[SETOR]]="","",IF(Tabela8[[#This Row],[SETOR]]&lt;200,"GV 10",IF(Tabela8[[#This Row],[SETOR]]&lt;300,"GV 20",IF(Tabela8[[#This Row],[SETOR]]&lt;400,"GV 30","S/GV"))))</f>
        <v>GV 20</v>
      </c>
      <c r="E2677" t="s">
        <v>123</v>
      </c>
      <c r="G2677" t="str">
        <f>_xlfn.CONCAT(Tabela9[[#This Row],[Coluna1]],Tabela9[[#This Row],[Coluna2]])</f>
        <v>20-Rota</v>
      </c>
    </row>
    <row r="2678" spans="1:7" x14ac:dyDescent="0.25">
      <c r="A2678">
        <v>16148</v>
      </c>
      <c r="B2678">
        <v>201</v>
      </c>
      <c r="C2678" s="1" t="str">
        <f>IF(Tabela8[[#This Row],[SETOR]]="","",IF(Tabela8[[#This Row],[SETOR]]&lt;200,"GV 10",IF(Tabela8[[#This Row],[SETOR]]&lt;300,"GV 20",IF(Tabela8[[#This Row],[SETOR]]&lt;400,"GV 30","S/GV"))))</f>
        <v>GV 20</v>
      </c>
      <c r="E2678" t="s">
        <v>123</v>
      </c>
      <c r="G2678" t="str">
        <f>_xlfn.CONCAT(Tabela9[[#This Row],[Coluna1]],Tabela9[[#This Row],[Coluna2]])</f>
        <v>20-Rota</v>
      </c>
    </row>
    <row r="2679" spans="1:7" x14ac:dyDescent="0.25">
      <c r="A2679">
        <v>16156</v>
      </c>
      <c r="B2679">
        <v>916</v>
      </c>
      <c r="C2679" s="1" t="str">
        <f>IF(Tabela8[[#This Row],[SETOR]]="","",IF(Tabela8[[#This Row],[SETOR]]&lt;200,"GV 10",IF(Tabela8[[#This Row],[SETOR]]&lt;300,"GV 20",IF(Tabela8[[#This Row],[SETOR]]&lt;400,"GV 30","S/GV"))))</f>
        <v>S/GV</v>
      </c>
      <c r="G2679" t="str">
        <f>_xlfn.CONCAT(Tabela9[[#This Row],[Coluna1]],Tabela9[[#This Row],[Coluna2]])</f>
        <v/>
      </c>
    </row>
    <row r="2680" spans="1:7" x14ac:dyDescent="0.25">
      <c r="A2680">
        <v>16158</v>
      </c>
      <c r="B2680">
        <v>303</v>
      </c>
      <c r="C2680" s="1" t="str">
        <f>IF(Tabela8[[#This Row],[SETOR]]="","",IF(Tabela8[[#This Row],[SETOR]]&lt;200,"GV 10",IF(Tabela8[[#This Row],[SETOR]]&lt;300,"GV 20",IF(Tabela8[[#This Row],[SETOR]]&lt;400,"GV 30","S/GV"))))</f>
        <v>GV 30</v>
      </c>
      <c r="E2680" t="s">
        <v>123</v>
      </c>
      <c r="G2680" t="str">
        <f>_xlfn.CONCAT(Tabela9[[#This Row],[Coluna1]],Tabela9[[#This Row],[Coluna2]])</f>
        <v>20-Rota</v>
      </c>
    </row>
    <row r="2681" spans="1:7" x14ac:dyDescent="0.25">
      <c r="A2681">
        <v>16159</v>
      </c>
      <c r="B2681">
        <v>307</v>
      </c>
      <c r="C2681" s="1" t="str">
        <f>IF(Tabela8[[#This Row],[SETOR]]="","",IF(Tabela8[[#This Row],[SETOR]]&lt;200,"GV 10",IF(Tabela8[[#This Row],[SETOR]]&lt;300,"GV 20",IF(Tabela8[[#This Row],[SETOR]]&lt;400,"GV 30","S/GV"))))</f>
        <v>GV 30</v>
      </c>
      <c r="E2681" t="s">
        <v>130</v>
      </c>
      <c r="G2681" t="str">
        <f>_xlfn.CONCAT(Tabela9[[#This Row],[Coluna1]],Tabela9[[#This Row],[Coluna2]])</f>
        <v>21-SUB</v>
      </c>
    </row>
    <row r="2682" spans="1:7" x14ac:dyDescent="0.25">
      <c r="A2682">
        <v>16163</v>
      </c>
      <c r="B2682">
        <v>301</v>
      </c>
      <c r="C2682" s="1" t="str">
        <f>IF(Tabela8[[#This Row],[SETOR]]="","",IF(Tabela8[[#This Row],[SETOR]]&lt;200,"GV 10",IF(Tabela8[[#This Row],[SETOR]]&lt;300,"GV 20",IF(Tabela8[[#This Row],[SETOR]]&lt;400,"GV 30","S/GV"))))</f>
        <v>GV 30</v>
      </c>
      <c r="E2682" t="s">
        <v>123</v>
      </c>
      <c r="G2682" t="str">
        <f>_xlfn.CONCAT(Tabela9[[#This Row],[Coluna1]],Tabela9[[#This Row],[Coluna2]])</f>
        <v>20-Rota</v>
      </c>
    </row>
    <row r="2683" spans="1:7" x14ac:dyDescent="0.25">
      <c r="A2683">
        <v>16167</v>
      </c>
      <c r="B2683">
        <v>916</v>
      </c>
      <c r="C2683" s="1" t="str">
        <f>IF(Tabela8[[#This Row],[SETOR]]="","",IF(Tabela8[[#This Row],[SETOR]]&lt;200,"GV 10",IF(Tabela8[[#This Row],[SETOR]]&lt;300,"GV 20",IF(Tabela8[[#This Row],[SETOR]]&lt;400,"GV 30","S/GV"))))</f>
        <v>S/GV</v>
      </c>
      <c r="G2683" t="str">
        <f>_xlfn.CONCAT(Tabela9[[#This Row],[Coluna1]],Tabela9[[#This Row],[Coluna2]])</f>
        <v/>
      </c>
    </row>
    <row r="2684" spans="1:7" x14ac:dyDescent="0.25">
      <c r="A2684">
        <v>16168</v>
      </c>
      <c r="B2684">
        <v>916</v>
      </c>
      <c r="C2684" s="1" t="str">
        <f>IF(Tabela8[[#This Row],[SETOR]]="","",IF(Tabela8[[#This Row],[SETOR]]&lt;200,"GV 10",IF(Tabela8[[#This Row],[SETOR]]&lt;300,"GV 20",IF(Tabela8[[#This Row],[SETOR]]&lt;400,"GV 30","S/GV"))))</f>
        <v>S/GV</v>
      </c>
      <c r="G2684" t="str">
        <f>_xlfn.CONCAT(Tabela9[[#This Row],[Coluna1]],Tabela9[[#This Row],[Coluna2]])</f>
        <v/>
      </c>
    </row>
    <row r="2685" spans="1:7" x14ac:dyDescent="0.25">
      <c r="A2685">
        <v>16169</v>
      </c>
      <c r="B2685">
        <v>916</v>
      </c>
      <c r="C2685" s="1" t="str">
        <f>IF(Tabela8[[#This Row],[SETOR]]="","",IF(Tabela8[[#This Row],[SETOR]]&lt;200,"GV 10",IF(Tabela8[[#This Row],[SETOR]]&lt;300,"GV 20",IF(Tabela8[[#This Row],[SETOR]]&lt;400,"GV 30","S/GV"))))</f>
        <v>S/GV</v>
      </c>
      <c r="G2685" t="str">
        <f>_xlfn.CONCAT(Tabela9[[#This Row],[Coluna1]],Tabela9[[#This Row],[Coluna2]])</f>
        <v/>
      </c>
    </row>
    <row r="2686" spans="1:7" x14ac:dyDescent="0.25">
      <c r="A2686">
        <v>16170</v>
      </c>
      <c r="B2686">
        <v>304</v>
      </c>
      <c r="C2686" s="1" t="str">
        <f>IF(Tabela8[[#This Row],[SETOR]]="","",IF(Tabela8[[#This Row],[SETOR]]&lt;200,"GV 10",IF(Tabela8[[#This Row],[SETOR]]&lt;300,"GV 20",IF(Tabela8[[#This Row],[SETOR]]&lt;400,"GV 30","S/GV"))))</f>
        <v>GV 30</v>
      </c>
      <c r="E2686" t="s">
        <v>123</v>
      </c>
      <c r="G2686" t="str">
        <f>_xlfn.CONCAT(Tabela9[[#This Row],[Coluna1]],Tabela9[[#This Row],[Coluna2]])</f>
        <v>20-Rota</v>
      </c>
    </row>
    <row r="2687" spans="1:7" x14ac:dyDescent="0.25">
      <c r="A2687">
        <v>16171</v>
      </c>
      <c r="B2687">
        <v>109</v>
      </c>
      <c r="C2687" s="1" t="str">
        <f>IF(Tabela8[[#This Row],[SETOR]]="","",IF(Tabela8[[#This Row],[SETOR]]&lt;200,"GV 10",IF(Tabela8[[#This Row],[SETOR]]&lt;300,"GV 20",IF(Tabela8[[#This Row],[SETOR]]&lt;400,"GV 30","S/GV"))))</f>
        <v>GV 10</v>
      </c>
      <c r="E2687" t="s">
        <v>123</v>
      </c>
      <c r="G2687" t="str">
        <f>_xlfn.CONCAT(Tabela9[[#This Row],[Coluna1]],Tabela9[[#This Row],[Coluna2]])</f>
        <v>20-Rota</v>
      </c>
    </row>
    <row r="2688" spans="1:7" x14ac:dyDescent="0.25">
      <c r="A2688">
        <v>16172</v>
      </c>
      <c r="B2688">
        <v>105</v>
      </c>
      <c r="C2688" s="1" t="str">
        <f>IF(Tabela8[[#This Row],[SETOR]]="","",IF(Tabela8[[#This Row],[SETOR]]&lt;200,"GV 10",IF(Tabela8[[#This Row],[SETOR]]&lt;300,"GV 20",IF(Tabela8[[#This Row],[SETOR]]&lt;400,"GV 30","S/GV"))))</f>
        <v>GV 10</v>
      </c>
      <c r="E2688" t="s">
        <v>125</v>
      </c>
      <c r="G2688" t="str">
        <f>_xlfn.CONCAT(Tabela9[[#This Row],[Coluna1]],Tabela9[[#This Row],[Coluna2]])</f>
        <v>18-TRAD</v>
      </c>
    </row>
    <row r="2689" spans="1:7" x14ac:dyDescent="0.25">
      <c r="A2689">
        <v>16174</v>
      </c>
      <c r="B2689">
        <v>201</v>
      </c>
      <c r="C2689" s="1" t="str">
        <f>IF(Tabela8[[#This Row],[SETOR]]="","",IF(Tabela8[[#This Row],[SETOR]]&lt;200,"GV 10",IF(Tabela8[[#This Row],[SETOR]]&lt;300,"GV 20",IF(Tabela8[[#This Row],[SETOR]]&lt;400,"GV 30","S/GV"))))</f>
        <v>GV 20</v>
      </c>
      <c r="E2689" t="s">
        <v>123</v>
      </c>
      <c r="G2689" t="str">
        <f>_xlfn.CONCAT(Tabela9[[#This Row],[Coluna1]],Tabela9[[#This Row],[Coluna2]])</f>
        <v>20-Rota</v>
      </c>
    </row>
    <row r="2690" spans="1:7" x14ac:dyDescent="0.25">
      <c r="A2690">
        <v>16175</v>
      </c>
      <c r="B2690">
        <v>303</v>
      </c>
      <c r="C2690" s="1" t="str">
        <f>IF(Tabela8[[#This Row],[SETOR]]="","",IF(Tabela8[[#This Row],[SETOR]]&lt;200,"GV 10",IF(Tabela8[[#This Row],[SETOR]]&lt;300,"GV 20",IF(Tabela8[[#This Row],[SETOR]]&lt;400,"GV 30","S/GV"))))</f>
        <v>GV 30</v>
      </c>
      <c r="E2690" t="s">
        <v>123</v>
      </c>
      <c r="G2690" t="str">
        <f>_xlfn.CONCAT(Tabela9[[#This Row],[Coluna1]],Tabela9[[#This Row],[Coluna2]])</f>
        <v>20-Rota</v>
      </c>
    </row>
    <row r="2691" spans="1:7" x14ac:dyDescent="0.25">
      <c r="A2691">
        <v>16176</v>
      </c>
      <c r="B2691">
        <v>302</v>
      </c>
      <c r="C2691" s="1" t="str">
        <f>IF(Tabela8[[#This Row],[SETOR]]="","",IF(Tabela8[[#This Row],[SETOR]]&lt;200,"GV 10",IF(Tabela8[[#This Row],[SETOR]]&lt;300,"GV 20",IF(Tabela8[[#This Row],[SETOR]]&lt;400,"GV 30","S/GV"))))</f>
        <v>GV 30</v>
      </c>
      <c r="E2691" t="s">
        <v>123</v>
      </c>
      <c r="G2691" t="str">
        <f>_xlfn.CONCAT(Tabela9[[#This Row],[Coluna1]],Tabela9[[#This Row],[Coluna2]])</f>
        <v>20-Rota</v>
      </c>
    </row>
    <row r="2692" spans="1:7" x14ac:dyDescent="0.25">
      <c r="A2692">
        <v>16178</v>
      </c>
      <c r="B2692">
        <v>204</v>
      </c>
      <c r="C2692" s="1" t="str">
        <f>IF(Tabela8[[#This Row],[SETOR]]="","",IF(Tabela8[[#This Row],[SETOR]]&lt;200,"GV 10",IF(Tabela8[[#This Row],[SETOR]]&lt;300,"GV 20",IF(Tabela8[[#This Row],[SETOR]]&lt;400,"GV 30","S/GV"))))</f>
        <v>GV 20</v>
      </c>
      <c r="E2692" t="s">
        <v>123</v>
      </c>
      <c r="G2692" t="str">
        <f>_xlfn.CONCAT(Tabela9[[#This Row],[Coluna1]],Tabela9[[#This Row],[Coluna2]])</f>
        <v>20-Rota</v>
      </c>
    </row>
    <row r="2693" spans="1:7" x14ac:dyDescent="0.25">
      <c r="A2693">
        <v>16180</v>
      </c>
      <c r="B2693">
        <v>203</v>
      </c>
      <c r="C2693" s="1" t="str">
        <f>IF(Tabela8[[#This Row],[SETOR]]="","",IF(Tabela8[[#This Row],[SETOR]]&lt;200,"GV 10",IF(Tabela8[[#This Row],[SETOR]]&lt;300,"GV 20",IF(Tabela8[[#This Row],[SETOR]]&lt;400,"GV 30","S/GV"))))</f>
        <v>GV 20</v>
      </c>
      <c r="E2693" t="s">
        <v>123</v>
      </c>
      <c r="G2693" t="str">
        <f>_xlfn.CONCAT(Tabela9[[#This Row],[Coluna1]],Tabela9[[#This Row],[Coluna2]])</f>
        <v>20-Rota</v>
      </c>
    </row>
    <row r="2694" spans="1:7" x14ac:dyDescent="0.25">
      <c r="A2694">
        <v>16183</v>
      </c>
      <c r="B2694">
        <v>206</v>
      </c>
      <c r="C2694" s="1" t="str">
        <f>IF(Tabela8[[#This Row],[SETOR]]="","",IF(Tabela8[[#This Row],[SETOR]]&lt;200,"GV 10",IF(Tabela8[[#This Row],[SETOR]]&lt;300,"GV 20",IF(Tabela8[[#This Row],[SETOR]]&lt;400,"GV 30","S/GV"))))</f>
        <v>GV 20</v>
      </c>
      <c r="E2694" t="s">
        <v>123</v>
      </c>
      <c r="G2694" t="str">
        <f>_xlfn.CONCAT(Tabela9[[#This Row],[Coluna1]],Tabela9[[#This Row],[Coluna2]])</f>
        <v>20-Rota</v>
      </c>
    </row>
    <row r="2695" spans="1:7" x14ac:dyDescent="0.25">
      <c r="A2695">
        <v>16185</v>
      </c>
      <c r="B2695">
        <v>304</v>
      </c>
      <c r="C2695" s="1" t="str">
        <f>IF(Tabela8[[#This Row],[SETOR]]="","",IF(Tabela8[[#This Row],[SETOR]]&lt;200,"GV 10",IF(Tabela8[[#This Row],[SETOR]]&lt;300,"GV 20",IF(Tabela8[[#This Row],[SETOR]]&lt;400,"GV 30","S/GV"))))</f>
        <v>GV 30</v>
      </c>
      <c r="E2695" t="s">
        <v>123</v>
      </c>
      <c r="G2695" t="str">
        <f>_xlfn.CONCAT(Tabela9[[#This Row],[Coluna1]],Tabela9[[#This Row],[Coluna2]])</f>
        <v>20-Rota</v>
      </c>
    </row>
    <row r="2696" spans="1:7" x14ac:dyDescent="0.25">
      <c r="A2696">
        <v>16187</v>
      </c>
      <c r="B2696">
        <v>303</v>
      </c>
      <c r="C2696" s="1" t="str">
        <f>IF(Tabela8[[#This Row],[SETOR]]="","",IF(Tabela8[[#This Row],[SETOR]]&lt;200,"GV 10",IF(Tabela8[[#This Row],[SETOR]]&lt;300,"GV 20",IF(Tabela8[[#This Row],[SETOR]]&lt;400,"GV 30","S/GV"))))</f>
        <v>GV 30</v>
      </c>
      <c r="E2696" t="s">
        <v>123</v>
      </c>
      <c r="G2696" t="str">
        <f>_xlfn.CONCAT(Tabela9[[#This Row],[Coluna1]],Tabela9[[#This Row],[Coluna2]])</f>
        <v>20-Rota</v>
      </c>
    </row>
    <row r="2697" spans="1:7" x14ac:dyDescent="0.25">
      <c r="A2697">
        <v>16190</v>
      </c>
      <c r="B2697">
        <v>201</v>
      </c>
      <c r="C2697" s="1" t="str">
        <f>IF(Tabela8[[#This Row],[SETOR]]="","",IF(Tabela8[[#This Row],[SETOR]]&lt;200,"GV 10",IF(Tabela8[[#This Row],[SETOR]]&lt;300,"GV 20",IF(Tabela8[[#This Row],[SETOR]]&lt;400,"GV 30","S/GV"))))</f>
        <v>GV 20</v>
      </c>
      <c r="E2697" t="s">
        <v>123</v>
      </c>
      <c r="G2697" t="str">
        <f>_xlfn.CONCAT(Tabela9[[#This Row],[Coluna1]],Tabela9[[#This Row],[Coluna2]])</f>
        <v>20-Rota</v>
      </c>
    </row>
    <row r="2698" spans="1:7" x14ac:dyDescent="0.25">
      <c r="A2698">
        <v>16192</v>
      </c>
      <c r="B2698">
        <v>109</v>
      </c>
      <c r="C2698" s="1" t="str">
        <f>IF(Tabela8[[#This Row],[SETOR]]="","",IF(Tabela8[[#This Row],[SETOR]]&lt;200,"GV 10",IF(Tabela8[[#This Row],[SETOR]]&lt;300,"GV 20",IF(Tabela8[[#This Row],[SETOR]]&lt;400,"GV 30","S/GV"))))</f>
        <v>GV 10</v>
      </c>
      <c r="E2698" t="s">
        <v>123</v>
      </c>
      <c r="G2698" t="str">
        <f>_xlfn.CONCAT(Tabela9[[#This Row],[Coluna1]],Tabela9[[#This Row],[Coluna2]])</f>
        <v>20-Rota</v>
      </c>
    </row>
    <row r="2699" spans="1:7" x14ac:dyDescent="0.25">
      <c r="A2699">
        <v>16193</v>
      </c>
      <c r="B2699">
        <v>303</v>
      </c>
      <c r="C2699" s="1" t="str">
        <f>IF(Tabela8[[#This Row],[SETOR]]="","",IF(Tabela8[[#This Row],[SETOR]]&lt;200,"GV 10",IF(Tabela8[[#This Row],[SETOR]]&lt;300,"GV 20",IF(Tabela8[[#This Row],[SETOR]]&lt;400,"GV 30","S/GV"))))</f>
        <v>GV 30</v>
      </c>
      <c r="E2699" t="s">
        <v>123</v>
      </c>
      <c r="G2699" t="str">
        <f>_xlfn.CONCAT(Tabela9[[#This Row],[Coluna1]],Tabela9[[#This Row],[Coluna2]])</f>
        <v>20-Rota</v>
      </c>
    </row>
    <row r="2700" spans="1:7" x14ac:dyDescent="0.25">
      <c r="A2700">
        <v>16194</v>
      </c>
      <c r="B2700">
        <v>302</v>
      </c>
      <c r="C2700" s="1" t="str">
        <f>IF(Tabela8[[#This Row],[SETOR]]="","",IF(Tabela8[[#This Row],[SETOR]]&lt;200,"GV 10",IF(Tabela8[[#This Row],[SETOR]]&lt;300,"GV 20",IF(Tabela8[[#This Row],[SETOR]]&lt;400,"GV 30","S/GV"))))</f>
        <v>GV 30</v>
      </c>
      <c r="E2700" t="s">
        <v>123</v>
      </c>
      <c r="G2700" t="str">
        <f>_xlfn.CONCAT(Tabela9[[#This Row],[Coluna1]],Tabela9[[#This Row],[Coluna2]])</f>
        <v>20-Rota</v>
      </c>
    </row>
    <row r="2701" spans="1:7" x14ac:dyDescent="0.25">
      <c r="A2701">
        <v>16197</v>
      </c>
      <c r="B2701">
        <v>206</v>
      </c>
      <c r="C2701" s="1" t="str">
        <f>IF(Tabela8[[#This Row],[SETOR]]="","",IF(Tabela8[[#This Row],[SETOR]]&lt;200,"GV 10",IF(Tabela8[[#This Row],[SETOR]]&lt;300,"GV 20",IF(Tabela8[[#This Row],[SETOR]]&lt;400,"GV 30","S/GV"))))</f>
        <v>GV 20</v>
      </c>
      <c r="E2701" t="s">
        <v>123</v>
      </c>
      <c r="G2701" t="str">
        <f>_xlfn.CONCAT(Tabela9[[#This Row],[Coluna1]],Tabela9[[#This Row],[Coluna2]])</f>
        <v>20-Rota</v>
      </c>
    </row>
    <row r="2702" spans="1:7" x14ac:dyDescent="0.25">
      <c r="A2702">
        <v>16199</v>
      </c>
      <c r="B2702">
        <v>104</v>
      </c>
      <c r="C2702" s="1" t="str">
        <f>IF(Tabela8[[#This Row],[SETOR]]="","",IF(Tabela8[[#This Row],[SETOR]]&lt;200,"GV 10",IF(Tabela8[[#This Row],[SETOR]]&lt;300,"GV 20",IF(Tabela8[[#This Row],[SETOR]]&lt;400,"GV 30","S/GV"))))</f>
        <v>GV 10</v>
      </c>
      <c r="E2702" t="s">
        <v>123</v>
      </c>
      <c r="G2702" t="str">
        <f>_xlfn.CONCAT(Tabela9[[#This Row],[Coluna1]],Tabela9[[#This Row],[Coluna2]])</f>
        <v>20-Rota</v>
      </c>
    </row>
    <row r="2703" spans="1:7" x14ac:dyDescent="0.25">
      <c r="A2703">
        <v>16203</v>
      </c>
      <c r="B2703">
        <v>916</v>
      </c>
      <c r="C2703" s="1" t="str">
        <f>IF(Tabela8[[#This Row],[SETOR]]="","",IF(Tabela8[[#This Row],[SETOR]]&lt;200,"GV 10",IF(Tabela8[[#This Row],[SETOR]]&lt;300,"GV 20",IF(Tabela8[[#This Row],[SETOR]]&lt;400,"GV 30","S/GV"))))</f>
        <v>S/GV</v>
      </c>
      <c r="G2703" t="str">
        <f>_xlfn.CONCAT(Tabela9[[#This Row],[Coluna1]],Tabela9[[#This Row],[Coluna2]])</f>
        <v/>
      </c>
    </row>
    <row r="2704" spans="1:7" x14ac:dyDescent="0.25">
      <c r="A2704">
        <v>16207</v>
      </c>
      <c r="B2704">
        <v>102</v>
      </c>
      <c r="C2704" s="1" t="str">
        <f>IF(Tabela8[[#This Row],[SETOR]]="","",IF(Tabela8[[#This Row],[SETOR]]&lt;200,"GV 10",IF(Tabela8[[#This Row],[SETOR]]&lt;300,"GV 20",IF(Tabela8[[#This Row],[SETOR]]&lt;400,"GV 30","S/GV"))))</f>
        <v>GV 10</v>
      </c>
      <c r="E2704" t="s">
        <v>123</v>
      </c>
      <c r="G2704" t="str">
        <f>_xlfn.CONCAT(Tabela9[[#This Row],[Coluna1]],Tabela9[[#This Row],[Coluna2]])</f>
        <v>20-Rota</v>
      </c>
    </row>
    <row r="2705" spans="1:7" x14ac:dyDescent="0.25">
      <c r="A2705">
        <v>16208</v>
      </c>
      <c r="B2705">
        <v>303</v>
      </c>
      <c r="C2705" s="1" t="str">
        <f>IF(Tabela8[[#This Row],[SETOR]]="","",IF(Tabela8[[#This Row],[SETOR]]&lt;200,"GV 10",IF(Tabela8[[#This Row],[SETOR]]&lt;300,"GV 20",IF(Tabela8[[#This Row],[SETOR]]&lt;400,"GV 30","S/GV"))))</f>
        <v>GV 30</v>
      </c>
      <c r="E2705" t="s">
        <v>123</v>
      </c>
      <c r="G2705" t="str">
        <f>_xlfn.CONCAT(Tabela9[[#This Row],[Coluna1]],Tabela9[[#This Row],[Coluna2]])</f>
        <v>20-Rota</v>
      </c>
    </row>
    <row r="2706" spans="1:7" x14ac:dyDescent="0.25">
      <c r="A2706">
        <v>16210</v>
      </c>
      <c r="B2706">
        <v>109</v>
      </c>
      <c r="C2706" s="1" t="str">
        <f>IF(Tabela8[[#This Row],[SETOR]]="","",IF(Tabela8[[#This Row],[SETOR]]&lt;200,"GV 10",IF(Tabela8[[#This Row],[SETOR]]&lt;300,"GV 20",IF(Tabela8[[#This Row],[SETOR]]&lt;400,"GV 30","S/GV"))))</f>
        <v>GV 10</v>
      </c>
      <c r="E2706" t="s">
        <v>123</v>
      </c>
      <c r="G2706" t="str">
        <f>_xlfn.CONCAT(Tabela9[[#This Row],[Coluna1]],Tabela9[[#This Row],[Coluna2]])</f>
        <v>20-Rota</v>
      </c>
    </row>
    <row r="2707" spans="1:7" x14ac:dyDescent="0.25">
      <c r="A2707">
        <v>16211</v>
      </c>
      <c r="B2707">
        <v>206</v>
      </c>
      <c r="C2707" s="1" t="str">
        <f>IF(Tabela8[[#This Row],[SETOR]]="","",IF(Tabela8[[#This Row],[SETOR]]&lt;200,"GV 10",IF(Tabela8[[#This Row],[SETOR]]&lt;300,"GV 20",IF(Tabela8[[#This Row],[SETOR]]&lt;400,"GV 30","S/GV"))))</f>
        <v>GV 20</v>
      </c>
      <c r="E2707" t="s">
        <v>123</v>
      </c>
      <c r="G2707" t="str">
        <f>_xlfn.CONCAT(Tabela9[[#This Row],[Coluna1]],Tabela9[[#This Row],[Coluna2]])</f>
        <v>20-Rota</v>
      </c>
    </row>
    <row r="2708" spans="1:7" x14ac:dyDescent="0.25">
      <c r="A2708">
        <v>16213</v>
      </c>
      <c r="B2708">
        <v>302</v>
      </c>
      <c r="C2708" s="1" t="str">
        <f>IF(Tabela8[[#This Row],[SETOR]]="","",IF(Tabela8[[#This Row],[SETOR]]&lt;200,"GV 10",IF(Tabela8[[#This Row],[SETOR]]&lt;300,"GV 20",IF(Tabela8[[#This Row],[SETOR]]&lt;400,"GV 30","S/GV"))))</f>
        <v>GV 30</v>
      </c>
      <c r="E2708" t="s">
        <v>123</v>
      </c>
      <c r="G2708" t="str">
        <f>_xlfn.CONCAT(Tabela9[[#This Row],[Coluna1]],Tabela9[[#This Row],[Coluna2]])</f>
        <v>20-Rota</v>
      </c>
    </row>
    <row r="2709" spans="1:7" x14ac:dyDescent="0.25">
      <c r="A2709">
        <v>16216</v>
      </c>
      <c r="B2709">
        <v>106</v>
      </c>
      <c r="C2709" s="1" t="str">
        <f>IF(Tabela8[[#This Row],[SETOR]]="","",IF(Tabela8[[#This Row],[SETOR]]&lt;200,"GV 10",IF(Tabela8[[#This Row],[SETOR]]&lt;300,"GV 20",IF(Tabela8[[#This Row],[SETOR]]&lt;400,"GV 30","S/GV"))))</f>
        <v>GV 10</v>
      </c>
      <c r="E2709" t="s">
        <v>123</v>
      </c>
      <c r="G2709" t="str">
        <f>_xlfn.CONCAT(Tabela9[[#This Row],[Coluna1]],Tabela9[[#This Row],[Coluna2]])</f>
        <v>20-Rota</v>
      </c>
    </row>
    <row r="2710" spans="1:7" x14ac:dyDescent="0.25">
      <c r="A2710">
        <v>16218</v>
      </c>
      <c r="B2710">
        <v>107</v>
      </c>
      <c r="C2710" s="1" t="str">
        <f>IF(Tabela8[[#This Row],[SETOR]]="","",IF(Tabela8[[#This Row],[SETOR]]&lt;200,"GV 10",IF(Tabela8[[#This Row],[SETOR]]&lt;300,"GV 20",IF(Tabela8[[#This Row],[SETOR]]&lt;400,"GV 30","S/GV"))))</f>
        <v>GV 10</v>
      </c>
      <c r="E2710" t="s">
        <v>123</v>
      </c>
      <c r="G2710" t="str">
        <f>_xlfn.CONCAT(Tabela9[[#This Row],[Coluna1]],Tabela9[[#This Row],[Coluna2]])</f>
        <v>20-Rota</v>
      </c>
    </row>
    <row r="2711" spans="1:7" x14ac:dyDescent="0.25">
      <c r="A2711">
        <v>16220</v>
      </c>
      <c r="B2711">
        <v>305</v>
      </c>
      <c r="C2711" s="1" t="str">
        <f>IF(Tabela8[[#This Row],[SETOR]]="","",IF(Tabela8[[#This Row],[SETOR]]&lt;200,"GV 10",IF(Tabela8[[#This Row],[SETOR]]&lt;300,"GV 20",IF(Tabela8[[#This Row],[SETOR]]&lt;400,"GV 30","S/GV"))))</f>
        <v>GV 30</v>
      </c>
      <c r="E2711" t="s">
        <v>123</v>
      </c>
      <c r="G2711" t="str">
        <f>_xlfn.CONCAT(Tabela9[[#This Row],[Coluna1]],Tabela9[[#This Row],[Coluna2]])</f>
        <v>20-Rota</v>
      </c>
    </row>
    <row r="2712" spans="1:7" x14ac:dyDescent="0.25">
      <c r="A2712">
        <v>16222</v>
      </c>
      <c r="B2712">
        <v>205</v>
      </c>
      <c r="C2712" s="1" t="str">
        <f>IF(Tabela8[[#This Row],[SETOR]]="","",IF(Tabela8[[#This Row],[SETOR]]&lt;200,"GV 10",IF(Tabela8[[#This Row],[SETOR]]&lt;300,"GV 20",IF(Tabela8[[#This Row],[SETOR]]&lt;400,"GV 30","S/GV"))))</f>
        <v>GV 20</v>
      </c>
      <c r="E2712" t="s">
        <v>123</v>
      </c>
      <c r="G2712" t="str">
        <f>_xlfn.CONCAT(Tabela9[[#This Row],[Coluna1]],Tabela9[[#This Row],[Coluna2]])</f>
        <v>20-Rota</v>
      </c>
    </row>
    <row r="2713" spans="1:7" x14ac:dyDescent="0.25">
      <c r="A2713">
        <v>16227</v>
      </c>
      <c r="B2713">
        <v>307</v>
      </c>
      <c r="C2713" s="1" t="str">
        <f>IF(Tabela8[[#This Row],[SETOR]]="","",IF(Tabela8[[#This Row],[SETOR]]&lt;200,"GV 10",IF(Tabela8[[#This Row],[SETOR]]&lt;300,"GV 20",IF(Tabela8[[#This Row],[SETOR]]&lt;400,"GV 30","S/GV"))))</f>
        <v>GV 30</v>
      </c>
      <c r="E2713" t="s">
        <v>130</v>
      </c>
      <c r="G2713" t="str">
        <f>_xlfn.CONCAT(Tabela9[[#This Row],[Coluna1]],Tabela9[[#This Row],[Coluna2]])</f>
        <v>21-SUB</v>
      </c>
    </row>
    <row r="2714" spans="1:7" x14ac:dyDescent="0.25">
      <c r="A2714">
        <v>16232</v>
      </c>
      <c r="B2714">
        <v>304</v>
      </c>
      <c r="C2714" s="1" t="str">
        <f>IF(Tabela8[[#This Row],[SETOR]]="","",IF(Tabela8[[#This Row],[SETOR]]&lt;200,"GV 10",IF(Tabela8[[#This Row],[SETOR]]&lt;300,"GV 20",IF(Tabela8[[#This Row],[SETOR]]&lt;400,"GV 30","S/GV"))))</f>
        <v>GV 30</v>
      </c>
      <c r="E2714" t="s">
        <v>123</v>
      </c>
      <c r="G2714" t="str">
        <f>_xlfn.CONCAT(Tabela9[[#This Row],[Coluna1]],Tabela9[[#This Row],[Coluna2]])</f>
        <v>20-Rota</v>
      </c>
    </row>
    <row r="2715" spans="1:7" x14ac:dyDescent="0.25">
      <c r="A2715">
        <v>16233</v>
      </c>
      <c r="B2715">
        <v>201</v>
      </c>
      <c r="C2715" s="1" t="str">
        <f>IF(Tabela8[[#This Row],[SETOR]]="","",IF(Tabela8[[#This Row],[SETOR]]&lt;200,"GV 10",IF(Tabela8[[#This Row],[SETOR]]&lt;300,"GV 20",IF(Tabela8[[#This Row],[SETOR]]&lt;400,"GV 30","S/GV"))))</f>
        <v>GV 20</v>
      </c>
      <c r="E2715" t="s">
        <v>123</v>
      </c>
      <c r="G2715" t="str">
        <f>_xlfn.CONCAT(Tabela9[[#This Row],[Coluna1]],Tabela9[[#This Row],[Coluna2]])</f>
        <v>20-Rota</v>
      </c>
    </row>
    <row r="2716" spans="1:7" x14ac:dyDescent="0.25">
      <c r="A2716">
        <v>16235</v>
      </c>
      <c r="B2716">
        <v>907</v>
      </c>
      <c r="C2716" s="1" t="str">
        <f>IF(Tabela8[[#This Row],[SETOR]]="","",IF(Tabela8[[#This Row],[SETOR]]&lt;200,"GV 10",IF(Tabela8[[#This Row],[SETOR]]&lt;300,"GV 20",IF(Tabela8[[#This Row],[SETOR]]&lt;400,"GV 30","S/GV"))))</f>
        <v>S/GV</v>
      </c>
      <c r="G2716" t="str">
        <f>_xlfn.CONCAT(Tabela9[[#This Row],[Coluna1]],Tabela9[[#This Row],[Coluna2]])</f>
        <v/>
      </c>
    </row>
    <row r="2717" spans="1:7" x14ac:dyDescent="0.25">
      <c r="A2717">
        <v>16236</v>
      </c>
      <c r="B2717">
        <v>103</v>
      </c>
      <c r="C2717" s="1" t="str">
        <f>IF(Tabela8[[#This Row],[SETOR]]="","",IF(Tabela8[[#This Row],[SETOR]]&lt;200,"GV 10",IF(Tabela8[[#This Row],[SETOR]]&lt;300,"GV 20",IF(Tabela8[[#This Row],[SETOR]]&lt;400,"GV 30","S/GV"))))</f>
        <v>GV 10</v>
      </c>
      <c r="E2717" t="s">
        <v>123</v>
      </c>
      <c r="G2717" t="str">
        <f>_xlfn.CONCAT(Tabela9[[#This Row],[Coluna1]],Tabela9[[#This Row],[Coluna2]])</f>
        <v>20-Rota</v>
      </c>
    </row>
    <row r="2718" spans="1:7" x14ac:dyDescent="0.25">
      <c r="A2718">
        <v>16239</v>
      </c>
      <c r="B2718">
        <v>907</v>
      </c>
      <c r="C2718" s="1" t="str">
        <f>IF(Tabela8[[#This Row],[SETOR]]="","",IF(Tabela8[[#This Row],[SETOR]]&lt;200,"GV 10",IF(Tabela8[[#This Row],[SETOR]]&lt;300,"GV 20",IF(Tabela8[[#This Row],[SETOR]]&lt;400,"GV 30","S/GV"))))</f>
        <v>S/GV</v>
      </c>
      <c r="G2718" t="str">
        <f>_xlfn.CONCAT(Tabela9[[#This Row],[Coluna1]],Tabela9[[#This Row],[Coluna2]])</f>
        <v/>
      </c>
    </row>
    <row r="2719" spans="1:7" x14ac:dyDescent="0.25">
      <c r="A2719">
        <v>16242</v>
      </c>
      <c r="B2719">
        <v>102</v>
      </c>
      <c r="C2719" s="1" t="str">
        <f>IF(Tabela8[[#This Row],[SETOR]]="","",IF(Tabela8[[#This Row],[SETOR]]&lt;200,"GV 10",IF(Tabela8[[#This Row],[SETOR]]&lt;300,"GV 20",IF(Tabela8[[#This Row],[SETOR]]&lt;400,"GV 30","S/GV"))))</f>
        <v>GV 10</v>
      </c>
      <c r="E2719" t="s">
        <v>123</v>
      </c>
      <c r="G2719" t="str">
        <f>_xlfn.CONCAT(Tabela9[[#This Row],[Coluna1]],Tabela9[[#This Row],[Coluna2]])</f>
        <v>20-Rota</v>
      </c>
    </row>
    <row r="2720" spans="1:7" x14ac:dyDescent="0.25">
      <c r="A2720">
        <v>16244</v>
      </c>
      <c r="B2720">
        <v>305</v>
      </c>
      <c r="C2720" s="1" t="str">
        <f>IF(Tabela8[[#This Row],[SETOR]]="","",IF(Tabela8[[#This Row],[SETOR]]&lt;200,"GV 10",IF(Tabela8[[#This Row],[SETOR]]&lt;300,"GV 20",IF(Tabela8[[#This Row],[SETOR]]&lt;400,"GV 30","S/GV"))))</f>
        <v>GV 30</v>
      </c>
      <c r="E2720" t="s">
        <v>123</v>
      </c>
      <c r="G2720" t="str">
        <f>_xlfn.CONCAT(Tabela9[[#This Row],[Coluna1]],Tabela9[[#This Row],[Coluna2]])</f>
        <v>20-Rota</v>
      </c>
    </row>
    <row r="2721" spans="1:7" x14ac:dyDescent="0.25">
      <c r="A2721">
        <v>16245</v>
      </c>
      <c r="B2721">
        <v>203</v>
      </c>
      <c r="C2721" s="1" t="str">
        <f>IF(Tabela8[[#This Row],[SETOR]]="","",IF(Tabela8[[#This Row],[SETOR]]&lt;200,"GV 10",IF(Tabela8[[#This Row],[SETOR]]&lt;300,"GV 20",IF(Tabela8[[#This Row],[SETOR]]&lt;400,"GV 30","S/GV"))))</f>
        <v>GV 20</v>
      </c>
      <c r="E2721" t="s">
        <v>123</v>
      </c>
      <c r="G2721" t="str">
        <f>_xlfn.CONCAT(Tabela9[[#This Row],[Coluna1]],Tabela9[[#This Row],[Coluna2]])</f>
        <v>20-Rota</v>
      </c>
    </row>
    <row r="2722" spans="1:7" x14ac:dyDescent="0.25">
      <c r="A2722">
        <v>16246</v>
      </c>
      <c r="B2722">
        <v>204</v>
      </c>
      <c r="C2722" s="1" t="str">
        <f>IF(Tabela8[[#This Row],[SETOR]]="","",IF(Tabela8[[#This Row],[SETOR]]&lt;200,"GV 10",IF(Tabela8[[#This Row],[SETOR]]&lt;300,"GV 20",IF(Tabela8[[#This Row],[SETOR]]&lt;400,"GV 30","S/GV"))))</f>
        <v>GV 20</v>
      </c>
      <c r="E2722" t="s">
        <v>123</v>
      </c>
      <c r="G2722" t="str">
        <f>_xlfn.CONCAT(Tabela9[[#This Row],[Coluna1]],Tabela9[[#This Row],[Coluna2]])</f>
        <v>20-Rota</v>
      </c>
    </row>
    <row r="2723" spans="1:7" x14ac:dyDescent="0.25">
      <c r="A2723">
        <v>16254</v>
      </c>
      <c r="B2723">
        <v>102</v>
      </c>
      <c r="C2723" s="1" t="str">
        <f>IF(Tabela8[[#This Row],[SETOR]]="","",IF(Tabela8[[#This Row],[SETOR]]&lt;200,"GV 10",IF(Tabela8[[#This Row],[SETOR]]&lt;300,"GV 20",IF(Tabela8[[#This Row],[SETOR]]&lt;400,"GV 30","S/GV"))))</f>
        <v>GV 10</v>
      </c>
      <c r="E2723" t="s">
        <v>123</v>
      </c>
      <c r="G2723" t="str">
        <f>_xlfn.CONCAT(Tabela9[[#This Row],[Coluna1]],Tabela9[[#This Row],[Coluna2]])</f>
        <v>20-Rota</v>
      </c>
    </row>
    <row r="2724" spans="1:7" x14ac:dyDescent="0.25">
      <c r="A2724">
        <v>16257</v>
      </c>
      <c r="B2724">
        <v>303</v>
      </c>
      <c r="C2724" s="1" t="str">
        <f>IF(Tabela8[[#This Row],[SETOR]]="","",IF(Tabela8[[#This Row],[SETOR]]&lt;200,"GV 10",IF(Tabela8[[#This Row],[SETOR]]&lt;300,"GV 20",IF(Tabela8[[#This Row],[SETOR]]&lt;400,"GV 30","S/GV"))))</f>
        <v>GV 30</v>
      </c>
      <c r="E2724" t="s">
        <v>123</v>
      </c>
      <c r="G2724" t="str">
        <f>_xlfn.CONCAT(Tabela9[[#This Row],[Coluna1]],Tabela9[[#This Row],[Coluna2]])</f>
        <v>20-Rota</v>
      </c>
    </row>
    <row r="2725" spans="1:7" x14ac:dyDescent="0.25">
      <c r="A2725">
        <v>16260</v>
      </c>
      <c r="B2725">
        <v>204</v>
      </c>
      <c r="C2725" s="1" t="str">
        <f>IF(Tabela8[[#This Row],[SETOR]]="","",IF(Tabela8[[#This Row],[SETOR]]&lt;200,"GV 10",IF(Tabela8[[#This Row],[SETOR]]&lt;300,"GV 20",IF(Tabela8[[#This Row],[SETOR]]&lt;400,"GV 30","S/GV"))))</f>
        <v>GV 20</v>
      </c>
      <c r="E2725" t="s">
        <v>123</v>
      </c>
      <c r="G2725" t="str">
        <f>_xlfn.CONCAT(Tabela9[[#This Row],[Coluna1]],Tabela9[[#This Row],[Coluna2]])</f>
        <v>20-Rota</v>
      </c>
    </row>
    <row r="2726" spans="1:7" x14ac:dyDescent="0.25">
      <c r="A2726">
        <v>16261</v>
      </c>
      <c r="B2726">
        <v>202</v>
      </c>
      <c r="C2726" s="1" t="str">
        <f>IF(Tabela8[[#This Row],[SETOR]]="","",IF(Tabela8[[#This Row],[SETOR]]&lt;200,"GV 10",IF(Tabela8[[#This Row],[SETOR]]&lt;300,"GV 20",IF(Tabela8[[#This Row],[SETOR]]&lt;400,"GV 30","S/GV"))))</f>
        <v>GV 20</v>
      </c>
      <c r="E2726" t="s">
        <v>123</v>
      </c>
      <c r="G2726" t="str">
        <f>_xlfn.CONCAT(Tabela9[[#This Row],[Coluna1]],Tabela9[[#This Row],[Coluna2]])</f>
        <v>20-Rota</v>
      </c>
    </row>
    <row r="2727" spans="1:7" x14ac:dyDescent="0.25">
      <c r="A2727">
        <v>16269</v>
      </c>
      <c r="B2727">
        <v>202</v>
      </c>
      <c r="C2727" s="1" t="str">
        <f>IF(Tabela8[[#This Row],[SETOR]]="","",IF(Tabela8[[#This Row],[SETOR]]&lt;200,"GV 10",IF(Tabela8[[#This Row],[SETOR]]&lt;300,"GV 20",IF(Tabela8[[#This Row],[SETOR]]&lt;400,"GV 30","S/GV"))))</f>
        <v>GV 20</v>
      </c>
      <c r="E2727" t="s">
        <v>123</v>
      </c>
      <c r="G2727" t="str">
        <f>_xlfn.CONCAT(Tabela9[[#This Row],[Coluna1]],Tabela9[[#This Row],[Coluna2]])</f>
        <v>20-Rota</v>
      </c>
    </row>
    <row r="2728" spans="1:7" x14ac:dyDescent="0.25">
      <c r="A2728">
        <v>16270</v>
      </c>
      <c r="B2728">
        <v>206</v>
      </c>
      <c r="C2728" s="1" t="str">
        <f>IF(Tabela8[[#This Row],[SETOR]]="","",IF(Tabela8[[#This Row],[SETOR]]&lt;200,"GV 10",IF(Tabela8[[#This Row],[SETOR]]&lt;300,"GV 20",IF(Tabela8[[#This Row],[SETOR]]&lt;400,"GV 30","S/GV"))))</f>
        <v>GV 20</v>
      </c>
      <c r="E2728" t="s">
        <v>125</v>
      </c>
      <c r="G2728" t="str">
        <f>_xlfn.CONCAT(Tabela9[[#This Row],[Coluna1]],Tabela9[[#This Row],[Coluna2]])</f>
        <v>18-TRAD</v>
      </c>
    </row>
    <row r="2729" spans="1:7" x14ac:dyDescent="0.25">
      <c r="A2729">
        <v>16274</v>
      </c>
      <c r="B2729">
        <v>303</v>
      </c>
      <c r="C2729" s="1" t="str">
        <f>IF(Tabela8[[#This Row],[SETOR]]="","",IF(Tabela8[[#This Row],[SETOR]]&lt;200,"GV 10",IF(Tabela8[[#This Row],[SETOR]]&lt;300,"GV 20",IF(Tabela8[[#This Row],[SETOR]]&lt;400,"GV 30","S/GV"))))</f>
        <v>GV 30</v>
      </c>
      <c r="E2729" t="s">
        <v>123</v>
      </c>
      <c r="G2729" t="str">
        <f>_xlfn.CONCAT(Tabela9[[#This Row],[Coluna1]],Tabela9[[#This Row],[Coluna2]])</f>
        <v>20-Rota</v>
      </c>
    </row>
    <row r="2730" spans="1:7" x14ac:dyDescent="0.25">
      <c r="A2730">
        <v>16280</v>
      </c>
      <c r="B2730">
        <v>302</v>
      </c>
      <c r="C2730" s="1" t="str">
        <f>IF(Tabela8[[#This Row],[SETOR]]="","",IF(Tabela8[[#This Row],[SETOR]]&lt;200,"GV 10",IF(Tabela8[[#This Row],[SETOR]]&lt;300,"GV 20",IF(Tabela8[[#This Row],[SETOR]]&lt;400,"GV 30","S/GV"))))</f>
        <v>GV 30</v>
      </c>
      <c r="E2730" t="s">
        <v>123</v>
      </c>
      <c r="G2730" t="str">
        <f>_xlfn.CONCAT(Tabela9[[#This Row],[Coluna1]],Tabela9[[#This Row],[Coluna2]])</f>
        <v>20-Rota</v>
      </c>
    </row>
    <row r="2731" spans="1:7" x14ac:dyDescent="0.25">
      <c r="A2731">
        <v>16281</v>
      </c>
      <c r="B2731">
        <v>105</v>
      </c>
      <c r="C2731" s="1" t="str">
        <f>IF(Tabela8[[#This Row],[SETOR]]="","",IF(Tabela8[[#This Row],[SETOR]]&lt;200,"GV 10",IF(Tabela8[[#This Row],[SETOR]]&lt;300,"GV 20",IF(Tabela8[[#This Row],[SETOR]]&lt;400,"GV 30","S/GV"))))</f>
        <v>GV 10</v>
      </c>
      <c r="E2731" t="s">
        <v>123</v>
      </c>
      <c r="G2731" t="str">
        <f>_xlfn.CONCAT(Tabela9[[#This Row],[Coluna1]],Tabela9[[#This Row],[Coluna2]])</f>
        <v>20-Rota</v>
      </c>
    </row>
    <row r="2732" spans="1:7" x14ac:dyDescent="0.25">
      <c r="A2732">
        <v>16283</v>
      </c>
      <c r="B2732">
        <v>202</v>
      </c>
      <c r="C2732" s="1" t="str">
        <f>IF(Tabela8[[#This Row],[SETOR]]="","",IF(Tabela8[[#This Row],[SETOR]]&lt;200,"GV 10",IF(Tabela8[[#This Row],[SETOR]]&lt;300,"GV 20",IF(Tabela8[[#This Row],[SETOR]]&lt;400,"GV 30","S/GV"))))</f>
        <v>GV 20</v>
      </c>
      <c r="E2732" t="s">
        <v>123</v>
      </c>
      <c r="G2732" t="str">
        <f>_xlfn.CONCAT(Tabela9[[#This Row],[Coluna1]],Tabela9[[#This Row],[Coluna2]])</f>
        <v>20-Rota</v>
      </c>
    </row>
    <row r="2733" spans="1:7" x14ac:dyDescent="0.25">
      <c r="A2733">
        <v>16287</v>
      </c>
      <c r="B2733">
        <v>303</v>
      </c>
      <c r="C2733" s="1" t="str">
        <f>IF(Tabela8[[#This Row],[SETOR]]="","",IF(Tabela8[[#This Row],[SETOR]]&lt;200,"GV 10",IF(Tabela8[[#This Row],[SETOR]]&lt;300,"GV 20",IF(Tabela8[[#This Row],[SETOR]]&lt;400,"GV 30","S/GV"))))</f>
        <v>GV 30</v>
      </c>
      <c r="E2733" t="s">
        <v>123</v>
      </c>
      <c r="G2733" t="str">
        <f>_xlfn.CONCAT(Tabela9[[#This Row],[Coluna1]],Tabela9[[#This Row],[Coluna2]])</f>
        <v>20-Rota</v>
      </c>
    </row>
    <row r="2734" spans="1:7" x14ac:dyDescent="0.25">
      <c r="A2734">
        <v>16288</v>
      </c>
      <c r="B2734">
        <v>303</v>
      </c>
      <c r="C2734" s="1" t="str">
        <f>IF(Tabela8[[#This Row],[SETOR]]="","",IF(Tabela8[[#This Row],[SETOR]]&lt;200,"GV 10",IF(Tabela8[[#This Row],[SETOR]]&lt;300,"GV 20",IF(Tabela8[[#This Row],[SETOR]]&lt;400,"GV 30","S/GV"))))</f>
        <v>GV 30</v>
      </c>
      <c r="E2734" t="s">
        <v>123</v>
      </c>
      <c r="G2734" t="str">
        <f>_xlfn.CONCAT(Tabela9[[#This Row],[Coluna1]],Tabela9[[#This Row],[Coluna2]])</f>
        <v>20-Rota</v>
      </c>
    </row>
    <row r="2735" spans="1:7" x14ac:dyDescent="0.25">
      <c r="A2735">
        <v>16291</v>
      </c>
      <c r="B2735">
        <v>302</v>
      </c>
      <c r="C2735" s="1" t="str">
        <f>IF(Tabela8[[#This Row],[SETOR]]="","",IF(Tabela8[[#This Row],[SETOR]]&lt;200,"GV 10",IF(Tabela8[[#This Row],[SETOR]]&lt;300,"GV 20",IF(Tabela8[[#This Row],[SETOR]]&lt;400,"GV 30","S/GV"))))</f>
        <v>GV 30</v>
      </c>
      <c r="E2735" t="s">
        <v>123</v>
      </c>
      <c r="G2735" t="str">
        <f>_xlfn.CONCAT(Tabela9[[#This Row],[Coluna1]],Tabela9[[#This Row],[Coluna2]])</f>
        <v>20-Rota</v>
      </c>
    </row>
    <row r="2736" spans="1:7" x14ac:dyDescent="0.25">
      <c r="A2736">
        <v>16296</v>
      </c>
      <c r="B2736">
        <v>101</v>
      </c>
      <c r="C2736" s="1" t="str">
        <f>IF(Tabela8[[#This Row],[SETOR]]="","",IF(Tabela8[[#This Row],[SETOR]]&lt;200,"GV 10",IF(Tabela8[[#This Row],[SETOR]]&lt;300,"GV 20",IF(Tabela8[[#This Row],[SETOR]]&lt;400,"GV 30","S/GV"))))</f>
        <v>GV 10</v>
      </c>
      <c r="E2736" t="s">
        <v>123</v>
      </c>
      <c r="G2736" t="str">
        <f>_xlfn.CONCAT(Tabela9[[#This Row],[Coluna1]],Tabela9[[#This Row],[Coluna2]])</f>
        <v>20-Rota</v>
      </c>
    </row>
    <row r="2737" spans="1:7" x14ac:dyDescent="0.25">
      <c r="A2737">
        <v>16298</v>
      </c>
      <c r="B2737">
        <v>105</v>
      </c>
      <c r="C2737" s="1" t="str">
        <f>IF(Tabela8[[#This Row],[SETOR]]="","",IF(Tabela8[[#This Row],[SETOR]]&lt;200,"GV 10",IF(Tabela8[[#This Row],[SETOR]]&lt;300,"GV 20",IF(Tabela8[[#This Row],[SETOR]]&lt;400,"GV 30","S/GV"))))</f>
        <v>GV 10</v>
      </c>
      <c r="E2737" t="s">
        <v>123</v>
      </c>
      <c r="G2737" t="str">
        <f>_xlfn.CONCAT(Tabela9[[#This Row],[Coluna1]],Tabela9[[#This Row],[Coluna2]])</f>
        <v>20-Rota</v>
      </c>
    </row>
    <row r="2738" spans="1:7" x14ac:dyDescent="0.25">
      <c r="A2738">
        <v>16299</v>
      </c>
      <c r="B2738">
        <v>102</v>
      </c>
      <c r="C2738" s="1" t="str">
        <f>IF(Tabela8[[#This Row],[SETOR]]="","",IF(Tabela8[[#This Row],[SETOR]]&lt;200,"GV 10",IF(Tabela8[[#This Row],[SETOR]]&lt;300,"GV 20",IF(Tabela8[[#This Row],[SETOR]]&lt;400,"GV 30","S/GV"))))</f>
        <v>GV 10</v>
      </c>
      <c r="E2738" t="s">
        <v>123</v>
      </c>
      <c r="G2738" t="str">
        <f>_xlfn.CONCAT(Tabela9[[#This Row],[Coluna1]],Tabela9[[#This Row],[Coluna2]])</f>
        <v>20-Rota</v>
      </c>
    </row>
    <row r="2739" spans="1:7" x14ac:dyDescent="0.25">
      <c r="A2739">
        <v>16306</v>
      </c>
      <c r="B2739">
        <v>106</v>
      </c>
      <c r="C2739" s="1" t="str">
        <f>IF(Tabela8[[#This Row],[SETOR]]="","",IF(Tabela8[[#This Row],[SETOR]]&lt;200,"GV 10",IF(Tabela8[[#This Row],[SETOR]]&lt;300,"GV 20",IF(Tabela8[[#This Row],[SETOR]]&lt;400,"GV 30","S/GV"))))</f>
        <v>GV 10</v>
      </c>
      <c r="E2739" t="s">
        <v>123</v>
      </c>
      <c r="G2739" t="str">
        <f>_xlfn.CONCAT(Tabela9[[#This Row],[Coluna1]],Tabela9[[#This Row],[Coluna2]])</f>
        <v>20-Rota</v>
      </c>
    </row>
    <row r="2740" spans="1:7" x14ac:dyDescent="0.25">
      <c r="A2740">
        <v>16307</v>
      </c>
      <c r="B2740">
        <v>307</v>
      </c>
      <c r="C2740" s="1" t="str">
        <f>IF(Tabela8[[#This Row],[SETOR]]="","",IF(Tabela8[[#This Row],[SETOR]]&lt;200,"GV 10",IF(Tabela8[[#This Row],[SETOR]]&lt;300,"GV 20",IF(Tabela8[[#This Row],[SETOR]]&lt;400,"GV 30","S/GV"))))</f>
        <v>GV 30</v>
      </c>
      <c r="E2740" t="s">
        <v>130</v>
      </c>
      <c r="G2740" t="str">
        <f>_xlfn.CONCAT(Tabela9[[#This Row],[Coluna1]],Tabela9[[#This Row],[Coluna2]])</f>
        <v>21-SUB</v>
      </c>
    </row>
    <row r="2741" spans="1:7" x14ac:dyDescent="0.25">
      <c r="A2741">
        <v>16310</v>
      </c>
      <c r="B2741">
        <v>201</v>
      </c>
      <c r="C2741" s="1" t="str">
        <f>IF(Tabela8[[#This Row],[SETOR]]="","",IF(Tabela8[[#This Row],[SETOR]]&lt;200,"GV 10",IF(Tabela8[[#This Row],[SETOR]]&lt;300,"GV 20",IF(Tabela8[[#This Row],[SETOR]]&lt;400,"GV 30","S/GV"))))</f>
        <v>GV 20</v>
      </c>
      <c r="E2741" t="s">
        <v>123</v>
      </c>
      <c r="G2741" t="str">
        <f>_xlfn.CONCAT(Tabela9[[#This Row],[Coluna1]],Tabela9[[#This Row],[Coluna2]])</f>
        <v>20-Rota</v>
      </c>
    </row>
    <row r="2742" spans="1:7" x14ac:dyDescent="0.25">
      <c r="A2742">
        <v>16311</v>
      </c>
      <c r="B2742">
        <v>205</v>
      </c>
      <c r="C2742" s="1" t="str">
        <f>IF(Tabela8[[#This Row],[SETOR]]="","",IF(Tabela8[[#This Row],[SETOR]]&lt;200,"GV 10",IF(Tabela8[[#This Row],[SETOR]]&lt;300,"GV 20",IF(Tabela8[[#This Row],[SETOR]]&lt;400,"GV 30","S/GV"))))</f>
        <v>GV 20</v>
      </c>
      <c r="E2742" t="s">
        <v>123</v>
      </c>
      <c r="G2742" t="str">
        <f>_xlfn.CONCAT(Tabela9[[#This Row],[Coluna1]],Tabela9[[#This Row],[Coluna2]])</f>
        <v>20-Rota</v>
      </c>
    </row>
    <row r="2743" spans="1:7" x14ac:dyDescent="0.25">
      <c r="A2743">
        <v>16313</v>
      </c>
      <c r="B2743">
        <v>305</v>
      </c>
      <c r="C2743" s="1" t="str">
        <f>IF(Tabela8[[#This Row],[SETOR]]="","",IF(Tabela8[[#This Row],[SETOR]]&lt;200,"GV 10",IF(Tabela8[[#This Row],[SETOR]]&lt;300,"GV 20",IF(Tabela8[[#This Row],[SETOR]]&lt;400,"GV 30","S/GV"))))</f>
        <v>GV 30</v>
      </c>
      <c r="E2743" t="s">
        <v>123</v>
      </c>
      <c r="G2743" t="str">
        <f>_xlfn.CONCAT(Tabela9[[#This Row],[Coluna1]],Tabela9[[#This Row],[Coluna2]])</f>
        <v>20-Rota</v>
      </c>
    </row>
    <row r="2744" spans="1:7" x14ac:dyDescent="0.25">
      <c r="A2744">
        <v>16317</v>
      </c>
      <c r="B2744">
        <v>105</v>
      </c>
      <c r="C2744" s="1" t="str">
        <f>IF(Tabela8[[#This Row],[SETOR]]="","",IF(Tabela8[[#This Row],[SETOR]]&lt;200,"GV 10",IF(Tabela8[[#This Row],[SETOR]]&lt;300,"GV 20",IF(Tabela8[[#This Row],[SETOR]]&lt;400,"GV 30","S/GV"))))</f>
        <v>GV 10</v>
      </c>
      <c r="E2744" t="s">
        <v>123</v>
      </c>
      <c r="G2744" t="str">
        <f>_xlfn.CONCAT(Tabela9[[#This Row],[Coluna1]],Tabela9[[#This Row],[Coluna2]])</f>
        <v>20-Rota</v>
      </c>
    </row>
    <row r="2745" spans="1:7" x14ac:dyDescent="0.25">
      <c r="A2745">
        <v>16319</v>
      </c>
      <c r="B2745">
        <v>304</v>
      </c>
      <c r="C2745" s="1" t="str">
        <f>IF(Tabela8[[#This Row],[SETOR]]="","",IF(Tabela8[[#This Row],[SETOR]]&lt;200,"GV 10",IF(Tabela8[[#This Row],[SETOR]]&lt;300,"GV 20",IF(Tabela8[[#This Row],[SETOR]]&lt;400,"GV 30","S/GV"))))</f>
        <v>GV 30</v>
      </c>
      <c r="E2745" t="s">
        <v>123</v>
      </c>
      <c r="G2745" t="str">
        <f>_xlfn.CONCAT(Tabela9[[#This Row],[Coluna1]],Tabela9[[#This Row],[Coluna2]])</f>
        <v>20-Rota</v>
      </c>
    </row>
    <row r="2746" spans="1:7" x14ac:dyDescent="0.25">
      <c r="A2746">
        <v>16320</v>
      </c>
      <c r="B2746">
        <v>301</v>
      </c>
      <c r="C2746" s="1" t="str">
        <f>IF(Tabela8[[#This Row],[SETOR]]="","",IF(Tabela8[[#This Row],[SETOR]]&lt;200,"GV 10",IF(Tabela8[[#This Row],[SETOR]]&lt;300,"GV 20",IF(Tabela8[[#This Row],[SETOR]]&lt;400,"GV 30","S/GV"))))</f>
        <v>GV 30</v>
      </c>
      <c r="E2746" t="s">
        <v>123</v>
      </c>
      <c r="G2746" t="str">
        <f>_xlfn.CONCAT(Tabela9[[#This Row],[Coluna1]],Tabela9[[#This Row],[Coluna2]])</f>
        <v>20-Rota</v>
      </c>
    </row>
    <row r="2747" spans="1:7" x14ac:dyDescent="0.25">
      <c r="A2747">
        <v>16321</v>
      </c>
      <c r="B2747">
        <v>305</v>
      </c>
      <c r="C2747" s="1" t="str">
        <f>IF(Tabela8[[#This Row],[SETOR]]="","",IF(Tabela8[[#This Row],[SETOR]]&lt;200,"GV 10",IF(Tabela8[[#This Row],[SETOR]]&lt;300,"GV 20",IF(Tabela8[[#This Row],[SETOR]]&lt;400,"GV 30","S/GV"))))</f>
        <v>GV 30</v>
      </c>
      <c r="E2747" t="s">
        <v>123</v>
      </c>
      <c r="G2747" t="str">
        <f>_xlfn.CONCAT(Tabela9[[#This Row],[Coluna1]],Tabela9[[#This Row],[Coluna2]])</f>
        <v>20-Rota</v>
      </c>
    </row>
    <row r="2748" spans="1:7" x14ac:dyDescent="0.25">
      <c r="A2748">
        <v>16322</v>
      </c>
      <c r="B2748">
        <v>104</v>
      </c>
      <c r="C2748" s="1" t="str">
        <f>IF(Tabela8[[#This Row],[SETOR]]="","",IF(Tabela8[[#This Row],[SETOR]]&lt;200,"GV 10",IF(Tabela8[[#This Row],[SETOR]]&lt;300,"GV 20",IF(Tabela8[[#This Row],[SETOR]]&lt;400,"GV 30","S/GV"))))</f>
        <v>GV 10</v>
      </c>
      <c r="E2748" t="s">
        <v>123</v>
      </c>
      <c r="G2748" t="str">
        <f>_xlfn.CONCAT(Tabela9[[#This Row],[Coluna1]],Tabela9[[#This Row],[Coluna2]])</f>
        <v>20-Rota</v>
      </c>
    </row>
    <row r="2749" spans="1:7" x14ac:dyDescent="0.25">
      <c r="A2749">
        <v>16323</v>
      </c>
      <c r="B2749">
        <v>109</v>
      </c>
      <c r="C2749" s="1" t="str">
        <f>IF(Tabela8[[#This Row],[SETOR]]="","",IF(Tabela8[[#This Row],[SETOR]]&lt;200,"GV 10",IF(Tabela8[[#This Row],[SETOR]]&lt;300,"GV 20",IF(Tabela8[[#This Row],[SETOR]]&lt;400,"GV 30","S/GV"))))</f>
        <v>GV 10</v>
      </c>
      <c r="E2749" t="s">
        <v>123</v>
      </c>
      <c r="G2749" t="str">
        <f>_xlfn.CONCAT(Tabela9[[#This Row],[Coluna1]],Tabela9[[#This Row],[Coluna2]])</f>
        <v>20-Rota</v>
      </c>
    </row>
    <row r="2750" spans="1:7" x14ac:dyDescent="0.25">
      <c r="A2750">
        <v>16329</v>
      </c>
      <c r="B2750">
        <v>301</v>
      </c>
      <c r="C2750" s="1" t="str">
        <f>IF(Tabela8[[#This Row],[SETOR]]="","",IF(Tabela8[[#This Row],[SETOR]]&lt;200,"GV 10",IF(Tabela8[[#This Row],[SETOR]]&lt;300,"GV 20",IF(Tabela8[[#This Row],[SETOR]]&lt;400,"GV 30","S/GV"))))</f>
        <v>GV 30</v>
      </c>
      <c r="E2750" t="s">
        <v>123</v>
      </c>
      <c r="G2750" t="str">
        <f>_xlfn.CONCAT(Tabela9[[#This Row],[Coluna1]],Tabela9[[#This Row],[Coluna2]])</f>
        <v>20-Rota</v>
      </c>
    </row>
    <row r="2751" spans="1:7" x14ac:dyDescent="0.25">
      <c r="A2751">
        <v>16336</v>
      </c>
      <c r="B2751">
        <v>204</v>
      </c>
      <c r="C2751" s="1" t="str">
        <f>IF(Tabela8[[#This Row],[SETOR]]="","",IF(Tabela8[[#This Row],[SETOR]]&lt;200,"GV 10",IF(Tabela8[[#This Row],[SETOR]]&lt;300,"GV 20",IF(Tabela8[[#This Row],[SETOR]]&lt;400,"GV 30","S/GV"))))</f>
        <v>GV 20</v>
      </c>
      <c r="E2751" t="s">
        <v>123</v>
      </c>
      <c r="G2751" t="str">
        <f>_xlfn.CONCAT(Tabela9[[#This Row],[Coluna1]],Tabela9[[#This Row],[Coluna2]])</f>
        <v>20-Rota</v>
      </c>
    </row>
    <row r="2752" spans="1:7" x14ac:dyDescent="0.25">
      <c r="A2752">
        <v>16337</v>
      </c>
      <c r="B2752">
        <v>103</v>
      </c>
      <c r="C2752" s="1" t="str">
        <f>IF(Tabela8[[#This Row],[SETOR]]="","",IF(Tabela8[[#This Row],[SETOR]]&lt;200,"GV 10",IF(Tabela8[[#This Row],[SETOR]]&lt;300,"GV 20",IF(Tabela8[[#This Row],[SETOR]]&lt;400,"GV 30","S/GV"))))</f>
        <v>GV 10</v>
      </c>
      <c r="E2752" t="s">
        <v>123</v>
      </c>
      <c r="G2752" t="str">
        <f>_xlfn.CONCAT(Tabela9[[#This Row],[Coluna1]],Tabela9[[#This Row],[Coluna2]])</f>
        <v>20-Rota</v>
      </c>
    </row>
    <row r="2753" spans="1:7" x14ac:dyDescent="0.25">
      <c r="A2753">
        <v>16338</v>
      </c>
      <c r="B2753">
        <v>301</v>
      </c>
      <c r="C2753" s="1" t="str">
        <f>IF(Tabela8[[#This Row],[SETOR]]="","",IF(Tabela8[[#This Row],[SETOR]]&lt;200,"GV 10",IF(Tabela8[[#This Row],[SETOR]]&lt;300,"GV 20",IF(Tabela8[[#This Row],[SETOR]]&lt;400,"GV 30","S/GV"))))</f>
        <v>GV 30</v>
      </c>
      <c r="E2753" t="s">
        <v>123</v>
      </c>
      <c r="G2753" t="str">
        <f>_xlfn.CONCAT(Tabela9[[#This Row],[Coluna1]],Tabela9[[#This Row],[Coluna2]])</f>
        <v>20-Rota</v>
      </c>
    </row>
    <row r="2754" spans="1:7" x14ac:dyDescent="0.25">
      <c r="A2754">
        <v>16340</v>
      </c>
      <c r="B2754">
        <v>301</v>
      </c>
      <c r="C2754" s="1" t="str">
        <f>IF(Tabela8[[#This Row],[SETOR]]="","",IF(Tabela8[[#This Row],[SETOR]]&lt;200,"GV 10",IF(Tabela8[[#This Row],[SETOR]]&lt;300,"GV 20",IF(Tabela8[[#This Row],[SETOR]]&lt;400,"GV 30","S/GV"))))</f>
        <v>GV 30</v>
      </c>
      <c r="E2754" t="s">
        <v>123</v>
      </c>
      <c r="G2754" t="str">
        <f>_xlfn.CONCAT(Tabela9[[#This Row],[Coluna1]],Tabela9[[#This Row],[Coluna2]])</f>
        <v>20-Rota</v>
      </c>
    </row>
    <row r="2755" spans="1:7" x14ac:dyDescent="0.25">
      <c r="A2755">
        <v>16343</v>
      </c>
      <c r="B2755">
        <v>104</v>
      </c>
      <c r="C2755" s="1" t="str">
        <f>IF(Tabela8[[#This Row],[SETOR]]="","",IF(Tabela8[[#This Row],[SETOR]]&lt;200,"GV 10",IF(Tabela8[[#This Row],[SETOR]]&lt;300,"GV 20",IF(Tabela8[[#This Row],[SETOR]]&lt;400,"GV 30","S/GV"))))</f>
        <v>GV 10</v>
      </c>
      <c r="E2755" t="s">
        <v>123</v>
      </c>
      <c r="G2755" t="str">
        <f>_xlfn.CONCAT(Tabela9[[#This Row],[Coluna1]],Tabela9[[#This Row],[Coluna2]])</f>
        <v>20-Rota</v>
      </c>
    </row>
    <row r="2756" spans="1:7" x14ac:dyDescent="0.25">
      <c r="A2756">
        <v>16346</v>
      </c>
      <c r="B2756">
        <v>207</v>
      </c>
      <c r="C2756" s="1" t="str">
        <f>IF(Tabela8[[#This Row],[SETOR]]="","",IF(Tabela8[[#This Row],[SETOR]]&lt;200,"GV 10",IF(Tabela8[[#This Row],[SETOR]]&lt;300,"GV 20",IF(Tabela8[[#This Row],[SETOR]]&lt;400,"GV 30","S/GV"))))</f>
        <v>GV 20</v>
      </c>
      <c r="E2756" t="s">
        <v>130</v>
      </c>
      <c r="G2756" t="str">
        <f>_xlfn.CONCAT(Tabela9[[#This Row],[Coluna1]],Tabela9[[#This Row],[Coluna2]])</f>
        <v>21-SUB</v>
      </c>
    </row>
    <row r="2757" spans="1:7" x14ac:dyDescent="0.25">
      <c r="A2757">
        <v>16350</v>
      </c>
      <c r="B2757">
        <v>203</v>
      </c>
      <c r="C2757" s="1" t="str">
        <f>IF(Tabela8[[#This Row],[SETOR]]="","",IF(Tabela8[[#This Row],[SETOR]]&lt;200,"GV 10",IF(Tabela8[[#This Row],[SETOR]]&lt;300,"GV 20",IF(Tabela8[[#This Row],[SETOR]]&lt;400,"GV 30","S/GV"))))</f>
        <v>GV 20</v>
      </c>
      <c r="E2757" t="s">
        <v>123</v>
      </c>
      <c r="G2757" t="str">
        <f>_xlfn.CONCAT(Tabela9[[#This Row],[Coluna1]],Tabela9[[#This Row],[Coluna2]])</f>
        <v>20-Rota</v>
      </c>
    </row>
    <row r="2758" spans="1:7" x14ac:dyDescent="0.25">
      <c r="A2758">
        <v>16355</v>
      </c>
      <c r="B2758">
        <v>202</v>
      </c>
      <c r="C2758" s="1" t="str">
        <f>IF(Tabela8[[#This Row],[SETOR]]="","",IF(Tabela8[[#This Row],[SETOR]]&lt;200,"GV 10",IF(Tabela8[[#This Row],[SETOR]]&lt;300,"GV 20",IF(Tabela8[[#This Row],[SETOR]]&lt;400,"GV 30","S/GV"))))</f>
        <v>GV 20</v>
      </c>
      <c r="E2758" t="s">
        <v>123</v>
      </c>
      <c r="G2758" t="str">
        <f>_xlfn.CONCAT(Tabela9[[#This Row],[Coluna1]],Tabela9[[#This Row],[Coluna2]])</f>
        <v>20-Rota</v>
      </c>
    </row>
    <row r="2759" spans="1:7" x14ac:dyDescent="0.25">
      <c r="A2759">
        <v>16357</v>
      </c>
      <c r="B2759">
        <v>303</v>
      </c>
      <c r="C2759" s="1" t="str">
        <f>IF(Tabela8[[#This Row],[SETOR]]="","",IF(Tabela8[[#This Row],[SETOR]]&lt;200,"GV 10",IF(Tabela8[[#This Row],[SETOR]]&lt;300,"GV 20",IF(Tabela8[[#This Row],[SETOR]]&lt;400,"GV 30","S/GV"))))</f>
        <v>GV 30</v>
      </c>
      <c r="E2759" t="s">
        <v>123</v>
      </c>
      <c r="G2759" t="str">
        <f>_xlfn.CONCAT(Tabela9[[#This Row],[Coluna1]],Tabela9[[#This Row],[Coluna2]])</f>
        <v>20-Rota</v>
      </c>
    </row>
    <row r="2760" spans="1:7" x14ac:dyDescent="0.25">
      <c r="A2760">
        <v>16362</v>
      </c>
      <c r="B2760">
        <v>101</v>
      </c>
      <c r="C2760" s="1" t="str">
        <f>IF(Tabela8[[#This Row],[SETOR]]="","",IF(Tabela8[[#This Row],[SETOR]]&lt;200,"GV 10",IF(Tabela8[[#This Row],[SETOR]]&lt;300,"GV 20",IF(Tabela8[[#This Row],[SETOR]]&lt;400,"GV 30","S/GV"))))</f>
        <v>GV 10</v>
      </c>
      <c r="E2760" t="s">
        <v>123</v>
      </c>
      <c r="G2760" t="str">
        <f>_xlfn.CONCAT(Tabela9[[#This Row],[Coluna1]],Tabela9[[#This Row],[Coluna2]])</f>
        <v>20-Rota</v>
      </c>
    </row>
    <row r="2761" spans="1:7" x14ac:dyDescent="0.25">
      <c r="A2761">
        <v>16364</v>
      </c>
      <c r="B2761">
        <v>101</v>
      </c>
      <c r="C2761" s="1" t="str">
        <f>IF(Tabela8[[#This Row],[SETOR]]="","",IF(Tabela8[[#This Row],[SETOR]]&lt;200,"GV 10",IF(Tabela8[[#This Row],[SETOR]]&lt;300,"GV 20",IF(Tabela8[[#This Row],[SETOR]]&lt;400,"GV 30","S/GV"))))</f>
        <v>GV 10</v>
      </c>
      <c r="E2761" t="s">
        <v>123</v>
      </c>
      <c r="G2761" t="str">
        <f>_xlfn.CONCAT(Tabela9[[#This Row],[Coluna1]],Tabela9[[#This Row],[Coluna2]])</f>
        <v>20-Rota</v>
      </c>
    </row>
    <row r="2762" spans="1:7" x14ac:dyDescent="0.25">
      <c r="A2762">
        <v>16366</v>
      </c>
      <c r="B2762">
        <v>907</v>
      </c>
      <c r="C2762" s="1" t="str">
        <f>IF(Tabela8[[#This Row],[SETOR]]="","",IF(Tabela8[[#This Row],[SETOR]]&lt;200,"GV 10",IF(Tabela8[[#This Row],[SETOR]]&lt;300,"GV 20",IF(Tabela8[[#This Row],[SETOR]]&lt;400,"GV 30","S/GV"))))</f>
        <v>S/GV</v>
      </c>
      <c r="G2762" t="str">
        <f>_xlfn.CONCAT(Tabela9[[#This Row],[Coluna1]],Tabela9[[#This Row],[Coluna2]])</f>
        <v/>
      </c>
    </row>
    <row r="2763" spans="1:7" x14ac:dyDescent="0.25">
      <c r="A2763">
        <v>16368</v>
      </c>
      <c r="B2763">
        <v>106</v>
      </c>
      <c r="C2763" s="1" t="str">
        <f>IF(Tabela8[[#This Row],[SETOR]]="","",IF(Tabela8[[#This Row],[SETOR]]&lt;200,"GV 10",IF(Tabela8[[#This Row],[SETOR]]&lt;300,"GV 20",IF(Tabela8[[#This Row],[SETOR]]&lt;400,"GV 30","S/GV"))))</f>
        <v>GV 10</v>
      </c>
      <c r="E2763" t="s">
        <v>125</v>
      </c>
      <c r="G2763" t="str">
        <f>_xlfn.CONCAT(Tabela9[[#This Row],[Coluna1]],Tabela9[[#This Row],[Coluna2]])</f>
        <v>18-TRAD</v>
      </c>
    </row>
    <row r="2764" spans="1:7" x14ac:dyDescent="0.25">
      <c r="A2764">
        <v>16375</v>
      </c>
      <c r="B2764">
        <v>103</v>
      </c>
      <c r="C2764" s="1" t="str">
        <f>IF(Tabela8[[#This Row],[SETOR]]="","",IF(Tabela8[[#This Row],[SETOR]]&lt;200,"GV 10",IF(Tabela8[[#This Row],[SETOR]]&lt;300,"GV 20",IF(Tabela8[[#This Row],[SETOR]]&lt;400,"GV 30","S/GV"))))</f>
        <v>GV 10</v>
      </c>
      <c r="E2764" t="s">
        <v>123</v>
      </c>
      <c r="G2764" t="str">
        <f>_xlfn.CONCAT(Tabela9[[#This Row],[Coluna1]],Tabela9[[#This Row],[Coluna2]])</f>
        <v>20-Rota</v>
      </c>
    </row>
    <row r="2765" spans="1:7" x14ac:dyDescent="0.25">
      <c r="A2765">
        <v>16376</v>
      </c>
      <c r="B2765">
        <v>202</v>
      </c>
      <c r="C2765" s="1" t="str">
        <f>IF(Tabela8[[#This Row],[SETOR]]="","",IF(Tabela8[[#This Row],[SETOR]]&lt;200,"GV 10",IF(Tabela8[[#This Row],[SETOR]]&lt;300,"GV 20",IF(Tabela8[[#This Row],[SETOR]]&lt;400,"GV 30","S/GV"))))</f>
        <v>GV 20</v>
      </c>
      <c r="E2765" t="s">
        <v>123</v>
      </c>
      <c r="G2765" t="str">
        <f>_xlfn.CONCAT(Tabela9[[#This Row],[Coluna1]],Tabela9[[#This Row],[Coluna2]])</f>
        <v>20-Rota</v>
      </c>
    </row>
    <row r="2766" spans="1:7" x14ac:dyDescent="0.25">
      <c r="A2766">
        <v>16377</v>
      </c>
      <c r="B2766">
        <v>906</v>
      </c>
      <c r="C2766" s="1" t="str">
        <f>IF(Tabela8[[#This Row],[SETOR]]="","",IF(Tabela8[[#This Row],[SETOR]]&lt;200,"GV 10",IF(Tabela8[[#This Row],[SETOR]]&lt;300,"GV 20",IF(Tabela8[[#This Row],[SETOR]]&lt;400,"GV 30","S/GV"))))</f>
        <v>S/GV</v>
      </c>
      <c r="G2766" t="str">
        <f>_xlfn.CONCAT(Tabela9[[#This Row],[Coluna1]],Tabela9[[#This Row],[Coluna2]])</f>
        <v/>
      </c>
    </row>
    <row r="2767" spans="1:7" x14ac:dyDescent="0.25">
      <c r="A2767">
        <v>16378</v>
      </c>
      <c r="B2767">
        <v>302</v>
      </c>
      <c r="C2767" s="1" t="str">
        <f>IF(Tabela8[[#This Row],[SETOR]]="","",IF(Tabela8[[#This Row],[SETOR]]&lt;200,"GV 10",IF(Tabela8[[#This Row],[SETOR]]&lt;300,"GV 20",IF(Tabela8[[#This Row],[SETOR]]&lt;400,"GV 30","S/GV"))))</f>
        <v>GV 30</v>
      </c>
      <c r="E2767" t="s">
        <v>123</v>
      </c>
      <c r="G2767" t="str">
        <f>_xlfn.CONCAT(Tabela9[[#This Row],[Coluna1]],Tabela9[[#This Row],[Coluna2]])</f>
        <v>20-Rota</v>
      </c>
    </row>
    <row r="2768" spans="1:7" x14ac:dyDescent="0.25">
      <c r="A2768">
        <v>16379</v>
      </c>
      <c r="B2768">
        <v>102</v>
      </c>
      <c r="C2768" s="1" t="str">
        <f>IF(Tabela8[[#This Row],[SETOR]]="","",IF(Tabela8[[#This Row],[SETOR]]&lt;200,"GV 10",IF(Tabela8[[#This Row],[SETOR]]&lt;300,"GV 20",IF(Tabela8[[#This Row],[SETOR]]&lt;400,"GV 30","S/GV"))))</f>
        <v>GV 10</v>
      </c>
      <c r="E2768" t="s">
        <v>123</v>
      </c>
      <c r="G2768" t="str">
        <f>_xlfn.CONCAT(Tabela9[[#This Row],[Coluna1]],Tabela9[[#This Row],[Coluna2]])</f>
        <v>20-Rota</v>
      </c>
    </row>
    <row r="2769" spans="1:7" x14ac:dyDescent="0.25">
      <c r="A2769">
        <v>16380</v>
      </c>
      <c r="B2769">
        <v>106</v>
      </c>
      <c r="C2769" s="1" t="str">
        <f>IF(Tabela8[[#This Row],[SETOR]]="","",IF(Tabela8[[#This Row],[SETOR]]&lt;200,"GV 10",IF(Tabela8[[#This Row],[SETOR]]&lt;300,"GV 20",IF(Tabela8[[#This Row],[SETOR]]&lt;400,"GV 30","S/GV"))))</f>
        <v>GV 10</v>
      </c>
      <c r="E2769" t="s">
        <v>123</v>
      </c>
      <c r="G2769" t="str">
        <f>_xlfn.CONCAT(Tabela9[[#This Row],[Coluna1]],Tabela9[[#This Row],[Coluna2]])</f>
        <v>20-Rota</v>
      </c>
    </row>
    <row r="2770" spans="1:7" x14ac:dyDescent="0.25">
      <c r="A2770">
        <v>16386</v>
      </c>
      <c r="B2770">
        <v>102</v>
      </c>
      <c r="C2770" s="1" t="str">
        <f>IF(Tabela8[[#This Row],[SETOR]]="","",IF(Tabela8[[#This Row],[SETOR]]&lt;200,"GV 10",IF(Tabela8[[#This Row],[SETOR]]&lt;300,"GV 20",IF(Tabela8[[#This Row],[SETOR]]&lt;400,"GV 30","S/GV"))))</f>
        <v>GV 10</v>
      </c>
      <c r="E2770" t="s">
        <v>123</v>
      </c>
      <c r="G2770" t="str">
        <f>_xlfn.CONCAT(Tabela9[[#This Row],[Coluna1]],Tabela9[[#This Row],[Coluna2]])</f>
        <v>20-Rota</v>
      </c>
    </row>
    <row r="2771" spans="1:7" x14ac:dyDescent="0.25">
      <c r="A2771">
        <v>16389</v>
      </c>
      <c r="B2771">
        <v>205</v>
      </c>
      <c r="C2771" s="1" t="str">
        <f>IF(Tabela8[[#This Row],[SETOR]]="","",IF(Tabela8[[#This Row],[SETOR]]&lt;200,"GV 10",IF(Tabela8[[#This Row],[SETOR]]&lt;300,"GV 20",IF(Tabela8[[#This Row],[SETOR]]&lt;400,"GV 30","S/GV"))))</f>
        <v>GV 20</v>
      </c>
      <c r="E2771" t="s">
        <v>123</v>
      </c>
      <c r="G2771" t="str">
        <f>_xlfn.CONCAT(Tabela9[[#This Row],[Coluna1]],Tabela9[[#This Row],[Coluna2]])</f>
        <v>20-Rota</v>
      </c>
    </row>
    <row r="2772" spans="1:7" x14ac:dyDescent="0.25">
      <c r="A2772">
        <v>16398</v>
      </c>
      <c r="B2772">
        <v>203</v>
      </c>
      <c r="C2772" s="1" t="str">
        <f>IF(Tabela8[[#This Row],[SETOR]]="","",IF(Tabela8[[#This Row],[SETOR]]&lt;200,"GV 10",IF(Tabela8[[#This Row],[SETOR]]&lt;300,"GV 20",IF(Tabela8[[#This Row],[SETOR]]&lt;400,"GV 30","S/GV"))))</f>
        <v>GV 20</v>
      </c>
      <c r="E2772" t="s">
        <v>123</v>
      </c>
      <c r="G2772" t="str">
        <f>_xlfn.CONCAT(Tabela9[[#This Row],[Coluna1]],Tabela9[[#This Row],[Coluna2]])</f>
        <v>20-Rota</v>
      </c>
    </row>
    <row r="2773" spans="1:7" x14ac:dyDescent="0.25">
      <c r="A2773">
        <v>16402</v>
      </c>
      <c r="B2773">
        <v>906</v>
      </c>
      <c r="C2773" s="1" t="str">
        <f>IF(Tabela8[[#This Row],[SETOR]]="","",IF(Tabela8[[#This Row],[SETOR]]&lt;200,"GV 10",IF(Tabela8[[#This Row],[SETOR]]&lt;300,"GV 20",IF(Tabela8[[#This Row],[SETOR]]&lt;400,"GV 30","S/GV"))))</f>
        <v>S/GV</v>
      </c>
      <c r="G2773" t="str">
        <f>_xlfn.CONCAT(Tabela9[[#This Row],[Coluna1]],Tabela9[[#This Row],[Coluna2]])</f>
        <v/>
      </c>
    </row>
    <row r="2774" spans="1:7" x14ac:dyDescent="0.25">
      <c r="A2774">
        <v>16411</v>
      </c>
      <c r="B2774">
        <v>202</v>
      </c>
      <c r="C2774" s="1" t="str">
        <f>IF(Tabela8[[#This Row],[SETOR]]="","",IF(Tabela8[[#This Row],[SETOR]]&lt;200,"GV 10",IF(Tabela8[[#This Row],[SETOR]]&lt;300,"GV 20",IF(Tabela8[[#This Row],[SETOR]]&lt;400,"GV 30","S/GV"))))</f>
        <v>GV 20</v>
      </c>
      <c r="E2774" t="s">
        <v>123</v>
      </c>
      <c r="G2774" t="str">
        <f>_xlfn.CONCAT(Tabela9[[#This Row],[Coluna1]],Tabela9[[#This Row],[Coluna2]])</f>
        <v>20-Rota</v>
      </c>
    </row>
    <row r="2775" spans="1:7" x14ac:dyDescent="0.25">
      <c r="A2775">
        <v>16412</v>
      </c>
      <c r="B2775">
        <v>304</v>
      </c>
      <c r="C2775" s="1" t="str">
        <f>IF(Tabela8[[#This Row],[SETOR]]="","",IF(Tabela8[[#This Row],[SETOR]]&lt;200,"GV 10",IF(Tabela8[[#This Row],[SETOR]]&lt;300,"GV 20",IF(Tabela8[[#This Row],[SETOR]]&lt;400,"GV 30","S/GV"))))</f>
        <v>GV 30</v>
      </c>
      <c r="E2775" t="s">
        <v>123</v>
      </c>
      <c r="G2775" t="str">
        <f>_xlfn.CONCAT(Tabela9[[#This Row],[Coluna1]],Tabela9[[#This Row],[Coluna2]])</f>
        <v>20-Rota</v>
      </c>
    </row>
    <row r="2776" spans="1:7" x14ac:dyDescent="0.25">
      <c r="A2776">
        <v>16414</v>
      </c>
      <c r="B2776">
        <v>205</v>
      </c>
      <c r="C2776" s="1" t="str">
        <f>IF(Tabela8[[#This Row],[SETOR]]="","",IF(Tabela8[[#This Row],[SETOR]]&lt;200,"GV 10",IF(Tabela8[[#This Row],[SETOR]]&lt;300,"GV 20",IF(Tabela8[[#This Row],[SETOR]]&lt;400,"GV 30","S/GV"))))</f>
        <v>GV 20</v>
      </c>
      <c r="E2776" t="s">
        <v>123</v>
      </c>
      <c r="G2776" t="str">
        <f>_xlfn.CONCAT(Tabela9[[#This Row],[Coluna1]],Tabela9[[#This Row],[Coluna2]])</f>
        <v>20-Rota</v>
      </c>
    </row>
    <row r="2777" spans="1:7" x14ac:dyDescent="0.25">
      <c r="A2777">
        <v>16417</v>
      </c>
      <c r="B2777">
        <v>916</v>
      </c>
      <c r="C2777" s="1" t="str">
        <f>IF(Tabela8[[#This Row],[SETOR]]="","",IF(Tabela8[[#This Row],[SETOR]]&lt;200,"GV 10",IF(Tabela8[[#This Row],[SETOR]]&lt;300,"GV 20",IF(Tabela8[[#This Row],[SETOR]]&lt;400,"GV 30","S/GV"))))</f>
        <v>S/GV</v>
      </c>
      <c r="G2777" t="str">
        <f>_xlfn.CONCAT(Tabela9[[#This Row],[Coluna1]],Tabela9[[#This Row],[Coluna2]])</f>
        <v/>
      </c>
    </row>
    <row r="2778" spans="1:7" x14ac:dyDescent="0.25">
      <c r="A2778">
        <v>16420</v>
      </c>
      <c r="B2778">
        <v>307</v>
      </c>
      <c r="C2778" s="1" t="str">
        <f>IF(Tabela8[[#This Row],[SETOR]]="","",IF(Tabela8[[#This Row],[SETOR]]&lt;200,"GV 10",IF(Tabela8[[#This Row],[SETOR]]&lt;300,"GV 20",IF(Tabela8[[#This Row],[SETOR]]&lt;400,"GV 30","S/GV"))))</f>
        <v>GV 30</v>
      </c>
      <c r="E2778" t="s">
        <v>130</v>
      </c>
      <c r="G2778" t="str">
        <f>_xlfn.CONCAT(Tabela9[[#This Row],[Coluna1]],Tabela9[[#This Row],[Coluna2]])</f>
        <v>21-SUB</v>
      </c>
    </row>
    <row r="2779" spans="1:7" x14ac:dyDescent="0.25">
      <c r="A2779">
        <v>16421</v>
      </c>
      <c r="B2779">
        <v>304</v>
      </c>
      <c r="C2779" s="1" t="str">
        <f>IF(Tabela8[[#This Row],[SETOR]]="","",IF(Tabela8[[#This Row],[SETOR]]&lt;200,"GV 10",IF(Tabela8[[#This Row],[SETOR]]&lt;300,"GV 20",IF(Tabela8[[#This Row],[SETOR]]&lt;400,"GV 30","S/GV"))))</f>
        <v>GV 30</v>
      </c>
      <c r="E2779" t="s">
        <v>123</v>
      </c>
      <c r="G2779" t="str">
        <f>_xlfn.CONCAT(Tabela9[[#This Row],[Coluna1]],Tabela9[[#This Row],[Coluna2]])</f>
        <v>20-Rota</v>
      </c>
    </row>
    <row r="2780" spans="1:7" x14ac:dyDescent="0.25">
      <c r="A2780">
        <v>16422</v>
      </c>
      <c r="B2780">
        <v>202</v>
      </c>
      <c r="C2780" s="1" t="str">
        <f>IF(Tabela8[[#This Row],[SETOR]]="","",IF(Tabela8[[#This Row],[SETOR]]&lt;200,"GV 10",IF(Tabela8[[#This Row],[SETOR]]&lt;300,"GV 20",IF(Tabela8[[#This Row],[SETOR]]&lt;400,"GV 30","S/GV"))))</f>
        <v>GV 20</v>
      </c>
      <c r="E2780" t="s">
        <v>123</v>
      </c>
      <c r="G2780" t="str">
        <f>_xlfn.CONCAT(Tabela9[[#This Row],[Coluna1]],Tabela9[[#This Row],[Coluna2]])</f>
        <v>20-Rota</v>
      </c>
    </row>
    <row r="2781" spans="1:7" x14ac:dyDescent="0.25">
      <c r="A2781">
        <v>16423</v>
      </c>
      <c r="B2781">
        <v>106</v>
      </c>
      <c r="C2781" s="1" t="str">
        <f>IF(Tabela8[[#This Row],[SETOR]]="","",IF(Tabela8[[#This Row],[SETOR]]&lt;200,"GV 10",IF(Tabela8[[#This Row],[SETOR]]&lt;300,"GV 20",IF(Tabela8[[#This Row],[SETOR]]&lt;400,"GV 30","S/GV"))))</f>
        <v>GV 10</v>
      </c>
      <c r="E2781" t="s">
        <v>123</v>
      </c>
      <c r="G2781" t="str">
        <f>_xlfn.CONCAT(Tabela9[[#This Row],[Coluna1]],Tabela9[[#This Row],[Coluna2]])</f>
        <v>20-Rota</v>
      </c>
    </row>
    <row r="2782" spans="1:7" x14ac:dyDescent="0.25">
      <c r="A2782">
        <v>16425</v>
      </c>
      <c r="B2782">
        <v>102</v>
      </c>
      <c r="C2782" s="1" t="str">
        <f>IF(Tabela8[[#This Row],[SETOR]]="","",IF(Tabela8[[#This Row],[SETOR]]&lt;200,"GV 10",IF(Tabela8[[#This Row],[SETOR]]&lt;300,"GV 20",IF(Tabela8[[#This Row],[SETOR]]&lt;400,"GV 30","S/GV"))))</f>
        <v>GV 10</v>
      </c>
      <c r="E2782" t="s">
        <v>123</v>
      </c>
      <c r="G2782" t="str">
        <f>_xlfn.CONCAT(Tabela9[[#This Row],[Coluna1]],Tabela9[[#This Row],[Coluna2]])</f>
        <v>20-Rota</v>
      </c>
    </row>
    <row r="2783" spans="1:7" x14ac:dyDescent="0.25">
      <c r="A2783">
        <v>16426</v>
      </c>
      <c r="B2783">
        <v>102</v>
      </c>
      <c r="C2783" s="1" t="str">
        <f>IF(Tabela8[[#This Row],[SETOR]]="","",IF(Tabela8[[#This Row],[SETOR]]&lt;200,"GV 10",IF(Tabela8[[#This Row],[SETOR]]&lt;300,"GV 20",IF(Tabela8[[#This Row],[SETOR]]&lt;400,"GV 30","S/GV"))))</f>
        <v>GV 10</v>
      </c>
      <c r="E2783" t="s">
        <v>123</v>
      </c>
      <c r="G2783" t="str">
        <f>_xlfn.CONCAT(Tabela9[[#This Row],[Coluna1]],Tabela9[[#This Row],[Coluna2]])</f>
        <v>20-Rota</v>
      </c>
    </row>
    <row r="2784" spans="1:7" x14ac:dyDescent="0.25">
      <c r="A2784">
        <v>16428</v>
      </c>
      <c r="B2784">
        <v>302</v>
      </c>
      <c r="C2784" s="1" t="str">
        <f>IF(Tabela8[[#This Row],[SETOR]]="","",IF(Tabela8[[#This Row],[SETOR]]&lt;200,"GV 10",IF(Tabela8[[#This Row],[SETOR]]&lt;300,"GV 20",IF(Tabela8[[#This Row],[SETOR]]&lt;400,"GV 30","S/GV"))))</f>
        <v>GV 30</v>
      </c>
      <c r="E2784" t="s">
        <v>123</v>
      </c>
      <c r="G2784" t="str">
        <f>_xlfn.CONCAT(Tabela9[[#This Row],[Coluna1]],Tabela9[[#This Row],[Coluna2]])</f>
        <v>20-Rota</v>
      </c>
    </row>
    <row r="2785" spans="1:7" x14ac:dyDescent="0.25">
      <c r="A2785">
        <v>16429</v>
      </c>
      <c r="B2785">
        <v>205</v>
      </c>
      <c r="C2785" s="1" t="str">
        <f>IF(Tabela8[[#This Row],[SETOR]]="","",IF(Tabela8[[#This Row],[SETOR]]&lt;200,"GV 10",IF(Tabela8[[#This Row],[SETOR]]&lt;300,"GV 20",IF(Tabela8[[#This Row],[SETOR]]&lt;400,"GV 30","S/GV"))))</f>
        <v>GV 20</v>
      </c>
      <c r="E2785" t="s">
        <v>123</v>
      </c>
      <c r="G2785" t="str">
        <f>_xlfn.CONCAT(Tabela9[[#This Row],[Coluna1]],Tabela9[[#This Row],[Coluna2]])</f>
        <v>20-Rota</v>
      </c>
    </row>
    <row r="2786" spans="1:7" x14ac:dyDescent="0.25">
      <c r="A2786">
        <v>16433</v>
      </c>
      <c r="B2786">
        <v>201</v>
      </c>
      <c r="C2786" s="1" t="str">
        <f>IF(Tabela8[[#This Row],[SETOR]]="","",IF(Tabela8[[#This Row],[SETOR]]&lt;200,"GV 10",IF(Tabela8[[#This Row],[SETOR]]&lt;300,"GV 20",IF(Tabela8[[#This Row],[SETOR]]&lt;400,"GV 30","S/GV"))))</f>
        <v>GV 20</v>
      </c>
      <c r="E2786" t="s">
        <v>123</v>
      </c>
      <c r="G2786" t="str">
        <f>_xlfn.CONCAT(Tabela9[[#This Row],[Coluna1]],Tabela9[[#This Row],[Coluna2]])</f>
        <v>20-Rota</v>
      </c>
    </row>
    <row r="2787" spans="1:7" x14ac:dyDescent="0.25">
      <c r="A2787">
        <v>16437</v>
      </c>
      <c r="B2787">
        <v>105</v>
      </c>
      <c r="C2787" s="1" t="str">
        <f>IF(Tabela8[[#This Row],[SETOR]]="","",IF(Tabela8[[#This Row],[SETOR]]&lt;200,"GV 10",IF(Tabela8[[#This Row],[SETOR]]&lt;300,"GV 20",IF(Tabela8[[#This Row],[SETOR]]&lt;400,"GV 30","S/GV"))))</f>
        <v>GV 10</v>
      </c>
      <c r="E2787" t="s">
        <v>123</v>
      </c>
      <c r="G2787" t="str">
        <f>_xlfn.CONCAT(Tabela9[[#This Row],[Coluna1]],Tabela9[[#This Row],[Coluna2]])</f>
        <v>20-Rota</v>
      </c>
    </row>
    <row r="2788" spans="1:7" x14ac:dyDescent="0.25">
      <c r="A2788">
        <v>16439</v>
      </c>
      <c r="B2788">
        <v>201</v>
      </c>
      <c r="C2788" s="1" t="str">
        <f>IF(Tabela8[[#This Row],[SETOR]]="","",IF(Tabela8[[#This Row],[SETOR]]&lt;200,"GV 10",IF(Tabela8[[#This Row],[SETOR]]&lt;300,"GV 20",IF(Tabela8[[#This Row],[SETOR]]&lt;400,"GV 30","S/GV"))))</f>
        <v>GV 20</v>
      </c>
      <c r="E2788" t="s">
        <v>123</v>
      </c>
      <c r="G2788" t="str">
        <f>_xlfn.CONCAT(Tabela9[[#This Row],[Coluna1]],Tabela9[[#This Row],[Coluna2]])</f>
        <v>20-Rota</v>
      </c>
    </row>
    <row r="2789" spans="1:7" x14ac:dyDescent="0.25">
      <c r="A2789">
        <v>16440</v>
      </c>
      <c r="B2789">
        <v>307</v>
      </c>
      <c r="C2789" s="1" t="str">
        <f>IF(Tabela8[[#This Row],[SETOR]]="","",IF(Tabela8[[#This Row],[SETOR]]&lt;200,"GV 10",IF(Tabela8[[#This Row],[SETOR]]&lt;300,"GV 20",IF(Tabela8[[#This Row],[SETOR]]&lt;400,"GV 30","S/GV"))))</f>
        <v>GV 30</v>
      </c>
      <c r="E2789" t="s">
        <v>130</v>
      </c>
      <c r="G2789" t="str">
        <f>_xlfn.CONCAT(Tabela9[[#This Row],[Coluna1]],Tabela9[[#This Row],[Coluna2]])</f>
        <v>21-SUB</v>
      </c>
    </row>
    <row r="2790" spans="1:7" x14ac:dyDescent="0.25">
      <c r="A2790">
        <v>16441</v>
      </c>
      <c r="B2790">
        <v>303</v>
      </c>
      <c r="C2790" s="1" t="str">
        <f>IF(Tabela8[[#This Row],[SETOR]]="","",IF(Tabela8[[#This Row],[SETOR]]&lt;200,"GV 10",IF(Tabela8[[#This Row],[SETOR]]&lt;300,"GV 20",IF(Tabela8[[#This Row],[SETOR]]&lt;400,"GV 30","S/GV"))))</f>
        <v>GV 30</v>
      </c>
      <c r="E2790" t="s">
        <v>123</v>
      </c>
      <c r="G2790" t="str">
        <f>_xlfn.CONCAT(Tabela9[[#This Row],[Coluna1]],Tabela9[[#This Row],[Coluna2]])</f>
        <v>20-Rota</v>
      </c>
    </row>
    <row r="2791" spans="1:7" x14ac:dyDescent="0.25">
      <c r="A2791">
        <v>16443</v>
      </c>
      <c r="B2791">
        <v>106</v>
      </c>
      <c r="C2791" s="1" t="str">
        <f>IF(Tabela8[[#This Row],[SETOR]]="","",IF(Tabela8[[#This Row],[SETOR]]&lt;200,"GV 10",IF(Tabela8[[#This Row],[SETOR]]&lt;300,"GV 20",IF(Tabela8[[#This Row],[SETOR]]&lt;400,"GV 30","S/GV"))))</f>
        <v>GV 10</v>
      </c>
      <c r="E2791" t="s">
        <v>123</v>
      </c>
      <c r="G2791" t="str">
        <f>_xlfn.CONCAT(Tabela9[[#This Row],[Coluna1]],Tabela9[[#This Row],[Coluna2]])</f>
        <v>20-Rota</v>
      </c>
    </row>
    <row r="2792" spans="1:7" x14ac:dyDescent="0.25">
      <c r="A2792">
        <v>16445</v>
      </c>
      <c r="B2792">
        <v>305</v>
      </c>
      <c r="C2792" s="1" t="str">
        <f>IF(Tabela8[[#This Row],[SETOR]]="","",IF(Tabela8[[#This Row],[SETOR]]&lt;200,"GV 10",IF(Tabela8[[#This Row],[SETOR]]&lt;300,"GV 20",IF(Tabela8[[#This Row],[SETOR]]&lt;400,"GV 30","S/GV"))))</f>
        <v>GV 30</v>
      </c>
      <c r="E2792" t="s">
        <v>123</v>
      </c>
      <c r="G2792" t="str">
        <f>_xlfn.CONCAT(Tabela9[[#This Row],[Coluna1]],Tabela9[[#This Row],[Coluna2]])</f>
        <v>20-Rota</v>
      </c>
    </row>
    <row r="2793" spans="1:7" x14ac:dyDescent="0.25">
      <c r="A2793">
        <v>16447</v>
      </c>
      <c r="B2793">
        <v>201</v>
      </c>
      <c r="C2793" s="1" t="str">
        <f>IF(Tabela8[[#This Row],[SETOR]]="","",IF(Tabela8[[#This Row],[SETOR]]&lt;200,"GV 10",IF(Tabela8[[#This Row],[SETOR]]&lt;300,"GV 20",IF(Tabela8[[#This Row],[SETOR]]&lt;400,"GV 30","S/GV"))))</f>
        <v>GV 20</v>
      </c>
      <c r="E2793" t="s">
        <v>123</v>
      </c>
      <c r="G2793" t="str">
        <f>_xlfn.CONCAT(Tabela9[[#This Row],[Coluna1]],Tabela9[[#This Row],[Coluna2]])</f>
        <v>20-Rota</v>
      </c>
    </row>
    <row r="2794" spans="1:7" x14ac:dyDescent="0.25">
      <c r="A2794">
        <v>16448</v>
      </c>
      <c r="B2794">
        <v>204</v>
      </c>
      <c r="C2794" s="1" t="str">
        <f>IF(Tabela8[[#This Row],[SETOR]]="","",IF(Tabela8[[#This Row],[SETOR]]&lt;200,"GV 10",IF(Tabela8[[#This Row],[SETOR]]&lt;300,"GV 20",IF(Tabela8[[#This Row],[SETOR]]&lt;400,"GV 30","S/GV"))))</f>
        <v>GV 20</v>
      </c>
      <c r="E2794" t="s">
        <v>128</v>
      </c>
      <c r="F2794" t="s">
        <v>129</v>
      </c>
      <c r="G2794" t="str">
        <f>_xlfn.CONCAT(Tabela9[[#This Row],[Coluna1]],Tabela9[[#This Row],[Coluna2]])</f>
        <v>15-AS(1-4)</v>
      </c>
    </row>
    <row r="2795" spans="1:7" x14ac:dyDescent="0.25">
      <c r="A2795">
        <v>16450</v>
      </c>
      <c r="B2795">
        <v>201</v>
      </c>
      <c r="C2795" s="1" t="str">
        <f>IF(Tabela8[[#This Row],[SETOR]]="","",IF(Tabela8[[#This Row],[SETOR]]&lt;200,"GV 10",IF(Tabela8[[#This Row],[SETOR]]&lt;300,"GV 20",IF(Tabela8[[#This Row],[SETOR]]&lt;400,"GV 30","S/GV"))))</f>
        <v>GV 20</v>
      </c>
      <c r="E2795" t="s">
        <v>123</v>
      </c>
      <c r="G2795" t="str">
        <f>_xlfn.CONCAT(Tabela9[[#This Row],[Coluna1]],Tabela9[[#This Row],[Coluna2]])</f>
        <v>20-Rota</v>
      </c>
    </row>
    <row r="2796" spans="1:7" x14ac:dyDescent="0.25">
      <c r="A2796">
        <v>16453</v>
      </c>
      <c r="B2796">
        <v>304</v>
      </c>
      <c r="C2796" s="1" t="str">
        <f>IF(Tabela8[[#This Row],[SETOR]]="","",IF(Tabela8[[#This Row],[SETOR]]&lt;200,"GV 10",IF(Tabela8[[#This Row],[SETOR]]&lt;300,"GV 20",IF(Tabela8[[#This Row],[SETOR]]&lt;400,"GV 30","S/GV"))))</f>
        <v>GV 30</v>
      </c>
      <c r="E2796" t="s">
        <v>123</v>
      </c>
      <c r="G2796" t="str">
        <f>_xlfn.CONCAT(Tabela9[[#This Row],[Coluna1]],Tabela9[[#This Row],[Coluna2]])</f>
        <v>20-Rota</v>
      </c>
    </row>
    <row r="2797" spans="1:7" x14ac:dyDescent="0.25">
      <c r="A2797">
        <v>16467</v>
      </c>
      <c r="B2797">
        <v>206</v>
      </c>
      <c r="C2797" s="1" t="str">
        <f>IF(Tabela8[[#This Row],[SETOR]]="","",IF(Tabela8[[#This Row],[SETOR]]&lt;200,"GV 10",IF(Tabela8[[#This Row],[SETOR]]&lt;300,"GV 20",IF(Tabela8[[#This Row],[SETOR]]&lt;400,"GV 30","S/GV"))))</f>
        <v>GV 20</v>
      </c>
      <c r="E2797" t="s">
        <v>123</v>
      </c>
      <c r="G2797" t="str">
        <f>_xlfn.CONCAT(Tabela9[[#This Row],[Coluna1]],Tabela9[[#This Row],[Coluna2]])</f>
        <v>20-Rota</v>
      </c>
    </row>
    <row r="2798" spans="1:7" x14ac:dyDescent="0.25">
      <c r="A2798">
        <v>16474</v>
      </c>
      <c r="B2798">
        <v>906</v>
      </c>
      <c r="C2798" s="1" t="str">
        <f>IF(Tabela8[[#This Row],[SETOR]]="","",IF(Tabela8[[#This Row],[SETOR]]&lt;200,"GV 10",IF(Tabela8[[#This Row],[SETOR]]&lt;300,"GV 20",IF(Tabela8[[#This Row],[SETOR]]&lt;400,"GV 30","S/GV"))))</f>
        <v>S/GV</v>
      </c>
      <c r="G2798" t="str">
        <f>_xlfn.CONCAT(Tabela9[[#This Row],[Coluna1]],Tabela9[[#This Row],[Coluna2]])</f>
        <v/>
      </c>
    </row>
    <row r="2799" spans="1:7" x14ac:dyDescent="0.25">
      <c r="A2799">
        <v>16481</v>
      </c>
      <c r="B2799">
        <v>105</v>
      </c>
      <c r="C2799" s="1" t="str">
        <f>IF(Tabela8[[#This Row],[SETOR]]="","",IF(Tabela8[[#This Row],[SETOR]]&lt;200,"GV 10",IF(Tabela8[[#This Row],[SETOR]]&lt;300,"GV 20",IF(Tabela8[[#This Row],[SETOR]]&lt;400,"GV 30","S/GV"))))</f>
        <v>GV 10</v>
      </c>
      <c r="E2799" t="s">
        <v>123</v>
      </c>
      <c r="G2799" t="str">
        <f>_xlfn.CONCAT(Tabela9[[#This Row],[Coluna1]],Tabela9[[#This Row],[Coluna2]])</f>
        <v>20-Rota</v>
      </c>
    </row>
    <row r="2800" spans="1:7" x14ac:dyDescent="0.25">
      <c r="A2800">
        <v>16483</v>
      </c>
      <c r="B2800">
        <v>103</v>
      </c>
      <c r="C2800" s="1" t="str">
        <f>IF(Tabela8[[#This Row],[SETOR]]="","",IF(Tabela8[[#This Row],[SETOR]]&lt;200,"GV 10",IF(Tabela8[[#This Row],[SETOR]]&lt;300,"GV 20",IF(Tabela8[[#This Row],[SETOR]]&lt;400,"GV 30","S/GV"))))</f>
        <v>GV 10</v>
      </c>
      <c r="E2800" t="s">
        <v>123</v>
      </c>
      <c r="G2800" t="str">
        <f>_xlfn.CONCAT(Tabela9[[#This Row],[Coluna1]],Tabela9[[#This Row],[Coluna2]])</f>
        <v>20-Rota</v>
      </c>
    </row>
    <row r="2801" spans="1:7" x14ac:dyDescent="0.25">
      <c r="A2801">
        <v>16485</v>
      </c>
      <c r="B2801">
        <v>205</v>
      </c>
      <c r="C2801" s="1" t="str">
        <f>IF(Tabela8[[#This Row],[SETOR]]="","",IF(Tabela8[[#This Row],[SETOR]]&lt;200,"GV 10",IF(Tabela8[[#This Row],[SETOR]]&lt;300,"GV 20",IF(Tabela8[[#This Row],[SETOR]]&lt;400,"GV 30","S/GV"))))</f>
        <v>GV 20</v>
      </c>
      <c r="E2801" t="s">
        <v>123</v>
      </c>
      <c r="G2801" t="str">
        <f>_xlfn.CONCAT(Tabela9[[#This Row],[Coluna1]],Tabela9[[#This Row],[Coluna2]])</f>
        <v>20-Rota</v>
      </c>
    </row>
    <row r="2802" spans="1:7" x14ac:dyDescent="0.25">
      <c r="A2802">
        <v>16488</v>
      </c>
      <c r="B2802">
        <v>912</v>
      </c>
      <c r="C2802" s="1" t="str">
        <f>IF(Tabela8[[#This Row],[SETOR]]="","",IF(Tabela8[[#This Row],[SETOR]]&lt;200,"GV 10",IF(Tabela8[[#This Row],[SETOR]]&lt;300,"GV 20",IF(Tabela8[[#This Row],[SETOR]]&lt;400,"GV 30","S/GV"))))</f>
        <v>S/GV</v>
      </c>
      <c r="E2802" t="s">
        <v>124</v>
      </c>
      <c r="G2802" t="str">
        <f>_xlfn.CONCAT(Tabela9[[#This Row],[Coluna1]],Tabela9[[#This Row],[Coluna2]])</f>
        <v>19-VIP</v>
      </c>
    </row>
    <row r="2803" spans="1:7" x14ac:dyDescent="0.25">
      <c r="A2803">
        <v>16489</v>
      </c>
      <c r="B2803">
        <v>301</v>
      </c>
      <c r="C2803" s="1" t="str">
        <f>IF(Tabela8[[#This Row],[SETOR]]="","",IF(Tabela8[[#This Row],[SETOR]]&lt;200,"GV 10",IF(Tabela8[[#This Row],[SETOR]]&lt;300,"GV 20",IF(Tabela8[[#This Row],[SETOR]]&lt;400,"GV 30","S/GV"))))</f>
        <v>GV 30</v>
      </c>
      <c r="E2803" t="s">
        <v>123</v>
      </c>
      <c r="G2803" t="str">
        <f>_xlfn.CONCAT(Tabela9[[#This Row],[Coluna1]],Tabela9[[#This Row],[Coluna2]])</f>
        <v>20-Rota</v>
      </c>
    </row>
    <row r="2804" spans="1:7" x14ac:dyDescent="0.25">
      <c r="A2804">
        <v>16490</v>
      </c>
      <c r="B2804">
        <v>105</v>
      </c>
      <c r="C2804" s="1" t="str">
        <f>IF(Tabela8[[#This Row],[SETOR]]="","",IF(Tabela8[[#This Row],[SETOR]]&lt;200,"GV 10",IF(Tabela8[[#This Row],[SETOR]]&lt;300,"GV 20",IF(Tabela8[[#This Row],[SETOR]]&lt;400,"GV 30","S/GV"))))</f>
        <v>GV 10</v>
      </c>
      <c r="E2804" t="s">
        <v>123</v>
      </c>
      <c r="G2804" t="str">
        <f>_xlfn.CONCAT(Tabela9[[#This Row],[Coluna1]],Tabela9[[#This Row],[Coluna2]])</f>
        <v>20-Rota</v>
      </c>
    </row>
    <row r="2805" spans="1:7" x14ac:dyDescent="0.25">
      <c r="A2805">
        <v>16492</v>
      </c>
      <c r="B2805">
        <v>907</v>
      </c>
      <c r="C2805" s="1" t="str">
        <f>IF(Tabela8[[#This Row],[SETOR]]="","",IF(Tabela8[[#This Row],[SETOR]]&lt;200,"GV 10",IF(Tabela8[[#This Row],[SETOR]]&lt;300,"GV 20",IF(Tabela8[[#This Row],[SETOR]]&lt;400,"GV 30","S/GV"))))</f>
        <v>S/GV</v>
      </c>
      <c r="G2805" t="str">
        <f>_xlfn.CONCAT(Tabela9[[#This Row],[Coluna1]],Tabela9[[#This Row],[Coluna2]])</f>
        <v/>
      </c>
    </row>
    <row r="2806" spans="1:7" x14ac:dyDescent="0.25">
      <c r="A2806">
        <v>16497</v>
      </c>
      <c r="B2806">
        <v>106</v>
      </c>
      <c r="C2806" s="1" t="str">
        <f>IF(Tabela8[[#This Row],[SETOR]]="","",IF(Tabela8[[#This Row],[SETOR]]&lt;200,"GV 10",IF(Tabela8[[#This Row],[SETOR]]&lt;300,"GV 20",IF(Tabela8[[#This Row],[SETOR]]&lt;400,"GV 30","S/GV"))))</f>
        <v>GV 10</v>
      </c>
      <c r="E2806" t="s">
        <v>123</v>
      </c>
      <c r="G2806" t="str">
        <f>_xlfn.CONCAT(Tabela9[[#This Row],[Coluna1]],Tabela9[[#This Row],[Coluna2]])</f>
        <v>20-Rota</v>
      </c>
    </row>
    <row r="2807" spans="1:7" x14ac:dyDescent="0.25">
      <c r="A2807">
        <v>16500</v>
      </c>
      <c r="B2807">
        <v>302</v>
      </c>
      <c r="C2807" s="1" t="str">
        <f>IF(Tabela8[[#This Row],[SETOR]]="","",IF(Tabela8[[#This Row],[SETOR]]&lt;200,"GV 10",IF(Tabela8[[#This Row],[SETOR]]&lt;300,"GV 20",IF(Tabela8[[#This Row],[SETOR]]&lt;400,"GV 30","S/GV"))))</f>
        <v>GV 30</v>
      </c>
      <c r="E2807" t="s">
        <v>123</v>
      </c>
      <c r="G2807" t="str">
        <f>_xlfn.CONCAT(Tabela9[[#This Row],[Coluna1]],Tabela9[[#This Row],[Coluna2]])</f>
        <v>20-Rota</v>
      </c>
    </row>
    <row r="2808" spans="1:7" x14ac:dyDescent="0.25">
      <c r="A2808">
        <v>16501</v>
      </c>
      <c r="B2808">
        <v>301</v>
      </c>
      <c r="C2808" s="1" t="str">
        <f>IF(Tabela8[[#This Row],[SETOR]]="","",IF(Tabela8[[#This Row],[SETOR]]&lt;200,"GV 10",IF(Tabela8[[#This Row],[SETOR]]&lt;300,"GV 20",IF(Tabela8[[#This Row],[SETOR]]&lt;400,"GV 30","S/GV"))))</f>
        <v>GV 30</v>
      </c>
      <c r="E2808" t="s">
        <v>123</v>
      </c>
      <c r="G2808" t="str">
        <f>_xlfn.CONCAT(Tabela9[[#This Row],[Coluna1]],Tabela9[[#This Row],[Coluna2]])</f>
        <v>20-Rota</v>
      </c>
    </row>
    <row r="2809" spans="1:7" x14ac:dyDescent="0.25">
      <c r="A2809">
        <v>16502</v>
      </c>
      <c r="B2809">
        <v>102</v>
      </c>
      <c r="C2809" s="1" t="str">
        <f>IF(Tabela8[[#This Row],[SETOR]]="","",IF(Tabela8[[#This Row],[SETOR]]&lt;200,"GV 10",IF(Tabela8[[#This Row],[SETOR]]&lt;300,"GV 20",IF(Tabela8[[#This Row],[SETOR]]&lt;400,"GV 30","S/GV"))))</f>
        <v>GV 10</v>
      </c>
      <c r="E2809" t="s">
        <v>125</v>
      </c>
      <c r="G2809" t="str">
        <f>_xlfn.CONCAT(Tabela9[[#This Row],[Coluna1]],Tabela9[[#This Row],[Coluna2]])</f>
        <v>18-TRAD</v>
      </c>
    </row>
    <row r="2810" spans="1:7" x14ac:dyDescent="0.25">
      <c r="A2810">
        <v>16508</v>
      </c>
      <c r="B2810">
        <v>201</v>
      </c>
      <c r="C2810" s="1" t="str">
        <f>IF(Tabela8[[#This Row],[SETOR]]="","",IF(Tabela8[[#This Row],[SETOR]]&lt;200,"GV 10",IF(Tabela8[[#This Row],[SETOR]]&lt;300,"GV 20",IF(Tabela8[[#This Row],[SETOR]]&lt;400,"GV 30","S/GV"))))</f>
        <v>GV 20</v>
      </c>
      <c r="E2810" t="s">
        <v>123</v>
      </c>
      <c r="G2810" t="str">
        <f>_xlfn.CONCAT(Tabela9[[#This Row],[Coluna1]],Tabela9[[#This Row],[Coluna2]])</f>
        <v>20-Rota</v>
      </c>
    </row>
    <row r="2811" spans="1:7" x14ac:dyDescent="0.25">
      <c r="A2811">
        <v>16509</v>
      </c>
      <c r="B2811">
        <v>107</v>
      </c>
      <c r="C2811" s="1" t="str">
        <f>IF(Tabela8[[#This Row],[SETOR]]="","",IF(Tabela8[[#This Row],[SETOR]]&lt;200,"GV 10",IF(Tabela8[[#This Row],[SETOR]]&lt;300,"GV 20",IF(Tabela8[[#This Row],[SETOR]]&lt;400,"GV 30","S/GV"))))</f>
        <v>GV 10</v>
      </c>
      <c r="E2811" t="s">
        <v>130</v>
      </c>
      <c r="G2811" t="str">
        <f>_xlfn.CONCAT(Tabela9[[#This Row],[Coluna1]],Tabela9[[#This Row],[Coluna2]])</f>
        <v>21-SUB</v>
      </c>
    </row>
    <row r="2812" spans="1:7" x14ac:dyDescent="0.25">
      <c r="A2812">
        <v>16510</v>
      </c>
      <c r="B2812">
        <v>203</v>
      </c>
      <c r="C2812" s="1" t="str">
        <f>IF(Tabela8[[#This Row],[SETOR]]="","",IF(Tabela8[[#This Row],[SETOR]]&lt;200,"GV 10",IF(Tabela8[[#This Row],[SETOR]]&lt;300,"GV 20",IF(Tabela8[[#This Row],[SETOR]]&lt;400,"GV 30","S/GV"))))</f>
        <v>GV 20</v>
      </c>
      <c r="E2812" t="s">
        <v>123</v>
      </c>
      <c r="G2812" t="str">
        <f>_xlfn.CONCAT(Tabela9[[#This Row],[Coluna1]],Tabela9[[#This Row],[Coluna2]])</f>
        <v>20-Rota</v>
      </c>
    </row>
    <row r="2813" spans="1:7" x14ac:dyDescent="0.25">
      <c r="A2813">
        <v>16521</v>
      </c>
      <c r="B2813">
        <v>306</v>
      </c>
      <c r="C2813" s="1" t="str">
        <f>IF(Tabela8[[#This Row],[SETOR]]="","",IF(Tabela8[[#This Row],[SETOR]]&lt;200,"GV 10",IF(Tabela8[[#This Row],[SETOR]]&lt;300,"GV 20",IF(Tabela8[[#This Row],[SETOR]]&lt;400,"GV 30","S/GV"))))</f>
        <v>GV 30</v>
      </c>
      <c r="E2813" t="s">
        <v>125</v>
      </c>
      <c r="G2813" t="str">
        <f>_xlfn.CONCAT(Tabela9[[#This Row],[Coluna1]],Tabela9[[#This Row],[Coluna2]])</f>
        <v>18-TRAD</v>
      </c>
    </row>
    <row r="2814" spans="1:7" x14ac:dyDescent="0.25">
      <c r="A2814">
        <v>16522</v>
      </c>
      <c r="B2814">
        <v>305</v>
      </c>
      <c r="C2814" s="1" t="str">
        <f>IF(Tabela8[[#This Row],[SETOR]]="","",IF(Tabela8[[#This Row],[SETOR]]&lt;200,"GV 10",IF(Tabela8[[#This Row],[SETOR]]&lt;300,"GV 20",IF(Tabela8[[#This Row],[SETOR]]&lt;400,"GV 30","S/GV"))))</f>
        <v>GV 30</v>
      </c>
      <c r="E2814" t="s">
        <v>123</v>
      </c>
      <c r="G2814" t="str">
        <f>_xlfn.CONCAT(Tabela9[[#This Row],[Coluna1]],Tabela9[[#This Row],[Coluna2]])</f>
        <v>20-Rota</v>
      </c>
    </row>
    <row r="2815" spans="1:7" x14ac:dyDescent="0.25">
      <c r="A2815">
        <v>16525</v>
      </c>
      <c r="B2815">
        <v>303</v>
      </c>
      <c r="C2815" s="1" t="str">
        <f>IF(Tabela8[[#This Row],[SETOR]]="","",IF(Tabela8[[#This Row],[SETOR]]&lt;200,"GV 10",IF(Tabela8[[#This Row],[SETOR]]&lt;300,"GV 20",IF(Tabela8[[#This Row],[SETOR]]&lt;400,"GV 30","S/GV"))))</f>
        <v>GV 30</v>
      </c>
      <c r="E2815" t="s">
        <v>123</v>
      </c>
      <c r="G2815" t="str">
        <f>_xlfn.CONCAT(Tabela9[[#This Row],[Coluna1]],Tabela9[[#This Row],[Coluna2]])</f>
        <v>20-Rota</v>
      </c>
    </row>
    <row r="2816" spans="1:7" x14ac:dyDescent="0.25">
      <c r="A2816">
        <v>16529</v>
      </c>
      <c r="B2816">
        <v>304</v>
      </c>
      <c r="C2816" s="1" t="str">
        <f>IF(Tabela8[[#This Row],[SETOR]]="","",IF(Tabela8[[#This Row],[SETOR]]&lt;200,"GV 10",IF(Tabela8[[#This Row],[SETOR]]&lt;300,"GV 20",IF(Tabela8[[#This Row],[SETOR]]&lt;400,"GV 30","S/GV"))))</f>
        <v>GV 30</v>
      </c>
      <c r="E2816" t="s">
        <v>123</v>
      </c>
      <c r="G2816" t="str">
        <f>_xlfn.CONCAT(Tabela9[[#This Row],[Coluna1]],Tabela9[[#This Row],[Coluna2]])</f>
        <v>20-Rota</v>
      </c>
    </row>
    <row r="2817" spans="1:7" x14ac:dyDescent="0.25">
      <c r="A2817">
        <v>16530</v>
      </c>
      <c r="B2817">
        <v>307</v>
      </c>
      <c r="C2817" s="1" t="str">
        <f>IF(Tabela8[[#This Row],[SETOR]]="","",IF(Tabela8[[#This Row],[SETOR]]&lt;200,"GV 10",IF(Tabela8[[#This Row],[SETOR]]&lt;300,"GV 20",IF(Tabela8[[#This Row],[SETOR]]&lt;400,"GV 30","S/GV"))))</f>
        <v>GV 30</v>
      </c>
      <c r="E2817" t="s">
        <v>130</v>
      </c>
      <c r="G2817" t="str">
        <f>_xlfn.CONCAT(Tabela9[[#This Row],[Coluna1]],Tabela9[[#This Row],[Coluna2]])</f>
        <v>21-SUB</v>
      </c>
    </row>
    <row r="2818" spans="1:7" x14ac:dyDescent="0.25">
      <c r="A2818">
        <v>16533</v>
      </c>
      <c r="B2818">
        <v>205</v>
      </c>
      <c r="C2818" s="1" t="str">
        <f>IF(Tabela8[[#This Row],[SETOR]]="","",IF(Tabela8[[#This Row],[SETOR]]&lt;200,"GV 10",IF(Tabela8[[#This Row],[SETOR]]&lt;300,"GV 20",IF(Tabela8[[#This Row],[SETOR]]&lt;400,"GV 30","S/GV"))))</f>
        <v>GV 20</v>
      </c>
      <c r="E2818" t="s">
        <v>123</v>
      </c>
      <c r="G2818" t="str">
        <f>_xlfn.CONCAT(Tabela9[[#This Row],[Coluna1]],Tabela9[[#This Row],[Coluna2]])</f>
        <v>20-Rota</v>
      </c>
    </row>
    <row r="2819" spans="1:7" x14ac:dyDescent="0.25">
      <c r="A2819">
        <v>16534</v>
      </c>
      <c r="B2819">
        <v>301</v>
      </c>
      <c r="C2819" s="1" t="str">
        <f>IF(Tabela8[[#This Row],[SETOR]]="","",IF(Tabela8[[#This Row],[SETOR]]&lt;200,"GV 10",IF(Tabela8[[#This Row],[SETOR]]&lt;300,"GV 20",IF(Tabela8[[#This Row],[SETOR]]&lt;400,"GV 30","S/GV"))))</f>
        <v>GV 30</v>
      </c>
      <c r="E2819" t="s">
        <v>123</v>
      </c>
      <c r="G2819" t="str">
        <f>_xlfn.CONCAT(Tabela9[[#This Row],[Coluna1]],Tabela9[[#This Row],[Coluna2]])</f>
        <v>20-Rota</v>
      </c>
    </row>
    <row r="2820" spans="1:7" x14ac:dyDescent="0.25">
      <c r="A2820">
        <v>16536</v>
      </c>
      <c r="B2820">
        <v>206</v>
      </c>
      <c r="C2820" s="1" t="str">
        <f>IF(Tabela8[[#This Row],[SETOR]]="","",IF(Tabela8[[#This Row],[SETOR]]&lt;200,"GV 10",IF(Tabela8[[#This Row],[SETOR]]&lt;300,"GV 20",IF(Tabela8[[#This Row],[SETOR]]&lt;400,"GV 30","S/GV"))))</f>
        <v>GV 20</v>
      </c>
      <c r="E2820" t="s">
        <v>130</v>
      </c>
      <c r="G2820" t="str">
        <f>_xlfn.CONCAT(Tabela9[[#This Row],[Coluna1]],Tabela9[[#This Row],[Coluna2]])</f>
        <v>21-SUB</v>
      </c>
    </row>
    <row r="2821" spans="1:7" x14ac:dyDescent="0.25">
      <c r="A2821">
        <v>16537</v>
      </c>
      <c r="B2821">
        <v>205</v>
      </c>
      <c r="C2821" s="1" t="str">
        <f>IF(Tabela8[[#This Row],[SETOR]]="","",IF(Tabela8[[#This Row],[SETOR]]&lt;200,"GV 10",IF(Tabela8[[#This Row],[SETOR]]&lt;300,"GV 20",IF(Tabela8[[#This Row],[SETOR]]&lt;400,"GV 30","S/GV"))))</f>
        <v>GV 20</v>
      </c>
      <c r="E2821" t="s">
        <v>131</v>
      </c>
      <c r="F2821" t="s">
        <v>132</v>
      </c>
      <c r="G2821" t="str">
        <f>_xlfn.CONCAT(Tabela9[[#This Row],[Coluna1]],Tabela9[[#This Row],[Coluna2]])</f>
        <v>14-Lj.Conveniência</v>
      </c>
    </row>
    <row r="2822" spans="1:7" x14ac:dyDescent="0.25">
      <c r="A2822">
        <v>16538</v>
      </c>
      <c r="B2822">
        <v>207</v>
      </c>
      <c r="C2822" s="1" t="str">
        <f>IF(Tabela8[[#This Row],[SETOR]]="","",IF(Tabela8[[#This Row],[SETOR]]&lt;200,"GV 10",IF(Tabela8[[#This Row],[SETOR]]&lt;300,"GV 20",IF(Tabela8[[#This Row],[SETOR]]&lt;400,"GV 30","S/GV"))))</f>
        <v>GV 20</v>
      </c>
      <c r="E2822" t="s">
        <v>130</v>
      </c>
      <c r="G2822" t="str">
        <f>_xlfn.CONCAT(Tabela9[[#This Row],[Coluna1]],Tabela9[[#This Row],[Coluna2]])</f>
        <v>21-SUB</v>
      </c>
    </row>
    <row r="2823" spans="1:7" x14ac:dyDescent="0.25">
      <c r="A2823">
        <v>16543</v>
      </c>
      <c r="B2823">
        <v>206</v>
      </c>
      <c r="C2823" s="1" t="str">
        <f>IF(Tabela8[[#This Row],[SETOR]]="","",IF(Tabela8[[#This Row],[SETOR]]&lt;200,"GV 10",IF(Tabela8[[#This Row],[SETOR]]&lt;300,"GV 20",IF(Tabela8[[#This Row],[SETOR]]&lt;400,"GV 30","S/GV"))))</f>
        <v>GV 20</v>
      </c>
      <c r="E2823" t="s">
        <v>123</v>
      </c>
      <c r="G2823" t="str">
        <f>_xlfn.CONCAT(Tabela9[[#This Row],[Coluna1]],Tabela9[[#This Row],[Coluna2]])</f>
        <v>20-Rota</v>
      </c>
    </row>
    <row r="2824" spans="1:7" x14ac:dyDescent="0.25">
      <c r="A2824">
        <v>16544</v>
      </c>
      <c r="B2824">
        <v>303</v>
      </c>
      <c r="C2824" s="1" t="str">
        <f>IF(Tabela8[[#This Row],[SETOR]]="","",IF(Tabela8[[#This Row],[SETOR]]&lt;200,"GV 10",IF(Tabela8[[#This Row],[SETOR]]&lt;300,"GV 20",IF(Tabela8[[#This Row],[SETOR]]&lt;400,"GV 30","S/GV"))))</f>
        <v>GV 30</v>
      </c>
      <c r="E2824" t="s">
        <v>123</v>
      </c>
      <c r="G2824" t="str">
        <f>_xlfn.CONCAT(Tabela9[[#This Row],[Coluna1]],Tabela9[[#This Row],[Coluna2]])</f>
        <v>20-Rota</v>
      </c>
    </row>
    <row r="2825" spans="1:7" x14ac:dyDescent="0.25">
      <c r="A2825">
        <v>16552</v>
      </c>
      <c r="B2825">
        <v>201</v>
      </c>
      <c r="C2825" s="1" t="str">
        <f>IF(Tabela8[[#This Row],[SETOR]]="","",IF(Tabela8[[#This Row],[SETOR]]&lt;200,"GV 10",IF(Tabela8[[#This Row],[SETOR]]&lt;300,"GV 20",IF(Tabela8[[#This Row],[SETOR]]&lt;400,"GV 30","S/GV"))))</f>
        <v>GV 20</v>
      </c>
      <c r="E2825" t="s">
        <v>123</v>
      </c>
      <c r="G2825" t="str">
        <f>_xlfn.CONCAT(Tabela9[[#This Row],[Coluna1]],Tabela9[[#This Row],[Coluna2]])</f>
        <v>20-Rota</v>
      </c>
    </row>
    <row r="2826" spans="1:7" x14ac:dyDescent="0.25">
      <c r="A2826">
        <v>16555</v>
      </c>
      <c r="B2826">
        <v>307</v>
      </c>
      <c r="C2826" s="1" t="str">
        <f>IF(Tabela8[[#This Row],[SETOR]]="","",IF(Tabela8[[#This Row],[SETOR]]&lt;200,"GV 10",IF(Tabela8[[#This Row],[SETOR]]&lt;300,"GV 20",IF(Tabela8[[#This Row],[SETOR]]&lt;400,"GV 30","S/GV"))))</f>
        <v>GV 30</v>
      </c>
      <c r="E2826" t="s">
        <v>125</v>
      </c>
      <c r="G2826" t="str">
        <f>_xlfn.CONCAT(Tabela9[[#This Row],[Coluna1]],Tabela9[[#This Row],[Coluna2]])</f>
        <v>18-TRAD</v>
      </c>
    </row>
    <row r="2827" spans="1:7" x14ac:dyDescent="0.25">
      <c r="A2827">
        <v>16557</v>
      </c>
      <c r="B2827">
        <v>306</v>
      </c>
      <c r="C2827" s="1" t="str">
        <f>IF(Tabela8[[#This Row],[SETOR]]="","",IF(Tabela8[[#This Row],[SETOR]]&lt;200,"GV 10",IF(Tabela8[[#This Row],[SETOR]]&lt;300,"GV 20",IF(Tabela8[[#This Row],[SETOR]]&lt;400,"GV 30","S/GV"))))</f>
        <v>GV 30</v>
      </c>
      <c r="E2827" t="s">
        <v>128</v>
      </c>
      <c r="F2827" t="s">
        <v>129</v>
      </c>
      <c r="G2827" t="str">
        <f>_xlfn.CONCAT(Tabela9[[#This Row],[Coluna1]],Tabela9[[#This Row],[Coluna2]])</f>
        <v>15-AS(1-4)</v>
      </c>
    </row>
    <row r="2828" spans="1:7" x14ac:dyDescent="0.25">
      <c r="A2828">
        <v>16558</v>
      </c>
      <c r="B2828">
        <v>107</v>
      </c>
      <c r="C2828" s="1" t="str">
        <f>IF(Tabela8[[#This Row],[SETOR]]="","",IF(Tabela8[[#This Row],[SETOR]]&lt;200,"GV 10",IF(Tabela8[[#This Row],[SETOR]]&lt;300,"GV 20",IF(Tabela8[[#This Row],[SETOR]]&lt;400,"GV 30","S/GV"))))</f>
        <v>GV 10</v>
      </c>
      <c r="E2828" t="s">
        <v>125</v>
      </c>
      <c r="G2828" t="str">
        <f>_xlfn.CONCAT(Tabela9[[#This Row],[Coluna1]],Tabela9[[#This Row],[Coluna2]])</f>
        <v>18-TRAD</v>
      </c>
    </row>
    <row r="2829" spans="1:7" x14ac:dyDescent="0.25">
      <c r="A2829">
        <v>16560</v>
      </c>
      <c r="B2829">
        <v>205</v>
      </c>
      <c r="C2829" s="1" t="str">
        <f>IF(Tabela8[[#This Row],[SETOR]]="","",IF(Tabela8[[#This Row],[SETOR]]&lt;200,"GV 10",IF(Tabela8[[#This Row],[SETOR]]&lt;300,"GV 20",IF(Tabela8[[#This Row],[SETOR]]&lt;400,"GV 30","S/GV"))))</f>
        <v>GV 20</v>
      </c>
      <c r="E2829" t="s">
        <v>124</v>
      </c>
      <c r="G2829" t="str">
        <f>_xlfn.CONCAT(Tabela9[[#This Row],[Coluna1]],Tabela9[[#This Row],[Coluna2]])</f>
        <v>19-VIP</v>
      </c>
    </row>
    <row r="2830" spans="1:7" x14ac:dyDescent="0.25">
      <c r="A2830">
        <v>16571</v>
      </c>
      <c r="B2830">
        <v>203</v>
      </c>
      <c r="C2830" s="1" t="str">
        <f>IF(Tabela8[[#This Row],[SETOR]]="","",IF(Tabela8[[#This Row],[SETOR]]&lt;200,"GV 10",IF(Tabela8[[#This Row],[SETOR]]&lt;300,"GV 20",IF(Tabela8[[#This Row],[SETOR]]&lt;400,"GV 30","S/GV"))))</f>
        <v>GV 20</v>
      </c>
      <c r="E2830" t="s">
        <v>123</v>
      </c>
      <c r="G2830" t="str">
        <f>_xlfn.CONCAT(Tabela9[[#This Row],[Coluna1]],Tabela9[[#This Row],[Coluna2]])</f>
        <v>20-Rota</v>
      </c>
    </row>
    <row r="2831" spans="1:7" x14ac:dyDescent="0.25">
      <c r="A2831">
        <v>16573</v>
      </c>
      <c r="B2831">
        <v>304</v>
      </c>
      <c r="C2831" s="1" t="str">
        <f>IF(Tabela8[[#This Row],[SETOR]]="","",IF(Tabela8[[#This Row],[SETOR]]&lt;200,"GV 10",IF(Tabela8[[#This Row],[SETOR]]&lt;300,"GV 20",IF(Tabela8[[#This Row],[SETOR]]&lt;400,"GV 30","S/GV"))))</f>
        <v>GV 30</v>
      </c>
      <c r="E2831" t="s">
        <v>123</v>
      </c>
      <c r="G2831" t="str">
        <f>_xlfn.CONCAT(Tabela9[[#This Row],[Coluna1]],Tabela9[[#This Row],[Coluna2]])</f>
        <v>20-Rota</v>
      </c>
    </row>
    <row r="2832" spans="1:7" x14ac:dyDescent="0.25">
      <c r="A2832">
        <v>16575</v>
      </c>
      <c r="B2832">
        <v>105</v>
      </c>
      <c r="C2832" s="1" t="str">
        <f>IF(Tabela8[[#This Row],[SETOR]]="","",IF(Tabela8[[#This Row],[SETOR]]&lt;200,"GV 10",IF(Tabela8[[#This Row],[SETOR]]&lt;300,"GV 20",IF(Tabela8[[#This Row],[SETOR]]&lt;400,"GV 30","S/GV"))))</f>
        <v>GV 10</v>
      </c>
      <c r="E2832" t="s">
        <v>123</v>
      </c>
      <c r="G2832" t="str">
        <f>_xlfn.CONCAT(Tabela9[[#This Row],[Coluna1]],Tabela9[[#This Row],[Coluna2]])</f>
        <v>20-Rota</v>
      </c>
    </row>
    <row r="2833" spans="1:7" x14ac:dyDescent="0.25">
      <c r="A2833">
        <v>16576</v>
      </c>
      <c r="B2833">
        <v>105</v>
      </c>
      <c r="C2833" s="1" t="str">
        <f>IF(Tabela8[[#This Row],[SETOR]]="","",IF(Tabela8[[#This Row],[SETOR]]&lt;200,"GV 10",IF(Tabela8[[#This Row],[SETOR]]&lt;300,"GV 20",IF(Tabela8[[#This Row],[SETOR]]&lt;400,"GV 30","S/GV"))))</f>
        <v>GV 10</v>
      </c>
      <c r="E2833" t="s">
        <v>125</v>
      </c>
      <c r="G2833" t="str">
        <f>_xlfn.CONCAT(Tabela9[[#This Row],[Coluna1]],Tabela9[[#This Row],[Coluna2]])</f>
        <v>18-TRAD</v>
      </c>
    </row>
    <row r="2834" spans="1:7" x14ac:dyDescent="0.25">
      <c r="A2834">
        <v>16582</v>
      </c>
      <c r="B2834">
        <v>105</v>
      </c>
      <c r="C2834" s="1" t="str">
        <f>IF(Tabela8[[#This Row],[SETOR]]="","",IF(Tabela8[[#This Row],[SETOR]]&lt;200,"GV 10",IF(Tabela8[[#This Row],[SETOR]]&lt;300,"GV 20",IF(Tabela8[[#This Row],[SETOR]]&lt;400,"GV 30","S/GV"))))</f>
        <v>GV 10</v>
      </c>
      <c r="E2834" t="s">
        <v>125</v>
      </c>
      <c r="G2834" t="str">
        <f>_xlfn.CONCAT(Tabela9[[#This Row],[Coluna1]],Tabela9[[#This Row],[Coluna2]])</f>
        <v>18-TRAD</v>
      </c>
    </row>
    <row r="2835" spans="1:7" x14ac:dyDescent="0.25">
      <c r="A2835">
        <v>16588</v>
      </c>
      <c r="B2835">
        <v>303</v>
      </c>
      <c r="C2835" s="1" t="str">
        <f>IF(Tabela8[[#This Row],[SETOR]]="","",IF(Tabela8[[#This Row],[SETOR]]&lt;200,"GV 10",IF(Tabela8[[#This Row],[SETOR]]&lt;300,"GV 20",IF(Tabela8[[#This Row],[SETOR]]&lt;400,"GV 30","S/GV"))))</f>
        <v>GV 30</v>
      </c>
      <c r="E2835" t="s">
        <v>123</v>
      </c>
      <c r="G2835" t="str">
        <f>_xlfn.CONCAT(Tabela9[[#This Row],[Coluna1]],Tabela9[[#This Row],[Coluna2]])</f>
        <v>20-Rota</v>
      </c>
    </row>
    <row r="2836" spans="1:7" x14ac:dyDescent="0.25">
      <c r="A2836">
        <v>16590</v>
      </c>
      <c r="B2836">
        <v>304</v>
      </c>
      <c r="C2836" s="1" t="str">
        <f>IF(Tabela8[[#This Row],[SETOR]]="","",IF(Tabela8[[#This Row],[SETOR]]&lt;200,"GV 10",IF(Tabela8[[#This Row],[SETOR]]&lt;300,"GV 20",IF(Tabela8[[#This Row],[SETOR]]&lt;400,"GV 30","S/GV"))))</f>
        <v>GV 30</v>
      </c>
      <c r="E2836" t="s">
        <v>123</v>
      </c>
      <c r="G2836" t="str">
        <f>_xlfn.CONCAT(Tabela9[[#This Row],[Coluna1]],Tabela9[[#This Row],[Coluna2]])</f>
        <v>20-Rota</v>
      </c>
    </row>
    <row r="2837" spans="1:7" x14ac:dyDescent="0.25">
      <c r="A2837">
        <v>16592</v>
      </c>
      <c r="B2837">
        <v>106</v>
      </c>
      <c r="C2837" s="1" t="str">
        <f>IF(Tabela8[[#This Row],[SETOR]]="","",IF(Tabela8[[#This Row],[SETOR]]&lt;200,"GV 10",IF(Tabela8[[#This Row],[SETOR]]&lt;300,"GV 20",IF(Tabela8[[#This Row],[SETOR]]&lt;400,"GV 30","S/GV"))))</f>
        <v>GV 10</v>
      </c>
      <c r="E2837" t="s">
        <v>123</v>
      </c>
      <c r="G2837" t="str">
        <f>_xlfn.CONCAT(Tabela9[[#This Row],[Coluna1]],Tabela9[[#This Row],[Coluna2]])</f>
        <v>20-Rota</v>
      </c>
    </row>
    <row r="2838" spans="1:7" x14ac:dyDescent="0.25">
      <c r="A2838">
        <v>16593</v>
      </c>
      <c r="B2838">
        <v>204</v>
      </c>
      <c r="C2838" s="1" t="str">
        <f>IF(Tabela8[[#This Row],[SETOR]]="","",IF(Tabela8[[#This Row],[SETOR]]&lt;200,"GV 10",IF(Tabela8[[#This Row],[SETOR]]&lt;300,"GV 20",IF(Tabela8[[#This Row],[SETOR]]&lt;400,"GV 30","S/GV"))))</f>
        <v>GV 20</v>
      </c>
      <c r="E2838" t="s">
        <v>123</v>
      </c>
      <c r="G2838" t="str">
        <f>_xlfn.CONCAT(Tabela9[[#This Row],[Coluna1]],Tabela9[[#This Row],[Coluna2]])</f>
        <v>20-Rota</v>
      </c>
    </row>
    <row r="2839" spans="1:7" x14ac:dyDescent="0.25">
      <c r="A2839">
        <v>16598</v>
      </c>
      <c r="B2839">
        <v>104</v>
      </c>
      <c r="C2839" s="1" t="str">
        <f>IF(Tabela8[[#This Row],[SETOR]]="","",IF(Tabela8[[#This Row],[SETOR]]&lt;200,"GV 10",IF(Tabela8[[#This Row],[SETOR]]&lt;300,"GV 20",IF(Tabela8[[#This Row],[SETOR]]&lt;400,"GV 30","S/GV"))))</f>
        <v>GV 10</v>
      </c>
      <c r="E2839" t="s">
        <v>123</v>
      </c>
      <c r="G2839" t="str">
        <f>_xlfn.CONCAT(Tabela9[[#This Row],[Coluna1]],Tabela9[[#This Row],[Coluna2]])</f>
        <v>20-Rota</v>
      </c>
    </row>
    <row r="2840" spans="1:7" x14ac:dyDescent="0.25">
      <c r="A2840">
        <v>16601</v>
      </c>
      <c r="B2840">
        <v>302</v>
      </c>
      <c r="C2840" s="1" t="str">
        <f>IF(Tabela8[[#This Row],[SETOR]]="","",IF(Tabela8[[#This Row],[SETOR]]&lt;200,"GV 10",IF(Tabela8[[#This Row],[SETOR]]&lt;300,"GV 20",IF(Tabela8[[#This Row],[SETOR]]&lt;400,"GV 30","S/GV"))))</f>
        <v>GV 30</v>
      </c>
      <c r="E2840" t="s">
        <v>123</v>
      </c>
      <c r="G2840" t="str">
        <f>_xlfn.CONCAT(Tabela9[[#This Row],[Coluna1]],Tabela9[[#This Row],[Coluna2]])</f>
        <v>20-Rota</v>
      </c>
    </row>
    <row r="2841" spans="1:7" x14ac:dyDescent="0.25">
      <c r="A2841">
        <v>16603</v>
      </c>
      <c r="B2841">
        <v>206</v>
      </c>
      <c r="C2841" s="1" t="str">
        <f>IF(Tabela8[[#This Row],[SETOR]]="","",IF(Tabela8[[#This Row],[SETOR]]&lt;200,"GV 10",IF(Tabela8[[#This Row],[SETOR]]&lt;300,"GV 20",IF(Tabela8[[#This Row],[SETOR]]&lt;400,"GV 30","S/GV"))))</f>
        <v>GV 20</v>
      </c>
      <c r="E2841" t="s">
        <v>123</v>
      </c>
      <c r="G2841" t="str">
        <f>_xlfn.CONCAT(Tabela9[[#This Row],[Coluna1]],Tabela9[[#This Row],[Coluna2]])</f>
        <v>20-Rota</v>
      </c>
    </row>
    <row r="2842" spans="1:7" x14ac:dyDescent="0.25">
      <c r="A2842">
        <v>16605</v>
      </c>
      <c r="B2842">
        <v>102</v>
      </c>
      <c r="C2842" s="1" t="str">
        <f>IF(Tabela8[[#This Row],[SETOR]]="","",IF(Tabela8[[#This Row],[SETOR]]&lt;200,"GV 10",IF(Tabela8[[#This Row],[SETOR]]&lt;300,"GV 20",IF(Tabela8[[#This Row],[SETOR]]&lt;400,"GV 30","S/GV"))))</f>
        <v>GV 10</v>
      </c>
      <c r="E2842" t="s">
        <v>123</v>
      </c>
      <c r="G2842" t="str">
        <f>_xlfn.CONCAT(Tabela9[[#This Row],[Coluna1]],Tabela9[[#This Row],[Coluna2]])</f>
        <v>20-Rota</v>
      </c>
    </row>
    <row r="2843" spans="1:7" x14ac:dyDescent="0.25">
      <c r="A2843">
        <v>16606</v>
      </c>
      <c r="B2843">
        <v>201</v>
      </c>
      <c r="C2843" s="1" t="str">
        <f>IF(Tabela8[[#This Row],[SETOR]]="","",IF(Tabela8[[#This Row],[SETOR]]&lt;200,"GV 10",IF(Tabela8[[#This Row],[SETOR]]&lt;300,"GV 20",IF(Tabela8[[#This Row],[SETOR]]&lt;400,"GV 30","S/GV"))))</f>
        <v>GV 20</v>
      </c>
      <c r="E2843" t="s">
        <v>123</v>
      </c>
      <c r="G2843" t="str">
        <f>_xlfn.CONCAT(Tabela9[[#This Row],[Coluna1]],Tabela9[[#This Row],[Coluna2]])</f>
        <v>20-Rota</v>
      </c>
    </row>
    <row r="2844" spans="1:7" x14ac:dyDescent="0.25">
      <c r="A2844">
        <v>16609</v>
      </c>
      <c r="B2844">
        <v>103</v>
      </c>
      <c r="C2844" s="1" t="str">
        <f>IF(Tabela8[[#This Row],[SETOR]]="","",IF(Tabela8[[#This Row],[SETOR]]&lt;200,"GV 10",IF(Tabela8[[#This Row],[SETOR]]&lt;300,"GV 20",IF(Tabela8[[#This Row],[SETOR]]&lt;400,"GV 30","S/GV"))))</f>
        <v>GV 10</v>
      </c>
      <c r="E2844" t="s">
        <v>123</v>
      </c>
      <c r="G2844" t="str">
        <f>_xlfn.CONCAT(Tabela9[[#This Row],[Coluna1]],Tabela9[[#This Row],[Coluna2]])</f>
        <v>20-Rota</v>
      </c>
    </row>
    <row r="2845" spans="1:7" x14ac:dyDescent="0.25">
      <c r="A2845">
        <v>16610</v>
      </c>
      <c r="B2845">
        <v>202</v>
      </c>
      <c r="C2845" s="1" t="str">
        <f>IF(Tabela8[[#This Row],[SETOR]]="","",IF(Tabela8[[#This Row],[SETOR]]&lt;200,"GV 10",IF(Tabela8[[#This Row],[SETOR]]&lt;300,"GV 20",IF(Tabela8[[#This Row],[SETOR]]&lt;400,"GV 30","S/GV"))))</f>
        <v>GV 20</v>
      </c>
      <c r="E2845" t="s">
        <v>123</v>
      </c>
      <c r="G2845" t="str">
        <f>_xlfn.CONCAT(Tabela9[[#This Row],[Coluna1]],Tabela9[[#This Row],[Coluna2]])</f>
        <v>20-Rota</v>
      </c>
    </row>
    <row r="2846" spans="1:7" x14ac:dyDescent="0.25">
      <c r="A2846">
        <v>16611</v>
      </c>
      <c r="B2846">
        <v>206</v>
      </c>
      <c r="C2846" s="1" t="str">
        <f>IF(Tabela8[[#This Row],[SETOR]]="","",IF(Tabela8[[#This Row],[SETOR]]&lt;200,"GV 10",IF(Tabela8[[#This Row],[SETOR]]&lt;300,"GV 20",IF(Tabela8[[#This Row],[SETOR]]&lt;400,"GV 30","S/GV"))))</f>
        <v>GV 20</v>
      </c>
      <c r="E2846" t="s">
        <v>123</v>
      </c>
      <c r="G2846" t="str">
        <f>_xlfn.CONCAT(Tabela9[[#This Row],[Coluna1]],Tabela9[[#This Row],[Coluna2]])</f>
        <v>20-Rota</v>
      </c>
    </row>
    <row r="2847" spans="1:7" x14ac:dyDescent="0.25">
      <c r="A2847">
        <v>16614</v>
      </c>
      <c r="B2847">
        <v>202</v>
      </c>
      <c r="C2847" s="1" t="str">
        <f>IF(Tabela8[[#This Row],[SETOR]]="","",IF(Tabela8[[#This Row],[SETOR]]&lt;200,"GV 10",IF(Tabela8[[#This Row],[SETOR]]&lt;300,"GV 20",IF(Tabela8[[#This Row],[SETOR]]&lt;400,"GV 30","S/GV"))))</f>
        <v>GV 20</v>
      </c>
      <c r="E2847" t="s">
        <v>123</v>
      </c>
      <c r="G2847" t="str">
        <f>_xlfn.CONCAT(Tabela9[[#This Row],[Coluna1]],Tabela9[[#This Row],[Coluna2]])</f>
        <v>20-Rota</v>
      </c>
    </row>
    <row r="2848" spans="1:7" x14ac:dyDescent="0.25">
      <c r="A2848">
        <v>16615</v>
      </c>
      <c r="B2848">
        <v>202</v>
      </c>
      <c r="C2848" s="1" t="str">
        <f>IF(Tabela8[[#This Row],[SETOR]]="","",IF(Tabela8[[#This Row],[SETOR]]&lt;200,"GV 10",IF(Tabela8[[#This Row],[SETOR]]&lt;300,"GV 20",IF(Tabela8[[#This Row],[SETOR]]&lt;400,"GV 30","S/GV"))))</f>
        <v>GV 20</v>
      </c>
      <c r="E2848" t="s">
        <v>123</v>
      </c>
      <c r="G2848" t="str">
        <f>_xlfn.CONCAT(Tabela9[[#This Row],[Coluna1]],Tabela9[[#This Row],[Coluna2]])</f>
        <v>20-Rota</v>
      </c>
    </row>
    <row r="2849" spans="1:7" x14ac:dyDescent="0.25">
      <c r="A2849">
        <v>16618</v>
      </c>
      <c r="B2849">
        <v>302</v>
      </c>
      <c r="C2849" s="1" t="str">
        <f>IF(Tabela8[[#This Row],[SETOR]]="","",IF(Tabela8[[#This Row],[SETOR]]&lt;200,"GV 10",IF(Tabela8[[#This Row],[SETOR]]&lt;300,"GV 20",IF(Tabela8[[#This Row],[SETOR]]&lt;400,"GV 30","S/GV"))))</f>
        <v>GV 30</v>
      </c>
      <c r="E2849" t="s">
        <v>123</v>
      </c>
      <c r="G2849" t="str">
        <f>_xlfn.CONCAT(Tabela9[[#This Row],[Coluna1]],Tabela9[[#This Row],[Coluna2]])</f>
        <v>20-Rota</v>
      </c>
    </row>
    <row r="2850" spans="1:7" x14ac:dyDescent="0.25">
      <c r="A2850">
        <v>16620</v>
      </c>
      <c r="B2850">
        <v>203</v>
      </c>
      <c r="C2850" s="1" t="str">
        <f>IF(Tabela8[[#This Row],[SETOR]]="","",IF(Tabela8[[#This Row],[SETOR]]&lt;200,"GV 10",IF(Tabela8[[#This Row],[SETOR]]&lt;300,"GV 20",IF(Tabela8[[#This Row],[SETOR]]&lt;400,"GV 30","S/GV"))))</f>
        <v>GV 20</v>
      </c>
      <c r="E2850" t="s">
        <v>123</v>
      </c>
      <c r="G2850" t="str">
        <f>_xlfn.CONCAT(Tabela9[[#This Row],[Coluna1]],Tabela9[[#This Row],[Coluna2]])</f>
        <v>20-Rota</v>
      </c>
    </row>
    <row r="2851" spans="1:7" x14ac:dyDescent="0.25">
      <c r="A2851">
        <v>16629</v>
      </c>
      <c r="B2851">
        <v>107</v>
      </c>
      <c r="C2851" s="1" t="str">
        <f>IF(Tabela8[[#This Row],[SETOR]]="","",IF(Tabela8[[#This Row],[SETOR]]&lt;200,"GV 10",IF(Tabela8[[#This Row],[SETOR]]&lt;300,"GV 20",IF(Tabela8[[#This Row],[SETOR]]&lt;400,"GV 30","S/GV"))))</f>
        <v>GV 10</v>
      </c>
      <c r="E2851" t="s">
        <v>125</v>
      </c>
      <c r="G2851" t="str">
        <f>_xlfn.CONCAT(Tabela9[[#This Row],[Coluna1]],Tabela9[[#This Row],[Coluna2]])</f>
        <v>18-TRAD</v>
      </c>
    </row>
    <row r="2852" spans="1:7" x14ac:dyDescent="0.25">
      <c r="A2852">
        <v>16630</v>
      </c>
      <c r="B2852">
        <v>304</v>
      </c>
      <c r="C2852" s="1" t="str">
        <f>IF(Tabela8[[#This Row],[SETOR]]="","",IF(Tabela8[[#This Row],[SETOR]]&lt;200,"GV 10",IF(Tabela8[[#This Row],[SETOR]]&lt;300,"GV 20",IF(Tabela8[[#This Row],[SETOR]]&lt;400,"GV 30","S/GV"))))</f>
        <v>GV 30</v>
      </c>
      <c r="E2852" t="s">
        <v>123</v>
      </c>
      <c r="G2852" t="str">
        <f>_xlfn.CONCAT(Tabela9[[#This Row],[Coluna1]],Tabela9[[#This Row],[Coluna2]])</f>
        <v>20-Rota</v>
      </c>
    </row>
    <row r="2853" spans="1:7" x14ac:dyDescent="0.25">
      <c r="A2853">
        <v>16633</v>
      </c>
      <c r="B2853">
        <v>916</v>
      </c>
      <c r="C2853" s="1" t="str">
        <f>IF(Tabela8[[#This Row],[SETOR]]="","",IF(Tabela8[[#This Row],[SETOR]]&lt;200,"GV 10",IF(Tabela8[[#This Row],[SETOR]]&lt;300,"GV 20",IF(Tabela8[[#This Row],[SETOR]]&lt;400,"GV 30","S/GV"))))</f>
        <v>S/GV</v>
      </c>
      <c r="G2853" t="str">
        <f>_xlfn.CONCAT(Tabela9[[#This Row],[Coluna1]],Tabela9[[#This Row],[Coluna2]])</f>
        <v/>
      </c>
    </row>
    <row r="2854" spans="1:7" x14ac:dyDescent="0.25">
      <c r="A2854">
        <v>16634</v>
      </c>
      <c r="B2854">
        <v>105</v>
      </c>
      <c r="C2854" s="1" t="str">
        <f>IF(Tabela8[[#This Row],[SETOR]]="","",IF(Tabela8[[#This Row],[SETOR]]&lt;200,"GV 10",IF(Tabela8[[#This Row],[SETOR]]&lt;300,"GV 20",IF(Tabela8[[#This Row],[SETOR]]&lt;400,"GV 30","S/GV"))))</f>
        <v>GV 10</v>
      </c>
      <c r="E2854" t="s">
        <v>125</v>
      </c>
      <c r="G2854" t="str">
        <f>_xlfn.CONCAT(Tabela9[[#This Row],[Coluna1]],Tabela9[[#This Row],[Coluna2]])</f>
        <v>18-TRAD</v>
      </c>
    </row>
    <row r="2855" spans="1:7" x14ac:dyDescent="0.25">
      <c r="A2855">
        <v>16636</v>
      </c>
      <c r="B2855">
        <v>104</v>
      </c>
      <c r="C2855" s="1" t="str">
        <f>IF(Tabela8[[#This Row],[SETOR]]="","",IF(Tabela8[[#This Row],[SETOR]]&lt;200,"GV 10",IF(Tabela8[[#This Row],[SETOR]]&lt;300,"GV 20",IF(Tabela8[[#This Row],[SETOR]]&lt;400,"GV 30","S/GV"))))</f>
        <v>GV 10</v>
      </c>
      <c r="E2855" t="s">
        <v>123</v>
      </c>
      <c r="G2855" t="str">
        <f>_xlfn.CONCAT(Tabela9[[#This Row],[Coluna1]],Tabela9[[#This Row],[Coluna2]])</f>
        <v>20-Rota</v>
      </c>
    </row>
    <row r="2856" spans="1:7" x14ac:dyDescent="0.25">
      <c r="A2856">
        <v>16638</v>
      </c>
      <c r="B2856">
        <v>202</v>
      </c>
      <c r="C2856" s="1" t="str">
        <f>IF(Tabela8[[#This Row],[SETOR]]="","",IF(Tabela8[[#This Row],[SETOR]]&lt;200,"GV 10",IF(Tabela8[[#This Row],[SETOR]]&lt;300,"GV 20",IF(Tabela8[[#This Row],[SETOR]]&lt;400,"GV 30","S/GV"))))</f>
        <v>GV 20</v>
      </c>
      <c r="E2856" t="s">
        <v>123</v>
      </c>
      <c r="G2856" t="str">
        <f>_xlfn.CONCAT(Tabela9[[#This Row],[Coluna1]],Tabela9[[#This Row],[Coluna2]])</f>
        <v>20-Rota</v>
      </c>
    </row>
    <row r="2857" spans="1:7" x14ac:dyDescent="0.25">
      <c r="A2857">
        <v>16644</v>
      </c>
      <c r="B2857">
        <v>201</v>
      </c>
      <c r="C2857" s="1" t="str">
        <f>IF(Tabela8[[#This Row],[SETOR]]="","",IF(Tabela8[[#This Row],[SETOR]]&lt;200,"GV 10",IF(Tabela8[[#This Row],[SETOR]]&lt;300,"GV 20",IF(Tabela8[[#This Row],[SETOR]]&lt;400,"GV 30","S/GV"))))</f>
        <v>GV 20</v>
      </c>
      <c r="E2857" t="s">
        <v>123</v>
      </c>
      <c r="G2857" t="str">
        <f>_xlfn.CONCAT(Tabela9[[#This Row],[Coluna1]],Tabela9[[#This Row],[Coluna2]])</f>
        <v>20-Rota</v>
      </c>
    </row>
    <row r="2858" spans="1:7" x14ac:dyDescent="0.25">
      <c r="A2858">
        <v>16648</v>
      </c>
      <c r="B2858">
        <v>205</v>
      </c>
      <c r="C2858" s="1" t="str">
        <f>IF(Tabela8[[#This Row],[SETOR]]="","",IF(Tabela8[[#This Row],[SETOR]]&lt;200,"GV 10",IF(Tabela8[[#This Row],[SETOR]]&lt;300,"GV 20",IF(Tabela8[[#This Row],[SETOR]]&lt;400,"GV 30","S/GV"))))</f>
        <v>GV 20</v>
      </c>
      <c r="E2858" t="s">
        <v>123</v>
      </c>
      <c r="G2858" t="str">
        <f>_xlfn.CONCAT(Tabela9[[#This Row],[Coluna1]],Tabela9[[#This Row],[Coluna2]])</f>
        <v>20-Rota</v>
      </c>
    </row>
    <row r="2859" spans="1:7" x14ac:dyDescent="0.25">
      <c r="A2859">
        <v>16649</v>
      </c>
      <c r="B2859">
        <v>206</v>
      </c>
      <c r="C2859" s="1" t="str">
        <f>IF(Tabela8[[#This Row],[SETOR]]="","",IF(Tabela8[[#This Row],[SETOR]]&lt;200,"GV 10",IF(Tabela8[[#This Row],[SETOR]]&lt;300,"GV 20",IF(Tabela8[[#This Row],[SETOR]]&lt;400,"GV 30","S/GV"))))</f>
        <v>GV 20</v>
      </c>
      <c r="E2859" t="s">
        <v>128</v>
      </c>
      <c r="F2859" t="s">
        <v>129</v>
      </c>
      <c r="G2859" t="str">
        <f>_xlfn.CONCAT(Tabela9[[#This Row],[Coluna1]],Tabela9[[#This Row],[Coluna2]])</f>
        <v>15-AS(1-4)</v>
      </c>
    </row>
    <row r="2860" spans="1:7" x14ac:dyDescent="0.25">
      <c r="A2860">
        <v>16650</v>
      </c>
      <c r="B2860">
        <v>907</v>
      </c>
      <c r="C2860" s="1" t="str">
        <f>IF(Tabela8[[#This Row],[SETOR]]="","",IF(Tabela8[[#This Row],[SETOR]]&lt;200,"GV 10",IF(Tabela8[[#This Row],[SETOR]]&lt;300,"GV 20",IF(Tabela8[[#This Row],[SETOR]]&lt;400,"GV 30","S/GV"))))</f>
        <v>S/GV</v>
      </c>
      <c r="G2860" t="str">
        <f>_xlfn.CONCAT(Tabela9[[#This Row],[Coluna1]],Tabela9[[#This Row],[Coluna2]])</f>
        <v/>
      </c>
    </row>
    <row r="2861" spans="1:7" x14ac:dyDescent="0.25">
      <c r="A2861">
        <v>16652</v>
      </c>
      <c r="B2861">
        <v>302</v>
      </c>
      <c r="C2861" s="1" t="str">
        <f>IF(Tabela8[[#This Row],[SETOR]]="","",IF(Tabela8[[#This Row],[SETOR]]&lt;200,"GV 10",IF(Tabela8[[#This Row],[SETOR]]&lt;300,"GV 20",IF(Tabela8[[#This Row],[SETOR]]&lt;400,"GV 30","S/GV"))))</f>
        <v>GV 30</v>
      </c>
      <c r="E2861" t="s">
        <v>123</v>
      </c>
      <c r="G2861" t="str">
        <f>_xlfn.CONCAT(Tabela9[[#This Row],[Coluna1]],Tabela9[[#This Row],[Coluna2]])</f>
        <v>20-Rota</v>
      </c>
    </row>
    <row r="2862" spans="1:7" x14ac:dyDescent="0.25">
      <c r="A2862">
        <v>16654</v>
      </c>
      <c r="B2862">
        <v>907</v>
      </c>
      <c r="C2862" s="1" t="str">
        <f>IF(Tabela8[[#This Row],[SETOR]]="","",IF(Tabela8[[#This Row],[SETOR]]&lt;200,"GV 10",IF(Tabela8[[#This Row],[SETOR]]&lt;300,"GV 20",IF(Tabela8[[#This Row],[SETOR]]&lt;400,"GV 30","S/GV"))))</f>
        <v>S/GV</v>
      </c>
      <c r="G2862" t="str">
        <f>_xlfn.CONCAT(Tabela9[[#This Row],[Coluna1]],Tabela9[[#This Row],[Coluna2]])</f>
        <v/>
      </c>
    </row>
    <row r="2863" spans="1:7" x14ac:dyDescent="0.25">
      <c r="A2863">
        <v>16656</v>
      </c>
      <c r="B2863">
        <v>306</v>
      </c>
      <c r="C2863" s="1" t="str">
        <f>IF(Tabela8[[#This Row],[SETOR]]="","",IF(Tabela8[[#This Row],[SETOR]]&lt;200,"GV 10",IF(Tabela8[[#This Row],[SETOR]]&lt;300,"GV 20",IF(Tabela8[[#This Row],[SETOR]]&lt;400,"GV 30","S/GV"))))</f>
        <v>GV 30</v>
      </c>
      <c r="E2863" t="s">
        <v>125</v>
      </c>
      <c r="G2863" t="str">
        <f>_xlfn.CONCAT(Tabela9[[#This Row],[Coluna1]],Tabela9[[#This Row],[Coluna2]])</f>
        <v>18-TRAD</v>
      </c>
    </row>
    <row r="2864" spans="1:7" x14ac:dyDescent="0.25">
      <c r="A2864">
        <v>16657</v>
      </c>
      <c r="B2864">
        <v>109</v>
      </c>
      <c r="C2864" s="1" t="str">
        <f>IF(Tabela8[[#This Row],[SETOR]]="","",IF(Tabela8[[#This Row],[SETOR]]&lt;200,"GV 10",IF(Tabela8[[#This Row],[SETOR]]&lt;300,"GV 20",IF(Tabela8[[#This Row],[SETOR]]&lt;400,"GV 30","S/GV"))))</f>
        <v>GV 10</v>
      </c>
      <c r="E2864" t="s">
        <v>123</v>
      </c>
      <c r="G2864" t="str">
        <f>_xlfn.CONCAT(Tabela9[[#This Row],[Coluna1]],Tabela9[[#This Row],[Coluna2]])</f>
        <v>20-Rota</v>
      </c>
    </row>
    <row r="2865" spans="1:7" x14ac:dyDescent="0.25">
      <c r="A2865">
        <v>16660</v>
      </c>
      <c r="B2865">
        <v>105</v>
      </c>
      <c r="C2865" s="1" t="str">
        <f>IF(Tabela8[[#This Row],[SETOR]]="","",IF(Tabela8[[#This Row],[SETOR]]&lt;200,"GV 10",IF(Tabela8[[#This Row],[SETOR]]&lt;300,"GV 20",IF(Tabela8[[#This Row],[SETOR]]&lt;400,"GV 30","S/GV"))))</f>
        <v>GV 10</v>
      </c>
      <c r="E2865" t="s">
        <v>125</v>
      </c>
      <c r="G2865" t="str">
        <f>_xlfn.CONCAT(Tabela9[[#This Row],[Coluna1]],Tabela9[[#This Row],[Coluna2]])</f>
        <v>18-TRAD</v>
      </c>
    </row>
    <row r="2866" spans="1:7" x14ac:dyDescent="0.25">
      <c r="A2866">
        <v>16662</v>
      </c>
      <c r="B2866">
        <v>203</v>
      </c>
      <c r="C2866" s="1" t="str">
        <f>IF(Tabela8[[#This Row],[SETOR]]="","",IF(Tabela8[[#This Row],[SETOR]]&lt;200,"GV 10",IF(Tabela8[[#This Row],[SETOR]]&lt;300,"GV 20",IF(Tabela8[[#This Row],[SETOR]]&lt;400,"GV 30","S/GV"))))</f>
        <v>GV 20</v>
      </c>
      <c r="E2866" t="s">
        <v>123</v>
      </c>
      <c r="G2866" t="str">
        <f>_xlfn.CONCAT(Tabela9[[#This Row],[Coluna1]],Tabela9[[#This Row],[Coluna2]])</f>
        <v>20-Rota</v>
      </c>
    </row>
    <row r="2867" spans="1:7" x14ac:dyDescent="0.25">
      <c r="A2867">
        <v>16664</v>
      </c>
      <c r="B2867">
        <v>301</v>
      </c>
      <c r="C2867" s="1" t="str">
        <f>IF(Tabela8[[#This Row],[SETOR]]="","",IF(Tabela8[[#This Row],[SETOR]]&lt;200,"GV 10",IF(Tabela8[[#This Row],[SETOR]]&lt;300,"GV 20",IF(Tabela8[[#This Row],[SETOR]]&lt;400,"GV 30","S/GV"))))</f>
        <v>GV 30</v>
      </c>
      <c r="E2867" t="s">
        <v>123</v>
      </c>
      <c r="G2867" t="str">
        <f>_xlfn.CONCAT(Tabela9[[#This Row],[Coluna1]],Tabela9[[#This Row],[Coluna2]])</f>
        <v>20-Rota</v>
      </c>
    </row>
    <row r="2868" spans="1:7" x14ac:dyDescent="0.25">
      <c r="A2868">
        <v>16667</v>
      </c>
      <c r="B2868">
        <v>203</v>
      </c>
      <c r="C2868" s="1" t="str">
        <f>IF(Tabela8[[#This Row],[SETOR]]="","",IF(Tabela8[[#This Row],[SETOR]]&lt;200,"GV 10",IF(Tabela8[[#This Row],[SETOR]]&lt;300,"GV 20",IF(Tabela8[[#This Row],[SETOR]]&lt;400,"GV 30","S/GV"))))</f>
        <v>GV 20</v>
      </c>
      <c r="E2868" t="s">
        <v>123</v>
      </c>
      <c r="G2868" t="str">
        <f>_xlfn.CONCAT(Tabela9[[#This Row],[Coluna1]],Tabela9[[#This Row],[Coluna2]])</f>
        <v>20-Rota</v>
      </c>
    </row>
    <row r="2869" spans="1:7" x14ac:dyDescent="0.25">
      <c r="A2869">
        <v>16668</v>
      </c>
      <c r="B2869">
        <v>101</v>
      </c>
      <c r="C2869" s="1" t="str">
        <f>IF(Tabela8[[#This Row],[SETOR]]="","",IF(Tabela8[[#This Row],[SETOR]]&lt;200,"GV 10",IF(Tabela8[[#This Row],[SETOR]]&lt;300,"GV 20",IF(Tabela8[[#This Row],[SETOR]]&lt;400,"GV 30","S/GV"))))</f>
        <v>GV 10</v>
      </c>
      <c r="E2869" t="s">
        <v>123</v>
      </c>
      <c r="G2869" t="str">
        <f>_xlfn.CONCAT(Tabela9[[#This Row],[Coluna1]],Tabela9[[#This Row],[Coluna2]])</f>
        <v>20-Rota</v>
      </c>
    </row>
    <row r="2870" spans="1:7" x14ac:dyDescent="0.25">
      <c r="A2870">
        <v>16670</v>
      </c>
      <c r="B2870">
        <v>207</v>
      </c>
      <c r="C2870" s="1" t="str">
        <f>IF(Tabela8[[#This Row],[SETOR]]="","",IF(Tabela8[[#This Row],[SETOR]]&lt;200,"GV 10",IF(Tabela8[[#This Row],[SETOR]]&lt;300,"GV 20",IF(Tabela8[[#This Row],[SETOR]]&lt;400,"GV 30","S/GV"))))</f>
        <v>GV 20</v>
      </c>
      <c r="E2870" t="s">
        <v>130</v>
      </c>
      <c r="G2870" t="str">
        <f>_xlfn.CONCAT(Tabela9[[#This Row],[Coluna1]],Tabela9[[#This Row],[Coluna2]])</f>
        <v>21-SUB</v>
      </c>
    </row>
    <row r="2871" spans="1:7" x14ac:dyDescent="0.25">
      <c r="A2871">
        <v>16673</v>
      </c>
      <c r="B2871">
        <v>305</v>
      </c>
      <c r="C2871" s="1" t="str">
        <f>IF(Tabela8[[#This Row],[SETOR]]="","",IF(Tabela8[[#This Row],[SETOR]]&lt;200,"GV 10",IF(Tabela8[[#This Row],[SETOR]]&lt;300,"GV 20",IF(Tabela8[[#This Row],[SETOR]]&lt;400,"GV 30","S/GV"))))</f>
        <v>GV 30</v>
      </c>
      <c r="E2871" t="s">
        <v>123</v>
      </c>
      <c r="G2871" t="str">
        <f>_xlfn.CONCAT(Tabela9[[#This Row],[Coluna1]],Tabela9[[#This Row],[Coluna2]])</f>
        <v>20-Rota</v>
      </c>
    </row>
    <row r="2872" spans="1:7" x14ac:dyDescent="0.25">
      <c r="A2872">
        <v>16675</v>
      </c>
      <c r="B2872">
        <v>907</v>
      </c>
      <c r="C2872" s="1" t="str">
        <f>IF(Tabela8[[#This Row],[SETOR]]="","",IF(Tabela8[[#This Row],[SETOR]]&lt;200,"GV 10",IF(Tabela8[[#This Row],[SETOR]]&lt;300,"GV 20",IF(Tabela8[[#This Row],[SETOR]]&lt;400,"GV 30","S/GV"))))</f>
        <v>S/GV</v>
      </c>
      <c r="G2872" t="str">
        <f>_xlfn.CONCAT(Tabela9[[#This Row],[Coluna1]],Tabela9[[#This Row],[Coluna2]])</f>
        <v/>
      </c>
    </row>
    <row r="2873" spans="1:7" x14ac:dyDescent="0.25">
      <c r="A2873">
        <v>16678</v>
      </c>
      <c r="B2873">
        <v>101</v>
      </c>
      <c r="C2873" s="1" t="str">
        <f>IF(Tabela8[[#This Row],[SETOR]]="","",IF(Tabela8[[#This Row],[SETOR]]&lt;200,"GV 10",IF(Tabela8[[#This Row],[SETOR]]&lt;300,"GV 20",IF(Tabela8[[#This Row],[SETOR]]&lt;400,"GV 30","S/GV"))))</f>
        <v>GV 10</v>
      </c>
      <c r="E2873" t="s">
        <v>123</v>
      </c>
      <c r="G2873" t="str">
        <f>_xlfn.CONCAT(Tabela9[[#This Row],[Coluna1]],Tabela9[[#This Row],[Coluna2]])</f>
        <v>20-Rota</v>
      </c>
    </row>
    <row r="2874" spans="1:7" x14ac:dyDescent="0.25">
      <c r="A2874">
        <v>16681</v>
      </c>
      <c r="B2874">
        <v>907</v>
      </c>
      <c r="C2874" s="1" t="str">
        <f>IF(Tabela8[[#This Row],[SETOR]]="","",IF(Tabela8[[#This Row],[SETOR]]&lt;200,"GV 10",IF(Tabela8[[#This Row],[SETOR]]&lt;300,"GV 20",IF(Tabela8[[#This Row],[SETOR]]&lt;400,"GV 30","S/GV"))))</f>
        <v>S/GV</v>
      </c>
      <c r="G2874" t="str">
        <f>_xlfn.CONCAT(Tabela9[[#This Row],[Coluna1]],Tabela9[[#This Row],[Coluna2]])</f>
        <v/>
      </c>
    </row>
    <row r="2875" spans="1:7" x14ac:dyDescent="0.25">
      <c r="A2875">
        <v>16682</v>
      </c>
      <c r="B2875">
        <v>301</v>
      </c>
      <c r="C2875" s="1" t="str">
        <f>IF(Tabela8[[#This Row],[SETOR]]="","",IF(Tabela8[[#This Row],[SETOR]]&lt;200,"GV 10",IF(Tabela8[[#This Row],[SETOR]]&lt;300,"GV 20",IF(Tabela8[[#This Row],[SETOR]]&lt;400,"GV 30","S/GV"))))</f>
        <v>GV 30</v>
      </c>
      <c r="E2875" t="s">
        <v>123</v>
      </c>
      <c r="G2875" t="str">
        <f>_xlfn.CONCAT(Tabela9[[#This Row],[Coluna1]],Tabela9[[#This Row],[Coluna2]])</f>
        <v>20-Rota</v>
      </c>
    </row>
    <row r="2876" spans="1:7" x14ac:dyDescent="0.25">
      <c r="A2876">
        <v>16685</v>
      </c>
      <c r="B2876">
        <v>305</v>
      </c>
      <c r="C2876" s="1" t="str">
        <f>IF(Tabela8[[#This Row],[SETOR]]="","",IF(Tabela8[[#This Row],[SETOR]]&lt;200,"GV 10",IF(Tabela8[[#This Row],[SETOR]]&lt;300,"GV 20",IF(Tabela8[[#This Row],[SETOR]]&lt;400,"GV 30","S/GV"))))</f>
        <v>GV 30</v>
      </c>
      <c r="E2876" t="s">
        <v>124</v>
      </c>
      <c r="G2876" t="str">
        <f>_xlfn.CONCAT(Tabela9[[#This Row],[Coluna1]],Tabela9[[#This Row],[Coluna2]])</f>
        <v>19-VIP</v>
      </c>
    </row>
    <row r="2877" spans="1:7" x14ac:dyDescent="0.25">
      <c r="A2877">
        <v>16687</v>
      </c>
      <c r="B2877">
        <v>304</v>
      </c>
      <c r="C2877" s="1" t="str">
        <f>IF(Tabela8[[#This Row],[SETOR]]="","",IF(Tabela8[[#This Row],[SETOR]]&lt;200,"GV 10",IF(Tabela8[[#This Row],[SETOR]]&lt;300,"GV 20",IF(Tabela8[[#This Row],[SETOR]]&lt;400,"GV 30","S/GV"))))</f>
        <v>GV 30</v>
      </c>
      <c r="E2877" t="s">
        <v>123</v>
      </c>
      <c r="G2877" t="str">
        <f>_xlfn.CONCAT(Tabela9[[#This Row],[Coluna1]],Tabela9[[#This Row],[Coluna2]])</f>
        <v>20-Rota</v>
      </c>
    </row>
    <row r="2878" spans="1:7" x14ac:dyDescent="0.25">
      <c r="A2878">
        <v>16688</v>
      </c>
      <c r="B2878">
        <v>201</v>
      </c>
      <c r="C2878" s="1" t="str">
        <f>IF(Tabela8[[#This Row],[SETOR]]="","",IF(Tabela8[[#This Row],[SETOR]]&lt;200,"GV 10",IF(Tabela8[[#This Row],[SETOR]]&lt;300,"GV 20",IF(Tabela8[[#This Row],[SETOR]]&lt;400,"GV 30","S/GV"))))</f>
        <v>GV 20</v>
      </c>
      <c r="E2878" t="s">
        <v>123</v>
      </c>
      <c r="G2878" t="str">
        <f>_xlfn.CONCAT(Tabela9[[#This Row],[Coluna1]],Tabela9[[#This Row],[Coluna2]])</f>
        <v>20-Rota</v>
      </c>
    </row>
    <row r="2879" spans="1:7" x14ac:dyDescent="0.25">
      <c r="A2879">
        <v>16691</v>
      </c>
      <c r="B2879">
        <v>202</v>
      </c>
      <c r="C2879" s="1" t="str">
        <f>IF(Tabela8[[#This Row],[SETOR]]="","",IF(Tabela8[[#This Row],[SETOR]]&lt;200,"GV 10",IF(Tabela8[[#This Row],[SETOR]]&lt;300,"GV 20",IF(Tabela8[[#This Row],[SETOR]]&lt;400,"GV 30","S/GV"))))</f>
        <v>GV 20</v>
      </c>
      <c r="E2879" t="s">
        <v>123</v>
      </c>
      <c r="G2879" t="str">
        <f>_xlfn.CONCAT(Tabela9[[#This Row],[Coluna1]],Tabela9[[#This Row],[Coluna2]])</f>
        <v>20-Rota</v>
      </c>
    </row>
    <row r="2880" spans="1:7" x14ac:dyDescent="0.25">
      <c r="A2880">
        <v>16692</v>
      </c>
      <c r="B2880">
        <v>304</v>
      </c>
      <c r="C2880" s="1" t="str">
        <f>IF(Tabela8[[#This Row],[SETOR]]="","",IF(Tabela8[[#This Row],[SETOR]]&lt;200,"GV 10",IF(Tabela8[[#This Row],[SETOR]]&lt;300,"GV 20",IF(Tabela8[[#This Row],[SETOR]]&lt;400,"GV 30","S/GV"))))</f>
        <v>GV 30</v>
      </c>
      <c r="E2880" t="s">
        <v>123</v>
      </c>
      <c r="G2880" t="str">
        <f>_xlfn.CONCAT(Tabela9[[#This Row],[Coluna1]],Tabela9[[#This Row],[Coluna2]])</f>
        <v>20-Rota</v>
      </c>
    </row>
    <row r="2881" spans="1:7" x14ac:dyDescent="0.25">
      <c r="A2881">
        <v>16693</v>
      </c>
      <c r="B2881">
        <v>205</v>
      </c>
      <c r="C2881" s="1" t="str">
        <f>IF(Tabela8[[#This Row],[SETOR]]="","",IF(Tabela8[[#This Row],[SETOR]]&lt;200,"GV 10",IF(Tabela8[[#This Row],[SETOR]]&lt;300,"GV 20",IF(Tabela8[[#This Row],[SETOR]]&lt;400,"GV 30","S/GV"))))</f>
        <v>GV 20</v>
      </c>
      <c r="E2881" t="s">
        <v>123</v>
      </c>
      <c r="G2881" t="str">
        <f>_xlfn.CONCAT(Tabela9[[#This Row],[Coluna1]],Tabela9[[#This Row],[Coluna2]])</f>
        <v>20-Rota</v>
      </c>
    </row>
    <row r="2882" spans="1:7" x14ac:dyDescent="0.25">
      <c r="A2882">
        <v>16698</v>
      </c>
      <c r="B2882">
        <v>101</v>
      </c>
      <c r="C2882" s="1" t="str">
        <f>IF(Tabela8[[#This Row],[SETOR]]="","",IF(Tabela8[[#This Row],[SETOR]]&lt;200,"GV 10",IF(Tabela8[[#This Row],[SETOR]]&lt;300,"GV 20",IF(Tabela8[[#This Row],[SETOR]]&lt;400,"GV 30","S/GV"))))</f>
        <v>GV 10</v>
      </c>
      <c r="E2882" t="s">
        <v>123</v>
      </c>
      <c r="G2882" t="str">
        <f>_xlfn.CONCAT(Tabela9[[#This Row],[Coluna1]],Tabela9[[#This Row],[Coluna2]])</f>
        <v>20-Rota</v>
      </c>
    </row>
    <row r="2883" spans="1:7" x14ac:dyDescent="0.25">
      <c r="A2883">
        <v>16699</v>
      </c>
      <c r="B2883">
        <v>301</v>
      </c>
      <c r="C2883" s="1" t="str">
        <f>IF(Tabela8[[#This Row],[SETOR]]="","",IF(Tabela8[[#This Row],[SETOR]]&lt;200,"GV 10",IF(Tabela8[[#This Row],[SETOR]]&lt;300,"GV 20",IF(Tabela8[[#This Row],[SETOR]]&lt;400,"GV 30","S/GV"))))</f>
        <v>GV 30</v>
      </c>
      <c r="E2883" t="s">
        <v>123</v>
      </c>
      <c r="G2883" t="str">
        <f>_xlfn.CONCAT(Tabela9[[#This Row],[Coluna1]],Tabela9[[#This Row],[Coluna2]])</f>
        <v>20-Rota</v>
      </c>
    </row>
    <row r="2884" spans="1:7" x14ac:dyDescent="0.25">
      <c r="A2884">
        <v>16700</v>
      </c>
      <c r="B2884">
        <v>303</v>
      </c>
      <c r="C2884" s="1" t="str">
        <f>IF(Tabela8[[#This Row],[SETOR]]="","",IF(Tabela8[[#This Row],[SETOR]]&lt;200,"GV 10",IF(Tabela8[[#This Row],[SETOR]]&lt;300,"GV 20",IF(Tabela8[[#This Row],[SETOR]]&lt;400,"GV 30","S/GV"))))</f>
        <v>GV 30</v>
      </c>
      <c r="E2884" t="s">
        <v>123</v>
      </c>
      <c r="G2884" t="str">
        <f>_xlfn.CONCAT(Tabela9[[#This Row],[Coluna1]],Tabela9[[#This Row],[Coluna2]])</f>
        <v>20-Rota</v>
      </c>
    </row>
    <row r="2885" spans="1:7" x14ac:dyDescent="0.25">
      <c r="A2885">
        <v>16701</v>
      </c>
      <c r="B2885">
        <v>306</v>
      </c>
      <c r="C2885" s="1" t="str">
        <f>IF(Tabela8[[#This Row],[SETOR]]="","",IF(Tabela8[[#This Row],[SETOR]]&lt;200,"GV 10",IF(Tabela8[[#This Row],[SETOR]]&lt;300,"GV 20",IF(Tabela8[[#This Row],[SETOR]]&lt;400,"GV 30","S/GV"))))</f>
        <v>GV 30</v>
      </c>
      <c r="E2885" t="s">
        <v>125</v>
      </c>
      <c r="G2885" t="str">
        <f>_xlfn.CONCAT(Tabela9[[#This Row],[Coluna1]],Tabela9[[#This Row],[Coluna2]])</f>
        <v>18-TRAD</v>
      </c>
    </row>
    <row r="2886" spans="1:7" x14ac:dyDescent="0.25">
      <c r="A2886">
        <v>16702</v>
      </c>
      <c r="B2886">
        <v>303</v>
      </c>
      <c r="C2886" s="1" t="str">
        <f>IF(Tabela8[[#This Row],[SETOR]]="","",IF(Tabela8[[#This Row],[SETOR]]&lt;200,"GV 10",IF(Tabela8[[#This Row],[SETOR]]&lt;300,"GV 20",IF(Tabela8[[#This Row],[SETOR]]&lt;400,"GV 30","S/GV"))))</f>
        <v>GV 30</v>
      </c>
      <c r="E2886" t="s">
        <v>123</v>
      </c>
      <c r="G2886" t="str">
        <f>_xlfn.CONCAT(Tabela9[[#This Row],[Coluna1]],Tabela9[[#This Row],[Coluna2]])</f>
        <v>20-Rota</v>
      </c>
    </row>
    <row r="2887" spans="1:7" x14ac:dyDescent="0.25">
      <c r="A2887">
        <v>16706</v>
      </c>
      <c r="B2887">
        <v>106</v>
      </c>
      <c r="C2887" s="1" t="str">
        <f>IF(Tabela8[[#This Row],[SETOR]]="","",IF(Tabela8[[#This Row],[SETOR]]&lt;200,"GV 10",IF(Tabela8[[#This Row],[SETOR]]&lt;300,"GV 20",IF(Tabela8[[#This Row],[SETOR]]&lt;400,"GV 30","S/GV"))))</f>
        <v>GV 10</v>
      </c>
      <c r="E2887" t="s">
        <v>123</v>
      </c>
      <c r="G2887" t="str">
        <f>_xlfn.CONCAT(Tabela9[[#This Row],[Coluna1]],Tabela9[[#This Row],[Coluna2]])</f>
        <v>20-Rota</v>
      </c>
    </row>
    <row r="2888" spans="1:7" x14ac:dyDescent="0.25">
      <c r="A2888">
        <v>16708</v>
      </c>
      <c r="B2888">
        <v>106</v>
      </c>
      <c r="C2888" s="1" t="str">
        <f>IF(Tabela8[[#This Row],[SETOR]]="","",IF(Tabela8[[#This Row],[SETOR]]&lt;200,"GV 10",IF(Tabela8[[#This Row],[SETOR]]&lt;300,"GV 20",IF(Tabela8[[#This Row],[SETOR]]&lt;400,"GV 30","S/GV"))))</f>
        <v>GV 10</v>
      </c>
      <c r="E2888" t="s">
        <v>123</v>
      </c>
      <c r="G2888" t="str">
        <f>_xlfn.CONCAT(Tabela9[[#This Row],[Coluna1]],Tabela9[[#This Row],[Coluna2]])</f>
        <v>20-Rota</v>
      </c>
    </row>
    <row r="2889" spans="1:7" x14ac:dyDescent="0.25">
      <c r="A2889">
        <v>16710</v>
      </c>
      <c r="B2889">
        <v>104</v>
      </c>
      <c r="C2889" s="1" t="str">
        <f>IF(Tabela8[[#This Row],[SETOR]]="","",IF(Tabela8[[#This Row],[SETOR]]&lt;200,"GV 10",IF(Tabela8[[#This Row],[SETOR]]&lt;300,"GV 20",IF(Tabela8[[#This Row],[SETOR]]&lt;400,"GV 30","S/GV"))))</f>
        <v>GV 10</v>
      </c>
      <c r="E2889" t="s">
        <v>123</v>
      </c>
      <c r="G2889" t="str">
        <f>_xlfn.CONCAT(Tabela9[[#This Row],[Coluna1]],Tabela9[[#This Row],[Coluna2]])</f>
        <v>20-Rota</v>
      </c>
    </row>
    <row r="2890" spans="1:7" x14ac:dyDescent="0.25">
      <c r="A2890">
        <v>16715</v>
      </c>
      <c r="B2890">
        <v>107</v>
      </c>
      <c r="C2890" s="1" t="str">
        <f>IF(Tabela8[[#This Row],[SETOR]]="","",IF(Tabela8[[#This Row],[SETOR]]&lt;200,"GV 10",IF(Tabela8[[#This Row],[SETOR]]&lt;300,"GV 20",IF(Tabela8[[#This Row],[SETOR]]&lt;400,"GV 30","S/GV"))))</f>
        <v>GV 10</v>
      </c>
      <c r="E2890" t="s">
        <v>125</v>
      </c>
      <c r="G2890" t="str">
        <f>_xlfn.CONCAT(Tabela9[[#This Row],[Coluna1]],Tabela9[[#This Row],[Coluna2]])</f>
        <v>18-TRAD</v>
      </c>
    </row>
    <row r="2891" spans="1:7" x14ac:dyDescent="0.25">
      <c r="A2891">
        <v>16716</v>
      </c>
      <c r="B2891">
        <v>302</v>
      </c>
      <c r="C2891" s="1" t="str">
        <f>IF(Tabela8[[#This Row],[SETOR]]="","",IF(Tabela8[[#This Row],[SETOR]]&lt;200,"GV 10",IF(Tabela8[[#This Row],[SETOR]]&lt;300,"GV 20",IF(Tabela8[[#This Row],[SETOR]]&lt;400,"GV 30","S/GV"))))</f>
        <v>GV 30</v>
      </c>
      <c r="E2891" t="s">
        <v>123</v>
      </c>
      <c r="G2891" t="str">
        <f>_xlfn.CONCAT(Tabela9[[#This Row],[Coluna1]],Tabela9[[#This Row],[Coluna2]])</f>
        <v>20-Rota</v>
      </c>
    </row>
    <row r="2892" spans="1:7" x14ac:dyDescent="0.25">
      <c r="A2892">
        <v>16718</v>
      </c>
      <c r="B2892">
        <v>201</v>
      </c>
      <c r="C2892" s="1" t="str">
        <f>IF(Tabela8[[#This Row],[SETOR]]="","",IF(Tabela8[[#This Row],[SETOR]]&lt;200,"GV 10",IF(Tabela8[[#This Row],[SETOR]]&lt;300,"GV 20",IF(Tabela8[[#This Row],[SETOR]]&lt;400,"GV 30","S/GV"))))</f>
        <v>GV 20</v>
      </c>
      <c r="E2892" t="s">
        <v>123</v>
      </c>
      <c r="G2892" t="str">
        <f>_xlfn.CONCAT(Tabela9[[#This Row],[Coluna1]],Tabela9[[#This Row],[Coluna2]])</f>
        <v>20-Rota</v>
      </c>
    </row>
    <row r="2893" spans="1:7" x14ac:dyDescent="0.25">
      <c r="A2893">
        <v>16721</v>
      </c>
      <c r="B2893">
        <v>103</v>
      </c>
      <c r="C2893" s="1" t="str">
        <f>IF(Tabela8[[#This Row],[SETOR]]="","",IF(Tabela8[[#This Row],[SETOR]]&lt;200,"GV 10",IF(Tabela8[[#This Row],[SETOR]]&lt;300,"GV 20",IF(Tabela8[[#This Row],[SETOR]]&lt;400,"GV 30","S/GV"))))</f>
        <v>GV 10</v>
      </c>
      <c r="E2893" t="s">
        <v>123</v>
      </c>
      <c r="G2893" t="str">
        <f>_xlfn.CONCAT(Tabela9[[#This Row],[Coluna1]],Tabela9[[#This Row],[Coluna2]])</f>
        <v>20-Rota</v>
      </c>
    </row>
    <row r="2894" spans="1:7" x14ac:dyDescent="0.25">
      <c r="A2894">
        <v>16732</v>
      </c>
      <c r="B2894">
        <v>202</v>
      </c>
      <c r="C2894" s="1" t="str">
        <f>IF(Tabela8[[#This Row],[SETOR]]="","",IF(Tabela8[[#This Row],[SETOR]]&lt;200,"GV 10",IF(Tabela8[[#This Row],[SETOR]]&lt;300,"GV 20",IF(Tabela8[[#This Row],[SETOR]]&lt;400,"GV 30","S/GV"))))</f>
        <v>GV 20</v>
      </c>
      <c r="E2894" t="s">
        <v>123</v>
      </c>
      <c r="G2894" t="str">
        <f>_xlfn.CONCAT(Tabela9[[#This Row],[Coluna1]],Tabela9[[#This Row],[Coluna2]])</f>
        <v>20-Rota</v>
      </c>
    </row>
    <row r="2895" spans="1:7" x14ac:dyDescent="0.25">
      <c r="A2895">
        <v>16733</v>
      </c>
      <c r="B2895">
        <v>102</v>
      </c>
      <c r="C2895" s="1" t="str">
        <f>IF(Tabela8[[#This Row],[SETOR]]="","",IF(Tabela8[[#This Row],[SETOR]]&lt;200,"GV 10",IF(Tabela8[[#This Row],[SETOR]]&lt;300,"GV 20",IF(Tabela8[[#This Row],[SETOR]]&lt;400,"GV 30","S/GV"))))</f>
        <v>GV 10</v>
      </c>
      <c r="E2895" t="s">
        <v>123</v>
      </c>
      <c r="G2895" t="str">
        <f>_xlfn.CONCAT(Tabela9[[#This Row],[Coluna1]],Tabela9[[#This Row],[Coluna2]])</f>
        <v>20-Rota</v>
      </c>
    </row>
    <row r="2896" spans="1:7" x14ac:dyDescent="0.25">
      <c r="A2896">
        <v>16736</v>
      </c>
      <c r="B2896">
        <v>307</v>
      </c>
      <c r="C2896" s="1" t="str">
        <f>IF(Tabela8[[#This Row],[SETOR]]="","",IF(Tabela8[[#This Row],[SETOR]]&lt;200,"GV 10",IF(Tabela8[[#This Row],[SETOR]]&lt;300,"GV 20",IF(Tabela8[[#This Row],[SETOR]]&lt;400,"GV 30","S/GV"))))</f>
        <v>GV 30</v>
      </c>
      <c r="E2896" t="s">
        <v>128</v>
      </c>
      <c r="F2896" t="s">
        <v>129</v>
      </c>
      <c r="G2896" t="str">
        <f>_xlfn.CONCAT(Tabela9[[#This Row],[Coluna1]],Tabela9[[#This Row],[Coluna2]])</f>
        <v>15-AS(1-4)</v>
      </c>
    </row>
    <row r="2897" spans="1:7" x14ac:dyDescent="0.25">
      <c r="A2897">
        <v>16737</v>
      </c>
      <c r="B2897">
        <v>106</v>
      </c>
      <c r="C2897" s="1" t="str">
        <f>IF(Tabela8[[#This Row],[SETOR]]="","",IF(Tabela8[[#This Row],[SETOR]]&lt;200,"GV 10",IF(Tabela8[[#This Row],[SETOR]]&lt;300,"GV 20",IF(Tabela8[[#This Row],[SETOR]]&lt;400,"GV 30","S/GV"))))</f>
        <v>GV 10</v>
      </c>
      <c r="E2897" t="s">
        <v>123</v>
      </c>
      <c r="G2897" t="str">
        <f>_xlfn.CONCAT(Tabela9[[#This Row],[Coluna1]],Tabela9[[#This Row],[Coluna2]])</f>
        <v>20-Rota</v>
      </c>
    </row>
    <row r="2898" spans="1:7" x14ac:dyDescent="0.25">
      <c r="A2898">
        <v>16738</v>
      </c>
      <c r="B2898">
        <v>109</v>
      </c>
      <c r="C2898" s="1" t="str">
        <f>IF(Tabela8[[#This Row],[SETOR]]="","",IF(Tabela8[[#This Row],[SETOR]]&lt;200,"GV 10",IF(Tabela8[[#This Row],[SETOR]]&lt;300,"GV 20",IF(Tabela8[[#This Row],[SETOR]]&lt;400,"GV 30","S/GV"))))</f>
        <v>GV 10</v>
      </c>
      <c r="E2898" t="s">
        <v>123</v>
      </c>
      <c r="G2898" t="str">
        <f>_xlfn.CONCAT(Tabela9[[#This Row],[Coluna1]],Tabela9[[#This Row],[Coluna2]])</f>
        <v>20-Rota</v>
      </c>
    </row>
    <row r="2899" spans="1:7" x14ac:dyDescent="0.25">
      <c r="A2899">
        <v>16740</v>
      </c>
      <c r="B2899">
        <v>204</v>
      </c>
      <c r="C2899" s="1" t="str">
        <f>IF(Tabela8[[#This Row],[SETOR]]="","",IF(Tabela8[[#This Row],[SETOR]]&lt;200,"GV 10",IF(Tabela8[[#This Row],[SETOR]]&lt;300,"GV 20",IF(Tabela8[[#This Row],[SETOR]]&lt;400,"GV 30","S/GV"))))</f>
        <v>GV 20</v>
      </c>
      <c r="E2899" t="s">
        <v>123</v>
      </c>
      <c r="G2899" t="str">
        <f>_xlfn.CONCAT(Tabela9[[#This Row],[Coluna1]],Tabela9[[#This Row],[Coluna2]])</f>
        <v>20-Rota</v>
      </c>
    </row>
    <row r="2900" spans="1:7" x14ac:dyDescent="0.25">
      <c r="A2900">
        <v>16744</v>
      </c>
      <c r="B2900">
        <v>104</v>
      </c>
      <c r="C2900" s="1" t="str">
        <f>IF(Tabela8[[#This Row],[SETOR]]="","",IF(Tabela8[[#This Row],[SETOR]]&lt;200,"GV 10",IF(Tabela8[[#This Row],[SETOR]]&lt;300,"GV 20",IF(Tabela8[[#This Row],[SETOR]]&lt;400,"GV 30","S/GV"))))</f>
        <v>GV 10</v>
      </c>
      <c r="E2900" t="s">
        <v>123</v>
      </c>
      <c r="G2900" t="str">
        <f>_xlfn.CONCAT(Tabela9[[#This Row],[Coluna1]],Tabela9[[#This Row],[Coluna2]])</f>
        <v>20-Rota</v>
      </c>
    </row>
    <row r="2901" spans="1:7" x14ac:dyDescent="0.25">
      <c r="A2901">
        <v>16746</v>
      </c>
      <c r="B2901">
        <v>305</v>
      </c>
      <c r="C2901" s="1" t="str">
        <f>IF(Tabela8[[#This Row],[SETOR]]="","",IF(Tabela8[[#This Row],[SETOR]]&lt;200,"GV 10",IF(Tabela8[[#This Row],[SETOR]]&lt;300,"GV 20",IF(Tabela8[[#This Row],[SETOR]]&lt;400,"GV 30","S/GV"))))</f>
        <v>GV 30</v>
      </c>
      <c r="E2901" t="s">
        <v>123</v>
      </c>
      <c r="G2901" t="str">
        <f>_xlfn.CONCAT(Tabela9[[#This Row],[Coluna1]],Tabela9[[#This Row],[Coluna2]])</f>
        <v>20-Rota</v>
      </c>
    </row>
    <row r="2902" spans="1:7" x14ac:dyDescent="0.25">
      <c r="A2902">
        <v>16749</v>
      </c>
      <c r="B2902">
        <v>202</v>
      </c>
      <c r="C2902" s="1" t="str">
        <f>IF(Tabela8[[#This Row],[SETOR]]="","",IF(Tabela8[[#This Row],[SETOR]]&lt;200,"GV 10",IF(Tabela8[[#This Row],[SETOR]]&lt;300,"GV 20",IF(Tabela8[[#This Row],[SETOR]]&lt;400,"GV 30","S/GV"))))</f>
        <v>GV 20</v>
      </c>
      <c r="E2902" t="s">
        <v>123</v>
      </c>
      <c r="G2902" t="str">
        <f>_xlfn.CONCAT(Tabela9[[#This Row],[Coluna1]],Tabela9[[#This Row],[Coluna2]])</f>
        <v>20-Rota</v>
      </c>
    </row>
    <row r="2903" spans="1:7" x14ac:dyDescent="0.25">
      <c r="A2903">
        <v>16756</v>
      </c>
      <c r="B2903">
        <v>207</v>
      </c>
      <c r="C2903" s="1" t="str">
        <f>IF(Tabela8[[#This Row],[SETOR]]="","",IF(Tabela8[[#This Row],[SETOR]]&lt;200,"GV 10",IF(Tabela8[[#This Row],[SETOR]]&lt;300,"GV 20",IF(Tabela8[[#This Row],[SETOR]]&lt;400,"GV 30","S/GV"))))</f>
        <v>GV 20</v>
      </c>
      <c r="E2903" t="s">
        <v>125</v>
      </c>
      <c r="G2903" t="str">
        <f>_xlfn.CONCAT(Tabela9[[#This Row],[Coluna1]],Tabela9[[#This Row],[Coluna2]])</f>
        <v>18-TRAD</v>
      </c>
    </row>
    <row r="2904" spans="1:7" x14ac:dyDescent="0.25">
      <c r="A2904">
        <v>16757</v>
      </c>
      <c r="B2904">
        <v>203</v>
      </c>
      <c r="C2904" s="1" t="str">
        <f>IF(Tabela8[[#This Row],[SETOR]]="","",IF(Tabela8[[#This Row],[SETOR]]&lt;200,"GV 10",IF(Tabela8[[#This Row],[SETOR]]&lt;300,"GV 20",IF(Tabela8[[#This Row],[SETOR]]&lt;400,"GV 30","S/GV"))))</f>
        <v>GV 20</v>
      </c>
      <c r="E2904" t="s">
        <v>123</v>
      </c>
      <c r="G2904" t="str">
        <f>_xlfn.CONCAT(Tabela9[[#This Row],[Coluna1]],Tabela9[[#This Row],[Coluna2]])</f>
        <v>20-Rota</v>
      </c>
    </row>
    <row r="2905" spans="1:7" x14ac:dyDescent="0.25">
      <c r="A2905">
        <v>16758</v>
      </c>
      <c r="B2905">
        <v>206</v>
      </c>
      <c r="C2905" s="1" t="str">
        <f>IF(Tabela8[[#This Row],[SETOR]]="","",IF(Tabela8[[#This Row],[SETOR]]&lt;200,"GV 10",IF(Tabela8[[#This Row],[SETOR]]&lt;300,"GV 20",IF(Tabela8[[#This Row],[SETOR]]&lt;400,"GV 30","S/GV"))))</f>
        <v>GV 20</v>
      </c>
      <c r="E2905" t="s">
        <v>123</v>
      </c>
      <c r="G2905" t="str">
        <f>_xlfn.CONCAT(Tabela9[[#This Row],[Coluna1]],Tabela9[[#This Row],[Coluna2]])</f>
        <v>20-Rota</v>
      </c>
    </row>
    <row r="2906" spans="1:7" x14ac:dyDescent="0.25">
      <c r="A2906">
        <v>16764</v>
      </c>
      <c r="B2906">
        <v>101</v>
      </c>
      <c r="C2906" s="1" t="str">
        <f>IF(Tabela8[[#This Row],[SETOR]]="","",IF(Tabela8[[#This Row],[SETOR]]&lt;200,"GV 10",IF(Tabela8[[#This Row],[SETOR]]&lt;300,"GV 20",IF(Tabela8[[#This Row],[SETOR]]&lt;400,"GV 30","S/GV"))))</f>
        <v>GV 10</v>
      </c>
      <c r="E2906" t="s">
        <v>123</v>
      </c>
      <c r="G2906" t="str">
        <f>_xlfn.CONCAT(Tabela9[[#This Row],[Coluna1]],Tabela9[[#This Row],[Coluna2]])</f>
        <v>20-Rota</v>
      </c>
    </row>
    <row r="2907" spans="1:7" x14ac:dyDescent="0.25">
      <c r="A2907">
        <v>16766</v>
      </c>
      <c r="B2907">
        <v>204</v>
      </c>
      <c r="C2907" s="1" t="str">
        <f>IF(Tabela8[[#This Row],[SETOR]]="","",IF(Tabela8[[#This Row],[SETOR]]&lt;200,"GV 10",IF(Tabela8[[#This Row],[SETOR]]&lt;300,"GV 20",IF(Tabela8[[#This Row],[SETOR]]&lt;400,"GV 30","S/GV"))))</f>
        <v>GV 20</v>
      </c>
      <c r="E2907" t="s">
        <v>123</v>
      </c>
      <c r="G2907" t="str">
        <f>_xlfn.CONCAT(Tabela9[[#This Row],[Coluna1]],Tabela9[[#This Row],[Coluna2]])</f>
        <v>20-Rota</v>
      </c>
    </row>
    <row r="2908" spans="1:7" x14ac:dyDescent="0.25">
      <c r="A2908">
        <v>16768</v>
      </c>
      <c r="B2908">
        <v>203</v>
      </c>
      <c r="C2908" s="1" t="str">
        <f>IF(Tabela8[[#This Row],[SETOR]]="","",IF(Tabela8[[#This Row],[SETOR]]&lt;200,"GV 10",IF(Tabela8[[#This Row],[SETOR]]&lt;300,"GV 20",IF(Tabela8[[#This Row],[SETOR]]&lt;400,"GV 30","S/GV"))))</f>
        <v>GV 20</v>
      </c>
      <c r="E2908" t="s">
        <v>130</v>
      </c>
      <c r="G2908" t="str">
        <f>_xlfn.CONCAT(Tabela9[[#This Row],[Coluna1]],Tabela9[[#This Row],[Coluna2]])</f>
        <v>21-SUB</v>
      </c>
    </row>
    <row r="2909" spans="1:7" x14ac:dyDescent="0.25">
      <c r="A2909">
        <v>16776</v>
      </c>
      <c r="B2909">
        <v>206</v>
      </c>
      <c r="C2909" s="1" t="str">
        <f>IF(Tabela8[[#This Row],[SETOR]]="","",IF(Tabela8[[#This Row],[SETOR]]&lt;200,"GV 10",IF(Tabela8[[#This Row],[SETOR]]&lt;300,"GV 20",IF(Tabela8[[#This Row],[SETOR]]&lt;400,"GV 30","S/GV"))))</f>
        <v>GV 20</v>
      </c>
      <c r="E2909" t="s">
        <v>123</v>
      </c>
      <c r="G2909" t="str">
        <f>_xlfn.CONCAT(Tabela9[[#This Row],[Coluna1]],Tabela9[[#This Row],[Coluna2]])</f>
        <v>20-Rota</v>
      </c>
    </row>
    <row r="2910" spans="1:7" x14ac:dyDescent="0.25">
      <c r="A2910">
        <v>16777</v>
      </c>
      <c r="B2910">
        <v>109</v>
      </c>
      <c r="C2910" s="1" t="str">
        <f>IF(Tabela8[[#This Row],[SETOR]]="","",IF(Tabela8[[#This Row],[SETOR]]&lt;200,"GV 10",IF(Tabela8[[#This Row],[SETOR]]&lt;300,"GV 20",IF(Tabela8[[#This Row],[SETOR]]&lt;400,"GV 30","S/GV"))))</f>
        <v>GV 10</v>
      </c>
      <c r="E2910" t="s">
        <v>123</v>
      </c>
      <c r="G2910" t="str">
        <f>_xlfn.CONCAT(Tabela9[[#This Row],[Coluna1]],Tabela9[[#This Row],[Coluna2]])</f>
        <v>20-Rota</v>
      </c>
    </row>
    <row r="2911" spans="1:7" x14ac:dyDescent="0.25">
      <c r="A2911">
        <v>16778</v>
      </c>
      <c r="B2911">
        <v>206</v>
      </c>
      <c r="C2911" s="1" t="str">
        <f>IF(Tabela8[[#This Row],[SETOR]]="","",IF(Tabela8[[#This Row],[SETOR]]&lt;200,"GV 10",IF(Tabela8[[#This Row],[SETOR]]&lt;300,"GV 20",IF(Tabela8[[#This Row],[SETOR]]&lt;400,"GV 30","S/GV"))))</f>
        <v>GV 20</v>
      </c>
      <c r="E2911" t="s">
        <v>123</v>
      </c>
      <c r="G2911" t="str">
        <f>_xlfn.CONCAT(Tabela9[[#This Row],[Coluna1]],Tabela9[[#This Row],[Coluna2]])</f>
        <v>20-Rota</v>
      </c>
    </row>
    <row r="2912" spans="1:7" x14ac:dyDescent="0.25">
      <c r="A2912">
        <v>16781</v>
      </c>
      <c r="B2912">
        <v>907</v>
      </c>
      <c r="C2912" s="1" t="str">
        <f>IF(Tabela8[[#This Row],[SETOR]]="","",IF(Tabela8[[#This Row],[SETOR]]&lt;200,"GV 10",IF(Tabela8[[#This Row],[SETOR]]&lt;300,"GV 20",IF(Tabela8[[#This Row],[SETOR]]&lt;400,"GV 30","S/GV"))))</f>
        <v>S/GV</v>
      </c>
      <c r="G2912" t="str">
        <f>_xlfn.CONCAT(Tabela9[[#This Row],[Coluna1]],Tabela9[[#This Row],[Coluna2]])</f>
        <v/>
      </c>
    </row>
    <row r="2913" spans="1:7" x14ac:dyDescent="0.25">
      <c r="A2913">
        <v>16782</v>
      </c>
      <c r="B2913">
        <v>305</v>
      </c>
      <c r="C2913" s="1" t="str">
        <f>IF(Tabela8[[#This Row],[SETOR]]="","",IF(Tabela8[[#This Row],[SETOR]]&lt;200,"GV 10",IF(Tabela8[[#This Row],[SETOR]]&lt;300,"GV 20",IF(Tabela8[[#This Row],[SETOR]]&lt;400,"GV 30","S/GV"))))</f>
        <v>GV 30</v>
      </c>
      <c r="E2913" t="s">
        <v>123</v>
      </c>
      <c r="G2913" t="str">
        <f>_xlfn.CONCAT(Tabela9[[#This Row],[Coluna1]],Tabela9[[#This Row],[Coluna2]])</f>
        <v>20-Rota</v>
      </c>
    </row>
    <row r="2914" spans="1:7" x14ac:dyDescent="0.25">
      <c r="A2914">
        <v>16783</v>
      </c>
      <c r="B2914">
        <v>301</v>
      </c>
      <c r="C2914" s="1" t="str">
        <f>IF(Tabela8[[#This Row],[SETOR]]="","",IF(Tabela8[[#This Row],[SETOR]]&lt;200,"GV 10",IF(Tabela8[[#This Row],[SETOR]]&lt;300,"GV 20",IF(Tabela8[[#This Row],[SETOR]]&lt;400,"GV 30","S/GV"))))</f>
        <v>GV 30</v>
      </c>
      <c r="E2914" t="s">
        <v>123</v>
      </c>
      <c r="G2914" t="str">
        <f>_xlfn.CONCAT(Tabela9[[#This Row],[Coluna1]],Tabela9[[#This Row],[Coluna2]])</f>
        <v>20-Rota</v>
      </c>
    </row>
    <row r="2915" spans="1:7" x14ac:dyDescent="0.25">
      <c r="A2915">
        <v>16784</v>
      </c>
      <c r="B2915">
        <v>303</v>
      </c>
      <c r="C2915" s="1" t="str">
        <f>IF(Tabela8[[#This Row],[SETOR]]="","",IF(Tabela8[[#This Row],[SETOR]]&lt;200,"GV 10",IF(Tabela8[[#This Row],[SETOR]]&lt;300,"GV 20",IF(Tabela8[[#This Row],[SETOR]]&lt;400,"GV 30","S/GV"))))</f>
        <v>GV 30</v>
      </c>
      <c r="E2915" t="s">
        <v>123</v>
      </c>
      <c r="G2915" t="str">
        <f>_xlfn.CONCAT(Tabela9[[#This Row],[Coluna1]],Tabela9[[#This Row],[Coluna2]])</f>
        <v>20-Rota</v>
      </c>
    </row>
    <row r="2916" spans="1:7" x14ac:dyDescent="0.25">
      <c r="A2916">
        <v>16785</v>
      </c>
      <c r="B2916">
        <v>105</v>
      </c>
      <c r="C2916" s="1" t="str">
        <f>IF(Tabela8[[#This Row],[SETOR]]="","",IF(Tabela8[[#This Row],[SETOR]]&lt;200,"GV 10",IF(Tabela8[[#This Row],[SETOR]]&lt;300,"GV 20",IF(Tabela8[[#This Row],[SETOR]]&lt;400,"GV 30","S/GV"))))</f>
        <v>GV 10</v>
      </c>
      <c r="E2916" t="s">
        <v>123</v>
      </c>
      <c r="G2916" t="str">
        <f>_xlfn.CONCAT(Tabela9[[#This Row],[Coluna1]],Tabela9[[#This Row],[Coluna2]])</f>
        <v>20-Rota</v>
      </c>
    </row>
    <row r="2917" spans="1:7" x14ac:dyDescent="0.25">
      <c r="A2917">
        <v>16789</v>
      </c>
      <c r="B2917">
        <v>202</v>
      </c>
      <c r="C2917" s="1" t="str">
        <f>IF(Tabela8[[#This Row],[SETOR]]="","",IF(Tabela8[[#This Row],[SETOR]]&lt;200,"GV 10",IF(Tabela8[[#This Row],[SETOR]]&lt;300,"GV 20",IF(Tabela8[[#This Row],[SETOR]]&lt;400,"GV 30","S/GV"))))</f>
        <v>GV 20</v>
      </c>
      <c r="E2917" t="s">
        <v>130</v>
      </c>
      <c r="G2917" t="str">
        <f>_xlfn.CONCAT(Tabela9[[#This Row],[Coluna1]],Tabela9[[#This Row],[Coluna2]])</f>
        <v>21-SUB</v>
      </c>
    </row>
    <row r="2918" spans="1:7" x14ac:dyDescent="0.25">
      <c r="A2918">
        <v>16792</v>
      </c>
      <c r="B2918">
        <v>305</v>
      </c>
      <c r="C2918" s="1" t="str">
        <f>IF(Tabela8[[#This Row],[SETOR]]="","",IF(Tabela8[[#This Row],[SETOR]]&lt;200,"GV 10",IF(Tabela8[[#This Row],[SETOR]]&lt;300,"GV 20",IF(Tabela8[[#This Row],[SETOR]]&lt;400,"GV 30","S/GV"))))</f>
        <v>GV 30</v>
      </c>
      <c r="E2918" t="s">
        <v>123</v>
      </c>
      <c r="G2918" t="str">
        <f>_xlfn.CONCAT(Tabela9[[#This Row],[Coluna1]],Tabela9[[#This Row],[Coluna2]])</f>
        <v>20-Rota</v>
      </c>
    </row>
    <row r="2919" spans="1:7" x14ac:dyDescent="0.25">
      <c r="A2919">
        <v>16793</v>
      </c>
      <c r="B2919">
        <v>204</v>
      </c>
      <c r="C2919" s="1" t="str">
        <f>IF(Tabela8[[#This Row],[SETOR]]="","",IF(Tabela8[[#This Row],[SETOR]]&lt;200,"GV 10",IF(Tabela8[[#This Row],[SETOR]]&lt;300,"GV 20",IF(Tabela8[[#This Row],[SETOR]]&lt;400,"GV 30","S/GV"))))</f>
        <v>GV 20</v>
      </c>
      <c r="E2919" t="s">
        <v>123</v>
      </c>
      <c r="G2919" t="str">
        <f>_xlfn.CONCAT(Tabela9[[#This Row],[Coluna1]],Tabela9[[#This Row],[Coluna2]])</f>
        <v>20-Rota</v>
      </c>
    </row>
    <row r="2920" spans="1:7" x14ac:dyDescent="0.25">
      <c r="A2920">
        <v>16796</v>
      </c>
      <c r="B2920">
        <v>303</v>
      </c>
      <c r="C2920" s="1" t="str">
        <f>IF(Tabela8[[#This Row],[SETOR]]="","",IF(Tabela8[[#This Row],[SETOR]]&lt;200,"GV 10",IF(Tabela8[[#This Row],[SETOR]]&lt;300,"GV 20",IF(Tabela8[[#This Row],[SETOR]]&lt;400,"GV 30","S/GV"))))</f>
        <v>GV 30</v>
      </c>
      <c r="E2920" t="s">
        <v>123</v>
      </c>
      <c r="G2920" t="str">
        <f>_xlfn.CONCAT(Tabela9[[#This Row],[Coluna1]],Tabela9[[#This Row],[Coluna2]])</f>
        <v>20-Rota</v>
      </c>
    </row>
    <row r="2921" spans="1:7" x14ac:dyDescent="0.25">
      <c r="A2921">
        <v>16797</v>
      </c>
      <c r="B2921">
        <v>306</v>
      </c>
      <c r="C2921" s="1" t="str">
        <f>IF(Tabela8[[#This Row],[SETOR]]="","",IF(Tabela8[[#This Row],[SETOR]]&lt;200,"GV 10",IF(Tabela8[[#This Row],[SETOR]]&lt;300,"GV 20",IF(Tabela8[[#This Row],[SETOR]]&lt;400,"GV 30","S/GV"))))</f>
        <v>GV 30</v>
      </c>
      <c r="E2921" t="s">
        <v>125</v>
      </c>
      <c r="G2921" t="str">
        <f>_xlfn.CONCAT(Tabela9[[#This Row],[Coluna1]],Tabela9[[#This Row],[Coluna2]])</f>
        <v>18-TRAD</v>
      </c>
    </row>
    <row r="2922" spans="1:7" x14ac:dyDescent="0.25">
      <c r="A2922">
        <v>16800</v>
      </c>
      <c r="B2922">
        <v>301</v>
      </c>
      <c r="C2922" s="1" t="str">
        <f>IF(Tabela8[[#This Row],[SETOR]]="","",IF(Tabela8[[#This Row],[SETOR]]&lt;200,"GV 10",IF(Tabela8[[#This Row],[SETOR]]&lt;300,"GV 20",IF(Tabela8[[#This Row],[SETOR]]&lt;400,"GV 30","S/GV"))))</f>
        <v>GV 30</v>
      </c>
      <c r="E2922" t="s">
        <v>123</v>
      </c>
      <c r="G2922" t="str">
        <f>_xlfn.CONCAT(Tabela9[[#This Row],[Coluna1]],Tabela9[[#This Row],[Coluna2]])</f>
        <v>20-Rota</v>
      </c>
    </row>
    <row r="2923" spans="1:7" x14ac:dyDescent="0.25">
      <c r="A2923">
        <v>16803</v>
      </c>
      <c r="B2923">
        <v>305</v>
      </c>
      <c r="C2923" s="1" t="str">
        <f>IF(Tabela8[[#This Row],[SETOR]]="","",IF(Tabela8[[#This Row],[SETOR]]&lt;200,"GV 10",IF(Tabela8[[#This Row],[SETOR]]&lt;300,"GV 20",IF(Tabela8[[#This Row],[SETOR]]&lt;400,"GV 30","S/GV"))))</f>
        <v>GV 30</v>
      </c>
      <c r="E2923" t="s">
        <v>123</v>
      </c>
      <c r="G2923" t="str">
        <f>_xlfn.CONCAT(Tabela9[[#This Row],[Coluna1]],Tabela9[[#This Row],[Coluna2]])</f>
        <v>20-Rota</v>
      </c>
    </row>
    <row r="2924" spans="1:7" x14ac:dyDescent="0.25">
      <c r="A2924">
        <v>16804</v>
      </c>
      <c r="B2924">
        <v>109</v>
      </c>
      <c r="C2924" s="1" t="str">
        <f>IF(Tabela8[[#This Row],[SETOR]]="","",IF(Tabela8[[#This Row],[SETOR]]&lt;200,"GV 10",IF(Tabela8[[#This Row],[SETOR]]&lt;300,"GV 20",IF(Tabela8[[#This Row],[SETOR]]&lt;400,"GV 30","S/GV"))))</f>
        <v>GV 10</v>
      </c>
      <c r="E2924" t="s">
        <v>123</v>
      </c>
      <c r="G2924" t="str">
        <f>_xlfn.CONCAT(Tabela9[[#This Row],[Coluna1]],Tabela9[[#This Row],[Coluna2]])</f>
        <v>20-Rota</v>
      </c>
    </row>
    <row r="2925" spans="1:7" x14ac:dyDescent="0.25">
      <c r="A2925">
        <v>16806</v>
      </c>
      <c r="B2925">
        <v>207</v>
      </c>
      <c r="C2925" s="1" t="str">
        <f>IF(Tabela8[[#This Row],[SETOR]]="","",IF(Tabela8[[#This Row],[SETOR]]&lt;200,"GV 10",IF(Tabela8[[#This Row],[SETOR]]&lt;300,"GV 20",IF(Tabela8[[#This Row],[SETOR]]&lt;400,"GV 30","S/GV"))))</f>
        <v>GV 20</v>
      </c>
      <c r="E2925" t="s">
        <v>125</v>
      </c>
      <c r="G2925" t="str">
        <f>_xlfn.CONCAT(Tabela9[[#This Row],[Coluna1]],Tabela9[[#This Row],[Coluna2]])</f>
        <v>18-TRAD</v>
      </c>
    </row>
    <row r="2926" spans="1:7" x14ac:dyDescent="0.25">
      <c r="A2926">
        <v>16807</v>
      </c>
      <c r="B2926">
        <v>305</v>
      </c>
      <c r="C2926" s="1" t="str">
        <f>IF(Tabela8[[#This Row],[SETOR]]="","",IF(Tabela8[[#This Row],[SETOR]]&lt;200,"GV 10",IF(Tabela8[[#This Row],[SETOR]]&lt;300,"GV 20",IF(Tabela8[[#This Row],[SETOR]]&lt;400,"GV 30","S/GV"))))</f>
        <v>GV 30</v>
      </c>
      <c r="E2926" t="s">
        <v>123</v>
      </c>
      <c r="G2926" t="str">
        <f>_xlfn.CONCAT(Tabela9[[#This Row],[Coluna1]],Tabela9[[#This Row],[Coluna2]])</f>
        <v>20-Rota</v>
      </c>
    </row>
    <row r="2927" spans="1:7" x14ac:dyDescent="0.25">
      <c r="A2927">
        <v>16812</v>
      </c>
      <c r="B2927">
        <v>301</v>
      </c>
      <c r="C2927" s="1" t="str">
        <f>IF(Tabela8[[#This Row],[SETOR]]="","",IF(Tabela8[[#This Row],[SETOR]]&lt;200,"GV 10",IF(Tabela8[[#This Row],[SETOR]]&lt;300,"GV 20",IF(Tabela8[[#This Row],[SETOR]]&lt;400,"GV 30","S/GV"))))</f>
        <v>GV 30</v>
      </c>
      <c r="E2927" t="s">
        <v>123</v>
      </c>
      <c r="G2927" t="str">
        <f>_xlfn.CONCAT(Tabela9[[#This Row],[Coluna1]],Tabela9[[#This Row],[Coluna2]])</f>
        <v>20-Rota</v>
      </c>
    </row>
    <row r="2928" spans="1:7" x14ac:dyDescent="0.25">
      <c r="A2928">
        <v>16813</v>
      </c>
      <c r="B2928">
        <v>916</v>
      </c>
      <c r="C2928" s="1" t="str">
        <f>IF(Tabela8[[#This Row],[SETOR]]="","",IF(Tabela8[[#This Row],[SETOR]]&lt;200,"GV 10",IF(Tabela8[[#This Row],[SETOR]]&lt;300,"GV 20",IF(Tabela8[[#This Row],[SETOR]]&lt;400,"GV 30","S/GV"))))</f>
        <v>S/GV</v>
      </c>
      <c r="G2928" t="str">
        <f>_xlfn.CONCAT(Tabela9[[#This Row],[Coluna1]],Tabela9[[#This Row],[Coluna2]])</f>
        <v/>
      </c>
    </row>
    <row r="2929" spans="1:7" x14ac:dyDescent="0.25">
      <c r="A2929">
        <v>16815</v>
      </c>
      <c r="B2929">
        <v>304</v>
      </c>
      <c r="C2929" s="1" t="str">
        <f>IF(Tabela8[[#This Row],[SETOR]]="","",IF(Tabela8[[#This Row],[SETOR]]&lt;200,"GV 10",IF(Tabela8[[#This Row],[SETOR]]&lt;300,"GV 20",IF(Tabela8[[#This Row],[SETOR]]&lt;400,"GV 30","S/GV"))))</f>
        <v>GV 30</v>
      </c>
      <c r="E2929" t="s">
        <v>123</v>
      </c>
      <c r="G2929" t="str">
        <f>_xlfn.CONCAT(Tabela9[[#This Row],[Coluna1]],Tabela9[[#This Row],[Coluna2]])</f>
        <v>20-Rota</v>
      </c>
    </row>
    <row r="2930" spans="1:7" x14ac:dyDescent="0.25">
      <c r="A2930">
        <v>16816</v>
      </c>
      <c r="B2930">
        <v>916</v>
      </c>
      <c r="C2930" s="1" t="str">
        <f>IF(Tabela8[[#This Row],[SETOR]]="","",IF(Tabela8[[#This Row],[SETOR]]&lt;200,"GV 10",IF(Tabela8[[#This Row],[SETOR]]&lt;300,"GV 20",IF(Tabela8[[#This Row],[SETOR]]&lt;400,"GV 30","S/GV"))))</f>
        <v>S/GV</v>
      </c>
      <c r="G2930" t="str">
        <f>_xlfn.CONCAT(Tabela9[[#This Row],[Coluna1]],Tabela9[[#This Row],[Coluna2]])</f>
        <v/>
      </c>
    </row>
    <row r="2931" spans="1:7" x14ac:dyDescent="0.25">
      <c r="A2931">
        <v>16818</v>
      </c>
      <c r="B2931">
        <v>304</v>
      </c>
      <c r="C2931" s="1" t="str">
        <f>IF(Tabela8[[#This Row],[SETOR]]="","",IF(Tabela8[[#This Row],[SETOR]]&lt;200,"GV 10",IF(Tabela8[[#This Row],[SETOR]]&lt;300,"GV 20",IF(Tabela8[[#This Row],[SETOR]]&lt;400,"GV 30","S/GV"))))</f>
        <v>GV 30</v>
      </c>
      <c r="E2931" t="s">
        <v>123</v>
      </c>
      <c r="G2931" t="str">
        <f>_xlfn.CONCAT(Tabela9[[#This Row],[Coluna1]],Tabela9[[#This Row],[Coluna2]])</f>
        <v>20-Rota</v>
      </c>
    </row>
    <row r="2932" spans="1:7" x14ac:dyDescent="0.25">
      <c r="A2932">
        <v>16821</v>
      </c>
      <c r="B2932">
        <v>202</v>
      </c>
      <c r="C2932" s="1" t="str">
        <f>IF(Tabela8[[#This Row],[SETOR]]="","",IF(Tabela8[[#This Row],[SETOR]]&lt;200,"GV 10",IF(Tabela8[[#This Row],[SETOR]]&lt;300,"GV 20",IF(Tabela8[[#This Row],[SETOR]]&lt;400,"GV 30","S/GV"))))</f>
        <v>GV 20</v>
      </c>
      <c r="E2932" t="s">
        <v>124</v>
      </c>
      <c r="G2932" t="str">
        <f>_xlfn.CONCAT(Tabela9[[#This Row],[Coluna1]],Tabela9[[#This Row],[Coluna2]])</f>
        <v>19-VIP</v>
      </c>
    </row>
    <row r="2933" spans="1:7" x14ac:dyDescent="0.25">
      <c r="A2933">
        <v>16831</v>
      </c>
      <c r="B2933">
        <v>205</v>
      </c>
      <c r="C2933" s="1" t="str">
        <f>IF(Tabela8[[#This Row],[SETOR]]="","",IF(Tabela8[[#This Row],[SETOR]]&lt;200,"GV 10",IF(Tabela8[[#This Row],[SETOR]]&lt;300,"GV 20",IF(Tabela8[[#This Row],[SETOR]]&lt;400,"GV 30","S/GV"))))</f>
        <v>GV 20</v>
      </c>
      <c r="E2933" t="s">
        <v>123</v>
      </c>
      <c r="G2933" t="str">
        <f>_xlfn.CONCAT(Tabela9[[#This Row],[Coluna1]],Tabela9[[#This Row],[Coluna2]])</f>
        <v>20-Rota</v>
      </c>
    </row>
    <row r="2934" spans="1:7" x14ac:dyDescent="0.25">
      <c r="A2934">
        <v>16838</v>
      </c>
      <c r="B2934">
        <v>204</v>
      </c>
      <c r="C2934" s="1" t="str">
        <f>IF(Tabela8[[#This Row],[SETOR]]="","",IF(Tabela8[[#This Row],[SETOR]]&lt;200,"GV 10",IF(Tabela8[[#This Row],[SETOR]]&lt;300,"GV 20",IF(Tabela8[[#This Row],[SETOR]]&lt;400,"GV 30","S/GV"))))</f>
        <v>GV 20</v>
      </c>
      <c r="E2934" t="s">
        <v>125</v>
      </c>
      <c r="G2934" t="str">
        <f>_xlfn.CONCAT(Tabela9[[#This Row],[Coluna1]],Tabela9[[#This Row],[Coluna2]])</f>
        <v>18-TRAD</v>
      </c>
    </row>
    <row r="2935" spans="1:7" x14ac:dyDescent="0.25">
      <c r="A2935">
        <v>16841</v>
      </c>
      <c r="B2935">
        <v>201</v>
      </c>
      <c r="C2935" s="1" t="str">
        <f>IF(Tabela8[[#This Row],[SETOR]]="","",IF(Tabela8[[#This Row],[SETOR]]&lt;200,"GV 10",IF(Tabela8[[#This Row],[SETOR]]&lt;300,"GV 20",IF(Tabela8[[#This Row],[SETOR]]&lt;400,"GV 30","S/GV"))))</f>
        <v>GV 20</v>
      </c>
      <c r="E2935" t="s">
        <v>123</v>
      </c>
      <c r="G2935" t="str">
        <f>_xlfn.CONCAT(Tabela9[[#This Row],[Coluna1]],Tabela9[[#This Row],[Coluna2]])</f>
        <v>20-Rota</v>
      </c>
    </row>
    <row r="2936" spans="1:7" x14ac:dyDescent="0.25">
      <c r="A2936">
        <v>16843</v>
      </c>
      <c r="B2936">
        <v>104</v>
      </c>
      <c r="C2936" s="1" t="str">
        <f>IF(Tabela8[[#This Row],[SETOR]]="","",IF(Tabela8[[#This Row],[SETOR]]&lt;200,"GV 10",IF(Tabela8[[#This Row],[SETOR]]&lt;300,"GV 20",IF(Tabela8[[#This Row],[SETOR]]&lt;400,"GV 30","S/GV"))))</f>
        <v>GV 10</v>
      </c>
      <c r="E2936" t="s">
        <v>123</v>
      </c>
      <c r="G2936" t="str">
        <f>_xlfn.CONCAT(Tabela9[[#This Row],[Coluna1]],Tabela9[[#This Row],[Coluna2]])</f>
        <v>20-Rota</v>
      </c>
    </row>
    <row r="2937" spans="1:7" x14ac:dyDescent="0.25">
      <c r="A2937">
        <v>16844</v>
      </c>
      <c r="B2937">
        <v>107</v>
      </c>
      <c r="C2937" s="1" t="str">
        <f>IF(Tabela8[[#This Row],[SETOR]]="","",IF(Tabela8[[#This Row],[SETOR]]&lt;200,"GV 10",IF(Tabela8[[#This Row],[SETOR]]&lt;300,"GV 20",IF(Tabela8[[#This Row],[SETOR]]&lt;400,"GV 30","S/GV"))))</f>
        <v>GV 10</v>
      </c>
      <c r="E2937" t="s">
        <v>125</v>
      </c>
      <c r="G2937" t="str">
        <f>_xlfn.CONCAT(Tabela9[[#This Row],[Coluna1]],Tabela9[[#This Row],[Coluna2]])</f>
        <v>18-TRAD</v>
      </c>
    </row>
    <row r="2938" spans="1:7" x14ac:dyDescent="0.25">
      <c r="A2938">
        <v>16845</v>
      </c>
      <c r="B2938">
        <v>103</v>
      </c>
      <c r="C2938" s="1" t="str">
        <f>IF(Tabela8[[#This Row],[SETOR]]="","",IF(Tabela8[[#This Row],[SETOR]]&lt;200,"GV 10",IF(Tabela8[[#This Row],[SETOR]]&lt;300,"GV 20",IF(Tabela8[[#This Row],[SETOR]]&lt;400,"GV 30","S/GV"))))</f>
        <v>GV 10</v>
      </c>
      <c r="E2938" t="s">
        <v>123</v>
      </c>
      <c r="G2938" t="str">
        <f>_xlfn.CONCAT(Tabela9[[#This Row],[Coluna1]],Tabela9[[#This Row],[Coluna2]])</f>
        <v>20-Rota</v>
      </c>
    </row>
    <row r="2939" spans="1:7" x14ac:dyDescent="0.25">
      <c r="A2939">
        <v>16846</v>
      </c>
      <c r="B2939">
        <v>202</v>
      </c>
      <c r="C2939" s="1" t="str">
        <f>IF(Tabela8[[#This Row],[SETOR]]="","",IF(Tabela8[[#This Row],[SETOR]]&lt;200,"GV 10",IF(Tabela8[[#This Row],[SETOR]]&lt;300,"GV 20",IF(Tabela8[[#This Row],[SETOR]]&lt;400,"GV 30","S/GV"))))</f>
        <v>GV 20</v>
      </c>
      <c r="E2939" t="s">
        <v>123</v>
      </c>
      <c r="G2939" t="str">
        <f>_xlfn.CONCAT(Tabela9[[#This Row],[Coluna1]],Tabela9[[#This Row],[Coluna2]])</f>
        <v>20-Rota</v>
      </c>
    </row>
    <row r="2940" spans="1:7" x14ac:dyDescent="0.25">
      <c r="A2940">
        <v>16847</v>
      </c>
      <c r="B2940">
        <v>105</v>
      </c>
      <c r="C2940" s="1" t="str">
        <f>IF(Tabela8[[#This Row],[SETOR]]="","",IF(Tabela8[[#This Row],[SETOR]]&lt;200,"GV 10",IF(Tabela8[[#This Row],[SETOR]]&lt;300,"GV 20",IF(Tabela8[[#This Row],[SETOR]]&lt;400,"GV 30","S/GV"))))</f>
        <v>GV 10</v>
      </c>
      <c r="E2940" t="s">
        <v>123</v>
      </c>
      <c r="G2940" t="str">
        <f>_xlfn.CONCAT(Tabela9[[#This Row],[Coluna1]],Tabela9[[#This Row],[Coluna2]])</f>
        <v>20-Rota</v>
      </c>
    </row>
    <row r="2941" spans="1:7" x14ac:dyDescent="0.25">
      <c r="A2941">
        <v>16852</v>
      </c>
      <c r="B2941">
        <v>201</v>
      </c>
      <c r="C2941" s="1" t="str">
        <f>IF(Tabela8[[#This Row],[SETOR]]="","",IF(Tabela8[[#This Row],[SETOR]]&lt;200,"GV 10",IF(Tabela8[[#This Row],[SETOR]]&lt;300,"GV 20",IF(Tabela8[[#This Row],[SETOR]]&lt;400,"GV 30","S/GV"))))</f>
        <v>GV 20</v>
      </c>
      <c r="E2941" t="s">
        <v>123</v>
      </c>
      <c r="G2941" t="str">
        <f>_xlfn.CONCAT(Tabela9[[#This Row],[Coluna1]],Tabela9[[#This Row],[Coluna2]])</f>
        <v>20-Rota</v>
      </c>
    </row>
    <row r="2942" spans="1:7" x14ac:dyDescent="0.25">
      <c r="A2942">
        <v>16853</v>
      </c>
      <c r="B2942">
        <v>107</v>
      </c>
      <c r="C2942" s="1" t="str">
        <f>IF(Tabela8[[#This Row],[SETOR]]="","",IF(Tabela8[[#This Row],[SETOR]]&lt;200,"GV 10",IF(Tabela8[[#This Row],[SETOR]]&lt;300,"GV 20",IF(Tabela8[[#This Row],[SETOR]]&lt;400,"GV 30","S/GV"))))</f>
        <v>GV 10</v>
      </c>
      <c r="E2942" t="s">
        <v>125</v>
      </c>
      <c r="G2942" t="str">
        <f>_xlfn.CONCAT(Tabela9[[#This Row],[Coluna1]],Tabela9[[#This Row],[Coluna2]])</f>
        <v>18-TRAD</v>
      </c>
    </row>
    <row r="2943" spans="1:7" x14ac:dyDescent="0.25">
      <c r="A2943">
        <v>16854</v>
      </c>
      <c r="B2943">
        <v>301</v>
      </c>
      <c r="C2943" s="1" t="str">
        <f>IF(Tabela8[[#This Row],[SETOR]]="","",IF(Tabela8[[#This Row],[SETOR]]&lt;200,"GV 10",IF(Tabela8[[#This Row],[SETOR]]&lt;300,"GV 20",IF(Tabela8[[#This Row],[SETOR]]&lt;400,"GV 30","S/GV"))))</f>
        <v>GV 30</v>
      </c>
      <c r="E2943" t="s">
        <v>123</v>
      </c>
      <c r="G2943" t="str">
        <f>_xlfn.CONCAT(Tabela9[[#This Row],[Coluna1]],Tabela9[[#This Row],[Coluna2]])</f>
        <v>20-Rota</v>
      </c>
    </row>
    <row r="2944" spans="1:7" x14ac:dyDescent="0.25">
      <c r="A2944">
        <v>16856</v>
      </c>
      <c r="B2944">
        <v>308</v>
      </c>
      <c r="C2944" s="1" t="str">
        <f>IF(Tabela8[[#This Row],[SETOR]]="","",IF(Tabela8[[#This Row],[SETOR]]&lt;200,"GV 10",IF(Tabela8[[#This Row],[SETOR]]&lt;300,"GV 20",IF(Tabela8[[#This Row],[SETOR]]&lt;400,"GV 30","S/GV"))))</f>
        <v>GV 30</v>
      </c>
      <c r="E2944" t="s">
        <v>128</v>
      </c>
      <c r="F2944" t="s">
        <v>129</v>
      </c>
      <c r="G2944" t="str">
        <f>_xlfn.CONCAT(Tabela9[[#This Row],[Coluna1]],Tabela9[[#This Row],[Coluna2]])</f>
        <v>15-AS(1-4)</v>
      </c>
    </row>
    <row r="2945" spans="1:7" x14ac:dyDescent="0.25">
      <c r="A2945">
        <v>16860</v>
      </c>
      <c r="B2945">
        <v>306</v>
      </c>
      <c r="C2945" s="1" t="str">
        <f>IF(Tabela8[[#This Row],[SETOR]]="","",IF(Tabela8[[#This Row],[SETOR]]&lt;200,"GV 10",IF(Tabela8[[#This Row],[SETOR]]&lt;300,"GV 20",IF(Tabela8[[#This Row],[SETOR]]&lt;400,"GV 30","S/GV"))))</f>
        <v>GV 30</v>
      </c>
      <c r="E2945" t="s">
        <v>125</v>
      </c>
      <c r="G2945" t="str">
        <f>_xlfn.CONCAT(Tabela9[[#This Row],[Coluna1]],Tabela9[[#This Row],[Coluna2]])</f>
        <v>18-TRAD</v>
      </c>
    </row>
    <row r="2946" spans="1:7" x14ac:dyDescent="0.25">
      <c r="A2946">
        <v>16861</v>
      </c>
      <c r="B2946">
        <v>207</v>
      </c>
      <c r="C2946" s="1" t="str">
        <f>IF(Tabela8[[#This Row],[SETOR]]="","",IF(Tabela8[[#This Row],[SETOR]]&lt;200,"GV 10",IF(Tabela8[[#This Row],[SETOR]]&lt;300,"GV 20",IF(Tabela8[[#This Row],[SETOR]]&lt;400,"GV 30","S/GV"))))</f>
        <v>GV 20</v>
      </c>
      <c r="E2946" t="s">
        <v>131</v>
      </c>
      <c r="F2946" t="s">
        <v>132</v>
      </c>
      <c r="G2946" t="str">
        <f>_xlfn.CONCAT(Tabela9[[#This Row],[Coluna1]],Tabela9[[#This Row],[Coluna2]])</f>
        <v>14-Lj.Conveniência</v>
      </c>
    </row>
    <row r="2947" spans="1:7" x14ac:dyDescent="0.25">
      <c r="A2947">
        <v>16862</v>
      </c>
      <c r="B2947">
        <v>206</v>
      </c>
      <c r="C2947" s="1" t="str">
        <f>IF(Tabela8[[#This Row],[SETOR]]="","",IF(Tabela8[[#This Row],[SETOR]]&lt;200,"GV 10",IF(Tabela8[[#This Row],[SETOR]]&lt;300,"GV 20",IF(Tabela8[[#This Row],[SETOR]]&lt;400,"GV 30","S/GV"))))</f>
        <v>GV 20</v>
      </c>
      <c r="E2947" t="s">
        <v>128</v>
      </c>
      <c r="F2947" t="s">
        <v>129</v>
      </c>
      <c r="G2947" t="str">
        <f>_xlfn.CONCAT(Tabela9[[#This Row],[Coluna1]],Tabela9[[#This Row],[Coluna2]])</f>
        <v>15-AS(1-4)</v>
      </c>
    </row>
    <row r="2948" spans="1:7" x14ac:dyDescent="0.25">
      <c r="A2948">
        <v>16864</v>
      </c>
      <c r="B2948">
        <v>202</v>
      </c>
      <c r="C2948" s="1" t="str">
        <f>IF(Tabela8[[#This Row],[SETOR]]="","",IF(Tabela8[[#This Row],[SETOR]]&lt;200,"GV 10",IF(Tabela8[[#This Row],[SETOR]]&lt;300,"GV 20",IF(Tabela8[[#This Row],[SETOR]]&lt;400,"GV 30","S/GV"))))</f>
        <v>GV 20</v>
      </c>
      <c r="E2948" t="s">
        <v>125</v>
      </c>
      <c r="G2948" t="str">
        <f>_xlfn.CONCAT(Tabela9[[#This Row],[Coluna1]],Tabela9[[#This Row],[Coluna2]])</f>
        <v>18-TRAD</v>
      </c>
    </row>
    <row r="2949" spans="1:7" x14ac:dyDescent="0.25">
      <c r="A2949">
        <v>16865</v>
      </c>
      <c r="B2949">
        <v>203</v>
      </c>
      <c r="C2949" s="1" t="str">
        <f>IF(Tabela8[[#This Row],[SETOR]]="","",IF(Tabela8[[#This Row],[SETOR]]&lt;200,"GV 10",IF(Tabela8[[#This Row],[SETOR]]&lt;300,"GV 20",IF(Tabela8[[#This Row],[SETOR]]&lt;400,"GV 30","S/GV"))))</f>
        <v>GV 20</v>
      </c>
      <c r="E2949" t="s">
        <v>123</v>
      </c>
      <c r="G2949" t="str">
        <f>_xlfn.CONCAT(Tabela9[[#This Row],[Coluna1]],Tabela9[[#This Row],[Coluna2]])</f>
        <v>20-Rota</v>
      </c>
    </row>
    <row r="2950" spans="1:7" x14ac:dyDescent="0.25">
      <c r="A2950">
        <v>16866</v>
      </c>
      <c r="B2950">
        <v>202</v>
      </c>
      <c r="C2950" s="1" t="str">
        <f>IF(Tabela8[[#This Row],[SETOR]]="","",IF(Tabela8[[#This Row],[SETOR]]&lt;200,"GV 10",IF(Tabela8[[#This Row],[SETOR]]&lt;300,"GV 20",IF(Tabela8[[#This Row],[SETOR]]&lt;400,"GV 30","S/GV"))))</f>
        <v>GV 20</v>
      </c>
      <c r="E2950" t="s">
        <v>123</v>
      </c>
      <c r="G2950" t="str">
        <f>_xlfn.CONCAT(Tabela9[[#This Row],[Coluna1]],Tabela9[[#This Row],[Coluna2]])</f>
        <v>20-Rota</v>
      </c>
    </row>
    <row r="2951" spans="1:7" x14ac:dyDescent="0.25">
      <c r="A2951">
        <v>16867</v>
      </c>
      <c r="B2951">
        <v>307</v>
      </c>
      <c r="C2951" s="1" t="str">
        <f>IF(Tabela8[[#This Row],[SETOR]]="","",IF(Tabela8[[#This Row],[SETOR]]&lt;200,"GV 10",IF(Tabela8[[#This Row],[SETOR]]&lt;300,"GV 20",IF(Tabela8[[#This Row],[SETOR]]&lt;400,"GV 30","S/GV"))))</f>
        <v>GV 30</v>
      </c>
      <c r="E2951" t="s">
        <v>130</v>
      </c>
      <c r="G2951" t="str">
        <f>_xlfn.CONCAT(Tabela9[[#This Row],[Coluna1]],Tabela9[[#This Row],[Coluna2]])</f>
        <v>21-SUB</v>
      </c>
    </row>
    <row r="2952" spans="1:7" x14ac:dyDescent="0.25">
      <c r="A2952">
        <v>16874</v>
      </c>
      <c r="B2952">
        <v>206</v>
      </c>
      <c r="C2952" s="1" t="str">
        <f>IF(Tabela8[[#This Row],[SETOR]]="","",IF(Tabela8[[#This Row],[SETOR]]&lt;200,"GV 10",IF(Tabela8[[#This Row],[SETOR]]&lt;300,"GV 20",IF(Tabela8[[#This Row],[SETOR]]&lt;400,"GV 30","S/GV"))))</f>
        <v>GV 20</v>
      </c>
      <c r="E2952" t="s">
        <v>123</v>
      </c>
      <c r="G2952" t="str">
        <f>_xlfn.CONCAT(Tabela9[[#This Row],[Coluna1]],Tabela9[[#This Row],[Coluna2]])</f>
        <v>20-Rota</v>
      </c>
    </row>
    <row r="2953" spans="1:7" x14ac:dyDescent="0.25">
      <c r="A2953">
        <v>16877</v>
      </c>
      <c r="B2953">
        <v>101</v>
      </c>
      <c r="C2953" s="1" t="str">
        <f>IF(Tabela8[[#This Row],[SETOR]]="","",IF(Tabela8[[#This Row],[SETOR]]&lt;200,"GV 10",IF(Tabela8[[#This Row],[SETOR]]&lt;300,"GV 20",IF(Tabela8[[#This Row],[SETOR]]&lt;400,"GV 30","S/GV"))))</f>
        <v>GV 10</v>
      </c>
      <c r="E2953" t="s">
        <v>124</v>
      </c>
      <c r="G2953" t="str">
        <f>_xlfn.CONCAT(Tabela9[[#This Row],[Coluna1]],Tabela9[[#This Row],[Coluna2]])</f>
        <v>19-VIP</v>
      </c>
    </row>
    <row r="2954" spans="1:7" x14ac:dyDescent="0.25">
      <c r="A2954">
        <v>16881</v>
      </c>
      <c r="B2954">
        <v>105</v>
      </c>
      <c r="C2954" s="1" t="str">
        <f>IF(Tabela8[[#This Row],[SETOR]]="","",IF(Tabela8[[#This Row],[SETOR]]&lt;200,"GV 10",IF(Tabela8[[#This Row],[SETOR]]&lt;300,"GV 20",IF(Tabela8[[#This Row],[SETOR]]&lt;400,"GV 30","S/GV"))))</f>
        <v>GV 10</v>
      </c>
      <c r="E2954" t="s">
        <v>125</v>
      </c>
      <c r="G2954" t="str">
        <f>_xlfn.CONCAT(Tabela9[[#This Row],[Coluna1]],Tabela9[[#This Row],[Coluna2]])</f>
        <v>18-TRAD</v>
      </c>
    </row>
    <row r="2955" spans="1:7" x14ac:dyDescent="0.25">
      <c r="A2955">
        <v>16902</v>
      </c>
      <c r="B2955">
        <v>305</v>
      </c>
      <c r="C2955" s="1" t="str">
        <f>IF(Tabela8[[#This Row],[SETOR]]="","",IF(Tabela8[[#This Row],[SETOR]]&lt;200,"GV 10",IF(Tabela8[[#This Row],[SETOR]]&lt;300,"GV 20",IF(Tabela8[[#This Row],[SETOR]]&lt;400,"GV 30","S/GV"))))</f>
        <v>GV 30</v>
      </c>
      <c r="E2955" t="s">
        <v>130</v>
      </c>
      <c r="G2955" t="str">
        <f>_xlfn.CONCAT(Tabela9[[#This Row],[Coluna1]],Tabela9[[#This Row],[Coluna2]])</f>
        <v>21-SUB</v>
      </c>
    </row>
    <row r="2956" spans="1:7" x14ac:dyDescent="0.25">
      <c r="A2956">
        <v>16905</v>
      </c>
      <c r="B2956">
        <v>109</v>
      </c>
      <c r="C2956" s="1" t="str">
        <f>IF(Tabela8[[#This Row],[SETOR]]="","",IF(Tabela8[[#This Row],[SETOR]]&lt;200,"GV 10",IF(Tabela8[[#This Row],[SETOR]]&lt;300,"GV 20",IF(Tabela8[[#This Row],[SETOR]]&lt;400,"GV 30","S/GV"))))</f>
        <v>GV 10</v>
      </c>
      <c r="E2956" t="s">
        <v>123</v>
      </c>
      <c r="G2956" t="str">
        <f>_xlfn.CONCAT(Tabela9[[#This Row],[Coluna1]],Tabela9[[#This Row],[Coluna2]])</f>
        <v>20-Rota</v>
      </c>
    </row>
    <row r="2957" spans="1:7" x14ac:dyDescent="0.25">
      <c r="A2957">
        <v>16906</v>
      </c>
      <c r="B2957">
        <v>107</v>
      </c>
      <c r="C2957" s="1" t="str">
        <f>IF(Tabela8[[#This Row],[SETOR]]="","",IF(Tabela8[[#This Row],[SETOR]]&lt;200,"GV 10",IF(Tabela8[[#This Row],[SETOR]]&lt;300,"GV 20",IF(Tabela8[[#This Row],[SETOR]]&lt;400,"GV 30","S/GV"))))</f>
        <v>GV 10</v>
      </c>
      <c r="E2957" t="s">
        <v>125</v>
      </c>
      <c r="G2957" t="str">
        <f>_xlfn.CONCAT(Tabela9[[#This Row],[Coluna1]],Tabela9[[#This Row],[Coluna2]])</f>
        <v>18-TRAD</v>
      </c>
    </row>
    <row r="2958" spans="1:7" x14ac:dyDescent="0.25">
      <c r="A2958">
        <v>16907</v>
      </c>
      <c r="B2958">
        <v>201</v>
      </c>
      <c r="C2958" s="1" t="str">
        <f>IF(Tabela8[[#This Row],[SETOR]]="","",IF(Tabela8[[#This Row],[SETOR]]&lt;200,"GV 10",IF(Tabela8[[#This Row],[SETOR]]&lt;300,"GV 20",IF(Tabela8[[#This Row],[SETOR]]&lt;400,"GV 30","S/GV"))))</f>
        <v>GV 20</v>
      </c>
      <c r="E2958" t="s">
        <v>123</v>
      </c>
      <c r="G2958" t="str">
        <f>_xlfn.CONCAT(Tabela9[[#This Row],[Coluna1]],Tabela9[[#This Row],[Coluna2]])</f>
        <v>20-Rota</v>
      </c>
    </row>
    <row r="2959" spans="1:7" x14ac:dyDescent="0.25">
      <c r="A2959">
        <v>16910</v>
      </c>
      <c r="B2959">
        <v>104</v>
      </c>
      <c r="C2959" s="1" t="str">
        <f>IF(Tabela8[[#This Row],[SETOR]]="","",IF(Tabela8[[#This Row],[SETOR]]&lt;200,"GV 10",IF(Tabela8[[#This Row],[SETOR]]&lt;300,"GV 20",IF(Tabela8[[#This Row],[SETOR]]&lt;400,"GV 30","S/GV"))))</f>
        <v>GV 10</v>
      </c>
      <c r="E2959" t="s">
        <v>123</v>
      </c>
      <c r="G2959" t="str">
        <f>_xlfn.CONCAT(Tabela9[[#This Row],[Coluna1]],Tabela9[[#This Row],[Coluna2]])</f>
        <v>20-Rota</v>
      </c>
    </row>
    <row r="2960" spans="1:7" x14ac:dyDescent="0.25">
      <c r="A2960">
        <v>16915</v>
      </c>
      <c r="B2960">
        <v>303</v>
      </c>
      <c r="C2960" s="1" t="str">
        <f>IF(Tabela8[[#This Row],[SETOR]]="","",IF(Tabela8[[#This Row],[SETOR]]&lt;200,"GV 10",IF(Tabela8[[#This Row],[SETOR]]&lt;300,"GV 20",IF(Tabela8[[#This Row],[SETOR]]&lt;400,"GV 30","S/GV"))))</f>
        <v>GV 30</v>
      </c>
      <c r="E2960" t="s">
        <v>123</v>
      </c>
      <c r="G2960" t="str">
        <f>_xlfn.CONCAT(Tabela9[[#This Row],[Coluna1]],Tabela9[[#This Row],[Coluna2]])</f>
        <v>20-Rota</v>
      </c>
    </row>
    <row r="2961" spans="1:7" x14ac:dyDescent="0.25">
      <c r="A2961">
        <v>16919</v>
      </c>
      <c r="B2961">
        <v>106</v>
      </c>
      <c r="C2961" s="1" t="str">
        <f>IF(Tabela8[[#This Row],[SETOR]]="","",IF(Tabela8[[#This Row],[SETOR]]&lt;200,"GV 10",IF(Tabela8[[#This Row],[SETOR]]&lt;300,"GV 20",IF(Tabela8[[#This Row],[SETOR]]&lt;400,"GV 30","S/GV"))))</f>
        <v>GV 10</v>
      </c>
      <c r="E2961" t="s">
        <v>123</v>
      </c>
      <c r="G2961" t="str">
        <f>_xlfn.CONCAT(Tabela9[[#This Row],[Coluna1]],Tabela9[[#This Row],[Coluna2]])</f>
        <v>20-Rota</v>
      </c>
    </row>
    <row r="2962" spans="1:7" x14ac:dyDescent="0.25">
      <c r="A2962">
        <v>16922</v>
      </c>
      <c r="B2962">
        <v>303</v>
      </c>
      <c r="C2962" s="1" t="str">
        <f>IF(Tabela8[[#This Row],[SETOR]]="","",IF(Tabela8[[#This Row],[SETOR]]&lt;200,"GV 10",IF(Tabela8[[#This Row],[SETOR]]&lt;300,"GV 20",IF(Tabela8[[#This Row],[SETOR]]&lt;400,"GV 30","S/GV"))))</f>
        <v>GV 30</v>
      </c>
      <c r="E2962" t="s">
        <v>125</v>
      </c>
      <c r="G2962" t="str">
        <f>_xlfn.CONCAT(Tabela9[[#This Row],[Coluna1]],Tabela9[[#This Row],[Coluna2]])</f>
        <v>18-TRAD</v>
      </c>
    </row>
    <row r="2963" spans="1:7" x14ac:dyDescent="0.25">
      <c r="A2963">
        <v>16923</v>
      </c>
      <c r="B2963">
        <v>305</v>
      </c>
      <c r="C2963" s="1" t="str">
        <f>IF(Tabela8[[#This Row],[SETOR]]="","",IF(Tabela8[[#This Row],[SETOR]]&lt;200,"GV 10",IF(Tabela8[[#This Row],[SETOR]]&lt;300,"GV 20",IF(Tabela8[[#This Row],[SETOR]]&lt;400,"GV 30","S/GV"))))</f>
        <v>GV 30</v>
      </c>
      <c r="E2963" t="s">
        <v>123</v>
      </c>
      <c r="G2963" t="str">
        <f>_xlfn.CONCAT(Tabela9[[#This Row],[Coluna1]],Tabela9[[#This Row],[Coluna2]])</f>
        <v>20-Rota</v>
      </c>
    </row>
    <row r="2964" spans="1:7" x14ac:dyDescent="0.25">
      <c r="A2964">
        <v>16926</v>
      </c>
      <c r="B2964">
        <v>204</v>
      </c>
      <c r="C2964" s="1" t="str">
        <f>IF(Tabela8[[#This Row],[SETOR]]="","",IF(Tabela8[[#This Row],[SETOR]]&lt;200,"GV 10",IF(Tabela8[[#This Row],[SETOR]]&lt;300,"GV 20",IF(Tabela8[[#This Row],[SETOR]]&lt;400,"GV 30","S/GV"))))</f>
        <v>GV 20</v>
      </c>
      <c r="E2964" t="s">
        <v>130</v>
      </c>
      <c r="G2964" t="str">
        <f>_xlfn.CONCAT(Tabela9[[#This Row],[Coluna1]],Tabela9[[#This Row],[Coluna2]])</f>
        <v>21-SUB</v>
      </c>
    </row>
    <row r="2965" spans="1:7" x14ac:dyDescent="0.25">
      <c r="A2965">
        <v>16927</v>
      </c>
      <c r="B2965">
        <v>302</v>
      </c>
      <c r="C2965" s="1" t="str">
        <f>IF(Tabela8[[#This Row],[SETOR]]="","",IF(Tabela8[[#This Row],[SETOR]]&lt;200,"GV 10",IF(Tabela8[[#This Row],[SETOR]]&lt;300,"GV 20",IF(Tabela8[[#This Row],[SETOR]]&lt;400,"GV 30","S/GV"))))</f>
        <v>GV 30</v>
      </c>
      <c r="E2965" t="s">
        <v>123</v>
      </c>
      <c r="G2965" t="str">
        <f>_xlfn.CONCAT(Tabela9[[#This Row],[Coluna1]],Tabela9[[#This Row],[Coluna2]])</f>
        <v>20-Rota</v>
      </c>
    </row>
    <row r="2966" spans="1:7" x14ac:dyDescent="0.25">
      <c r="A2966">
        <v>16928</v>
      </c>
      <c r="B2966">
        <v>206</v>
      </c>
      <c r="C2966" s="1" t="str">
        <f>IF(Tabela8[[#This Row],[SETOR]]="","",IF(Tabela8[[#This Row],[SETOR]]&lt;200,"GV 10",IF(Tabela8[[#This Row],[SETOR]]&lt;300,"GV 20",IF(Tabela8[[#This Row],[SETOR]]&lt;400,"GV 30","S/GV"))))</f>
        <v>GV 20</v>
      </c>
      <c r="E2966" t="s">
        <v>123</v>
      </c>
      <c r="G2966" t="str">
        <f>_xlfn.CONCAT(Tabela9[[#This Row],[Coluna1]],Tabela9[[#This Row],[Coluna2]])</f>
        <v>20-Rota</v>
      </c>
    </row>
    <row r="2967" spans="1:7" x14ac:dyDescent="0.25">
      <c r="A2967">
        <v>16930</v>
      </c>
      <c r="B2967">
        <v>104</v>
      </c>
      <c r="C2967" s="1" t="str">
        <f>IF(Tabela8[[#This Row],[SETOR]]="","",IF(Tabela8[[#This Row],[SETOR]]&lt;200,"GV 10",IF(Tabela8[[#This Row],[SETOR]]&lt;300,"GV 20",IF(Tabela8[[#This Row],[SETOR]]&lt;400,"GV 30","S/GV"))))</f>
        <v>GV 10</v>
      </c>
      <c r="E2967" t="s">
        <v>123</v>
      </c>
      <c r="G2967" t="str">
        <f>_xlfn.CONCAT(Tabela9[[#This Row],[Coluna1]],Tabela9[[#This Row],[Coluna2]])</f>
        <v>20-Rota</v>
      </c>
    </row>
    <row r="2968" spans="1:7" x14ac:dyDescent="0.25">
      <c r="A2968">
        <v>16932</v>
      </c>
      <c r="B2968">
        <v>301</v>
      </c>
      <c r="C2968" s="1" t="str">
        <f>IF(Tabela8[[#This Row],[SETOR]]="","",IF(Tabela8[[#This Row],[SETOR]]&lt;200,"GV 10",IF(Tabela8[[#This Row],[SETOR]]&lt;300,"GV 20",IF(Tabela8[[#This Row],[SETOR]]&lt;400,"GV 30","S/GV"))))</f>
        <v>GV 30</v>
      </c>
      <c r="E2968" t="s">
        <v>123</v>
      </c>
      <c r="G2968" t="str">
        <f>_xlfn.CONCAT(Tabela9[[#This Row],[Coluna1]],Tabela9[[#This Row],[Coluna2]])</f>
        <v>20-Rota</v>
      </c>
    </row>
    <row r="2969" spans="1:7" x14ac:dyDescent="0.25">
      <c r="A2969">
        <v>16933</v>
      </c>
      <c r="B2969">
        <v>303</v>
      </c>
      <c r="C2969" s="1" t="str">
        <f>IF(Tabela8[[#This Row],[SETOR]]="","",IF(Tabela8[[#This Row],[SETOR]]&lt;200,"GV 10",IF(Tabela8[[#This Row],[SETOR]]&lt;300,"GV 20",IF(Tabela8[[#This Row],[SETOR]]&lt;400,"GV 30","S/GV"))))</f>
        <v>GV 30</v>
      </c>
      <c r="E2969" t="s">
        <v>123</v>
      </c>
      <c r="G2969" t="str">
        <f>_xlfn.CONCAT(Tabela9[[#This Row],[Coluna1]],Tabela9[[#This Row],[Coluna2]])</f>
        <v>20-Rota</v>
      </c>
    </row>
    <row r="2970" spans="1:7" x14ac:dyDescent="0.25">
      <c r="A2970">
        <v>16934</v>
      </c>
      <c r="B2970">
        <v>303</v>
      </c>
      <c r="C2970" s="1" t="str">
        <f>IF(Tabela8[[#This Row],[SETOR]]="","",IF(Tabela8[[#This Row],[SETOR]]&lt;200,"GV 10",IF(Tabela8[[#This Row],[SETOR]]&lt;300,"GV 20",IF(Tabela8[[#This Row],[SETOR]]&lt;400,"GV 30","S/GV"))))</f>
        <v>GV 30</v>
      </c>
      <c r="E2970" t="s">
        <v>123</v>
      </c>
      <c r="G2970" t="str">
        <f>_xlfn.CONCAT(Tabela9[[#This Row],[Coluna1]],Tabela9[[#This Row],[Coluna2]])</f>
        <v>20-Rota</v>
      </c>
    </row>
    <row r="2971" spans="1:7" x14ac:dyDescent="0.25">
      <c r="A2971">
        <v>16935</v>
      </c>
      <c r="B2971">
        <v>306</v>
      </c>
      <c r="C2971" s="1" t="str">
        <f>IF(Tabela8[[#This Row],[SETOR]]="","",IF(Tabela8[[#This Row],[SETOR]]&lt;200,"GV 10",IF(Tabela8[[#This Row],[SETOR]]&lt;300,"GV 20",IF(Tabela8[[#This Row],[SETOR]]&lt;400,"GV 30","S/GV"))))</f>
        <v>GV 30</v>
      </c>
      <c r="E2971" t="s">
        <v>125</v>
      </c>
      <c r="G2971" t="str">
        <f>_xlfn.CONCAT(Tabela9[[#This Row],[Coluna1]],Tabela9[[#This Row],[Coluna2]])</f>
        <v>18-TRAD</v>
      </c>
    </row>
    <row r="2972" spans="1:7" x14ac:dyDescent="0.25">
      <c r="A2972">
        <v>16937</v>
      </c>
      <c r="B2972">
        <v>308</v>
      </c>
      <c r="C2972" s="1" t="str">
        <f>IF(Tabela8[[#This Row],[SETOR]]="","",IF(Tabela8[[#This Row],[SETOR]]&lt;200,"GV 10",IF(Tabela8[[#This Row],[SETOR]]&lt;300,"GV 20",IF(Tabela8[[#This Row],[SETOR]]&lt;400,"GV 30","S/GV"))))</f>
        <v>GV 30</v>
      </c>
      <c r="E2972" t="s">
        <v>128</v>
      </c>
      <c r="F2972" t="s">
        <v>129</v>
      </c>
      <c r="G2972" t="str">
        <f>_xlfn.CONCAT(Tabela9[[#This Row],[Coluna1]],Tabela9[[#This Row],[Coluna2]])</f>
        <v>15-AS(1-4)</v>
      </c>
    </row>
    <row r="2973" spans="1:7" x14ac:dyDescent="0.25">
      <c r="A2973">
        <v>16938</v>
      </c>
      <c r="B2973">
        <v>202</v>
      </c>
      <c r="C2973" s="1" t="str">
        <f>IF(Tabela8[[#This Row],[SETOR]]="","",IF(Tabela8[[#This Row],[SETOR]]&lt;200,"GV 10",IF(Tabela8[[#This Row],[SETOR]]&lt;300,"GV 20",IF(Tabela8[[#This Row],[SETOR]]&lt;400,"GV 30","S/GV"))))</f>
        <v>GV 20</v>
      </c>
      <c r="E2973" t="s">
        <v>123</v>
      </c>
      <c r="G2973" t="str">
        <f>_xlfn.CONCAT(Tabela9[[#This Row],[Coluna1]],Tabela9[[#This Row],[Coluna2]])</f>
        <v>20-Rota</v>
      </c>
    </row>
    <row r="2974" spans="1:7" x14ac:dyDescent="0.25">
      <c r="A2974">
        <v>16939</v>
      </c>
      <c r="B2974">
        <v>916</v>
      </c>
      <c r="C2974" s="1" t="str">
        <f>IF(Tabela8[[#This Row],[SETOR]]="","",IF(Tabela8[[#This Row],[SETOR]]&lt;200,"GV 10",IF(Tabela8[[#This Row],[SETOR]]&lt;300,"GV 20",IF(Tabela8[[#This Row],[SETOR]]&lt;400,"GV 30","S/GV"))))</f>
        <v>S/GV</v>
      </c>
      <c r="G2974" t="str">
        <f>_xlfn.CONCAT(Tabela9[[#This Row],[Coluna1]],Tabela9[[#This Row],[Coluna2]])</f>
        <v/>
      </c>
    </row>
    <row r="2975" spans="1:7" x14ac:dyDescent="0.25">
      <c r="A2975">
        <v>16940</v>
      </c>
      <c r="B2975">
        <v>916</v>
      </c>
      <c r="C2975" s="1" t="str">
        <f>IF(Tabela8[[#This Row],[SETOR]]="","",IF(Tabela8[[#This Row],[SETOR]]&lt;200,"GV 10",IF(Tabela8[[#This Row],[SETOR]]&lt;300,"GV 20",IF(Tabela8[[#This Row],[SETOR]]&lt;400,"GV 30","S/GV"))))</f>
        <v>S/GV</v>
      </c>
      <c r="G2975" t="str">
        <f>_xlfn.CONCAT(Tabela9[[#This Row],[Coluna1]],Tabela9[[#This Row],[Coluna2]])</f>
        <v/>
      </c>
    </row>
    <row r="2976" spans="1:7" x14ac:dyDescent="0.25">
      <c r="A2976">
        <v>16941</v>
      </c>
      <c r="B2976">
        <v>906</v>
      </c>
      <c r="C2976" s="1" t="str">
        <f>IF(Tabela8[[#This Row],[SETOR]]="","",IF(Tabela8[[#This Row],[SETOR]]&lt;200,"GV 10",IF(Tabela8[[#This Row],[SETOR]]&lt;300,"GV 20",IF(Tabela8[[#This Row],[SETOR]]&lt;400,"GV 30","S/GV"))))</f>
        <v>S/GV</v>
      </c>
      <c r="G2976" t="str">
        <f>_xlfn.CONCAT(Tabela9[[#This Row],[Coluna1]],Tabela9[[#This Row],[Coluna2]])</f>
        <v/>
      </c>
    </row>
    <row r="2977" spans="1:7" x14ac:dyDescent="0.25">
      <c r="A2977">
        <v>16942</v>
      </c>
      <c r="B2977">
        <v>104</v>
      </c>
      <c r="C2977" s="1" t="str">
        <f>IF(Tabela8[[#This Row],[SETOR]]="","",IF(Tabela8[[#This Row],[SETOR]]&lt;200,"GV 10",IF(Tabela8[[#This Row],[SETOR]]&lt;300,"GV 20",IF(Tabela8[[#This Row],[SETOR]]&lt;400,"GV 30","S/GV"))))</f>
        <v>GV 10</v>
      </c>
      <c r="E2977" t="s">
        <v>123</v>
      </c>
      <c r="G2977" t="str">
        <f>_xlfn.CONCAT(Tabela9[[#This Row],[Coluna1]],Tabela9[[#This Row],[Coluna2]])</f>
        <v>20-Rota</v>
      </c>
    </row>
    <row r="2978" spans="1:7" x14ac:dyDescent="0.25">
      <c r="A2978">
        <v>16944</v>
      </c>
      <c r="B2978">
        <v>201</v>
      </c>
      <c r="C2978" s="1" t="str">
        <f>IF(Tabela8[[#This Row],[SETOR]]="","",IF(Tabela8[[#This Row],[SETOR]]&lt;200,"GV 10",IF(Tabela8[[#This Row],[SETOR]]&lt;300,"GV 20",IF(Tabela8[[#This Row],[SETOR]]&lt;400,"GV 30","S/GV"))))</f>
        <v>GV 20</v>
      </c>
      <c r="E2978" t="s">
        <v>123</v>
      </c>
      <c r="G2978" t="str">
        <f>_xlfn.CONCAT(Tabela9[[#This Row],[Coluna1]],Tabela9[[#This Row],[Coluna2]])</f>
        <v>20-Rota</v>
      </c>
    </row>
    <row r="2979" spans="1:7" x14ac:dyDescent="0.25">
      <c r="A2979">
        <v>16947</v>
      </c>
      <c r="B2979">
        <v>916</v>
      </c>
      <c r="C2979" s="1" t="str">
        <f>IF(Tabela8[[#This Row],[SETOR]]="","",IF(Tabela8[[#This Row],[SETOR]]&lt;200,"GV 10",IF(Tabela8[[#This Row],[SETOR]]&lt;300,"GV 20",IF(Tabela8[[#This Row],[SETOR]]&lt;400,"GV 30","S/GV"))))</f>
        <v>S/GV</v>
      </c>
      <c r="G2979" t="str">
        <f>_xlfn.CONCAT(Tabela9[[#This Row],[Coluna1]],Tabela9[[#This Row],[Coluna2]])</f>
        <v/>
      </c>
    </row>
    <row r="2980" spans="1:7" x14ac:dyDescent="0.25">
      <c r="A2980">
        <v>16948</v>
      </c>
      <c r="B2980">
        <v>916</v>
      </c>
      <c r="C2980" s="1" t="str">
        <f>IF(Tabela8[[#This Row],[SETOR]]="","",IF(Tabela8[[#This Row],[SETOR]]&lt;200,"GV 10",IF(Tabela8[[#This Row],[SETOR]]&lt;300,"GV 20",IF(Tabela8[[#This Row],[SETOR]]&lt;400,"GV 30","S/GV"))))</f>
        <v>S/GV</v>
      </c>
      <c r="G2980" t="str">
        <f>_xlfn.CONCAT(Tabela9[[#This Row],[Coluna1]],Tabela9[[#This Row],[Coluna2]])</f>
        <v/>
      </c>
    </row>
    <row r="2981" spans="1:7" x14ac:dyDescent="0.25">
      <c r="A2981">
        <v>16949</v>
      </c>
      <c r="B2981">
        <v>916</v>
      </c>
      <c r="C2981" s="1" t="str">
        <f>IF(Tabela8[[#This Row],[SETOR]]="","",IF(Tabela8[[#This Row],[SETOR]]&lt;200,"GV 10",IF(Tabela8[[#This Row],[SETOR]]&lt;300,"GV 20",IF(Tabela8[[#This Row],[SETOR]]&lt;400,"GV 30","S/GV"))))</f>
        <v>S/GV</v>
      </c>
      <c r="G2981" t="str">
        <f>_xlfn.CONCAT(Tabela9[[#This Row],[Coluna1]],Tabela9[[#This Row],[Coluna2]])</f>
        <v/>
      </c>
    </row>
    <row r="2982" spans="1:7" x14ac:dyDescent="0.25">
      <c r="A2982">
        <v>16950</v>
      </c>
      <c r="B2982">
        <v>916</v>
      </c>
      <c r="C2982" s="1" t="str">
        <f>IF(Tabela8[[#This Row],[SETOR]]="","",IF(Tabela8[[#This Row],[SETOR]]&lt;200,"GV 10",IF(Tabela8[[#This Row],[SETOR]]&lt;300,"GV 20",IF(Tabela8[[#This Row],[SETOR]]&lt;400,"GV 30","S/GV"))))</f>
        <v>S/GV</v>
      </c>
      <c r="G2982" t="str">
        <f>_xlfn.CONCAT(Tabela9[[#This Row],[Coluna1]],Tabela9[[#This Row],[Coluna2]])</f>
        <v/>
      </c>
    </row>
    <row r="2983" spans="1:7" x14ac:dyDescent="0.25">
      <c r="A2983">
        <v>16951</v>
      </c>
      <c r="B2983">
        <v>207</v>
      </c>
      <c r="C2983" s="1" t="str">
        <f>IF(Tabela8[[#This Row],[SETOR]]="","",IF(Tabela8[[#This Row],[SETOR]]&lt;200,"GV 10",IF(Tabela8[[#This Row],[SETOR]]&lt;300,"GV 20",IF(Tabela8[[#This Row],[SETOR]]&lt;400,"GV 30","S/GV"))))</f>
        <v>GV 20</v>
      </c>
      <c r="E2983" t="s">
        <v>130</v>
      </c>
      <c r="G2983" t="str">
        <f>_xlfn.CONCAT(Tabela9[[#This Row],[Coluna1]],Tabela9[[#This Row],[Coluna2]])</f>
        <v>21-SUB</v>
      </c>
    </row>
    <row r="2984" spans="1:7" x14ac:dyDescent="0.25">
      <c r="A2984">
        <v>16952</v>
      </c>
      <c r="B2984">
        <v>301</v>
      </c>
      <c r="C2984" s="1" t="str">
        <f>IF(Tabela8[[#This Row],[SETOR]]="","",IF(Tabela8[[#This Row],[SETOR]]&lt;200,"GV 10",IF(Tabela8[[#This Row],[SETOR]]&lt;300,"GV 20",IF(Tabela8[[#This Row],[SETOR]]&lt;400,"GV 30","S/GV"))))</f>
        <v>GV 30</v>
      </c>
      <c r="E2984" t="s">
        <v>123</v>
      </c>
      <c r="G2984" t="str">
        <f>_xlfn.CONCAT(Tabela9[[#This Row],[Coluna1]],Tabela9[[#This Row],[Coluna2]])</f>
        <v>20-Rota</v>
      </c>
    </row>
    <row r="2985" spans="1:7" x14ac:dyDescent="0.25">
      <c r="A2985">
        <v>16953</v>
      </c>
      <c r="B2985">
        <v>916</v>
      </c>
      <c r="C2985" s="1" t="str">
        <f>IF(Tabela8[[#This Row],[SETOR]]="","",IF(Tabela8[[#This Row],[SETOR]]&lt;200,"GV 10",IF(Tabela8[[#This Row],[SETOR]]&lt;300,"GV 20",IF(Tabela8[[#This Row],[SETOR]]&lt;400,"GV 30","S/GV"))))</f>
        <v>S/GV</v>
      </c>
      <c r="G2985" t="str">
        <f>_xlfn.CONCAT(Tabela9[[#This Row],[Coluna1]],Tabela9[[#This Row],[Coluna2]])</f>
        <v/>
      </c>
    </row>
    <row r="2986" spans="1:7" x14ac:dyDescent="0.25">
      <c r="A2986">
        <v>16954</v>
      </c>
      <c r="B2986">
        <v>916</v>
      </c>
      <c r="C2986" s="1" t="str">
        <f>IF(Tabela8[[#This Row],[SETOR]]="","",IF(Tabela8[[#This Row],[SETOR]]&lt;200,"GV 10",IF(Tabela8[[#This Row],[SETOR]]&lt;300,"GV 20",IF(Tabela8[[#This Row],[SETOR]]&lt;400,"GV 30","S/GV"))))</f>
        <v>S/GV</v>
      </c>
      <c r="G2986" t="str">
        <f>_xlfn.CONCAT(Tabela9[[#This Row],[Coluna1]],Tabela9[[#This Row],[Coluna2]])</f>
        <v/>
      </c>
    </row>
    <row r="2987" spans="1:7" x14ac:dyDescent="0.25">
      <c r="A2987">
        <v>16955</v>
      </c>
      <c r="B2987">
        <v>916</v>
      </c>
      <c r="C2987" s="1" t="str">
        <f>IF(Tabela8[[#This Row],[SETOR]]="","",IF(Tabela8[[#This Row],[SETOR]]&lt;200,"GV 10",IF(Tabela8[[#This Row],[SETOR]]&lt;300,"GV 20",IF(Tabela8[[#This Row],[SETOR]]&lt;400,"GV 30","S/GV"))))</f>
        <v>S/GV</v>
      </c>
      <c r="G2987" t="str">
        <f>_xlfn.CONCAT(Tabela9[[#This Row],[Coluna1]],Tabela9[[#This Row],[Coluna2]])</f>
        <v/>
      </c>
    </row>
    <row r="2988" spans="1:7" x14ac:dyDescent="0.25">
      <c r="A2988">
        <v>16956</v>
      </c>
      <c r="B2988">
        <v>202</v>
      </c>
      <c r="C2988" s="1" t="str">
        <f>IF(Tabela8[[#This Row],[SETOR]]="","",IF(Tabela8[[#This Row],[SETOR]]&lt;200,"GV 10",IF(Tabela8[[#This Row],[SETOR]]&lt;300,"GV 20",IF(Tabela8[[#This Row],[SETOR]]&lt;400,"GV 30","S/GV"))))</f>
        <v>GV 20</v>
      </c>
      <c r="E2988" t="s">
        <v>125</v>
      </c>
      <c r="G2988" t="str">
        <f>_xlfn.CONCAT(Tabela9[[#This Row],[Coluna1]],Tabela9[[#This Row],[Coluna2]])</f>
        <v>18-TRAD</v>
      </c>
    </row>
    <row r="2989" spans="1:7" x14ac:dyDescent="0.25">
      <c r="A2989">
        <v>16957</v>
      </c>
      <c r="B2989">
        <v>203</v>
      </c>
      <c r="C2989" s="1" t="str">
        <f>IF(Tabela8[[#This Row],[SETOR]]="","",IF(Tabela8[[#This Row],[SETOR]]&lt;200,"GV 10",IF(Tabela8[[#This Row],[SETOR]]&lt;300,"GV 20",IF(Tabela8[[#This Row],[SETOR]]&lt;400,"GV 30","S/GV"))))</f>
        <v>GV 20</v>
      </c>
      <c r="E2989" t="s">
        <v>123</v>
      </c>
      <c r="G2989" t="str">
        <f>_xlfn.CONCAT(Tabela9[[#This Row],[Coluna1]],Tabela9[[#This Row],[Coluna2]])</f>
        <v>20-Rota</v>
      </c>
    </row>
    <row r="2990" spans="1:7" x14ac:dyDescent="0.25">
      <c r="A2990">
        <v>16958</v>
      </c>
      <c r="B2990">
        <v>302</v>
      </c>
      <c r="C2990" s="1" t="str">
        <f>IF(Tabela8[[#This Row],[SETOR]]="","",IF(Tabela8[[#This Row],[SETOR]]&lt;200,"GV 10",IF(Tabela8[[#This Row],[SETOR]]&lt;300,"GV 20",IF(Tabela8[[#This Row],[SETOR]]&lt;400,"GV 30","S/GV"))))</f>
        <v>GV 30</v>
      </c>
      <c r="E2990" t="s">
        <v>123</v>
      </c>
      <c r="G2990" t="str">
        <f>_xlfn.CONCAT(Tabela9[[#This Row],[Coluna1]],Tabela9[[#This Row],[Coluna2]])</f>
        <v>20-Rota</v>
      </c>
    </row>
    <row r="2991" spans="1:7" x14ac:dyDescent="0.25">
      <c r="A2991">
        <v>16959</v>
      </c>
      <c r="B2991">
        <v>203</v>
      </c>
      <c r="C2991" s="1" t="str">
        <f>IF(Tabela8[[#This Row],[SETOR]]="","",IF(Tabela8[[#This Row],[SETOR]]&lt;200,"GV 10",IF(Tabela8[[#This Row],[SETOR]]&lt;300,"GV 20",IF(Tabela8[[#This Row],[SETOR]]&lt;400,"GV 30","S/GV"))))</f>
        <v>GV 20</v>
      </c>
      <c r="E2991" t="s">
        <v>123</v>
      </c>
      <c r="G2991" t="str">
        <f>_xlfn.CONCAT(Tabela9[[#This Row],[Coluna1]],Tabela9[[#This Row],[Coluna2]])</f>
        <v>20-Rota</v>
      </c>
    </row>
    <row r="2992" spans="1:7" x14ac:dyDescent="0.25">
      <c r="A2992">
        <v>16960</v>
      </c>
      <c r="B2992">
        <v>101</v>
      </c>
      <c r="C2992" s="1" t="str">
        <f>IF(Tabela8[[#This Row],[SETOR]]="","",IF(Tabela8[[#This Row],[SETOR]]&lt;200,"GV 10",IF(Tabela8[[#This Row],[SETOR]]&lt;300,"GV 20",IF(Tabela8[[#This Row],[SETOR]]&lt;400,"GV 30","S/GV"))))</f>
        <v>GV 10</v>
      </c>
      <c r="E2992" t="s">
        <v>123</v>
      </c>
      <c r="G2992" t="str">
        <f>_xlfn.CONCAT(Tabela9[[#This Row],[Coluna1]],Tabela9[[#This Row],[Coluna2]])</f>
        <v>20-Rota</v>
      </c>
    </row>
    <row r="2993" spans="1:7" x14ac:dyDescent="0.25">
      <c r="A2993">
        <v>16962</v>
      </c>
      <c r="B2993">
        <v>907</v>
      </c>
      <c r="C2993" s="1" t="str">
        <f>IF(Tabela8[[#This Row],[SETOR]]="","",IF(Tabela8[[#This Row],[SETOR]]&lt;200,"GV 10",IF(Tabela8[[#This Row],[SETOR]]&lt;300,"GV 20",IF(Tabela8[[#This Row],[SETOR]]&lt;400,"GV 30","S/GV"))))</f>
        <v>S/GV</v>
      </c>
      <c r="G2993" t="str">
        <f>_xlfn.CONCAT(Tabela9[[#This Row],[Coluna1]],Tabela9[[#This Row],[Coluna2]])</f>
        <v/>
      </c>
    </row>
    <row r="2994" spans="1:7" x14ac:dyDescent="0.25">
      <c r="A2994">
        <v>16963</v>
      </c>
      <c r="B2994">
        <v>303</v>
      </c>
      <c r="C2994" s="1" t="str">
        <f>IF(Tabela8[[#This Row],[SETOR]]="","",IF(Tabela8[[#This Row],[SETOR]]&lt;200,"GV 10",IF(Tabela8[[#This Row],[SETOR]]&lt;300,"GV 20",IF(Tabela8[[#This Row],[SETOR]]&lt;400,"GV 30","S/GV"))))</f>
        <v>GV 30</v>
      </c>
      <c r="E2994" t="s">
        <v>123</v>
      </c>
      <c r="G2994" t="str">
        <f>_xlfn.CONCAT(Tabela9[[#This Row],[Coluna1]],Tabela9[[#This Row],[Coluna2]])</f>
        <v>20-Rota</v>
      </c>
    </row>
    <row r="2995" spans="1:7" x14ac:dyDescent="0.25">
      <c r="A2995">
        <v>16965</v>
      </c>
      <c r="B2995">
        <v>101</v>
      </c>
      <c r="C2995" s="1" t="str">
        <f>IF(Tabela8[[#This Row],[SETOR]]="","",IF(Tabela8[[#This Row],[SETOR]]&lt;200,"GV 10",IF(Tabela8[[#This Row],[SETOR]]&lt;300,"GV 20",IF(Tabela8[[#This Row],[SETOR]]&lt;400,"GV 30","S/GV"))))</f>
        <v>GV 10</v>
      </c>
      <c r="E2995" t="s">
        <v>123</v>
      </c>
      <c r="G2995" t="str">
        <f>_xlfn.CONCAT(Tabela9[[#This Row],[Coluna1]],Tabela9[[#This Row],[Coluna2]])</f>
        <v>20-Rota</v>
      </c>
    </row>
    <row r="2996" spans="1:7" x14ac:dyDescent="0.25">
      <c r="A2996">
        <v>16969</v>
      </c>
      <c r="B2996">
        <v>907</v>
      </c>
      <c r="C2996" s="1" t="str">
        <f>IF(Tabela8[[#This Row],[SETOR]]="","",IF(Tabela8[[#This Row],[SETOR]]&lt;200,"GV 10",IF(Tabela8[[#This Row],[SETOR]]&lt;300,"GV 20",IF(Tabela8[[#This Row],[SETOR]]&lt;400,"GV 30","S/GV"))))</f>
        <v>S/GV</v>
      </c>
      <c r="G2996" t="str">
        <f>_xlfn.CONCAT(Tabela9[[#This Row],[Coluna1]],Tabela9[[#This Row],[Coluna2]])</f>
        <v/>
      </c>
    </row>
    <row r="2997" spans="1:7" x14ac:dyDescent="0.25">
      <c r="A2997">
        <v>16971</v>
      </c>
      <c r="B2997">
        <v>102</v>
      </c>
      <c r="C2997" s="1" t="str">
        <f>IF(Tabela8[[#This Row],[SETOR]]="","",IF(Tabela8[[#This Row],[SETOR]]&lt;200,"GV 10",IF(Tabela8[[#This Row],[SETOR]]&lt;300,"GV 20",IF(Tabela8[[#This Row],[SETOR]]&lt;400,"GV 30","S/GV"))))</f>
        <v>GV 10</v>
      </c>
      <c r="E2997" t="s">
        <v>123</v>
      </c>
      <c r="G2997" t="str">
        <f>_xlfn.CONCAT(Tabela9[[#This Row],[Coluna1]],Tabela9[[#This Row],[Coluna2]])</f>
        <v>20-Rota</v>
      </c>
    </row>
    <row r="2998" spans="1:7" x14ac:dyDescent="0.25">
      <c r="A2998">
        <v>16974</v>
      </c>
      <c r="B2998">
        <v>305</v>
      </c>
      <c r="C2998" s="1" t="str">
        <f>IF(Tabela8[[#This Row],[SETOR]]="","",IF(Tabela8[[#This Row],[SETOR]]&lt;200,"GV 10",IF(Tabela8[[#This Row],[SETOR]]&lt;300,"GV 20",IF(Tabela8[[#This Row],[SETOR]]&lt;400,"GV 30","S/GV"))))</f>
        <v>GV 30</v>
      </c>
      <c r="E2998" t="s">
        <v>123</v>
      </c>
      <c r="G2998" t="str">
        <f>_xlfn.CONCAT(Tabela9[[#This Row],[Coluna1]],Tabela9[[#This Row],[Coluna2]])</f>
        <v>20-Rota</v>
      </c>
    </row>
    <row r="2999" spans="1:7" x14ac:dyDescent="0.25">
      <c r="A2999">
        <v>16975</v>
      </c>
      <c r="B2999">
        <v>202</v>
      </c>
      <c r="C2999" s="1" t="str">
        <f>IF(Tabela8[[#This Row],[SETOR]]="","",IF(Tabela8[[#This Row],[SETOR]]&lt;200,"GV 10",IF(Tabela8[[#This Row],[SETOR]]&lt;300,"GV 20",IF(Tabela8[[#This Row],[SETOR]]&lt;400,"GV 30","S/GV"))))</f>
        <v>GV 20</v>
      </c>
      <c r="E2999" t="s">
        <v>123</v>
      </c>
      <c r="G2999" t="str">
        <f>_xlfn.CONCAT(Tabela9[[#This Row],[Coluna1]],Tabela9[[#This Row],[Coluna2]])</f>
        <v>20-Rota</v>
      </c>
    </row>
    <row r="3000" spans="1:7" x14ac:dyDescent="0.25">
      <c r="A3000">
        <v>16976</v>
      </c>
      <c r="B3000">
        <v>201</v>
      </c>
      <c r="C3000" s="1" t="str">
        <f>IF(Tabela8[[#This Row],[SETOR]]="","",IF(Tabela8[[#This Row],[SETOR]]&lt;200,"GV 10",IF(Tabela8[[#This Row],[SETOR]]&lt;300,"GV 20",IF(Tabela8[[#This Row],[SETOR]]&lt;400,"GV 30","S/GV"))))</f>
        <v>GV 20</v>
      </c>
      <c r="E3000" t="s">
        <v>123</v>
      </c>
      <c r="G3000" t="str">
        <f>_xlfn.CONCAT(Tabela9[[#This Row],[Coluna1]],Tabela9[[#This Row],[Coluna2]])</f>
        <v>20-Rota</v>
      </c>
    </row>
    <row r="3001" spans="1:7" x14ac:dyDescent="0.25">
      <c r="A3001">
        <v>16980</v>
      </c>
      <c r="B3001">
        <v>203</v>
      </c>
      <c r="C3001" s="1" t="str">
        <f>IF(Tabela8[[#This Row],[SETOR]]="","",IF(Tabela8[[#This Row],[SETOR]]&lt;200,"GV 10",IF(Tabela8[[#This Row],[SETOR]]&lt;300,"GV 20",IF(Tabela8[[#This Row],[SETOR]]&lt;400,"GV 30","S/GV"))))</f>
        <v>GV 20</v>
      </c>
      <c r="E3001" t="s">
        <v>123</v>
      </c>
      <c r="G3001" t="str">
        <f>_xlfn.CONCAT(Tabela9[[#This Row],[Coluna1]],Tabela9[[#This Row],[Coluna2]])</f>
        <v>20-Rota</v>
      </c>
    </row>
    <row r="3002" spans="1:7" x14ac:dyDescent="0.25">
      <c r="A3002">
        <v>16983</v>
      </c>
      <c r="B3002">
        <v>304</v>
      </c>
      <c r="C3002" s="1" t="str">
        <f>IF(Tabela8[[#This Row],[SETOR]]="","",IF(Tabela8[[#This Row],[SETOR]]&lt;200,"GV 10",IF(Tabela8[[#This Row],[SETOR]]&lt;300,"GV 20",IF(Tabela8[[#This Row],[SETOR]]&lt;400,"GV 30","S/GV"))))</f>
        <v>GV 30</v>
      </c>
      <c r="E3002" t="s">
        <v>123</v>
      </c>
      <c r="G3002" t="str">
        <f>_xlfn.CONCAT(Tabela9[[#This Row],[Coluna1]],Tabela9[[#This Row],[Coluna2]])</f>
        <v>20-Rota</v>
      </c>
    </row>
    <row r="3003" spans="1:7" x14ac:dyDescent="0.25">
      <c r="A3003">
        <v>16984</v>
      </c>
      <c r="B3003">
        <v>302</v>
      </c>
      <c r="C3003" s="1" t="str">
        <f>IF(Tabela8[[#This Row],[SETOR]]="","",IF(Tabela8[[#This Row],[SETOR]]&lt;200,"GV 10",IF(Tabela8[[#This Row],[SETOR]]&lt;300,"GV 20",IF(Tabela8[[#This Row],[SETOR]]&lt;400,"GV 30","S/GV"))))</f>
        <v>GV 30</v>
      </c>
      <c r="E3003" t="s">
        <v>125</v>
      </c>
      <c r="G3003" t="str">
        <f>_xlfn.CONCAT(Tabela9[[#This Row],[Coluna1]],Tabela9[[#This Row],[Coluna2]])</f>
        <v>18-TRAD</v>
      </c>
    </row>
    <row r="3004" spans="1:7" x14ac:dyDescent="0.25">
      <c r="A3004">
        <v>16987</v>
      </c>
      <c r="B3004">
        <v>104</v>
      </c>
      <c r="C3004" s="1" t="str">
        <f>IF(Tabela8[[#This Row],[SETOR]]="","",IF(Tabela8[[#This Row],[SETOR]]&lt;200,"GV 10",IF(Tabela8[[#This Row],[SETOR]]&lt;300,"GV 20",IF(Tabela8[[#This Row],[SETOR]]&lt;400,"GV 30","S/GV"))))</f>
        <v>GV 10</v>
      </c>
      <c r="E3004" t="s">
        <v>123</v>
      </c>
      <c r="G3004" t="str">
        <f>_xlfn.CONCAT(Tabela9[[#This Row],[Coluna1]],Tabela9[[#This Row],[Coluna2]])</f>
        <v>20-Rota</v>
      </c>
    </row>
    <row r="3005" spans="1:7" x14ac:dyDescent="0.25">
      <c r="A3005">
        <v>16990</v>
      </c>
      <c r="B3005">
        <v>301</v>
      </c>
      <c r="C3005" s="1" t="str">
        <f>IF(Tabela8[[#This Row],[SETOR]]="","",IF(Tabela8[[#This Row],[SETOR]]&lt;200,"GV 10",IF(Tabela8[[#This Row],[SETOR]]&lt;300,"GV 20",IF(Tabela8[[#This Row],[SETOR]]&lt;400,"GV 30","S/GV"))))</f>
        <v>GV 30</v>
      </c>
      <c r="E3005" t="s">
        <v>123</v>
      </c>
      <c r="G3005" t="str">
        <f>_xlfn.CONCAT(Tabela9[[#This Row],[Coluna1]],Tabela9[[#This Row],[Coluna2]])</f>
        <v>20-Rota</v>
      </c>
    </row>
    <row r="3006" spans="1:7" x14ac:dyDescent="0.25">
      <c r="A3006">
        <v>16991</v>
      </c>
      <c r="B3006">
        <v>208</v>
      </c>
      <c r="C3006" s="1" t="str">
        <f>IF(Tabela8[[#This Row],[SETOR]]="","",IF(Tabela8[[#This Row],[SETOR]]&lt;200,"GV 10",IF(Tabela8[[#This Row],[SETOR]]&lt;300,"GV 20",IF(Tabela8[[#This Row],[SETOR]]&lt;400,"GV 30","S/GV"))))</f>
        <v>GV 20</v>
      </c>
      <c r="E3006" t="s">
        <v>128</v>
      </c>
      <c r="F3006" t="s">
        <v>129</v>
      </c>
      <c r="G3006" t="str">
        <f>_xlfn.CONCAT(Tabela9[[#This Row],[Coluna1]],Tabela9[[#This Row],[Coluna2]])</f>
        <v>15-AS(1-4)</v>
      </c>
    </row>
    <row r="3007" spans="1:7" x14ac:dyDescent="0.25">
      <c r="A3007">
        <v>16995</v>
      </c>
      <c r="B3007">
        <v>205</v>
      </c>
      <c r="C3007" s="1" t="str">
        <f>IF(Tabela8[[#This Row],[SETOR]]="","",IF(Tabela8[[#This Row],[SETOR]]&lt;200,"GV 10",IF(Tabela8[[#This Row],[SETOR]]&lt;300,"GV 20",IF(Tabela8[[#This Row],[SETOR]]&lt;400,"GV 30","S/GV"))))</f>
        <v>GV 20</v>
      </c>
      <c r="E3007" t="s">
        <v>130</v>
      </c>
      <c r="G3007" t="str">
        <f>_xlfn.CONCAT(Tabela9[[#This Row],[Coluna1]],Tabela9[[#This Row],[Coluna2]])</f>
        <v>21-SUB</v>
      </c>
    </row>
    <row r="3008" spans="1:7" x14ac:dyDescent="0.25">
      <c r="A3008">
        <v>16996</v>
      </c>
      <c r="B3008">
        <v>206</v>
      </c>
      <c r="C3008" s="1" t="str">
        <f>IF(Tabela8[[#This Row],[SETOR]]="","",IF(Tabela8[[#This Row],[SETOR]]&lt;200,"GV 10",IF(Tabela8[[#This Row],[SETOR]]&lt;300,"GV 20",IF(Tabela8[[#This Row],[SETOR]]&lt;400,"GV 30","S/GV"))))</f>
        <v>GV 20</v>
      </c>
      <c r="E3008" t="s">
        <v>123</v>
      </c>
      <c r="G3008" t="str">
        <f>_xlfn.CONCAT(Tabela9[[#This Row],[Coluna1]],Tabela9[[#This Row],[Coluna2]])</f>
        <v>20-Rota</v>
      </c>
    </row>
    <row r="3009" spans="1:7" x14ac:dyDescent="0.25">
      <c r="A3009">
        <v>17002</v>
      </c>
      <c r="B3009">
        <v>107</v>
      </c>
      <c r="C3009" s="1" t="str">
        <f>IF(Tabela8[[#This Row],[SETOR]]="","",IF(Tabela8[[#This Row],[SETOR]]&lt;200,"GV 10",IF(Tabela8[[#This Row],[SETOR]]&lt;300,"GV 20",IF(Tabela8[[#This Row],[SETOR]]&lt;400,"GV 30","S/GV"))))</f>
        <v>GV 10</v>
      </c>
      <c r="E3009" t="s">
        <v>130</v>
      </c>
      <c r="G3009" t="str">
        <f>_xlfn.CONCAT(Tabela9[[#This Row],[Coluna1]],Tabela9[[#This Row],[Coluna2]])</f>
        <v>21-SUB</v>
      </c>
    </row>
    <row r="3010" spans="1:7" x14ac:dyDescent="0.25">
      <c r="A3010">
        <v>17004</v>
      </c>
      <c r="B3010">
        <v>109</v>
      </c>
      <c r="C3010" s="1" t="str">
        <f>IF(Tabela8[[#This Row],[SETOR]]="","",IF(Tabela8[[#This Row],[SETOR]]&lt;200,"GV 10",IF(Tabela8[[#This Row],[SETOR]]&lt;300,"GV 20",IF(Tabela8[[#This Row],[SETOR]]&lt;400,"GV 30","S/GV"))))</f>
        <v>GV 10</v>
      </c>
      <c r="E3010" t="s">
        <v>123</v>
      </c>
      <c r="G3010" t="str">
        <f>_xlfn.CONCAT(Tabela9[[#This Row],[Coluna1]],Tabela9[[#This Row],[Coluna2]])</f>
        <v>20-Rota</v>
      </c>
    </row>
    <row r="3011" spans="1:7" x14ac:dyDescent="0.25">
      <c r="A3011">
        <v>17011</v>
      </c>
      <c r="B3011">
        <v>103</v>
      </c>
      <c r="C3011" s="1" t="str">
        <f>IF(Tabela8[[#This Row],[SETOR]]="","",IF(Tabela8[[#This Row],[SETOR]]&lt;200,"GV 10",IF(Tabela8[[#This Row],[SETOR]]&lt;300,"GV 20",IF(Tabela8[[#This Row],[SETOR]]&lt;400,"GV 30","S/GV"))))</f>
        <v>GV 10</v>
      </c>
      <c r="E3011" t="s">
        <v>123</v>
      </c>
      <c r="G3011" t="str">
        <f>_xlfn.CONCAT(Tabela9[[#This Row],[Coluna1]],Tabela9[[#This Row],[Coluna2]])</f>
        <v>20-Rota</v>
      </c>
    </row>
    <row r="3012" spans="1:7" x14ac:dyDescent="0.25">
      <c r="A3012">
        <v>17016</v>
      </c>
      <c r="B3012">
        <v>305</v>
      </c>
      <c r="C3012" s="1" t="str">
        <f>IF(Tabela8[[#This Row],[SETOR]]="","",IF(Tabela8[[#This Row],[SETOR]]&lt;200,"GV 10",IF(Tabela8[[#This Row],[SETOR]]&lt;300,"GV 20",IF(Tabela8[[#This Row],[SETOR]]&lt;400,"GV 30","S/GV"))))</f>
        <v>GV 30</v>
      </c>
      <c r="E3012" t="s">
        <v>123</v>
      </c>
      <c r="G3012" t="str">
        <f>_xlfn.CONCAT(Tabela9[[#This Row],[Coluna1]],Tabela9[[#This Row],[Coluna2]])</f>
        <v>20-Rota</v>
      </c>
    </row>
    <row r="3013" spans="1:7" x14ac:dyDescent="0.25">
      <c r="A3013">
        <v>17017</v>
      </c>
      <c r="B3013">
        <v>104</v>
      </c>
      <c r="C3013" s="1" t="str">
        <f>IF(Tabela8[[#This Row],[SETOR]]="","",IF(Tabela8[[#This Row],[SETOR]]&lt;200,"GV 10",IF(Tabela8[[#This Row],[SETOR]]&lt;300,"GV 20",IF(Tabela8[[#This Row],[SETOR]]&lt;400,"GV 30","S/GV"))))</f>
        <v>GV 10</v>
      </c>
      <c r="E3013" t="s">
        <v>123</v>
      </c>
      <c r="G3013" t="str">
        <f>_xlfn.CONCAT(Tabela9[[#This Row],[Coluna1]],Tabela9[[#This Row],[Coluna2]])</f>
        <v>20-Rota</v>
      </c>
    </row>
    <row r="3014" spans="1:7" x14ac:dyDescent="0.25">
      <c r="A3014">
        <v>17018</v>
      </c>
      <c r="B3014">
        <v>205</v>
      </c>
      <c r="C3014" s="1" t="str">
        <f>IF(Tabela8[[#This Row],[SETOR]]="","",IF(Tabela8[[#This Row],[SETOR]]&lt;200,"GV 10",IF(Tabela8[[#This Row],[SETOR]]&lt;300,"GV 20",IF(Tabela8[[#This Row],[SETOR]]&lt;400,"GV 30","S/GV"))))</f>
        <v>GV 20</v>
      </c>
      <c r="E3014" t="s">
        <v>123</v>
      </c>
      <c r="G3014" t="str">
        <f>_xlfn.CONCAT(Tabela9[[#This Row],[Coluna1]],Tabela9[[#This Row],[Coluna2]])</f>
        <v>20-Rota</v>
      </c>
    </row>
    <row r="3015" spans="1:7" x14ac:dyDescent="0.25">
      <c r="A3015">
        <v>17020</v>
      </c>
      <c r="B3015">
        <v>204</v>
      </c>
      <c r="C3015" s="1" t="str">
        <f>IF(Tabela8[[#This Row],[SETOR]]="","",IF(Tabela8[[#This Row],[SETOR]]&lt;200,"GV 10",IF(Tabela8[[#This Row],[SETOR]]&lt;300,"GV 20",IF(Tabela8[[#This Row],[SETOR]]&lt;400,"GV 30","S/GV"))))</f>
        <v>GV 20</v>
      </c>
      <c r="E3015" t="s">
        <v>123</v>
      </c>
      <c r="G3015" t="str">
        <f>_xlfn.CONCAT(Tabela9[[#This Row],[Coluna1]],Tabela9[[#This Row],[Coluna2]])</f>
        <v>20-Rota</v>
      </c>
    </row>
    <row r="3016" spans="1:7" x14ac:dyDescent="0.25">
      <c r="A3016">
        <v>17021</v>
      </c>
      <c r="B3016">
        <v>103</v>
      </c>
      <c r="C3016" s="1" t="str">
        <f>IF(Tabela8[[#This Row],[SETOR]]="","",IF(Tabela8[[#This Row],[SETOR]]&lt;200,"GV 10",IF(Tabela8[[#This Row],[SETOR]]&lt;300,"GV 20",IF(Tabela8[[#This Row],[SETOR]]&lt;400,"GV 30","S/GV"))))</f>
        <v>GV 10</v>
      </c>
      <c r="E3016" t="s">
        <v>123</v>
      </c>
      <c r="G3016" t="str">
        <f>_xlfn.CONCAT(Tabela9[[#This Row],[Coluna1]],Tabela9[[#This Row],[Coluna2]])</f>
        <v>20-Rota</v>
      </c>
    </row>
    <row r="3017" spans="1:7" x14ac:dyDescent="0.25">
      <c r="A3017">
        <v>17029</v>
      </c>
      <c r="B3017">
        <v>101</v>
      </c>
      <c r="C3017" s="1" t="str">
        <f>IF(Tabela8[[#This Row],[SETOR]]="","",IF(Tabela8[[#This Row],[SETOR]]&lt;200,"GV 10",IF(Tabela8[[#This Row],[SETOR]]&lt;300,"GV 20",IF(Tabela8[[#This Row],[SETOR]]&lt;400,"GV 30","S/GV"))))</f>
        <v>GV 10</v>
      </c>
      <c r="E3017" t="s">
        <v>123</v>
      </c>
      <c r="G3017" t="str">
        <f>_xlfn.CONCAT(Tabela9[[#This Row],[Coluna1]],Tabela9[[#This Row],[Coluna2]])</f>
        <v>20-Rota</v>
      </c>
    </row>
    <row r="3018" spans="1:7" x14ac:dyDescent="0.25">
      <c r="A3018">
        <v>17031</v>
      </c>
      <c r="B3018">
        <v>108</v>
      </c>
      <c r="C3018" s="1" t="str">
        <f>IF(Tabela8[[#This Row],[SETOR]]="","",IF(Tabela8[[#This Row],[SETOR]]&lt;200,"GV 10",IF(Tabela8[[#This Row],[SETOR]]&lt;300,"GV 20",IF(Tabela8[[#This Row],[SETOR]]&lt;400,"GV 30","S/GV"))))</f>
        <v>GV 10</v>
      </c>
      <c r="E3018" t="s">
        <v>126</v>
      </c>
      <c r="F3018" t="s">
        <v>127</v>
      </c>
      <c r="G3018" t="str">
        <f>_xlfn.CONCAT(Tabela9[[#This Row],[Coluna1]],Tabela9[[#This Row],[Coluna2]])</f>
        <v>16-AS(5+)</v>
      </c>
    </row>
    <row r="3019" spans="1:7" x14ac:dyDescent="0.25">
      <c r="A3019">
        <v>17034</v>
      </c>
      <c r="B3019">
        <v>203</v>
      </c>
      <c r="C3019" s="1" t="str">
        <f>IF(Tabela8[[#This Row],[SETOR]]="","",IF(Tabela8[[#This Row],[SETOR]]&lt;200,"GV 10",IF(Tabela8[[#This Row],[SETOR]]&lt;300,"GV 20",IF(Tabela8[[#This Row],[SETOR]]&lt;400,"GV 30","S/GV"))))</f>
        <v>GV 20</v>
      </c>
      <c r="E3019" t="s">
        <v>123</v>
      </c>
      <c r="G3019" t="str">
        <f>_xlfn.CONCAT(Tabela9[[#This Row],[Coluna1]],Tabela9[[#This Row],[Coluna2]])</f>
        <v>20-Rota</v>
      </c>
    </row>
    <row r="3020" spans="1:7" x14ac:dyDescent="0.25">
      <c r="A3020">
        <v>17036</v>
      </c>
      <c r="B3020">
        <v>107</v>
      </c>
      <c r="C3020" s="1" t="str">
        <f>IF(Tabela8[[#This Row],[SETOR]]="","",IF(Tabela8[[#This Row],[SETOR]]&lt;200,"GV 10",IF(Tabela8[[#This Row],[SETOR]]&lt;300,"GV 20",IF(Tabela8[[#This Row],[SETOR]]&lt;400,"GV 30","S/GV"))))</f>
        <v>GV 10</v>
      </c>
      <c r="E3020" t="s">
        <v>125</v>
      </c>
      <c r="G3020" t="str">
        <f>_xlfn.CONCAT(Tabela9[[#This Row],[Coluna1]],Tabela9[[#This Row],[Coluna2]])</f>
        <v>18-TRAD</v>
      </c>
    </row>
    <row r="3021" spans="1:7" x14ac:dyDescent="0.25">
      <c r="A3021">
        <v>17037</v>
      </c>
      <c r="B3021">
        <v>202</v>
      </c>
      <c r="C3021" s="1" t="str">
        <f>IF(Tabela8[[#This Row],[SETOR]]="","",IF(Tabela8[[#This Row],[SETOR]]&lt;200,"GV 10",IF(Tabela8[[#This Row],[SETOR]]&lt;300,"GV 20",IF(Tabela8[[#This Row],[SETOR]]&lt;400,"GV 30","S/GV"))))</f>
        <v>GV 20</v>
      </c>
      <c r="E3021" t="s">
        <v>123</v>
      </c>
      <c r="G3021" t="str">
        <f>_xlfn.CONCAT(Tabela9[[#This Row],[Coluna1]],Tabela9[[#This Row],[Coluna2]])</f>
        <v>20-Rota</v>
      </c>
    </row>
    <row r="3022" spans="1:7" x14ac:dyDescent="0.25">
      <c r="A3022">
        <v>17040</v>
      </c>
      <c r="B3022">
        <v>203</v>
      </c>
      <c r="C3022" s="1" t="str">
        <f>IF(Tabela8[[#This Row],[SETOR]]="","",IF(Tabela8[[#This Row],[SETOR]]&lt;200,"GV 10",IF(Tabela8[[#This Row],[SETOR]]&lt;300,"GV 20",IF(Tabela8[[#This Row],[SETOR]]&lt;400,"GV 30","S/GV"))))</f>
        <v>GV 20</v>
      </c>
      <c r="E3022" t="s">
        <v>123</v>
      </c>
      <c r="G3022" t="str">
        <f>_xlfn.CONCAT(Tabela9[[#This Row],[Coluna1]],Tabela9[[#This Row],[Coluna2]])</f>
        <v>20-Rota</v>
      </c>
    </row>
    <row r="3023" spans="1:7" x14ac:dyDescent="0.25">
      <c r="A3023">
        <v>17042</v>
      </c>
      <c r="B3023">
        <v>301</v>
      </c>
      <c r="C3023" s="1" t="str">
        <f>IF(Tabela8[[#This Row],[SETOR]]="","",IF(Tabela8[[#This Row],[SETOR]]&lt;200,"GV 10",IF(Tabela8[[#This Row],[SETOR]]&lt;300,"GV 20",IF(Tabela8[[#This Row],[SETOR]]&lt;400,"GV 30","S/GV"))))</f>
        <v>GV 30</v>
      </c>
      <c r="E3023" t="s">
        <v>123</v>
      </c>
      <c r="G3023" t="str">
        <f>_xlfn.CONCAT(Tabela9[[#This Row],[Coluna1]],Tabela9[[#This Row],[Coluna2]])</f>
        <v>20-Rota</v>
      </c>
    </row>
    <row r="3024" spans="1:7" x14ac:dyDescent="0.25">
      <c r="A3024">
        <v>17043</v>
      </c>
      <c r="B3024">
        <v>208</v>
      </c>
      <c r="C3024" s="1" t="str">
        <f>IF(Tabela8[[#This Row],[SETOR]]="","",IF(Tabela8[[#This Row],[SETOR]]&lt;200,"GV 10",IF(Tabela8[[#This Row],[SETOR]]&lt;300,"GV 20",IF(Tabela8[[#This Row],[SETOR]]&lt;400,"GV 30","S/GV"))))</f>
        <v>GV 20</v>
      </c>
      <c r="E3024" t="s">
        <v>126</v>
      </c>
      <c r="F3024" t="s">
        <v>127</v>
      </c>
      <c r="G3024" t="str">
        <f>_xlfn.CONCAT(Tabela9[[#This Row],[Coluna1]],Tabela9[[#This Row],[Coluna2]])</f>
        <v>16-AS(5+)</v>
      </c>
    </row>
    <row r="3025" spans="1:7" x14ac:dyDescent="0.25">
      <c r="A3025">
        <v>17044</v>
      </c>
      <c r="B3025">
        <v>201</v>
      </c>
      <c r="C3025" s="1" t="str">
        <f>IF(Tabela8[[#This Row],[SETOR]]="","",IF(Tabela8[[#This Row],[SETOR]]&lt;200,"GV 10",IF(Tabela8[[#This Row],[SETOR]]&lt;300,"GV 20",IF(Tabela8[[#This Row],[SETOR]]&lt;400,"GV 30","S/GV"))))</f>
        <v>GV 20</v>
      </c>
      <c r="E3025" t="s">
        <v>128</v>
      </c>
      <c r="F3025" t="s">
        <v>129</v>
      </c>
      <c r="G3025" t="str">
        <f>_xlfn.CONCAT(Tabela9[[#This Row],[Coluna1]],Tabela9[[#This Row],[Coluna2]])</f>
        <v>15-AS(1-4)</v>
      </c>
    </row>
    <row r="3026" spans="1:7" x14ac:dyDescent="0.25">
      <c r="A3026">
        <v>17048</v>
      </c>
      <c r="B3026">
        <v>307</v>
      </c>
      <c r="C3026" s="1" t="str">
        <f>IF(Tabela8[[#This Row],[SETOR]]="","",IF(Tabela8[[#This Row],[SETOR]]&lt;200,"GV 10",IF(Tabela8[[#This Row],[SETOR]]&lt;300,"GV 20",IF(Tabela8[[#This Row],[SETOR]]&lt;400,"GV 30","S/GV"))))</f>
        <v>GV 30</v>
      </c>
      <c r="E3026" t="s">
        <v>130</v>
      </c>
      <c r="G3026" t="str">
        <f>_xlfn.CONCAT(Tabela9[[#This Row],[Coluna1]],Tabela9[[#This Row],[Coluna2]])</f>
        <v>21-SUB</v>
      </c>
    </row>
    <row r="3027" spans="1:7" x14ac:dyDescent="0.25">
      <c r="A3027">
        <v>17049</v>
      </c>
      <c r="B3027">
        <v>307</v>
      </c>
      <c r="C3027" s="1" t="str">
        <f>IF(Tabela8[[#This Row],[SETOR]]="","",IF(Tabela8[[#This Row],[SETOR]]&lt;200,"GV 10",IF(Tabela8[[#This Row],[SETOR]]&lt;300,"GV 20",IF(Tabela8[[#This Row],[SETOR]]&lt;400,"GV 30","S/GV"))))</f>
        <v>GV 30</v>
      </c>
      <c r="E3027" t="s">
        <v>123</v>
      </c>
      <c r="G3027" t="str">
        <f>_xlfn.CONCAT(Tabela9[[#This Row],[Coluna1]],Tabela9[[#This Row],[Coluna2]])</f>
        <v>20-Rota</v>
      </c>
    </row>
    <row r="3028" spans="1:7" x14ac:dyDescent="0.25">
      <c r="A3028">
        <v>17051</v>
      </c>
      <c r="B3028">
        <v>104</v>
      </c>
      <c r="C3028" s="1" t="str">
        <f>IF(Tabela8[[#This Row],[SETOR]]="","",IF(Tabela8[[#This Row],[SETOR]]&lt;200,"GV 10",IF(Tabela8[[#This Row],[SETOR]]&lt;300,"GV 20",IF(Tabela8[[#This Row],[SETOR]]&lt;400,"GV 30","S/GV"))))</f>
        <v>GV 10</v>
      </c>
      <c r="E3028" t="s">
        <v>123</v>
      </c>
      <c r="G3028" t="str">
        <f>_xlfn.CONCAT(Tabela9[[#This Row],[Coluna1]],Tabela9[[#This Row],[Coluna2]])</f>
        <v>20-Rota</v>
      </c>
    </row>
    <row r="3029" spans="1:7" x14ac:dyDescent="0.25">
      <c r="A3029">
        <v>17052</v>
      </c>
      <c r="B3029">
        <v>206</v>
      </c>
      <c r="C3029" s="1" t="str">
        <f>IF(Tabela8[[#This Row],[SETOR]]="","",IF(Tabela8[[#This Row],[SETOR]]&lt;200,"GV 10",IF(Tabela8[[#This Row],[SETOR]]&lt;300,"GV 20",IF(Tabela8[[#This Row],[SETOR]]&lt;400,"GV 30","S/GV"))))</f>
        <v>GV 20</v>
      </c>
      <c r="E3029" t="s">
        <v>131</v>
      </c>
      <c r="F3029" t="s">
        <v>132</v>
      </c>
      <c r="G3029" t="str">
        <f>_xlfn.CONCAT(Tabela9[[#This Row],[Coluna1]],Tabela9[[#This Row],[Coluna2]])</f>
        <v>14-Lj.Conveniência</v>
      </c>
    </row>
    <row r="3030" spans="1:7" x14ac:dyDescent="0.25">
      <c r="A3030">
        <v>17057</v>
      </c>
      <c r="B3030">
        <v>204</v>
      </c>
      <c r="C3030" s="1" t="str">
        <f>IF(Tabela8[[#This Row],[SETOR]]="","",IF(Tabela8[[#This Row],[SETOR]]&lt;200,"GV 10",IF(Tabela8[[#This Row],[SETOR]]&lt;300,"GV 20",IF(Tabela8[[#This Row],[SETOR]]&lt;400,"GV 30","S/GV"))))</f>
        <v>GV 20</v>
      </c>
      <c r="E3030" t="s">
        <v>123</v>
      </c>
      <c r="G3030" t="str">
        <f>_xlfn.CONCAT(Tabela9[[#This Row],[Coluna1]],Tabela9[[#This Row],[Coluna2]])</f>
        <v>20-Rota</v>
      </c>
    </row>
    <row r="3031" spans="1:7" x14ac:dyDescent="0.25">
      <c r="A3031">
        <v>17058</v>
      </c>
      <c r="B3031">
        <v>202</v>
      </c>
      <c r="C3031" s="1" t="str">
        <f>IF(Tabela8[[#This Row],[SETOR]]="","",IF(Tabela8[[#This Row],[SETOR]]&lt;200,"GV 10",IF(Tabela8[[#This Row],[SETOR]]&lt;300,"GV 20",IF(Tabela8[[#This Row],[SETOR]]&lt;400,"GV 30","S/GV"))))</f>
        <v>GV 20</v>
      </c>
      <c r="E3031" t="s">
        <v>123</v>
      </c>
      <c r="G3031" t="str">
        <f>_xlfn.CONCAT(Tabela9[[#This Row],[Coluna1]],Tabela9[[#This Row],[Coluna2]])</f>
        <v>20-Rota</v>
      </c>
    </row>
    <row r="3032" spans="1:7" x14ac:dyDescent="0.25">
      <c r="A3032">
        <v>17059</v>
      </c>
      <c r="B3032">
        <v>207</v>
      </c>
      <c r="C3032" s="1" t="str">
        <f>IF(Tabela8[[#This Row],[SETOR]]="","",IF(Tabela8[[#This Row],[SETOR]]&lt;200,"GV 10",IF(Tabela8[[#This Row],[SETOR]]&lt;300,"GV 20",IF(Tabela8[[#This Row],[SETOR]]&lt;400,"GV 30","S/GV"))))</f>
        <v>GV 20</v>
      </c>
      <c r="E3032" t="s">
        <v>125</v>
      </c>
      <c r="G3032" t="str">
        <f>_xlfn.CONCAT(Tabela9[[#This Row],[Coluna1]],Tabela9[[#This Row],[Coluna2]])</f>
        <v>18-TRAD</v>
      </c>
    </row>
    <row r="3033" spans="1:7" x14ac:dyDescent="0.25">
      <c r="A3033">
        <v>17061</v>
      </c>
      <c r="B3033">
        <v>109</v>
      </c>
      <c r="C3033" s="1" t="str">
        <f>IF(Tabela8[[#This Row],[SETOR]]="","",IF(Tabela8[[#This Row],[SETOR]]&lt;200,"GV 10",IF(Tabela8[[#This Row],[SETOR]]&lt;300,"GV 20",IF(Tabela8[[#This Row],[SETOR]]&lt;400,"GV 30","S/GV"))))</f>
        <v>GV 10</v>
      </c>
      <c r="E3033" t="s">
        <v>130</v>
      </c>
      <c r="G3033" t="str">
        <f>_xlfn.CONCAT(Tabela9[[#This Row],[Coluna1]],Tabela9[[#This Row],[Coluna2]])</f>
        <v>21-SUB</v>
      </c>
    </row>
    <row r="3034" spans="1:7" x14ac:dyDescent="0.25">
      <c r="A3034">
        <v>17062</v>
      </c>
      <c r="B3034">
        <v>208</v>
      </c>
      <c r="C3034" s="1" t="str">
        <f>IF(Tabela8[[#This Row],[SETOR]]="","",IF(Tabela8[[#This Row],[SETOR]]&lt;200,"GV 10",IF(Tabela8[[#This Row],[SETOR]]&lt;300,"GV 20",IF(Tabela8[[#This Row],[SETOR]]&lt;400,"GV 30","S/GV"))))</f>
        <v>GV 20</v>
      </c>
      <c r="E3034" t="s">
        <v>130</v>
      </c>
      <c r="G3034" t="str">
        <f>_xlfn.CONCAT(Tabela9[[#This Row],[Coluna1]],Tabela9[[#This Row],[Coluna2]])</f>
        <v>21-SUB</v>
      </c>
    </row>
    <row r="3035" spans="1:7" x14ac:dyDescent="0.25">
      <c r="A3035">
        <v>17063</v>
      </c>
      <c r="B3035">
        <v>206</v>
      </c>
      <c r="C3035" s="1" t="str">
        <f>IF(Tabela8[[#This Row],[SETOR]]="","",IF(Tabela8[[#This Row],[SETOR]]&lt;200,"GV 10",IF(Tabela8[[#This Row],[SETOR]]&lt;300,"GV 20",IF(Tabela8[[#This Row],[SETOR]]&lt;400,"GV 30","S/GV"))))</f>
        <v>GV 20</v>
      </c>
      <c r="E3035" t="s">
        <v>128</v>
      </c>
      <c r="F3035" t="s">
        <v>129</v>
      </c>
      <c r="G3035" t="str">
        <f>_xlfn.CONCAT(Tabela9[[#This Row],[Coluna1]],Tabela9[[#This Row],[Coluna2]])</f>
        <v>15-AS(1-4)</v>
      </c>
    </row>
    <row r="3036" spans="1:7" x14ac:dyDescent="0.25">
      <c r="A3036">
        <v>17065</v>
      </c>
      <c r="B3036">
        <v>305</v>
      </c>
      <c r="C3036" s="1" t="str">
        <f>IF(Tabela8[[#This Row],[SETOR]]="","",IF(Tabela8[[#This Row],[SETOR]]&lt;200,"GV 10",IF(Tabela8[[#This Row],[SETOR]]&lt;300,"GV 20",IF(Tabela8[[#This Row],[SETOR]]&lt;400,"GV 30","S/GV"))))</f>
        <v>GV 30</v>
      </c>
      <c r="E3036" t="s">
        <v>123</v>
      </c>
      <c r="G3036" t="str">
        <f>_xlfn.CONCAT(Tabela9[[#This Row],[Coluna1]],Tabela9[[#This Row],[Coluna2]])</f>
        <v>20-Rota</v>
      </c>
    </row>
    <row r="3037" spans="1:7" x14ac:dyDescent="0.25">
      <c r="A3037">
        <v>17068</v>
      </c>
      <c r="B3037">
        <v>107</v>
      </c>
      <c r="C3037" s="1" t="str">
        <f>IF(Tabela8[[#This Row],[SETOR]]="","",IF(Tabela8[[#This Row],[SETOR]]&lt;200,"GV 10",IF(Tabela8[[#This Row],[SETOR]]&lt;300,"GV 20",IF(Tabela8[[#This Row],[SETOR]]&lt;400,"GV 30","S/GV"))))</f>
        <v>GV 10</v>
      </c>
      <c r="E3037" t="s">
        <v>123</v>
      </c>
      <c r="G3037" t="str">
        <f>_xlfn.CONCAT(Tabela9[[#This Row],[Coluna1]],Tabela9[[#This Row],[Coluna2]])</f>
        <v>20-Rota</v>
      </c>
    </row>
    <row r="3038" spans="1:7" x14ac:dyDescent="0.25">
      <c r="A3038">
        <v>17069</v>
      </c>
      <c r="B3038">
        <v>107</v>
      </c>
      <c r="C3038" s="1" t="str">
        <f>IF(Tabela8[[#This Row],[SETOR]]="","",IF(Tabela8[[#This Row],[SETOR]]&lt;200,"GV 10",IF(Tabela8[[#This Row],[SETOR]]&lt;300,"GV 20",IF(Tabela8[[#This Row],[SETOR]]&lt;400,"GV 30","S/GV"))))</f>
        <v>GV 10</v>
      </c>
      <c r="E3038" t="s">
        <v>130</v>
      </c>
      <c r="G3038" t="str">
        <f>_xlfn.CONCAT(Tabela9[[#This Row],[Coluna1]],Tabela9[[#This Row],[Coluna2]])</f>
        <v>21-SUB</v>
      </c>
    </row>
    <row r="3039" spans="1:7" x14ac:dyDescent="0.25">
      <c r="A3039">
        <v>17072</v>
      </c>
      <c r="B3039">
        <v>101</v>
      </c>
      <c r="C3039" s="1" t="str">
        <f>IF(Tabela8[[#This Row],[SETOR]]="","",IF(Tabela8[[#This Row],[SETOR]]&lt;200,"GV 10",IF(Tabela8[[#This Row],[SETOR]]&lt;300,"GV 20",IF(Tabela8[[#This Row],[SETOR]]&lt;400,"GV 30","S/GV"))))</f>
        <v>GV 10</v>
      </c>
      <c r="E3039" t="s">
        <v>123</v>
      </c>
      <c r="G3039" t="str">
        <f>_xlfn.CONCAT(Tabela9[[#This Row],[Coluna1]],Tabela9[[#This Row],[Coluna2]])</f>
        <v>20-Rota</v>
      </c>
    </row>
    <row r="3040" spans="1:7" x14ac:dyDescent="0.25">
      <c r="A3040">
        <v>17073</v>
      </c>
      <c r="B3040">
        <v>101</v>
      </c>
      <c r="C3040" s="1" t="str">
        <f>IF(Tabela8[[#This Row],[SETOR]]="","",IF(Tabela8[[#This Row],[SETOR]]&lt;200,"GV 10",IF(Tabela8[[#This Row],[SETOR]]&lt;300,"GV 20",IF(Tabela8[[#This Row],[SETOR]]&lt;400,"GV 30","S/GV"))))</f>
        <v>GV 10</v>
      </c>
      <c r="E3040" t="s">
        <v>123</v>
      </c>
      <c r="G3040" t="str">
        <f>_xlfn.CONCAT(Tabela9[[#This Row],[Coluna1]],Tabela9[[#This Row],[Coluna2]])</f>
        <v>20-Rota</v>
      </c>
    </row>
    <row r="3041" spans="1:7" x14ac:dyDescent="0.25">
      <c r="A3041">
        <v>17075</v>
      </c>
      <c r="B3041">
        <v>109</v>
      </c>
      <c r="C3041" s="1" t="str">
        <f>IF(Tabela8[[#This Row],[SETOR]]="","",IF(Tabela8[[#This Row],[SETOR]]&lt;200,"GV 10",IF(Tabela8[[#This Row],[SETOR]]&lt;300,"GV 20",IF(Tabela8[[#This Row],[SETOR]]&lt;400,"GV 30","S/GV"))))</f>
        <v>GV 10</v>
      </c>
      <c r="E3041" t="s">
        <v>123</v>
      </c>
      <c r="G3041" t="str">
        <f>_xlfn.CONCAT(Tabela9[[#This Row],[Coluna1]],Tabela9[[#This Row],[Coluna2]])</f>
        <v>20-Rota</v>
      </c>
    </row>
    <row r="3042" spans="1:7" x14ac:dyDescent="0.25">
      <c r="A3042">
        <v>17076</v>
      </c>
      <c r="B3042">
        <v>107</v>
      </c>
      <c r="C3042" s="1" t="str">
        <f>IF(Tabela8[[#This Row],[SETOR]]="","",IF(Tabela8[[#This Row],[SETOR]]&lt;200,"GV 10",IF(Tabela8[[#This Row],[SETOR]]&lt;300,"GV 20",IF(Tabela8[[#This Row],[SETOR]]&lt;400,"GV 30","S/GV"))))</f>
        <v>GV 10</v>
      </c>
      <c r="E3042" t="s">
        <v>130</v>
      </c>
      <c r="G3042" t="str">
        <f>_xlfn.CONCAT(Tabela9[[#This Row],[Coluna1]],Tabela9[[#This Row],[Coluna2]])</f>
        <v>21-SUB</v>
      </c>
    </row>
    <row r="3043" spans="1:7" x14ac:dyDescent="0.25">
      <c r="A3043">
        <v>17080</v>
      </c>
      <c r="B3043">
        <v>205</v>
      </c>
      <c r="C3043" s="1" t="str">
        <f>IF(Tabela8[[#This Row],[SETOR]]="","",IF(Tabela8[[#This Row],[SETOR]]&lt;200,"GV 10",IF(Tabela8[[#This Row],[SETOR]]&lt;300,"GV 20",IF(Tabela8[[#This Row],[SETOR]]&lt;400,"GV 30","S/GV"))))</f>
        <v>GV 20</v>
      </c>
      <c r="E3043" t="s">
        <v>131</v>
      </c>
      <c r="F3043" t="s">
        <v>132</v>
      </c>
      <c r="G3043" t="str">
        <f>_xlfn.CONCAT(Tabela9[[#This Row],[Coluna1]],Tabela9[[#This Row],[Coluna2]])</f>
        <v>14-Lj.Conveniência</v>
      </c>
    </row>
    <row r="3044" spans="1:7" x14ac:dyDescent="0.25">
      <c r="A3044">
        <v>17082</v>
      </c>
      <c r="B3044">
        <v>302</v>
      </c>
      <c r="C3044" s="1" t="str">
        <f>IF(Tabela8[[#This Row],[SETOR]]="","",IF(Tabela8[[#This Row],[SETOR]]&lt;200,"GV 10",IF(Tabela8[[#This Row],[SETOR]]&lt;300,"GV 20",IF(Tabela8[[#This Row],[SETOR]]&lt;400,"GV 30","S/GV"))))</f>
        <v>GV 30</v>
      </c>
      <c r="E3044" t="s">
        <v>123</v>
      </c>
      <c r="G3044" t="str">
        <f>_xlfn.CONCAT(Tabela9[[#This Row],[Coluna1]],Tabela9[[#This Row],[Coluna2]])</f>
        <v>20-Rota</v>
      </c>
    </row>
    <row r="3045" spans="1:7" x14ac:dyDescent="0.25">
      <c r="A3045">
        <v>17083</v>
      </c>
      <c r="B3045">
        <v>107</v>
      </c>
      <c r="C3045" s="1" t="str">
        <f>IF(Tabela8[[#This Row],[SETOR]]="","",IF(Tabela8[[#This Row],[SETOR]]&lt;200,"GV 10",IF(Tabela8[[#This Row],[SETOR]]&lt;300,"GV 20",IF(Tabela8[[#This Row],[SETOR]]&lt;400,"GV 30","S/GV"))))</f>
        <v>GV 10</v>
      </c>
      <c r="E3045" t="s">
        <v>130</v>
      </c>
      <c r="G3045" t="str">
        <f>_xlfn.CONCAT(Tabela9[[#This Row],[Coluna1]],Tabela9[[#This Row],[Coluna2]])</f>
        <v>21-SUB</v>
      </c>
    </row>
    <row r="3046" spans="1:7" x14ac:dyDescent="0.25">
      <c r="A3046">
        <v>17085</v>
      </c>
      <c r="B3046">
        <v>206</v>
      </c>
      <c r="C3046" s="1" t="str">
        <f>IF(Tabela8[[#This Row],[SETOR]]="","",IF(Tabela8[[#This Row],[SETOR]]&lt;200,"GV 10",IF(Tabela8[[#This Row],[SETOR]]&lt;300,"GV 20",IF(Tabela8[[#This Row],[SETOR]]&lt;400,"GV 30","S/GV"))))</f>
        <v>GV 20</v>
      </c>
      <c r="E3046" t="s">
        <v>123</v>
      </c>
      <c r="G3046" t="str">
        <f>_xlfn.CONCAT(Tabela9[[#This Row],[Coluna1]],Tabela9[[#This Row],[Coluna2]])</f>
        <v>20-Rota</v>
      </c>
    </row>
    <row r="3047" spans="1:7" x14ac:dyDescent="0.25">
      <c r="A3047">
        <v>17086</v>
      </c>
      <c r="B3047">
        <v>301</v>
      </c>
      <c r="C3047" s="1" t="str">
        <f>IF(Tabela8[[#This Row],[SETOR]]="","",IF(Tabela8[[#This Row],[SETOR]]&lt;200,"GV 10",IF(Tabela8[[#This Row],[SETOR]]&lt;300,"GV 20",IF(Tabela8[[#This Row],[SETOR]]&lt;400,"GV 30","S/GV"))))</f>
        <v>GV 30</v>
      </c>
      <c r="E3047" t="s">
        <v>123</v>
      </c>
      <c r="G3047" t="str">
        <f>_xlfn.CONCAT(Tabela9[[#This Row],[Coluna1]],Tabela9[[#This Row],[Coluna2]])</f>
        <v>20-Rota</v>
      </c>
    </row>
    <row r="3048" spans="1:7" x14ac:dyDescent="0.25">
      <c r="A3048">
        <v>17088</v>
      </c>
      <c r="B3048">
        <v>305</v>
      </c>
      <c r="C3048" s="1" t="str">
        <f>IF(Tabela8[[#This Row],[SETOR]]="","",IF(Tabela8[[#This Row],[SETOR]]&lt;200,"GV 10",IF(Tabela8[[#This Row],[SETOR]]&lt;300,"GV 20",IF(Tabela8[[#This Row],[SETOR]]&lt;400,"GV 30","S/GV"))))</f>
        <v>GV 30</v>
      </c>
      <c r="E3048" t="s">
        <v>123</v>
      </c>
      <c r="G3048" t="str">
        <f>_xlfn.CONCAT(Tabela9[[#This Row],[Coluna1]],Tabela9[[#This Row],[Coluna2]])</f>
        <v>20-Rota</v>
      </c>
    </row>
    <row r="3049" spans="1:7" x14ac:dyDescent="0.25">
      <c r="A3049">
        <v>17090</v>
      </c>
      <c r="B3049">
        <v>907</v>
      </c>
      <c r="C3049" s="1" t="str">
        <f>IF(Tabela8[[#This Row],[SETOR]]="","",IF(Tabela8[[#This Row],[SETOR]]&lt;200,"GV 10",IF(Tabela8[[#This Row],[SETOR]]&lt;300,"GV 20",IF(Tabela8[[#This Row],[SETOR]]&lt;400,"GV 30","S/GV"))))</f>
        <v>S/GV</v>
      </c>
      <c r="G3049" t="str">
        <f>_xlfn.CONCAT(Tabela9[[#This Row],[Coluna1]],Tabela9[[#This Row],[Coluna2]])</f>
        <v/>
      </c>
    </row>
    <row r="3050" spans="1:7" x14ac:dyDescent="0.25">
      <c r="A3050">
        <v>17091</v>
      </c>
      <c r="B3050">
        <v>207</v>
      </c>
      <c r="C3050" s="1" t="str">
        <f>IF(Tabela8[[#This Row],[SETOR]]="","",IF(Tabela8[[#This Row],[SETOR]]&lt;200,"GV 10",IF(Tabela8[[#This Row],[SETOR]]&lt;300,"GV 20",IF(Tabela8[[#This Row],[SETOR]]&lt;400,"GV 30","S/GV"))))</f>
        <v>GV 20</v>
      </c>
      <c r="E3050" t="s">
        <v>130</v>
      </c>
      <c r="G3050" t="str">
        <f>_xlfn.CONCAT(Tabela9[[#This Row],[Coluna1]],Tabela9[[#This Row],[Coluna2]])</f>
        <v>21-SUB</v>
      </c>
    </row>
    <row r="3051" spans="1:7" x14ac:dyDescent="0.25">
      <c r="A3051">
        <v>17096</v>
      </c>
      <c r="B3051">
        <v>302</v>
      </c>
      <c r="C3051" s="1" t="str">
        <f>IF(Tabela8[[#This Row],[SETOR]]="","",IF(Tabela8[[#This Row],[SETOR]]&lt;200,"GV 10",IF(Tabela8[[#This Row],[SETOR]]&lt;300,"GV 20",IF(Tabela8[[#This Row],[SETOR]]&lt;400,"GV 30","S/GV"))))</f>
        <v>GV 30</v>
      </c>
      <c r="E3051" t="s">
        <v>123</v>
      </c>
      <c r="G3051" t="str">
        <f>_xlfn.CONCAT(Tabela9[[#This Row],[Coluna1]],Tabela9[[#This Row],[Coluna2]])</f>
        <v>20-Rota</v>
      </c>
    </row>
    <row r="3052" spans="1:7" x14ac:dyDescent="0.25">
      <c r="A3052">
        <v>17097</v>
      </c>
      <c r="B3052">
        <v>104</v>
      </c>
      <c r="C3052" s="1" t="str">
        <f>IF(Tabela8[[#This Row],[SETOR]]="","",IF(Tabela8[[#This Row],[SETOR]]&lt;200,"GV 10",IF(Tabela8[[#This Row],[SETOR]]&lt;300,"GV 20",IF(Tabela8[[#This Row],[SETOR]]&lt;400,"GV 30","S/GV"))))</f>
        <v>GV 10</v>
      </c>
      <c r="E3052" t="s">
        <v>123</v>
      </c>
      <c r="G3052" t="str">
        <f>_xlfn.CONCAT(Tabela9[[#This Row],[Coluna1]],Tabela9[[#This Row],[Coluna2]])</f>
        <v>20-Rota</v>
      </c>
    </row>
    <row r="3053" spans="1:7" x14ac:dyDescent="0.25">
      <c r="A3053">
        <v>17098</v>
      </c>
      <c r="B3053">
        <v>109</v>
      </c>
      <c r="C3053" s="1" t="str">
        <f>IF(Tabela8[[#This Row],[SETOR]]="","",IF(Tabela8[[#This Row],[SETOR]]&lt;200,"GV 10",IF(Tabela8[[#This Row],[SETOR]]&lt;300,"GV 20",IF(Tabela8[[#This Row],[SETOR]]&lt;400,"GV 30","S/GV"))))</f>
        <v>GV 10</v>
      </c>
      <c r="E3053" t="s">
        <v>123</v>
      </c>
      <c r="G3053" t="str">
        <f>_xlfn.CONCAT(Tabela9[[#This Row],[Coluna1]],Tabela9[[#This Row],[Coluna2]])</f>
        <v>20-Rota</v>
      </c>
    </row>
    <row r="3054" spans="1:7" x14ac:dyDescent="0.25">
      <c r="A3054">
        <v>17102</v>
      </c>
      <c r="B3054">
        <v>307</v>
      </c>
      <c r="C3054" s="1" t="str">
        <f>IF(Tabela8[[#This Row],[SETOR]]="","",IF(Tabela8[[#This Row],[SETOR]]&lt;200,"GV 10",IF(Tabela8[[#This Row],[SETOR]]&lt;300,"GV 20",IF(Tabela8[[#This Row],[SETOR]]&lt;400,"GV 30","S/GV"))))</f>
        <v>GV 30</v>
      </c>
      <c r="E3054" t="s">
        <v>130</v>
      </c>
      <c r="G3054" t="str">
        <f>_xlfn.CONCAT(Tabela9[[#This Row],[Coluna1]],Tabela9[[#This Row],[Coluna2]])</f>
        <v>21-SUB</v>
      </c>
    </row>
    <row r="3055" spans="1:7" x14ac:dyDescent="0.25">
      <c r="A3055">
        <v>17104</v>
      </c>
      <c r="B3055">
        <v>109</v>
      </c>
      <c r="C3055" s="1" t="str">
        <f>IF(Tabela8[[#This Row],[SETOR]]="","",IF(Tabela8[[#This Row],[SETOR]]&lt;200,"GV 10",IF(Tabela8[[#This Row],[SETOR]]&lt;300,"GV 20",IF(Tabela8[[#This Row],[SETOR]]&lt;400,"GV 30","S/GV"))))</f>
        <v>GV 10</v>
      </c>
      <c r="E3055" t="s">
        <v>123</v>
      </c>
      <c r="G3055" t="str">
        <f>_xlfn.CONCAT(Tabela9[[#This Row],[Coluna1]],Tabela9[[#This Row],[Coluna2]])</f>
        <v>20-Rota</v>
      </c>
    </row>
    <row r="3056" spans="1:7" x14ac:dyDescent="0.25">
      <c r="A3056">
        <v>17106</v>
      </c>
      <c r="B3056">
        <v>307</v>
      </c>
      <c r="C3056" s="1" t="str">
        <f>IF(Tabela8[[#This Row],[SETOR]]="","",IF(Tabela8[[#This Row],[SETOR]]&lt;200,"GV 10",IF(Tabela8[[#This Row],[SETOR]]&lt;300,"GV 20",IF(Tabela8[[#This Row],[SETOR]]&lt;400,"GV 30","S/GV"))))</f>
        <v>GV 30</v>
      </c>
      <c r="E3056" t="s">
        <v>130</v>
      </c>
      <c r="G3056" t="str">
        <f>_xlfn.CONCAT(Tabela9[[#This Row],[Coluna1]],Tabela9[[#This Row],[Coluna2]])</f>
        <v>21-SUB</v>
      </c>
    </row>
    <row r="3057" spans="1:7" x14ac:dyDescent="0.25">
      <c r="A3057">
        <v>17112</v>
      </c>
      <c r="B3057">
        <v>301</v>
      </c>
      <c r="C3057" s="1" t="str">
        <f>IF(Tabela8[[#This Row],[SETOR]]="","",IF(Tabela8[[#This Row],[SETOR]]&lt;200,"GV 10",IF(Tabela8[[#This Row],[SETOR]]&lt;300,"GV 20",IF(Tabela8[[#This Row],[SETOR]]&lt;400,"GV 30","S/GV"))))</f>
        <v>GV 30</v>
      </c>
      <c r="E3057" t="s">
        <v>123</v>
      </c>
      <c r="G3057" t="str">
        <f>_xlfn.CONCAT(Tabela9[[#This Row],[Coluna1]],Tabela9[[#This Row],[Coluna2]])</f>
        <v>20-Rota</v>
      </c>
    </row>
    <row r="3058" spans="1:7" x14ac:dyDescent="0.25">
      <c r="A3058">
        <v>17116</v>
      </c>
      <c r="B3058">
        <v>302</v>
      </c>
      <c r="C3058" s="1" t="str">
        <f>IF(Tabela8[[#This Row],[SETOR]]="","",IF(Tabela8[[#This Row],[SETOR]]&lt;200,"GV 10",IF(Tabela8[[#This Row],[SETOR]]&lt;300,"GV 20",IF(Tabela8[[#This Row],[SETOR]]&lt;400,"GV 30","S/GV"))))</f>
        <v>GV 30</v>
      </c>
      <c r="E3058" t="s">
        <v>123</v>
      </c>
      <c r="G3058" t="str">
        <f>_xlfn.CONCAT(Tabela9[[#This Row],[Coluna1]],Tabela9[[#This Row],[Coluna2]])</f>
        <v>20-Rota</v>
      </c>
    </row>
    <row r="3059" spans="1:7" x14ac:dyDescent="0.25">
      <c r="A3059">
        <v>17120</v>
      </c>
      <c r="B3059">
        <v>302</v>
      </c>
      <c r="C3059" s="1" t="str">
        <f>IF(Tabela8[[#This Row],[SETOR]]="","",IF(Tabela8[[#This Row],[SETOR]]&lt;200,"GV 10",IF(Tabela8[[#This Row],[SETOR]]&lt;300,"GV 20",IF(Tabela8[[#This Row],[SETOR]]&lt;400,"GV 30","S/GV"))))</f>
        <v>GV 30</v>
      </c>
      <c r="E3059" t="s">
        <v>123</v>
      </c>
      <c r="G3059" t="str">
        <f>_xlfn.CONCAT(Tabela9[[#This Row],[Coluna1]],Tabela9[[#This Row],[Coluna2]])</f>
        <v>20-Rota</v>
      </c>
    </row>
    <row r="3060" spans="1:7" x14ac:dyDescent="0.25">
      <c r="A3060">
        <v>17121</v>
      </c>
      <c r="B3060">
        <v>101</v>
      </c>
      <c r="C3060" s="1" t="str">
        <f>IF(Tabela8[[#This Row],[SETOR]]="","",IF(Tabela8[[#This Row],[SETOR]]&lt;200,"GV 10",IF(Tabela8[[#This Row],[SETOR]]&lt;300,"GV 20",IF(Tabela8[[#This Row],[SETOR]]&lt;400,"GV 30","S/GV"))))</f>
        <v>GV 10</v>
      </c>
      <c r="E3060" t="s">
        <v>123</v>
      </c>
      <c r="G3060" t="str">
        <f>_xlfn.CONCAT(Tabela9[[#This Row],[Coluna1]],Tabela9[[#This Row],[Coluna2]])</f>
        <v>20-Rota</v>
      </c>
    </row>
    <row r="3061" spans="1:7" x14ac:dyDescent="0.25">
      <c r="A3061">
        <v>17122</v>
      </c>
      <c r="B3061">
        <v>202</v>
      </c>
      <c r="C3061" s="1" t="str">
        <f>IF(Tabela8[[#This Row],[SETOR]]="","",IF(Tabela8[[#This Row],[SETOR]]&lt;200,"GV 10",IF(Tabela8[[#This Row],[SETOR]]&lt;300,"GV 20",IF(Tabela8[[#This Row],[SETOR]]&lt;400,"GV 30","S/GV"))))</f>
        <v>GV 20</v>
      </c>
      <c r="E3061" t="s">
        <v>123</v>
      </c>
      <c r="G3061" t="str">
        <f>_xlfn.CONCAT(Tabela9[[#This Row],[Coluna1]],Tabela9[[#This Row],[Coluna2]])</f>
        <v>20-Rota</v>
      </c>
    </row>
    <row r="3062" spans="1:7" x14ac:dyDescent="0.25">
      <c r="A3062">
        <v>17123</v>
      </c>
      <c r="B3062">
        <v>102</v>
      </c>
      <c r="C3062" s="1" t="str">
        <f>IF(Tabela8[[#This Row],[SETOR]]="","",IF(Tabela8[[#This Row],[SETOR]]&lt;200,"GV 10",IF(Tabela8[[#This Row],[SETOR]]&lt;300,"GV 20",IF(Tabela8[[#This Row],[SETOR]]&lt;400,"GV 30","S/GV"))))</f>
        <v>GV 10</v>
      </c>
      <c r="E3062" t="s">
        <v>123</v>
      </c>
      <c r="G3062" t="str">
        <f>_xlfn.CONCAT(Tabela9[[#This Row],[Coluna1]],Tabela9[[#This Row],[Coluna2]])</f>
        <v>20-Rota</v>
      </c>
    </row>
    <row r="3063" spans="1:7" x14ac:dyDescent="0.25">
      <c r="A3063">
        <v>17124</v>
      </c>
      <c r="B3063">
        <v>106</v>
      </c>
      <c r="C3063" s="1" t="str">
        <f>IF(Tabela8[[#This Row],[SETOR]]="","",IF(Tabela8[[#This Row],[SETOR]]&lt;200,"GV 10",IF(Tabela8[[#This Row],[SETOR]]&lt;300,"GV 20",IF(Tabela8[[#This Row],[SETOR]]&lt;400,"GV 30","S/GV"))))</f>
        <v>GV 10</v>
      </c>
      <c r="E3063" t="s">
        <v>123</v>
      </c>
      <c r="G3063" t="str">
        <f>_xlfn.CONCAT(Tabela9[[#This Row],[Coluna1]],Tabela9[[#This Row],[Coluna2]])</f>
        <v>20-Rota</v>
      </c>
    </row>
    <row r="3064" spans="1:7" x14ac:dyDescent="0.25">
      <c r="A3064">
        <v>17126</v>
      </c>
      <c r="B3064">
        <v>301</v>
      </c>
      <c r="C3064" s="1" t="str">
        <f>IF(Tabela8[[#This Row],[SETOR]]="","",IF(Tabela8[[#This Row],[SETOR]]&lt;200,"GV 10",IF(Tabela8[[#This Row],[SETOR]]&lt;300,"GV 20",IF(Tabela8[[#This Row],[SETOR]]&lt;400,"GV 30","S/GV"))))</f>
        <v>GV 30</v>
      </c>
      <c r="E3064" t="s">
        <v>123</v>
      </c>
      <c r="G3064" t="str">
        <f>_xlfn.CONCAT(Tabela9[[#This Row],[Coluna1]],Tabela9[[#This Row],[Coluna2]])</f>
        <v>20-Rota</v>
      </c>
    </row>
    <row r="3065" spans="1:7" x14ac:dyDescent="0.25">
      <c r="A3065">
        <v>17127</v>
      </c>
      <c r="B3065">
        <v>104</v>
      </c>
      <c r="C3065" s="1" t="str">
        <f>IF(Tabela8[[#This Row],[SETOR]]="","",IF(Tabela8[[#This Row],[SETOR]]&lt;200,"GV 10",IF(Tabela8[[#This Row],[SETOR]]&lt;300,"GV 20",IF(Tabela8[[#This Row],[SETOR]]&lt;400,"GV 30","S/GV"))))</f>
        <v>GV 10</v>
      </c>
      <c r="E3065" t="s">
        <v>123</v>
      </c>
      <c r="G3065" t="str">
        <f>_xlfn.CONCAT(Tabela9[[#This Row],[Coluna1]],Tabela9[[#This Row],[Coluna2]])</f>
        <v>20-Rota</v>
      </c>
    </row>
    <row r="3066" spans="1:7" x14ac:dyDescent="0.25">
      <c r="A3066">
        <v>17131</v>
      </c>
      <c r="B3066">
        <v>203</v>
      </c>
      <c r="C3066" s="1" t="str">
        <f>IF(Tabela8[[#This Row],[SETOR]]="","",IF(Tabela8[[#This Row],[SETOR]]&lt;200,"GV 10",IF(Tabela8[[#This Row],[SETOR]]&lt;300,"GV 20",IF(Tabela8[[#This Row],[SETOR]]&lt;400,"GV 30","S/GV"))))</f>
        <v>GV 20</v>
      </c>
      <c r="E3066" t="s">
        <v>123</v>
      </c>
      <c r="G3066" t="str">
        <f>_xlfn.CONCAT(Tabela9[[#This Row],[Coluna1]],Tabela9[[#This Row],[Coluna2]])</f>
        <v>20-Rota</v>
      </c>
    </row>
    <row r="3067" spans="1:7" x14ac:dyDescent="0.25">
      <c r="A3067">
        <v>17133</v>
      </c>
      <c r="B3067">
        <v>303</v>
      </c>
      <c r="C3067" s="1" t="str">
        <f>IF(Tabela8[[#This Row],[SETOR]]="","",IF(Tabela8[[#This Row],[SETOR]]&lt;200,"GV 10",IF(Tabela8[[#This Row],[SETOR]]&lt;300,"GV 20",IF(Tabela8[[#This Row],[SETOR]]&lt;400,"GV 30","S/GV"))))</f>
        <v>GV 30</v>
      </c>
      <c r="E3067" t="s">
        <v>123</v>
      </c>
      <c r="G3067" t="str">
        <f>_xlfn.CONCAT(Tabela9[[#This Row],[Coluna1]],Tabela9[[#This Row],[Coluna2]])</f>
        <v>20-Rota</v>
      </c>
    </row>
    <row r="3068" spans="1:7" x14ac:dyDescent="0.25">
      <c r="A3068">
        <v>17136</v>
      </c>
      <c r="B3068">
        <v>207</v>
      </c>
      <c r="C3068" s="1" t="str">
        <f>IF(Tabela8[[#This Row],[SETOR]]="","",IF(Tabela8[[#This Row],[SETOR]]&lt;200,"GV 10",IF(Tabela8[[#This Row],[SETOR]]&lt;300,"GV 20",IF(Tabela8[[#This Row],[SETOR]]&lt;400,"GV 30","S/GV"))))</f>
        <v>GV 20</v>
      </c>
      <c r="E3068" t="s">
        <v>130</v>
      </c>
      <c r="G3068" t="str">
        <f>_xlfn.CONCAT(Tabela9[[#This Row],[Coluna1]],Tabela9[[#This Row],[Coluna2]])</f>
        <v>21-SUB</v>
      </c>
    </row>
    <row r="3069" spans="1:7" x14ac:dyDescent="0.25">
      <c r="A3069">
        <v>17140</v>
      </c>
      <c r="B3069">
        <v>103</v>
      </c>
      <c r="C3069" s="1" t="str">
        <f>IF(Tabela8[[#This Row],[SETOR]]="","",IF(Tabela8[[#This Row],[SETOR]]&lt;200,"GV 10",IF(Tabela8[[#This Row],[SETOR]]&lt;300,"GV 20",IF(Tabela8[[#This Row],[SETOR]]&lt;400,"GV 30","S/GV"))))</f>
        <v>GV 10</v>
      </c>
      <c r="E3069" t="s">
        <v>123</v>
      </c>
      <c r="G3069" t="str">
        <f>_xlfn.CONCAT(Tabela9[[#This Row],[Coluna1]],Tabela9[[#This Row],[Coluna2]])</f>
        <v>20-Rota</v>
      </c>
    </row>
    <row r="3070" spans="1:7" x14ac:dyDescent="0.25">
      <c r="A3070">
        <v>17141</v>
      </c>
      <c r="B3070">
        <v>203</v>
      </c>
      <c r="C3070" s="1" t="str">
        <f>IF(Tabela8[[#This Row],[SETOR]]="","",IF(Tabela8[[#This Row],[SETOR]]&lt;200,"GV 10",IF(Tabela8[[#This Row],[SETOR]]&lt;300,"GV 20",IF(Tabela8[[#This Row],[SETOR]]&lt;400,"GV 30","S/GV"))))</f>
        <v>GV 20</v>
      </c>
      <c r="E3070" t="s">
        <v>123</v>
      </c>
      <c r="G3070" t="str">
        <f>_xlfn.CONCAT(Tabela9[[#This Row],[Coluna1]],Tabela9[[#This Row],[Coluna2]])</f>
        <v>20-Rota</v>
      </c>
    </row>
    <row r="3071" spans="1:7" x14ac:dyDescent="0.25">
      <c r="A3071">
        <v>17142</v>
      </c>
      <c r="B3071">
        <v>204</v>
      </c>
      <c r="C3071" s="1" t="str">
        <f>IF(Tabela8[[#This Row],[SETOR]]="","",IF(Tabela8[[#This Row],[SETOR]]&lt;200,"GV 10",IF(Tabela8[[#This Row],[SETOR]]&lt;300,"GV 20",IF(Tabela8[[#This Row],[SETOR]]&lt;400,"GV 30","S/GV"))))</f>
        <v>GV 20</v>
      </c>
      <c r="E3071" t="s">
        <v>123</v>
      </c>
      <c r="G3071" t="str">
        <f>_xlfn.CONCAT(Tabela9[[#This Row],[Coluna1]],Tabela9[[#This Row],[Coluna2]])</f>
        <v>20-Rota</v>
      </c>
    </row>
    <row r="3072" spans="1:7" x14ac:dyDescent="0.25">
      <c r="A3072">
        <v>17145</v>
      </c>
      <c r="B3072">
        <v>201</v>
      </c>
      <c r="C3072" s="1" t="str">
        <f>IF(Tabela8[[#This Row],[SETOR]]="","",IF(Tabela8[[#This Row],[SETOR]]&lt;200,"GV 10",IF(Tabela8[[#This Row],[SETOR]]&lt;300,"GV 20",IF(Tabela8[[#This Row],[SETOR]]&lt;400,"GV 30","S/GV"))))</f>
        <v>GV 20</v>
      </c>
      <c r="E3072" t="s">
        <v>123</v>
      </c>
      <c r="G3072" t="str">
        <f>_xlfn.CONCAT(Tabela9[[#This Row],[Coluna1]],Tabela9[[#This Row],[Coluna2]])</f>
        <v>20-Rota</v>
      </c>
    </row>
    <row r="3073" spans="1:7" x14ac:dyDescent="0.25">
      <c r="A3073">
        <v>17146</v>
      </c>
      <c r="B3073">
        <v>916</v>
      </c>
      <c r="C3073" s="1" t="str">
        <f>IF(Tabela8[[#This Row],[SETOR]]="","",IF(Tabela8[[#This Row],[SETOR]]&lt;200,"GV 10",IF(Tabela8[[#This Row],[SETOR]]&lt;300,"GV 20",IF(Tabela8[[#This Row],[SETOR]]&lt;400,"GV 30","S/GV"))))</f>
        <v>S/GV</v>
      </c>
      <c r="G3073" t="str">
        <f>_xlfn.CONCAT(Tabela9[[#This Row],[Coluna1]],Tabela9[[#This Row],[Coluna2]])</f>
        <v/>
      </c>
    </row>
    <row r="3074" spans="1:7" x14ac:dyDescent="0.25">
      <c r="A3074">
        <v>17148</v>
      </c>
      <c r="B3074">
        <v>106</v>
      </c>
      <c r="C3074" s="1" t="str">
        <f>IF(Tabela8[[#This Row],[SETOR]]="","",IF(Tabela8[[#This Row],[SETOR]]&lt;200,"GV 10",IF(Tabela8[[#This Row],[SETOR]]&lt;300,"GV 20",IF(Tabela8[[#This Row],[SETOR]]&lt;400,"GV 30","S/GV"))))</f>
        <v>GV 10</v>
      </c>
      <c r="E3074" t="s">
        <v>123</v>
      </c>
      <c r="G3074" t="str">
        <f>_xlfn.CONCAT(Tabela9[[#This Row],[Coluna1]],Tabela9[[#This Row],[Coluna2]])</f>
        <v>20-Rota</v>
      </c>
    </row>
    <row r="3075" spans="1:7" x14ac:dyDescent="0.25">
      <c r="A3075">
        <v>17149</v>
      </c>
      <c r="B3075">
        <v>102</v>
      </c>
      <c r="C3075" s="1" t="str">
        <f>IF(Tabela8[[#This Row],[SETOR]]="","",IF(Tabela8[[#This Row],[SETOR]]&lt;200,"GV 10",IF(Tabela8[[#This Row],[SETOR]]&lt;300,"GV 20",IF(Tabela8[[#This Row],[SETOR]]&lt;400,"GV 30","S/GV"))))</f>
        <v>GV 10</v>
      </c>
      <c r="E3075" t="s">
        <v>123</v>
      </c>
      <c r="G3075" t="str">
        <f>_xlfn.CONCAT(Tabela9[[#This Row],[Coluna1]],Tabela9[[#This Row],[Coluna2]])</f>
        <v>20-Rota</v>
      </c>
    </row>
    <row r="3076" spans="1:7" x14ac:dyDescent="0.25">
      <c r="A3076">
        <v>17150</v>
      </c>
      <c r="B3076">
        <v>301</v>
      </c>
      <c r="C3076" s="1" t="str">
        <f>IF(Tabela8[[#This Row],[SETOR]]="","",IF(Tabela8[[#This Row],[SETOR]]&lt;200,"GV 10",IF(Tabela8[[#This Row],[SETOR]]&lt;300,"GV 20",IF(Tabela8[[#This Row],[SETOR]]&lt;400,"GV 30","S/GV"))))</f>
        <v>GV 30</v>
      </c>
      <c r="E3076" t="s">
        <v>123</v>
      </c>
      <c r="G3076" t="str">
        <f>_xlfn.CONCAT(Tabela9[[#This Row],[Coluna1]],Tabela9[[#This Row],[Coluna2]])</f>
        <v>20-Rota</v>
      </c>
    </row>
    <row r="3077" spans="1:7" x14ac:dyDescent="0.25">
      <c r="A3077">
        <v>17151</v>
      </c>
      <c r="B3077">
        <v>107</v>
      </c>
      <c r="C3077" s="1" t="str">
        <f>IF(Tabela8[[#This Row],[SETOR]]="","",IF(Tabela8[[#This Row],[SETOR]]&lt;200,"GV 10",IF(Tabela8[[#This Row],[SETOR]]&lt;300,"GV 20",IF(Tabela8[[#This Row],[SETOR]]&lt;400,"GV 30","S/GV"))))</f>
        <v>GV 10</v>
      </c>
      <c r="E3077" t="s">
        <v>130</v>
      </c>
      <c r="G3077" t="str">
        <f>_xlfn.CONCAT(Tabela9[[#This Row],[Coluna1]],Tabela9[[#This Row],[Coluna2]])</f>
        <v>21-SUB</v>
      </c>
    </row>
    <row r="3078" spans="1:7" x14ac:dyDescent="0.25">
      <c r="A3078">
        <v>17157</v>
      </c>
      <c r="B3078">
        <v>202</v>
      </c>
      <c r="C3078" s="1" t="str">
        <f>IF(Tabela8[[#This Row],[SETOR]]="","",IF(Tabela8[[#This Row],[SETOR]]&lt;200,"GV 10",IF(Tabela8[[#This Row],[SETOR]]&lt;300,"GV 20",IF(Tabela8[[#This Row],[SETOR]]&lt;400,"GV 30","S/GV"))))</f>
        <v>GV 20</v>
      </c>
      <c r="E3078" t="s">
        <v>123</v>
      </c>
      <c r="G3078" t="str">
        <f>_xlfn.CONCAT(Tabela9[[#This Row],[Coluna1]],Tabela9[[#This Row],[Coluna2]])</f>
        <v>20-Rota</v>
      </c>
    </row>
    <row r="3079" spans="1:7" x14ac:dyDescent="0.25">
      <c r="A3079">
        <v>17159</v>
      </c>
      <c r="B3079">
        <v>107</v>
      </c>
      <c r="C3079" s="1" t="str">
        <f>IF(Tabela8[[#This Row],[SETOR]]="","",IF(Tabela8[[#This Row],[SETOR]]&lt;200,"GV 10",IF(Tabela8[[#This Row],[SETOR]]&lt;300,"GV 20",IF(Tabela8[[#This Row],[SETOR]]&lt;400,"GV 30","S/GV"))))</f>
        <v>GV 10</v>
      </c>
      <c r="E3079" t="s">
        <v>125</v>
      </c>
      <c r="G3079" t="str">
        <f>_xlfn.CONCAT(Tabela9[[#This Row],[Coluna1]],Tabela9[[#This Row],[Coluna2]])</f>
        <v>18-TRAD</v>
      </c>
    </row>
    <row r="3080" spans="1:7" x14ac:dyDescent="0.25">
      <c r="A3080">
        <v>17162</v>
      </c>
      <c r="B3080">
        <v>207</v>
      </c>
      <c r="C3080" s="1" t="str">
        <f>IF(Tabela8[[#This Row],[SETOR]]="","",IF(Tabela8[[#This Row],[SETOR]]&lt;200,"GV 10",IF(Tabela8[[#This Row],[SETOR]]&lt;300,"GV 20",IF(Tabela8[[#This Row],[SETOR]]&lt;400,"GV 30","S/GV"))))</f>
        <v>GV 20</v>
      </c>
      <c r="E3080" t="s">
        <v>125</v>
      </c>
      <c r="G3080" t="str">
        <f>_xlfn.CONCAT(Tabela9[[#This Row],[Coluna1]],Tabela9[[#This Row],[Coluna2]])</f>
        <v>18-TRAD</v>
      </c>
    </row>
    <row r="3081" spans="1:7" x14ac:dyDescent="0.25">
      <c r="A3081">
        <v>17164</v>
      </c>
      <c r="B3081">
        <v>201</v>
      </c>
      <c r="C3081" s="1" t="str">
        <f>IF(Tabela8[[#This Row],[SETOR]]="","",IF(Tabela8[[#This Row],[SETOR]]&lt;200,"GV 10",IF(Tabela8[[#This Row],[SETOR]]&lt;300,"GV 20",IF(Tabela8[[#This Row],[SETOR]]&lt;400,"GV 30","S/GV"))))</f>
        <v>GV 20</v>
      </c>
      <c r="E3081" t="s">
        <v>123</v>
      </c>
      <c r="G3081" t="str">
        <f>_xlfn.CONCAT(Tabela9[[#This Row],[Coluna1]],Tabela9[[#This Row],[Coluna2]])</f>
        <v>20-Rota</v>
      </c>
    </row>
    <row r="3082" spans="1:7" x14ac:dyDescent="0.25">
      <c r="A3082">
        <v>17166</v>
      </c>
      <c r="B3082">
        <v>103</v>
      </c>
      <c r="C3082" s="1" t="str">
        <f>IF(Tabela8[[#This Row],[SETOR]]="","",IF(Tabela8[[#This Row],[SETOR]]&lt;200,"GV 10",IF(Tabela8[[#This Row],[SETOR]]&lt;300,"GV 20",IF(Tabela8[[#This Row],[SETOR]]&lt;400,"GV 30","S/GV"))))</f>
        <v>GV 10</v>
      </c>
      <c r="E3082" t="s">
        <v>123</v>
      </c>
      <c r="G3082" t="str">
        <f>_xlfn.CONCAT(Tabela9[[#This Row],[Coluna1]],Tabela9[[#This Row],[Coluna2]])</f>
        <v>20-Rota</v>
      </c>
    </row>
    <row r="3083" spans="1:7" x14ac:dyDescent="0.25">
      <c r="A3083">
        <v>17167</v>
      </c>
      <c r="B3083">
        <v>103</v>
      </c>
      <c r="C3083" s="1" t="str">
        <f>IF(Tabela8[[#This Row],[SETOR]]="","",IF(Tabela8[[#This Row],[SETOR]]&lt;200,"GV 10",IF(Tabela8[[#This Row],[SETOR]]&lt;300,"GV 20",IF(Tabela8[[#This Row],[SETOR]]&lt;400,"GV 30","S/GV"))))</f>
        <v>GV 10</v>
      </c>
      <c r="E3083" t="s">
        <v>123</v>
      </c>
      <c r="G3083" t="str">
        <f>_xlfn.CONCAT(Tabela9[[#This Row],[Coluna1]],Tabela9[[#This Row],[Coluna2]])</f>
        <v>20-Rota</v>
      </c>
    </row>
    <row r="3084" spans="1:7" x14ac:dyDescent="0.25">
      <c r="A3084">
        <v>17169</v>
      </c>
      <c r="B3084">
        <v>206</v>
      </c>
      <c r="C3084" s="1" t="str">
        <f>IF(Tabela8[[#This Row],[SETOR]]="","",IF(Tabela8[[#This Row],[SETOR]]&lt;200,"GV 10",IF(Tabela8[[#This Row],[SETOR]]&lt;300,"GV 20",IF(Tabela8[[#This Row],[SETOR]]&lt;400,"GV 30","S/GV"))))</f>
        <v>GV 20</v>
      </c>
      <c r="E3084" t="s">
        <v>130</v>
      </c>
      <c r="G3084" t="str">
        <f>_xlfn.CONCAT(Tabela9[[#This Row],[Coluna1]],Tabela9[[#This Row],[Coluna2]])</f>
        <v>21-SUB</v>
      </c>
    </row>
    <row r="3085" spans="1:7" x14ac:dyDescent="0.25">
      <c r="A3085">
        <v>17170</v>
      </c>
      <c r="B3085">
        <v>206</v>
      </c>
      <c r="C3085" s="1" t="str">
        <f>IF(Tabela8[[#This Row],[SETOR]]="","",IF(Tabela8[[#This Row],[SETOR]]&lt;200,"GV 10",IF(Tabela8[[#This Row],[SETOR]]&lt;300,"GV 20",IF(Tabela8[[#This Row],[SETOR]]&lt;400,"GV 30","S/GV"))))</f>
        <v>GV 20</v>
      </c>
      <c r="E3085" t="s">
        <v>128</v>
      </c>
      <c r="F3085" t="s">
        <v>129</v>
      </c>
      <c r="G3085" t="str">
        <f>_xlfn.CONCAT(Tabela9[[#This Row],[Coluna1]],Tabela9[[#This Row],[Coluna2]])</f>
        <v>15-AS(1-4)</v>
      </c>
    </row>
    <row r="3086" spans="1:7" x14ac:dyDescent="0.25">
      <c r="A3086">
        <v>17171</v>
      </c>
      <c r="B3086">
        <v>301</v>
      </c>
      <c r="C3086" s="1" t="str">
        <f>IF(Tabela8[[#This Row],[SETOR]]="","",IF(Tabela8[[#This Row],[SETOR]]&lt;200,"GV 10",IF(Tabela8[[#This Row],[SETOR]]&lt;300,"GV 20",IF(Tabela8[[#This Row],[SETOR]]&lt;400,"GV 30","S/GV"))))</f>
        <v>GV 30</v>
      </c>
      <c r="E3086" t="s">
        <v>123</v>
      </c>
      <c r="G3086" t="str">
        <f>_xlfn.CONCAT(Tabela9[[#This Row],[Coluna1]],Tabela9[[#This Row],[Coluna2]])</f>
        <v>20-Rota</v>
      </c>
    </row>
    <row r="3087" spans="1:7" x14ac:dyDescent="0.25">
      <c r="A3087">
        <v>17173</v>
      </c>
      <c r="B3087">
        <v>103</v>
      </c>
      <c r="C3087" s="1" t="str">
        <f>IF(Tabela8[[#This Row],[SETOR]]="","",IF(Tabela8[[#This Row],[SETOR]]&lt;200,"GV 10",IF(Tabela8[[#This Row],[SETOR]]&lt;300,"GV 20",IF(Tabela8[[#This Row],[SETOR]]&lt;400,"GV 30","S/GV"))))</f>
        <v>GV 10</v>
      </c>
      <c r="E3087" t="s">
        <v>123</v>
      </c>
      <c r="G3087" t="str">
        <f>_xlfn.CONCAT(Tabela9[[#This Row],[Coluna1]],Tabela9[[#This Row],[Coluna2]])</f>
        <v>20-Rota</v>
      </c>
    </row>
    <row r="3088" spans="1:7" x14ac:dyDescent="0.25">
      <c r="A3088">
        <v>17174</v>
      </c>
      <c r="B3088">
        <v>103</v>
      </c>
      <c r="C3088" s="1" t="str">
        <f>IF(Tabela8[[#This Row],[SETOR]]="","",IF(Tabela8[[#This Row],[SETOR]]&lt;200,"GV 10",IF(Tabela8[[#This Row],[SETOR]]&lt;300,"GV 20",IF(Tabela8[[#This Row],[SETOR]]&lt;400,"GV 30","S/GV"))))</f>
        <v>GV 10</v>
      </c>
      <c r="E3088" t="s">
        <v>123</v>
      </c>
      <c r="G3088" t="str">
        <f>_xlfn.CONCAT(Tabela9[[#This Row],[Coluna1]],Tabela9[[#This Row],[Coluna2]])</f>
        <v>20-Rota</v>
      </c>
    </row>
    <row r="3089" spans="1:7" x14ac:dyDescent="0.25">
      <c r="A3089">
        <v>17176</v>
      </c>
      <c r="B3089">
        <v>106</v>
      </c>
      <c r="C3089" s="1" t="str">
        <f>IF(Tabela8[[#This Row],[SETOR]]="","",IF(Tabela8[[#This Row],[SETOR]]&lt;200,"GV 10",IF(Tabela8[[#This Row],[SETOR]]&lt;300,"GV 20",IF(Tabela8[[#This Row],[SETOR]]&lt;400,"GV 30","S/GV"))))</f>
        <v>GV 10</v>
      </c>
      <c r="E3089" t="s">
        <v>123</v>
      </c>
      <c r="G3089" t="str">
        <f>_xlfn.CONCAT(Tabela9[[#This Row],[Coluna1]],Tabela9[[#This Row],[Coluna2]])</f>
        <v>20-Rota</v>
      </c>
    </row>
    <row r="3090" spans="1:7" x14ac:dyDescent="0.25">
      <c r="A3090">
        <v>17177</v>
      </c>
      <c r="B3090">
        <v>109</v>
      </c>
      <c r="C3090" s="1" t="str">
        <f>IF(Tabela8[[#This Row],[SETOR]]="","",IF(Tabela8[[#This Row],[SETOR]]&lt;200,"GV 10",IF(Tabela8[[#This Row],[SETOR]]&lt;300,"GV 20",IF(Tabela8[[#This Row],[SETOR]]&lt;400,"GV 30","S/GV"))))</f>
        <v>GV 10</v>
      </c>
      <c r="E3090" t="s">
        <v>123</v>
      </c>
      <c r="G3090" t="str">
        <f>_xlfn.CONCAT(Tabela9[[#This Row],[Coluna1]],Tabela9[[#This Row],[Coluna2]])</f>
        <v>20-Rota</v>
      </c>
    </row>
    <row r="3091" spans="1:7" x14ac:dyDescent="0.25">
      <c r="A3091">
        <v>17178</v>
      </c>
      <c r="B3091">
        <v>105</v>
      </c>
      <c r="C3091" s="1" t="str">
        <f>IF(Tabela8[[#This Row],[SETOR]]="","",IF(Tabela8[[#This Row],[SETOR]]&lt;200,"GV 10",IF(Tabela8[[#This Row],[SETOR]]&lt;300,"GV 20",IF(Tabela8[[#This Row],[SETOR]]&lt;400,"GV 30","S/GV"))))</f>
        <v>GV 10</v>
      </c>
      <c r="E3091" t="s">
        <v>123</v>
      </c>
      <c r="G3091" t="str">
        <f>_xlfn.CONCAT(Tabela9[[#This Row],[Coluna1]],Tabela9[[#This Row],[Coluna2]])</f>
        <v>20-Rota</v>
      </c>
    </row>
    <row r="3092" spans="1:7" x14ac:dyDescent="0.25">
      <c r="A3092">
        <v>17179</v>
      </c>
      <c r="B3092">
        <v>303</v>
      </c>
      <c r="C3092" s="1" t="str">
        <f>IF(Tabela8[[#This Row],[SETOR]]="","",IF(Tabela8[[#This Row],[SETOR]]&lt;200,"GV 10",IF(Tabela8[[#This Row],[SETOR]]&lt;300,"GV 20",IF(Tabela8[[#This Row],[SETOR]]&lt;400,"GV 30","S/GV"))))</f>
        <v>GV 30</v>
      </c>
      <c r="E3092" t="s">
        <v>123</v>
      </c>
      <c r="G3092" t="str">
        <f>_xlfn.CONCAT(Tabela9[[#This Row],[Coluna1]],Tabela9[[#This Row],[Coluna2]])</f>
        <v>20-Rota</v>
      </c>
    </row>
    <row r="3093" spans="1:7" x14ac:dyDescent="0.25">
      <c r="A3093">
        <v>17180</v>
      </c>
      <c r="B3093">
        <v>303</v>
      </c>
      <c r="C3093" s="1" t="str">
        <f>IF(Tabela8[[#This Row],[SETOR]]="","",IF(Tabela8[[#This Row],[SETOR]]&lt;200,"GV 10",IF(Tabela8[[#This Row],[SETOR]]&lt;300,"GV 20",IF(Tabela8[[#This Row],[SETOR]]&lt;400,"GV 30","S/GV"))))</f>
        <v>GV 30</v>
      </c>
      <c r="E3093" t="s">
        <v>123</v>
      </c>
      <c r="G3093" t="str">
        <f>_xlfn.CONCAT(Tabela9[[#This Row],[Coluna1]],Tabela9[[#This Row],[Coluna2]])</f>
        <v>20-Rota</v>
      </c>
    </row>
    <row r="3094" spans="1:7" x14ac:dyDescent="0.25">
      <c r="A3094">
        <v>17181</v>
      </c>
      <c r="B3094">
        <v>906</v>
      </c>
      <c r="C3094" s="1" t="str">
        <f>IF(Tabela8[[#This Row],[SETOR]]="","",IF(Tabela8[[#This Row],[SETOR]]&lt;200,"GV 10",IF(Tabela8[[#This Row],[SETOR]]&lt;300,"GV 20",IF(Tabela8[[#This Row],[SETOR]]&lt;400,"GV 30","S/GV"))))</f>
        <v>S/GV</v>
      </c>
      <c r="E3094" t="s">
        <v>125</v>
      </c>
      <c r="G3094" t="str">
        <f>_xlfn.CONCAT(Tabela9[[#This Row],[Coluna1]],Tabela9[[#This Row],[Coluna2]])</f>
        <v>18-TRAD</v>
      </c>
    </row>
    <row r="3095" spans="1:7" x14ac:dyDescent="0.25">
      <c r="A3095">
        <v>17182</v>
      </c>
      <c r="B3095">
        <v>203</v>
      </c>
      <c r="C3095" s="1" t="str">
        <f>IF(Tabela8[[#This Row],[SETOR]]="","",IF(Tabela8[[#This Row],[SETOR]]&lt;200,"GV 10",IF(Tabela8[[#This Row],[SETOR]]&lt;300,"GV 20",IF(Tabela8[[#This Row],[SETOR]]&lt;400,"GV 30","S/GV"))))</f>
        <v>GV 20</v>
      </c>
      <c r="E3095" t="s">
        <v>125</v>
      </c>
      <c r="G3095" t="str">
        <f>_xlfn.CONCAT(Tabela9[[#This Row],[Coluna1]],Tabela9[[#This Row],[Coluna2]])</f>
        <v>18-TRAD</v>
      </c>
    </row>
    <row r="3096" spans="1:7" x14ac:dyDescent="0.25">
      <c r="A3096">
        <v>17183</v>
      </c>
      <c r="B3096">
        <v>104</v>
      </c>
      <c r="C3096" s="1" t="str">
        <f>IF(Tabela8[[#This Row],[SETOR]]="","",IF(Tabela8[[#This Row],[SETOR]]&lt;200,"GV 10",IF(Tabela8[[#This Row],[SETOR]]&lt;300,"GV 20",IF(Tabela8[[#This Row],[SETOR]]&lt;400,"GV 30","S/GV"))))</f>
        <v>GV 10</v>
      </c>
      <c r="E3096" t="s">
        <v>123</v>
      </c>
      <c r="G3096" t="str">
        <f>_xlfn.CONCAT(Tabela9[[#This Row],[Coluna1]],Tabela9[[#This Row],[Coluna2]])</f>
        <v>20-Rota</v>
      </c>
    </row>
    <row r="3097" spans="1:7" x14ac:dyDescent="0.25">
      <c r="A3097">
        <v>17187</v>
      </c>
      <c r="B3097">
        <v>203</v>
      </c>
      <c r="C3097" s="1" t="str">
        <f>IF(Tabela8[[#This Row],[SETOR]]="","",IF(Tabela8[[#This Row],[SETOR]]&lt;200,"GV 10",IF(Tabela8[[#This Row],[SETOR]]&lt;300,"GV 20",IF(Tabela8[[#This Row],[SETOR]]&lt;400,"GV 30","S/GV"))))</f>
        <v>GV 20</v>
      </c>
      <c r="E3097" t="s">
        <v>123</v>
      </c>
      <c r="G3097" t="str">
        <f>_xlfn.CONCAT(Tabela9[[#This Row],[Coluna1]],Tabela9[[#This Row],[Coluna2]])</f>
        <v>20-Rota</v>
      </c>
    </row>
    <row r="3098" spans="1:7" x14ac:dyDescent="0.25">
      <c r="A3098">
        <v>17189</v>
      </c>
      <c r="B3098">
        <v>202</v>
      </c>
      <c r="C3098" s="1" t="str">
        <f>IF(Tabela8[[#This Row],[SETOR]]="","",IF(Tabela8[[#This Row],[SETOR]]&lt;200,"GV 10",IF(Tabela8[[#This Row],[SETOR]]&lt;300,"GV 20",IF(Tabela8[[#This Row],[SETOR]]&lt;400,"GV 30","S/GV"))))</f>
        <v>GV 20</v>
      </c>
      <c r="E3098" t="s">
        <v>123</v>
      </c>
      <c r="G3098" t="str">
        <f>_xlfn.CONCAT(Tabela9[[#This Row],[Coluna1]],Tabela9[[#This Row],[Coluna2]])</f>
        <v>20-Rota</v>
      </c>
    </row>
    <row r="3099" spans="1:7" x14ac:dyDescent="0.25">
      <c r="A3099">
        <v>17191</v>
      </c>
      <c r="B3099">
        <v>304</v>
      </c>
      <c r="C3099" s="1" t="str">
        <f>IF(Tabela8[[#This Row],[SETOR]]="","",IF(Tabela8[[#This Row],[SETOR]]&lt;200,"GV 10",IF(Tabela8[[#This Row],[SETOR]]&lt;300,"GV 20",IF(Tabela8[[#This Row],[SETOR]]&lt;400,"GV 30","S/GV"))))</f>
        <v>GV 30</v>
      </c>
      <c r="E3099" t="s">
        <v>123</v>
      </c>
      <c r="G3099" t="str">
        <f>_xlfn.CONCAT(Tabela9[[#This Row],[Coluna1]],Tabela9[[#This Row],[Coluna2]])</f>
        <v>20-Rota</v>
      </c>
    </row>
    <row r="3100" spans="1:7" x14ac:dyDescent="0.25">
      <c r="A3100">
        <v>17192</v>
      </c>
      <c r="B3100">
        <v>203</v>
      </c>
      <c r="C3100" s="1" t="str">
        <f>IF(Tabela8[[#This Row],[SETOR]]="","",IF(Tabela8[[#This Row],[SETOR]]&lt;200,"GV 10",IF(Tabela8[[#This Row],[SETOR]]&lt;300,"GV 20",IF(Tabela8[[#This Row],[SETOR]]&lt;400,"GV 30","S/GV"))))</f>
        <v>GV 20</v>
      </c>
      <c r="E3100" t="s">
        <v>123</v>
      </c>
      <c r="G3100" t="str">
        <f>_xlfn.CONCAT(Tabela9[[#This Row],[Coluna1]],Tabela9[[#This Row],[Coluna2]])</f>
        <v>20-Rota</v>
      </c>
    </row>
    <row r="3101" spans="1:7" x14ac:dyDescent="0.25">
      <c r="A3101">
        <v>17193</v>
      </c>
      <c r="B3101">
        <v>109</v>
      </c>
      <c r="C3101" s="1" t="str">
        <f>IF(Tabela8[[#This Row],[SETOR]]="","",IF(Tabela8[[#This Row],[SETOR]]&lt;200,"GV 10",IF(Tabela8[[#This Row],[SETOR]]&lt;300,"GV 20",IF(Tabela8[[#This Row],[SETOR]]&lt;400,"GV 30","S/GV"))))</f>
        <v>GV 10</v>
      </c>
      <c r="E3101" t="s">
        <v>123</v>
      </c>
      <c r="G3101" t="str">
        <f>_xlfn.CONCAT(Tabela9[[#This Row],[Coluna1]],Tabela9[[#This Row],[Coluna2]])</f>
        <v>20-Rota</v>
      </c>
    </row>
    <row r="3102" spans="1:7" x14ac:dyDescent="0.25">
      <c r="A3102">
        <v>17194</v>
      </c>
      <c r="B3102">
        <v>301</v>
      </c>
      <c r="C3102" s="1" t="str">
        <f>IF(Tabela8[[#This Row],[SETOR]]="","",IF(Tabela8[[#This Row],[SETOR]]&lt;200,"GV 10",IF(Tabela8[[#This Row],[SETOR]]&lt;300,"GV 20",IF(Tabela8[[#This Row],[SETOR]]&lt;400,"GV 30","S/GV"))))</f>
        <v>GV 30</v>
      </c>
      <c r="E3102" t="s">
        <v>123</v>
      </c>
      <c r="G3102" t="str">
        <f>_xlfn.CONCAT(Tabela9[[#This Row],[Coluna1]],Tabela9[[#This Row],[Coluna2]])</f>
        <v>20-Rota</v>
      </c>
    </row>
    <row r="3103" spans="1:7" x14ac:dyDescent="0.25">
      <c r="A3103">
        <v>17195</v>
      </c>
      <c r="B3103">
        <v>304</v>
      </c>
      <c r="C3103" s="1" t="str">
        <f>IF(Tabela8[[#This Row],[SETOR]]="","",IF(Tabela8[[#This Row],[SETOR]]&lt;200,"GV 10",IF(Tabela8[[#This Row],[SETOR]]&lt;300,"GV 20",IF(Tabela8[[#This Row],[SETOR]]&lt;400,"GV 30","S/GV"))))</f>
        <v>GV 30</v>
      </c>
      <c r="E3103" t="s">
        <v>123</v>
      </c>
      <c r="G3103" t="str">
        <f>_xlfn.CONCAT(Tabela9[[#This Row],[Coluna1]],Tabela9[[#This Row],[Coluna2]])</f>
        <v>20-Rota</v>
      </c>
    </row>
    <row r="3104" spans="1:7" x14ac:dyDescent="0.25">
      <c r="A3104">
        <v>17196</v>
      </c>
      <c r="B3104">
        <v>206</v>
      </c>
      <c r="C3104" s="1" t="str">
        <f>IF(Tabela8[[#This Row],[SETOR]]="","",IF(Tabela8[[#This Row],[SETOR]]&lt;200,"GV 10",IF(Tabela8[[#This Row],[SETOR]]&lt;300,"GV 20",IF(Tabela8[[#This Row],[SETOR]]&lt;400,"GV 30","S/GV"))))</f>
        <v>GV 20</v>
      </c>
      <c r="E3104" t="s">
        <v>123</v>
      </c>
      <c r="G3104" t="str">
        <f>_xlfn.CONCAT(Tabela9[[#This Row],[Coluna1]],Tabela9[[#This Row],[Coluna2]])</f>
        <v>20-Rota</v>
      </c>
    </row>
    <row r="3105" spans="1:7" x14ac:dyDescent="0.25">
      <c r="A3105">
        <v>17197</v>
      </c>
      <c r="B3105">
        <v>207</v>
      </c>
      <c r="C3105" s="1" t="str">
        <f>IF(Tabela8[[#This Row],[SETOR]]="","",IF(Tabela8[[#This Row],[SETOR]]&lt;200,"GV 10",IF(Tabela8[[#This Row],[SETOR]]&lt;300,"GV 20",IF(Tabela8[[#This Row],[SETOR]]&lt;400,"GV 30","S/GV"))))</f>
        <v>GV 20</v>
      </c>
      <c r="E3105" t="s">
        <v>125</v>
      </c>
      <c r="G3105" t="str">
        <f>_xlfn.CONCAT(Tabela9[[#This Row],[Coluna1]],Tabela9[[#This Row],[Coluna2]])</f>
        <v>18-TRAD</v>
      </c>
    </row>
    <row r="3106" spans="1:7" x14ac:dyDescent="0.25">
      <c r="A3106">
        <v>17199</v>
      </c>
      <c r="B3106">
        <v>205</v>
      </c>
      <c r="C3106" s="1" t="str">
        <f>IF(Tabela8[[#This Row],[SETOR]]="","",IF(Tabela8[[#This Row],[SETOR]]&lt;200,"GV 10",IF(Tabela8[[#This Row],[SETOR]]&lt;300,"GV 20",IF(Tabela8[[#This Row],[SETOR]]&lt;400,"GV 30","S/GV"))))</f>
        <v>GV 20</v>
      </c>
      <c r="E3106" t="s">
        <v>123</v>
      </c>
      <c r="G3106" t="str">
        <f>_xlfn.CONCAT(Tabela9[[#This Row],[Coluna1]],Tabela9[[#This Row],[Coluna2]])</f>
        <v>20-Rota</v>
      </c>
    </row>
    <row r="3107" spans="1:7" x14ac:dyDescent="0.25">
      <c r="A3107">
        <v>17200</v>
      </c>
      <c r="B3107">
        <v>203</v>
      </c>
      <c r="C3107" s="1" t="str">
        <f>IF(Tabela8[[#This Row],[SETOR]]="","",IF(Tabela8[[#This Row],[SETOR]]&lt;200,"GV 10",IF(Tabela8[[#This Row],[SETOR]]&lt;300,"GV 20",IF(Tabela8[[#This Row],[SETOR]]&lt;400,"GV 30","S/GV"))))</f>
        <v>GV 20</v>
      </c>
      <c r="E3107" t="s">
        <v>123</v>
      </c>
      <c r="G3107" t="str">
        <f>_xlfn.CONCAT(Tabela9[[#This Row],[Coluna1]],Tabela9[[#This Row],[Coluna2]])</f>
        <v>20-Rota</v>
      </c>
    </row>
    <row r="3108" spans="1:7" x14ac:dyDescent="0.25">
      <c r="A3108">
        <v>17201</v>
      </c>
      <c r="B3108">
        <v>107</v>
      </c>
      <c r="C3108" s="1" t="str">
        <f>IF(Tabela8[[#This Row],[SETOR]]="","",IF(Tabela8[[#This Row],[SETOR]]&lt;200,"GV 10",IF(Tabela8[[#This Row],[SETOR]]&lt;300,"GV 20",IF(Tabela8[[#This Row],[SETOR]]&lt;400,"GV 30","S/GV"))))</f>
        <v>GV 10</v>
      </c>
      <c r="E3108" t="s">
        <v>130</v>
      </c>
      <c r="G3108" t="str">
        <f>_xlfn.CONCAT(Tabela9[[#This Row],[Coluna1]],Tabela9[[#This Row],[Coluna2]])</f>
        <v>21-SUB</v>
      </c>
    </row>
    <row r="3109" spans="1:7" x14ac:dyDescent="0.25">
      <c r="A3109">
        <v>17203</v>
      </c>
      <c r="B3109">
        <v>106</v>
      </c>
      <c r="C3109" s="1" t="str">
        <f>IF(Tabela8[[#This Row],[SETOR]]="","",IF(Tabela8[[#This Row],[SETOR]]&lt;200,"GV 10",IF(Tabela8[[#This Row],[SETOR]]&lt;300,"GV 20",IF(Tabela8[[#This Row],[SETOR]]&lt;400,"GV 30","S/GV"))))</f>
        <v>GV 10</v>
      </c>
      <c r="E3109" t="s">
        <v>123</v>
      </c>
      <c r="G3109" t="str">
        <f>_xlfn.CONCAT(Tabela9[[#This Row],[Coluna1]],Tabela9[[#This Row],[Coluna2]])</f>
        <v>20-Rota</v>
      </c>
    </row>
    <row r="3110" spans="1:7" x14ac:dyDescent="0.25">
      <c r="A3110">
        <v>17204</v>
      </c>
      <c r="B3110">
        <v>203</v>
      </c>
      <c r="C3110" s="1" t="str">
        <f>IF(Tabela8[[#This Row],[SETOR]]="","",IF(Tabela8[[#This Row],[SETOR]]&lt;200,"GV 10",IF(Tabela8[[#This Row],[SETOR]]&lt;300,"GV 20",IF(Tabela8[[#This Row],[SETOR]]&lt;400,"GV 30","S/GV"))))</f>
        <v>GV 20</v>
      </c>
      <c r="E3110" t="s">
        <v>123</v>
      </c>
      <c r="G3110" t="str">
        <f>_xlfn.CONCAT(Tabela9[[#This Row],[Coluna1]],Tabela9[[#This Row],[Coluna2]])</f>
        <v>20-Rota</v>
      </c>
    </row>
    <row r="3111" spans="1:7" x14ac:dyDescent="0.25">
      <c r="A3111">
        <v>17206</v>
      </c>
      <c r="B3111">
        <v>907</v>
      </c>
      <c r="C3111" s="1" t="str">
        <f>IF(Tabela8[[#This Row],[SETOR]]="","",IF(Tabela8[[#This Row],[SETOR]]&lt;200,"GV 10",IF(Tabela8[[#This Row],[SETOR]]&lt;300,"GV 20",IF(Tabela8[[#This Row],[SETOR]]&lt;400,"GV 30","S/GV"))))</f>
        <v>S/GV</v>
      </c>
      <c r="G3111" t="str">
        <f>_xlfn.CONCAT(Tabela9[[#This Row],[Coluna1]],Tabela9[[#This Row],[Coluna2]])</f>
        <v/>
      </c>
    </row>
    <row r="3112" spans="1:7" x14ac:dyDescent="0.25">
      <c r="A3112">
        <v>17207</v>
      </c>
      <c r="B3112">
        <v>102</v>
      </c>
      <c r="C3112" s="1" t="str">
        <f>IF(Tabela8[[#This Row],[SETOR]]="","",IF(Tabela8[[#This Row],[SETOR]]&lt;200,"GV 10",IF(Tabela8[[#This Row],[SETOR]]&lt;300,"GV 20",IF(Tabela8[[#This Row],[SETOR]]&lt;400,"GV 30","S/GV"))))</f>
        <v>GV 10</v>
      </c>
      <c r="E3112" t="s">
        <v>123</v>
      </c>
      <c r="G3112" t="str">
        <f>_xlfn.CONCAT(Tabela9[[#This Row],[Coluna1]],Tabela9[[#This Row],[Coluna2]])</f>
        <v>20-Rota</v>
      </c>
    </row>
    <row r="3113" spans="1:7" x14ac:dyDescent="0.25">
      <c r="A3113">
        <v>17209</v>
      </c>
      <c r="B3113">
        <v>301</v>
      </c>
      <c r="C3113" s="1" t="str">
        <f>IF(Tabela8[[#This Row],[SETOR]]="","",IF(Tabela8[[#This Row],[SETOR]]&lt;200,"GV 10",IF(Tabela8[[#This Row],[SETOR]]&lt;300,"GV 20",IF(Tabela8[[#This Row],[SETOR]]&lt;400,"GV 30","S/GV"))))</f>
        <v>GV 30</v>
      </c>
      <c r="E3113" t="s">
        <v>123</v>
      </c>
      <c r="G3113" t="str">
        <f>_xlfn.CONCAT(Tabela9[[#This Row],[Coluna1]],Tabela9[[#This Row],[Coluna2]])</f>
        <v>20-Rota</v>
      </c>
    </row>
    <row r="3114" spans="1:7" x14ac:dyDescent="0.25">
      <c r="A3114">
        <v>17211</v>
      </c>
      <c r="B3114">
        <v>304</v>
      </c>
      <c r="C3114" s="1" t="str">
        <f>IF(Tabela8[[#This Row],[SETOR]]="","",IF(Tabela8[[#This Row],[SETOR]]&lt;200,"GV 10",IF(Tabela8[[#This Row],[SETOR]]&lt;300,"GV 20",IF(Tabela8[[#This Row],[SETOR]]&lt;400,"GV 30","S/GV"))))</f>
        <v>GV 30</v>
      </c>
      <c r="E3114" t="s">
        <v>123</v>
      </c>
      <c r="G3114" t="str">
        <f>_xlfn.CONCAT(Tabela9[[#This Row],[Coluna1]],Tabela9[[#This Row],[Coluna2]])</f>
        <v>20-Rota</v>
      </c>
    </row>
    <row r="3115" spans="1:7" x14ac:dyDescent="0.25">
      <c r="A3115">
        <v>17212</v>
      </c>
      <c r="B3115">
        <v>101</v>
      </c>
      <c r="C3115" s="1" t="str">
        <f>IF(Tabela8[[#This Row],[SETOR]]="","",IF(Tabela8[[#This Row],[SETOR]]&lt;200,"GV 10",IF(Tabela8[[#This Row],[SETOR]]&lt;300,"GV 20",IF(Tabela8[[#This Row],[SETOR]]&lt;400,"GV 30","S/GV"))))</f>
        <v>GV 10</v>
      </c>
      <c r="E3115" t="s">
        <v>123</v>
      </c>
      <c r="G3115" t="str">
        <f>_xlfn.CONCAT(Tabela9[[#This Row],[Coluna1]],Tabela9[[#This Row],[Coluna2]])</f>
        <v>20-Rota</v>
      </c>
    </row>
    <row r="3116" spans="1:7" x14ac:dyDescent="0.25">
      <c r="A3116">
        <v>17213</v>
      </c>
      <c r="B3116">
        <v>109</v>
      </c>
      <c r="C3116" s="1" t="str">
        <f>IF(Tabela8[[#This Row],[SETOR]]="","",IF(Tabela8[[#This Row],[SETOR]]&lt;200,"GV 10",IF(Tabela8[[#This Row],[SETOR]]&lt;300,"GV 20",IF(Tabela8[[#This Row],[SETOR]]&lt;400,"GV 30","S/GV"))))</f>
        <v>GV 10</v>
      </c>
      <c r="E3116" t="s">
        <v>123</v>
      </c>
      <c r="G3116" t="str">
        <f>_xlfn.CONCAT(Tabela9[[#This Row],[Coluna1]],Tabela9[[#This Row],[Coluna2]])</f>
        <v>20-Rota</v>
      </c>
    </row>
    <row r="3117" spans="1:7" x14ac:dyDescent="0.25">
      <c r="A3117">
        <v>17216</v>
      </c>
      <c r="B3117">
        <v>907</v>
      </c>
      <c r="C3117" s="1" t="str">
        <f>IF(Tabela8[[#This Row],[SETOR]]="","",IF(Tabela8[[#This Row],[SETOR]]&lt;200,"GV 10",IF(Tabela8[[#This Row],[SETOR]]&lt;300,"GV 20",IF(Tabela8[[#This Row],[SETOR]]&lt;400,"GV 30","S/GV"))))</f>
        <v>S/GV</v>
      </c>
      <c r="G3117" t="str">
        <f>_xlfn.CONCAT(Tabela9[[#This Row],[Coluna1]],Tabela9[[#This Row],[Coluna2]])</f>
        <v/>
      </c>
    </row>
    <row r="3118" spans="1:7" x14ac:dyDescent="0.25">
      <c r="A3118">
        <v>17217</v>
      </c>
      <c r="B3118">
        <v>109</v>
      </c>
      <c r="C3118" s="1" t="str">
        <f>IF(Tabela8[[#This Row],[SETOR]]="","",IF(Tabela8[[#This Row],[SETOR]]&lt;200,"GV 10",IF(Tabela8[[#This Row],[SETOR]]&lt;300,"GV 20",IF(Tabela8[[#This Row],[SETOR]]&lt;400,"GV 30","S/GV"))))</f>
        <v>GV 10</v>
      </c>
      <c r="E3118" t="s">
        <v>123</v>
      </c>
      <c r="G3118" t="str">
        <f>_xlfn.CONCAT(Tabela9[[#This Row],[Coluna1]],Tabela9[[#This Row],[Coluna2]])</f>
        <v>20-Rota</v>
      </c>
    </row>
    <row r="3119" spans="1:7" x14ac:dyDescent="0.25">
      <c r="A3119">
        <v>17220</v>
      </c>
      <c r="B3119">
        <v>208</v>
      </c>
      <c r="C3119" s="1" t="str">
        <f>IF(Tabela8[[#This Row],[SETOR]]="","",IF(Tabela8[[#This Row],[SETOR]]&lt;200,"GV 10",IF(Tabela8[[#This Row],[SETOR]]&lt;300,"GV 20",IF(Tabela8[[#This Row],[SETOR]]&lt;400,"GV 30","S/GV"))))</f>
        <v>GV 20</v>
      </c>
      <c r="E3119" t="s">
        <v>130</v>
      </c>
      <c r="G3119" t="str">
        <f>_xlfn.CONCAT(Tabela9[[#This Row],[Coluna1]],Tabela9[[#This Row],[Coluna2]])</f>
        <v>21-SUB</v>
      </c>
    </row>
    <row r="3120" spans="1:7" x14ac:dyDescent="0.25">
      <c r="A3120">
        <v>17224</v>
      </c>
      <c r="B3120">
        <v>916</v>
      </c>
      <c r="C3120" s="1" t="str">
        <f>IF(Tabela8[[#This Row],[SETOR]]="","",IF(Tabela8[[#This Row],[SETOR]]&lt;200,"GV 10",IF(Tabela8[[#This Row],[SETOR]]&lt;300,"GV 20",IF(Tabela8[[#This Row],[SETOR]]&lt;400,"GV 30","S/GV"))))</f>
        <v>S/GV</v>
      </c>
      <c r="G3120" t="str">
        <f>_xlfn.CONCAT(Tabela9[[#This Row],[Coluna1]],Tabela9[[#This Row],[Coluna2]])</f>
        <v/>
      </c>
    </row>
    <row r="3121" spans="1:7" x14ac:dyDescent="0.25">
      <c r="A3121">
        <v>17225</v>
      </c>
      <c r="B3121">
        <v>101</v>
      </c>
      <c r="C3121" s="1" t="str">
        <f>IF(Tabela8[[#This Row],[SETOR]]="","",IF(Tabela8[[#This Row],[SETOR]]&lt;200,"GV 10",IF(Tabela8[[#This Row],[SETOR]]&lt;300,"GV 20",IF(Tabela8[[#This Row],[SETOR]]&lt;400,"GV 30","S/GV"))))</f>
        <v>GV 10</v>
      </c>
      <c r="E3121" t="s">
        <v>123</v>
      </c>
      <c r="G3121" t="str">
        <f>_xlfn.CONCAT(Tabela9[[#This Row],[Coluna1]],Tabela9[[#This Row],[Coluna2]])</f>
        <v>20-Rota</v>
      </c>
    </row>
    <row r="3122" spans="1:7" x14ac:dyDescent="0.25">
      <c r="A3122">
        <v>17229</v>
      </c>
      <c r="B3122">
        <v>109</v>
      </c>
      <c r="C3122" s="1" t="str">
        <f>IF(Tabela8[[#This Row],[SETOR]]="","",IF(Tabela8[[#This Row],[SETOR]]&lt;200,"GV 10",IF(Tabela8[[#This Row],[SETOR]]&lt;300,"GV 20",IF(Tabela8[[#This Row],[SETOR]]&lt;400,"GV 30","S/GV"))))</f>
        <v>GV 10</v>
      </c>
      <c r="E3122" t="s">
        <v>123</v>
      </c>
      <c r="G3122" t="str">
        <f>_xlfn.CONCAT(Tabela9[[#This Row],[Coluna1]],Tabela9[[#This Row],[Coluna2]])</f>
        <v>20-Rota</v>
      </c>
    </row>
    <row r="3123" spans="1:7" x14ac:dyDescent="0.25">
      <c r="A3123">
        <v>17231</v>
      </c>
      <c r="B3123">
        <v>207</v>
      </c>
      <c r="C3123" s="1" t="str">
        <f>IF(Tabela8[[#This Row],[SETOR]]="","",IF(Tabela8[[#This Row],[SETOR]]&lt;200,"GV 10",IF(Tabela8[[#This Row],[SETOR]]&lt;300,"GV 20",IF(Tabela8[[#This Row],[SETOR]]&lt;400,"GV 30","S/GV"))))</f>
        <v>GV 20</v>
      </c>
      <c r="E3123" t="s">
        <v>130</v>
      </c>
      <c r="G3123" t="str">
        <f>_xlfn.CONCAT(Tabela9[[#This Row],[Coluna1]],Tabela9[[#This Row],[Coluna2]])</f>
        <v>21-SUB</v>
      </c>
    </row>
    <row r="3124" spans="1:7" x14ac:dyDescent="0.25">
      <c r="A3124">
        <v>17235</v>
      </c>
      <c r="B3124">
        <v>101</v>
      </c>
      <c r="C3124" s="1" t="str">
        <f>IF(Tabela8[[#This Row],[SETOR]]="","",IF(Tabela8[[#This Row],[SETOR]]&lt;200,"GV 10",IF(Tabela8[[#This Row],[SETOR]]&lt;300,"GV 20",IF(Tabela8[[#This Row],[SETOR]]&lt;400,"GV 30","S/GV"))))</f>
        <v>GV 10</v>
      </c>
      <c r="E3124" t="s">
        <v>123</v>
      </c>
      <c r="G3124" t="str">
        <f>_xlfn.CONCAT(Tabela9[[#This Row],[Coluna1]],Tabela9[[#This Row],[Coluna2]])</f>
        <v>20-Rota</v>
      </c>
    </row>
    <row r="3125" spans="1:7" x14ac:dyDescent="0.25">
      <c r="A3125">
        <v>17236</v>
      </c>
      <c r="B3125">
        <v>109</v>
      </c>
      <c r="C3125" s="1" t="str">
        <f>IF(Tabela8[[#This Row],[SETOR]]="","",IF(Tabela8[[#This Row],[SETOR]]&lt;200,"GV 10",IF(Tabela8[[#This Row],[SETOR]]&lt;300,"GV 20",IF(Tabela8[[#This Row],[SETOR]]&lt;400,"GV 30","S/GV"))))</f>
        <v>GV 10</v>
      </c>
      <c r="E3125" t="s">
        <v>123</v>
      </c>
      <c r="G3125" t="str">
        <f>_xlfn.CONCAT(Tabela9[[#This Row],[Coluna1]],Tabela9[[#This Row],[Coluna2]])</f>
        <v>20-Rota</v>
      </c>
    </row>
    <row r="3126" spans="1:7" x14ac:dyDescent="0.25">
      <c r="A3126">
        <v>17238</v>
      </c>
      <c r="B3126">
        <v>202</v>
      </c>
      <c r="C3126" s="1" t="str">
        <f>IF(Tabela8[[#This Row],[SETOR]]="","",IF(Tabela8[[#This Row],[SETOR]]&lt;200,"GV 10",IF(Tabela8[[#This Row],[SETOR]]&lt;300,"GV 20",IF(Tabela8[[#This Row],[SETOR]]&lt;400,"GV 30","S/GV"))))</f>
        <v>GV 20</v>
      </c>
      <c r="E3126" t="s">
        <v>123</v>
      </c>
      <c r="G3126" t="str">
        <f>_xlfn.CONCAT(Tabela9[[#This Row],[Coluna1]],Tabela9[[#This Row],[Coluna2]])</f>
        <v>20-Rota</v>
      </c>
    </row>
    <row r="3127" spans="1:7" x14ac:dyDescent="0.25">
      <c r="A3127">
        <v>17239</v>
      </c>
      <c r="B3127">
        <v>202</v>
      </c>
      <c r="C3127" s="1" t="str">
        <f>IF(Tabela8[[#This Row],[SETOR]]="","",IF(Tabela8[[#This Row],[SETOR]]&lt;200,"GV 10",IF(Tabela8[[#This Row],[SETOR]]&lt;300,"GV 20",IF(Tabela8[[#This Row],[SETOR]]&lt;400,"GV 30","S/GV"))))</f>
        <v>GV 20</v>
      </c>
      <c r="E3127" t="s">
        <v>124</v>
      </c>
      <c r="G3127" t="str">
        <f>_xlfn.CONCAT(Tabela9[[#This Row],[Coluna1]],Tabela9[[#This Row],[Coluna2]])</f>
        <v>19-VIP</v>
      </c>
    </row>
    <row r="3128" spans="1:7" x14ac:dyDescent="0.25">
      <c r="A3128">
        <v>17242</v>
      </c>
      <c r="B3128">
        <v>207</v>
      </c>
      <c r="C3128" s="1" t="str">
        <f>IF(Tabela8[[#This Row],[SETOR]]="","",IF(Tabela8[[#This Row],[SETOR]]&lt;200,"GV 10",IF(Tabela8[[#This Row],[SETOR]]&lt;300,"GV 20",IF(Tabela8[[#This Row],[SETOR]]&lt;400,"GV 30","S/GV"))))</f>
        <v>GV 20</v>
      </c>
      <c r="E3128" t="s">
        <v>125</v>
      </c>
      <c r="G3128" t="str">
        <f>_xlfn.CONCAT(Tabela9[[#This Row],[Coluna1]],Tabela9[[#This Row],[Coluna2]])</f>
        <v>18-TRAD</v>
      </c>
    </row>
    <row r="3129" spans="1:7" x14ac:dyDescent="0.25">
      <c r="A3129">
        <v>17244</v>
      </c>
      <c r="B3129">
        <v>304</v>
      </c>
      <c r="C3129" s="1" t="str">
        <f>IF(Tabela8[[#This Row],[SETOR]]="","",IF(Tabela8[[#This Row],[SETOR]]&lt;200,"GV 10",IF(Tabela8[[#This Row],[SETOR]]&lt;300,"GV 20",IF(Tabela8[[#This Row],[SETOR]]&lt;400,"GV 30","S/GV"))))</f>
        <v>GV 30</v>
      </c>
      <c r="E3129" t="s">
        <v>123</v>
      </c>
      <c r="G3129" t="str">
        <f>_xlfn.CONCAT(Tabela9[[#This Row],[Coluna1]],Tabela9[[#This Row],[Coluna2]])</f>
        <v>20-Rota</v>
      </c>
    </row>
    <row r="3130" spans="1:7" x14ac:dyDescent="0.25">
      <c r="A3130">
        <v>17245</v>
      </c>
      <c r="B3130">
        <v>305</v>
      </c>
      <c r="C3130" s="1" t="str">
        <f>IF(Tabela8[[#This Row],[SETOR]]="","",IF(Tabela8[[#This Row],[SETOR]]&lt;200,"GV 10",IF(Tabela8[[#This Row],[SETOR]]&lt;300,"GV 20",IF(Tabela8[[#This Row],[SETOR]]&lt;400,"GV 30","S/GV"))))</f>
        <v>GV 30</v>
      </c>
      <c r="E3130" t="s">
        <v>123</v>
      </c>
      <c r="G3130" t="str">
        <f>_xlfn.CONCAT(Tabela9[[#This Row],[Coluna1]],Tabela9[[#This Row],[Coluna2]])</f>
        <v>20-Rota</v>
      </c>
    </row>
    <row r="3131" spans="1:7" x14ac:dyDescent="0.25">
      <c r="A3131">
        <v>17246</v>
      </c>
      <c r="B3131">
        <v>301</v>
      </c>
      <c r="C3131" s="1" t="str">
        <f>IF(Tabela8[[#This Row],[SETOR]]="","",IF(Tabela8[[#This Row],[SETOR]]&lt;200,"GV 10",IF(Tabela8[[#This Row],[SETOR]]&lt;300,"GV 20",IF(Tabela8[[#This Row],[SETOR]]&lt;400,"GV 30","S/GV"))))</f>
        <v>GV 30</v>
      </c>
      <c r="E3131" t="s">
        <v>123</v>
      </c>
      <c r="G3131" t="str">
        <f>_xlfn.CONCAT(Tabela9[[#This Row],[Coluna1]],Tabela9[[#This Row],[Coluna2]])</f>
        <v>20-Rota</v>
      </c>
    </row>
    <row r="3132" spans="1:7" x14ac:dyDescent="0.25">
      <c r="A3132">
        <v>17247</v>
      </c>
      <c r="B3132">
        <v>102</v>
      </c>
      <c r="C3132" s="1" t="str">
        <f>IF(Tabela8[[#This Row],[SETOR]]="","",IF(Tabela8[[#This Row],[SETOR]]&lt;200,"GV 10",IF(Tabela8[[#This Row],[SETOR]]&lt;300,"GV 20",IF(Tabela8[[#This Row],[SETOR]]&lt;400,"GV 30","S/GV"))))</f>
        <v>GV 10</v>
      </c>
      <c r="E3132" t="s">
        <v>123</v>
      </c>
      <c r="G3132" t="str">
        <f>_xlfn.CONCAT(Tabela9[[#This Row],[Coluna1]],Tabela9[[#This Row],[Coluna2]])</f>
        <v>20-Rota</v>
      </c>
    </row>
    <row r="3133" spans="1:7" x14ac:dyDescent="0.25">
      <c r="A3133">
        <v>17248</v>
      </c>
      <c r="B3133">
        <v>108</v>
      </c>
      <c r="C3133" s="1" t="str">
        <f>IF(Tabela8[[#This Row],[SETOR]]="","",IF(Tabela8[[#This Row],[SETOR]]&lt;200,"GV 10",IF(Tabela8[[#This Row],[SETOR]]&lt;300,"GV 20",IF(Tabela8[[#This Row],[SETOR]]&lt;400,"GV 30","S/GV"))))</f>
        <v>GV 10</v>
      </c>
      <c r="E3133" t="s">
        <v>128</v>
      </c>
      <c r="F3133" t="s">
        <v>129</v>
      </c>
      <c r="G3133" t="str">
        <f>_xlfn.CONCAT(Tabela9[[#This Row],[Coluna1]],Tabela9[[#This Row],[Coluna2]])</f>
        <v>15-AS(1-4)</v>
      </c>
    </row>
    <row r="3134" spans="1:7" x14ac:dyDescent="0.25">
      <c r="A3134">
        <v>17251</v>
      </c>
      <c r="B3134">
        <v>302</v>
      </c>
      <c r="C3134" s="1" t="str">
        <f>IF(Tabela8[[#This Row],[SETOR]]="","",IF(Tabela8[[#This Row],[SETOR]]&lt;200,"GV 10",IF(Tabela8[[#This Row],[SETOR]]&lt;300,"GV 20",IF(Tabela8[[#This Row],[SETOR]]&lt;400,"GV 30","S/GV"))))</f>
        <v>GV 30</v>
      </c>
      <c r="E3134" t="s">
        <v>123</v>
      </c>
      <c r="G3134" t="str">
        <f>_xlfn.CONCAT(Tabela9[[#This Row],[Coluna1]],Tabela9[[#This Row],[Coluna2]])</f>
        <v>20-Rota</v>
      </c>
    </row>
    <row r="3135" spans="1:7" x14ac:dyDescent="0.25">
      <c r="A3135">
        <v>17252</v>
      </c>
      <c r="B3135">
        <v>104</v>
      </c>
      <c r="C3135" s="1" t="str">
        <f>IF(Tabela8[[#This Row],[SETOR]]="","",IF(Tabela8[[#This Row],[SETOR]]&lt;200,"GV 10",IF(Tabela8[[#This Row],[SETOR]]&lt;300,"GV 20",IF(Tabela8[[#This Row],[SETOR]]&lt;400,"GV 30","S/GV"))))</f>
        <v>GV 10</v>
      </c>
      <c r="E3135" t="s">
        <v>123</v>
      </c>
      <c r="G3135" t="str">
        <f>_xlfn.CONCAT(Tabela9[[#This Row],[Coluna1]],Tabela9[[#This Row],[Coluna2]])</f>
        <v>20-Rota</v>
      </c>
    </row>
    <row r="3136" spans="1:7" x14ac:dyDescent="0.25">
      <c r="A3136">
        <v>17255</v>
      </c>
      <c r="B3136">
        <v>303</v>
      </c>
      <c r="C3136" s="1" t="str">
        <f>IF(Tabela8[[#This Row],[SETOR]]="","",IF(Tabela8[[#This Row],[SETOR]]&lt;200,"GV 10",IF(Tabela8[[#This Row],[SETOR]]&lt;300,"GV 20",IF(Tabela8[[#This Row],[SETOR]]&lt;400,"GV 30","S/GV"))))</f>
        <v>GV 30</v>
      </c>
      <c r="E3136" t="s">
        <v>123</v>
      </c>
      <c r="G3136" t="str">
        <f>_xlfn.CONCAT(Tabela9[[#This Row],[Coluna1]],Tabela9[[#This Row],[Coluna2]])</f>
        <v>20-Rota</v>
      </c>
    </row>
    <row r="3137" spans="1:7" x14ac:dyDescent="0.25">
      <c r="A3137">
        <v>17258</v>
      </c>
      <c r="B3137">
        <v>103</v>
      </c>
      <c r="C3137" s="1" t="str">
        <f>IF(Tabela8[[#This Row],[SETOR]]="","",IF(Tabela8[[#This Row],[SETOR]]&lt;200,"GV 10",IF(Tabela8[[#This Row],[SETOR]]&lt;300,"GV 20",IF(Tabela8[[#This Row],[SETOR]]&lt;400,"GV 30","S/GV"))))</f>
        <v>GV 10</v>
      </c>
      <c r="E3137" t="s">
        <v>123</v>
      </c>
      <c r="G3137" t="str">
        <f>_xlfn.CONCAT(Tabela9[[#This Row],[Coluna1]],Tabela9[[#This Row],[Coluna2]])</f>
        <v>20-Rota</v>
      </c>
    </row>
    <row r="3138" spans="1:7" x14ac:dyDescent="0.25">
      <c r="A3138">
        <v>17259</v>
      </c>
      <c r="B3138">
        <v>207</v>
      </c>
      <c r="C3138" s="1" t="str">
        <f>IF(Tabela8[[#This Row],[SETOR]]="","",IF(Tabela8[[#This Row],[SETOR]]&lt;200,"GV 10",IF(Tabela8[[#This Row],[SETOR]]&lt;300,"GV 20",IF(Tabela8[[#This Row],[SETOR]]&lt;400,"GV 30","S/GV"))))</f>
        <v>GV 20</v>
      </c>
      <c r="E3138" t="s">
        <v>125</v>
      </c>
      <c r="G3138" t="str">
        <f>_xlfn.CONCAT(Tabela9[[#This Row],[Coluna1]],Tabela9[[#This Row],[Coluna2]])</f>
        <v>18-TRAD</v>
      </c>
    </row>
    <row r="3139" spans="1:7" x14ac:dyDescent="0.25">
      <c r="A3139">
        <v>17260</v>
      </c>
      <c r="B3139">
        <v>301</v>
      </c>
      <c r="C3139" s="1" t="str">
        <f>IF(Tabela8[[#This Row],[SETOR]]="","",IF(Tabela8[[#This Row],[SETOR]]&lt;200,"GV 10",IF(Tabela8[[#This Row],[SETOR]]&lt;300,"GV 20",IF(Tabela8[[#This Row],[SETOR]]&lt;400,"GV 30","S/GV"))))</f>
        <v>GV 30</v>
      </c>
      <c r="E3139" t="s">
        <v>123</v>
      </c>
      <c r="G3139" t="str">
        <f>_xlfn.CONCAT(Tabela9[[#This Row],[Coluna1]],Tabela9[[#This Row],[Coluna2]])</f>
        <v>20-Rota</v>
      </c>
    </row>
    <row r="3140" spans="1:7" x14ac:dyDescent="0.25">
      <c r="A3140">
        <v>17261</v>
      </c>
      <c r="B3140">
        <v>202</v>
      </c>
      <c r="C3140" s="1" t="str">
        <f>IF(Tabela8[[#This Row],[SETOR]]="","",IF(Tabela8[[#This Row],[SETOR]]&lt;200,"GV 10",IF(Tabela8[[#This Row],[SETOR]]&lt;300,"GV 20",IF(Tabela8[[#This Row],[SETOR]]&lt;400,"GV 30","S/GV"))))</f>
        <v>GV 20</v>
      </c>
      <c r="E3140" t="s">
        <v>130</v>
      </c>
      <c r="G3140" t="str">
        <f>_xlfn.CONCAT(Tabela9[[#This Row],[Coluna1]],Tabela9[[#This Row],[Coluna2]])</f>
        <v>21-SUB</v>
      </c>
    </row>
    <row r="3141" spans="1:7" x14ac:dyDescent="0.25">
      <c r="A3141">
        <v>17264</v>
      </c>
      <c r="B3141">
        <v>201</v>
      </c>
      <c r="C3141" s="1" t="str">
        <f>IF(Tabela8[[#This Row],[SETOR]]="","",IF(Tabela8[[#This Row],[SETOR]]&lt;200,"GV 10",IF(Tabela8[[#This Row],[SETOR]]&lt;300,"GV 20",IF(Tabela8[[#This Row],[SETOR]]&lt;400,"GV 30","S/GV"))))</f>
        <v>GV 20</v>
      </c>
      <c r="E3141" t="s">
        <v>123</v>
      </c>
      <c r="G3141" t="str">
        <f>_xlfn.CONCAT(Tabela9[[#This Row],[Coluna1]],Tabela9[[#This Row],[Coluna2]])</f>
        <v>20-Rota</v>
      </c>
    </row>
    <row r="3142" spans="1:7" x14ac:dyDescent="0.25">
      <c r="A3142">
        <v>17265</v>
      </c>
      <c r="B3142">
        <v>206</v>
      </c>
      <c r="C3142" s="1" t="str">
        <f>IF(Tabela8[[#This Row],[SETOR]]="","",IF(Tabela8[[#This Row],[SETOR]]&lt;200,"GV 10",IF(Tabela8[[#This Row],[SETOR]]&lt;300,"GV 20",IF(Tabela8[[#This Row],[SETOR]]&lt;400,"GV 30","S/GV"))))</f>
        <v>GV 20</v>
      </c>
      <c r="E3142" t="s">
        <v>123</v>
      </c>
      <c r="G3142" t="str">
        <f>_xlfn.CONCAT(Tabela9[[#This Row],[Coluna1]],Tabela9[[#This Row],[Coluna2]])</f>
        <v>20-Rota</v>
      </c>
    </row>
    <row r="3143" spans="1:7" x14ac:dyDescent="0.25">
      <c r="A3143">
        <v>17267</v>
      </c>
      <c r="B3143">
        <v>205</v>
      </c>
      <c r="C3143" s="1" t="str">
        <f>IF(Tabela8[[#This Row],[SETOR]]="","",IF(Tabela8[[#This Row],[SETOR]]&lt;200,"GV 10",IF(Tabela8[[#This Row],[SETOR]]&lt;300,"GV 20",IF(Tabela8[[#This Row],[SETOR]]&lt;400,"GV 30","S/GV"))))</f>
        <v>GV 20</v>
      </c>
      <c r="E3143" t="s">
        <v>123</v>
      </c>
      <c r="G3143" t="str">
        <f>_xlfn.CONCAT(Tabela9[[#This Row],[Coluna1]],Tabela9[[#This Row],[Coluna2]])</f>
        <v>20-Rota</v>
      </c>
    </row>
    <row r="3144" spans="1:7" x14ac:dyDescent="0.25">
      <c r="A3144">
        <v>17268</v>
      </c>
      <c r="B3144">
        <v>204</v>
      </c>
      <c r="C3144" s="1" t="str">
        <f>IF(Tabela8[[#This Row],[SETOR]]="","",IF(Tabela8[[#This Row],[SETOR]]&lt;200,"GV 10",IF(Tabela8[[#This Row],[SETOR]]&lt;300,"GV 20",IF(Tabela8[[#This Row],[SETOR]]&lt;400,"GV 30","S/GV"))))</f>
        <v>GV 20</v>
      </c>
      <c r="E3144" t="s">
        <v>123</v>
      </c>
      <c r="G3144" t="str">
        <f>_xlfn.CONCAT(Tabela9[[#This Row],[Coluna1]],Tabela9[[#This Row],[Coluna2]])</f>
        <v>20-Rota</v>
      </c>
    </row>
    <row r="3145" spans="1:7" x14ac:dyDescent="0.25">
      <c r="A3145">
        <v>17271</v>
      </c>
      <c r="B3145">
        <v>202</v>
      </c>
      <c r="C3145" s="1" t="str">
        <f>IF(Tabela8[[#This Row],[SETOR]]="","",IF(Tabela8[[#This Row],[SETOR]]&lt;200,"GV 10",IF(Tabela8[[#This Row],[SETOR]]&lt;300,"GV 20",IF(Tabela8[[#This Row],[SETOR]]&lt;400,"GV 30","S/GV"))))</f>
        <v>GV 20</v>
      </c>
      <c r="E3145" t="s">
        <v>123</v>
      </c>
      <c r="G3145" t="str">
        <f>_xlfn.CONCAT(Tabela9[[#This Row],[Coluna1]],Tabela9[[#This Row],[Coluna2]])</f>
        <v>20-Rota</v>
      </c>
    </row>
    <row r="3146" spans="1:7" x14ac:dyDescent="0.25">
      <c r="A3146">
        <v>17274</v>
      </c>
      <c r="B3146">
        <v>206</v>
      </c>
      <c r="C3146" s="1" t="str">
        <f>IF(Tabela8[[#This Row],[SETOR]]="","",IF(Tabela8[[#This Row],[SETOR]]&lt;200,"GV 10",IF(Tabela8[[#This Row],[SETOR]]&lt;300,"GV 20",IF(Tabela8[[#This Row],[SETOR]]&lt;400,"GV 30","S/GV"))))</f>
        <v>GV 20</v>
      </c>
      <c r="E3146" t="s">
        <v>123</v>
      </c>
      <c r="G3146" t="str">
        <f>_xlfn.CONCAT(Tabela9[[#This Row],[Coluna1]],Tabela9[[#This Row],[Coluna2]])</f>
        <v>20-Rota</v>
      </c>
    </row>
    <row r="3147" spans="1:7" x14ac:dyDescent="0.25">
      <c r="A3147">
        <v>17275</v>
      </c>
      <c r="B3147">
        <v>306</v>
      </c>
      <c r="C3147" s="1" t="str">
        <f>IF(Tabela8[[#This Row],[SETOR]]="","",IF(Tabela8[[#This Row],[SETOR]]&lt;200,"GV 10",IF(Tabela8[[#This Row],[SETOR]]&lt;300,"GV 20",IF(Tabela8[[#This Row],[SETOR]]&lt;400,"GV 30","S/GV"))))</f>
        <v>GV 30</v>
      </c>
      <c r="E3147" t="s">
        <v>125</v>
      </c>
      <c r="G3147" t="str">
        <f>_xlfn.CONCAT(Tabela9[[#This Row],[Coluna1]],Tabela9[[#This Row],[Coluna2]])</f>
        <v>18-TRAD</v>
      </c>
    </row>
    <row r="3148" spans="1:7" x14ac:dyDescent="0.25">
      <c r="A3148">
        <v>17276</v>
      </c>
      <c r="B3148">
        <v>202</v>
      </c>
      <c r="C3148" s="1" t="str">
        <f>IF(Tabela8[[#This Row],[SETOR]]="","",IF(Tabela8[[#This Row],[SETOR]]&lt;200,"GV 10",IF(Tabela8[[#This Row],[SETOR]]&lt;300,"GV 20",IF(Tabela8[[#This Row],[SETOR]]&lt;400,"GV 30","S/GV"))))</f>
        <v>GV 20</v>
      </c>
      <c r="E3148" t="s">
        <v>123</v>
      </c>
      <c r="G3148" t="str">
        <f>_xlfn.CONCAT(Tabela9[[#This Row],[Coluna1]],Tabela9[[#This Row],[Coluna2]])</f>
        <v>20-Rota</v>
      </c>
    </row>
    <row r="3149" spans="1:7" x14ac:dyDescent="0.25">
      <c r="A3149">
        <v>17277</v>
      </c>
      <c r="B3149">
        <v>205</v>
      </c>
      <c r="C3149" s="1" t="str">
        <f>IF(Tabela8[[#This Row],[SETOR]]="","",IF(Tabela8[[#This Row],[SETOR]]&lt;200,"GV 10",IF(Tabela8[[#This Row],[SETOR]]&lt;300,"GV 20",IF(Tabela8[[#This Row],[SETOR]]&lt;400,"GV 30","S/GV"))))</f>
        <v>GV 20</v>
      </c>
      <c r="E3149" t="s">
        <v>123</v>
      </c>
      <c r="G3149" t="str">
        <f>_xlfn.CONCAT(Tabela9[[#This Row],[Coluna1]],Tabela9[[#This Row],[Coluna2]])</f>
        <v>20-Rota</v>
      </c>
    </row>
    <row r="3150" spans="1:7" x14ac:dyDescent="0.25">
      <c r="A3150">
        <v>17279</v>
      </c>
      <c r="B3150">
        <v>304</v>
      </c>
      <c r="C3150" s="1" t="str">
        <f>IF(Tabela8[[#This Row],[SETOR]]="","",IF(Tabela8[[#This Row],[SETOR]]&lt;200,"GV 10",IF(Tabela8[[#This Row],[SETOR]]&lt;300,"GV 20",IF(Tabela8[[#This Row],[SETOR]]&lt;400,"GV 30","S/GV"))))</f>
        <v>GV 30</v>
      </c>
      <c r="E3150" t="s">
        <v>123</v>
      </c>
      <c r="G3150" t="str">
        <f>_xlfn.CONCAT(Tabela9[[#This Row],[Coluna1]],Tabela9[[#This Row],[Coluna2]])</f>
        <v>20-Rota</v>
      </c>
    </row>
    <row r="3151" spans="1:7" x14ac:dyDescent="0.25">
      <c r="A3151">
        <v>17280</v>
      </c>
      <c r="B3151">
        <v>208</v>
      </c>
      <c r="C3151" s="1" t="str">
        <f>IF(Tabela8[[#This Row],[SETOR]]="","",IF(Tabela8[[#This Row],[SETOR]]&lt;200,"GV 10",IF(Tabela8[[#This Row],[SETOR]]&lt;300,"GV 20",IF(Tabela8[[#This Row],[SETOR]]&lt;400,"GV 30","S/GV"))))</f>
        <v>GV 20</v>
      </c>
      <c r="E3151" t="s">
        <v>128</v>
      </c>
      <c r="F3151" t="s">
        <v>129</v>
      </c>
      <c r="G3151" t="str">
        <f>_xlfn.CONCAT(Tabela9[[#This Row],[Coluna1]],Tabela9[[#This Row],[Coluna2]])</f>
        <v>15-AS(1-4)</v>
      </c>
    </row>
    <row r="3152" spans="1:7" x14ac:dyDescent="0.25">
      <c r="A3152">
        <v>17281</v>
      </c>
      <c r="B3152">
        <v>103</v>
      </c>
      <c r="C3152" s="1" t="str">
        <f>IF(Tabela8[[#This Row],[SETOR]]="","",IF(Tabela8[[#This Row],[SETOR]]&lt;200,"GV 10",IF(Tabela8[[#This Row],[SETOR]]&lt;300,"GV 20",IF(Tabela8[[#This Row],[SETOR]]&lt;400,"GV 30","S/GV"))))</f>
        <v>GV 10</v>
      </c>
      <c r="E3152" t="s">
        <v>123</v>
      </c>
      <c r="G3152" t="str">
        <f>_xlfn.CONCAT(Tabela9[[#This Row],[Coluna1]],Tabela9[[#This Row],[Coluna2]])</f>
        <v>20-Rota</v>
      </c>
    </row>
    <row r="3153" spans="1:7" x14ac:dyDescent="0.25">
      <c r="A3153">
        <v>17282</v>
      </c>
      <c r="B3153">
        <v>907</v>
      </c>
      <c r="C3153" s="1" t="str">
        <f>IF(Tabela8[[#This Row],[SETOR]]="","",IF(Tabela8[[#This Row],[SETOR]]&lt;200,"GV 10",IF(Tabela8[[#This Row],[SETOR]]&lt;300,"GV 20",IF(Tabela8[[#This Row],[SETOR]]&lt;400,"GV 30","S/GV"))))</f>
        <v>S/GV</v>
      </c>
      <c r="G3153" t="str">
        <f>_xlfn.CONCAT(Tabela9[[#This Row],[Coluna1]],Tabela9[[#This Row],[Coluna2]])</f>
        <v/>
      </c>
    </row>
    <row r="3154" spans="1:7" x14ac:dyDescent="0.25">
      <c r="A3154">
        <v>17284</v>
      </c>
      <c r="B3154">
        <v>305</v>
      </c>
      <c r="C3154" s="1" t="str">
        <f>IF(Tabela8[[#This Row],[SETOR]]="","",IF(Tabela8[[#This Row],[SETOR]]&lt;200,"GV 10",IF(Tabela8[[#This Row],[SETOR]]&lt;300,"GV 20",IF(Tabela8[[#This Row],[SETOR]]&lt;400,"GV 30","S/GV"))))</f>
        <v>GV 30</v>
      </c>
      <c r="E3154" t="s">
        <v>123</v>
      </c>
      <c r="G3154" t="str">
        <f>_xlfn.CONCAT(Tabela9[[#This Row],[Coluna1]],Tabela9[[#This Row],[Coluna2]])</f>
        <v>20-Rota</v>
      </c>
    </row>
    <row r="3155" spans="1:7" x14ac:dyDescent="0.25">
      <c r="A3155">
        <v>17287</v>
      </c>
      <c r="B3155">
        <v>916</v>
      </c>
      <c r="C3155" s="1" t="str">
        <f>IF(Tabela8[[#This Row],[SETOR]]="","",IF(Tabela8[[#This Row],[SETOR]]&lt;200,"GV 10",IF(Tabela8[[#This Row],[SETOR]]&lt;300,"GV 20",IF(Tabela8[[#This Row],[SETOR]]&lt;400,"GV 30","S/GV"))))</f>
        <v>S/GV</v>
      </c>
      <c r="G3155" t="str">
        <f>_xlfn.CONCAT(Tabela9[[#This Row],[Coluna1]],Tabela9[[#This Row],[Coluna2]])</f>
        <v/>
      </c>
    </row>
    <row r="3156" spans="1:7" x14ac:dyDescent="0.25">
      <c r="A3156">
        <v>17288</v>
      </c>
      <c r="B3156">
        <v>304</v>
      </c>
      <c r="C3156" s="1" t="str">
        <f>IF(Tabela8[[#This Row],[SETOR]]="","",IF(Tabela8[[#This Row],[SETOR]]&lt;200,"GV 10",IF(Tabela8[[#This Row],[SETOR]]&lt;300,"GV 20",IF(Tabela8[[#This Row],[SETOR]]&lt;400,"GV 30","S/GV"))))</f>
        <v>GV 30</v>
      </c>
      <c r="E3156" t="s">
        <v>123</v>
      </c>
      <c r="G3156" t="str">
        <f>_xlfn.CONCAT(Tabela9[[#This Row],[Coluna1]],Tabela9[[#This Row],[Coluna2]])</f>
        <v>20-Rota</v>
      </c>
    </row>
    <row r="3157" spans="1:7" x14ac:dyDescent="0.25">
      <c r="A3157">
        <v>17289</v>
      </c>
      <c r="B3157">
        <v>206</v>
      </c>
      <c r="C3157" s="1" t="str">
        <f>IF(Tabela8[[#This Row],[SETOR]]="","",IF(Tabela8[[#This Row],[SETOR]]&lt;200,"GV 10",IF(Tabela8[[#This Row],[SETOR]]&lt;300,"GV 20",IF(Tabela8[[#This Row],[SETOR]]&lt;400,"GV 30","S/GV"))))</f>
        <v>GV 20</v>
      </c>
      <c r="E3157" t="s">
        <v>123</v>
      </c>
      <c r="G3157" t="str">
        <f>_xlfn.CONCAT(Tabela9[[#This Row],[Coluna1]],Tabela9[[#This Row],[Coluna2]])</f>
        <v>20-Rota</v>
      </c>
    </row>
    <row r="3158" spans="1:7" x14ac:dyDescent="0.25">
      <c r="A3158">
        <v>17290</v>
      </c>
      <c r="B3158">
        <v>304</v>
      </c>
      <c r="C3158" s="1" t="str">
        <f>IF(Tabela8[[#This Row],[SETOR]]="","",IF(Tabela8[[#This Row],[SETOR]]&lt;200,"GV 10",IF(Tabela8[[#This Row],[SETOR]]&lt;300,"GV 20",IF(Tabela8[[#This Row],[SETOR]]&lt;400,"GV 30","S/GV"))))</f>
        <v>GV 30</v>
      </c>
      <c r="E3158" t="s">
        <v>124</v>
      </c>
      <c r="G3158" t="str">
        <f>_xlfn.CONCAT(Tabela9[[#This Row],[Coluna1]],Tabela9[[#This Row],[Coluna2]])</f>
        <v>19-VIP</v>
      </c>
    </row>
    <row r="3159" spans="1:7" x14ac:dyDescent="0.25">
      <c r="A3159">
        <v>17291</v>
      </c>
      <c r="B3159">
        <v>304</v>
      </c>
      <c r="C3159" s="1" t="str">
        <f>IF(Tabela8[[#This Row],[SETOR]]="","",IF(Tabela8[[#This Row],[SETOR]]&lt;200,"GV 10",IF(Tabela8[[#This Row],[SETOR]]&lt;300,"GV 20",IF(Tabela8[[#This Row],[SETOR]]&lt;400,"GV 30","S/GV"))))</f>
        <v>GV 30</v>
      </c>
      <c r="E3159" t="s">
        <v>123</v>
      </c>
      <c r="G3159" t="str">
        <f>_xlfn.CONCAT(Tabela9[[#This Row],[Coluna1]],Tabela9[[#This Row],[Coluna2]])</f>
        <v>20-Rota</v>
      </c>
    </row>
    <row r="3160" spans="1:7" x14ac:dyDescent="0.25">
      <c r="A3160">
        <v>17293</v>
      </c>
      <c r="B3160">
        <v>203</v>
      </c>
      <c r="C3160" s="1" t="str">
        <f>IF(Tabela8[[#This Row],[SETOR]]="","",IF(Tabela8[[#This Row],[SETOR]]&lt;200,"GV 10",IF(Tabela8[[#This Row],[SETOR]]&lt;300,"GV 20",IF(Tabela8[[#This Row],[SETOR]]&lt;400,"GV 30","S/GV"))))</f>
        <v>GV 20</v>
      </c>
      <c r="E3160" t="s">
        <v>123</v>
      </c>
      <c r="G3160" t="str">
        <f>_xlfn.CONCAT(Tabela9[[#This Row],[Coluna1]],Tabela9[[#This Row],[Coluna2]])</f>
        <v>20-Rota</v>
      </c>
    </row>
    <row r="3161" spans="1:7" x14ac:dyDescent="0.25">
      <c r="A3161">
        <v>17295</v>
      </c>
      <c r="B3161">
        <v>101</v>
      </c>
      <c r="C3161" s="1" t="str">
        <f>IF(Tabela8[[#This Row],[SETOR]]="","",IF(Tabela8[[#This Row],[SETOR]]&lt;200,"GV 10",IF(Tabela8[[#This Row],[SETOR]]&lt;300,"GV 20",IF(Tabela8[[#This Row],[SETOR]]&lt;400,"GV 30","S/GV"))))</f>
        <v>GV 10</v>
      </c>
      <c r="E3161" t="s">
        <v>123</v>
      </c>
      <c r="G3161" t="str">
        <f>_xlfn.CONCAT(Tabela9[[#This Row],[Coluna1]],Tabela9[[#This Row],[Coluna2]])</f>
        <v>20-Rota</v>
      </c>
    </row>
    <row r="3162" spans="1:7" x14ac:dyDescent="0.25">
      <c r="A3162">
        <v>17297</v>
      </c>
      <c r="B3162">
        <v>102</v>
      </c>
      <c r="C3162" s="1" t="str">
        <f>IF(Tabela8[[#This Row],[SETOR]]="","",IF(Tabela8[[#This Row],[SETOR]]&lt;200,"GV 10",IF(Tabela8[[#This Row],[SETOR]]&lt;300,"GV 20",IF(Tabela8[[#This Row],[SETOR]]&lt;400,"GV 30","S/GV"))))</f>
        <v>GV 10</v>
      </c>
      <c r="E3162" t="s">
        <v>123</v>
      </c>
      <c r="G3162" t="str">
        <f>_xlfn.CONCAT(Tabela9[[#This Row],[Coluna1]],Tabela9[[#This Row],[Coluna2]])</f>
        <v>20-Rota</v>
      </c>
    </row>
    <row r="3163" spans="1:7" x14ac:dyDescent="0.25">
      <c r="A3163">
        <v>17299</v>
      </c>
      <c r="B3163">
        <v>106</v>
      </c>
      <c r="C3163" s="1" t="str">
        <f>IF(Tabela8[[#This Row],[SETOR]]="","",IF(Tabela8[[#This Row],[SETOR]]&lt;200,"GV 10",IF(Tabela8[[#This Row],[SETOR]]&lt;300,"GV 20",IF(Tabela8[[#This Row],[SETOR]]&lt;400,"GV 30","S/GV"))))</f>
        <v>GV 10</v>
      </c>
      <c r="E3163" t="s">
        <v>123</v>
      </c>
      <c r="G3163" t="str">
        <f>_xlfn.CONCAT(Tabela9[[#This Row],[Coluna1]],Tabela9[[#This Row],[Coluna2]])</f>
        <v>20-Rota</v>
      </c>
    </row>
    <row r="3164" spans="1:7" x14ac:dyDescent="0.25">
      <c r="A3164">
        <v>17300</v>
      </c>
      <c r="B3164">
        <v>103</v>
      </c>
      <c r="C3164" s="1" t="str">
        <f>IF(Tabela8[[#This Row],[SETOR]]="","",IF(Tabela8[[#This Row],[SETOR]]&lt;200,"GV 10",IF(Tabela8[[#This Row],[SETOR]]&lt;300,"GV 20",IF(Tabela8[[#This Row],[SETOR]]&lt;400,"GV 30","S/GV"))))</f>
        <v>GV 10</v>
      </c>
      <c r="E3164" t="s">
        <v>123</v>
      </c>
      <c r="G3164" t="str">
        <f>_xlfn.CONCAT(Tabela9[[#This Row],[Coluna1]],Tabela9[[#This Row],[Coluna2]])</f>
        <v>20-Rota</v>
      </c>
    </row>
    <row r="3165" spans="1:7" x14ac:dyDescent="0.25">
      <c r="A3165">
        <v>17301</v>
      </c>
      <c r="B3165">
        <v>204</v>
      </c>
      <c r="C3165" s="1" t="str">
        <f>IF(Tabela8[[#This Row],[SETOR]]="","",IF(Tabela8[[#This Row],[SETOR]]&lt;200,"GV 10",IF(Tabela8[[#This Row],[SETOR]]&lt;300,"GV 20",IF(Tabela8[[#This Row],[SETOR]]&lt;400,"GV 30","S/GV"))))</f>
        <v>GV 20</v>
      </c>
      <c r="E3165" t="s">
        <v>123</v>
      </c>
      <c r="G3165" t="str">
        <f>_xlfn.CONCAT(Tabela9[[#This Row],[Coluna1]],Tabela9[[#This Row],[Coluna2]])</f>
        <v>20-Rota</v>
      </c>
    </row>
    <row r="3166" spans="1:7" x14ac:dyDescent="0.25">
      <c r="A3166">
        <v>17302</v>
      </c>
      <c r="B3166">
        <v>109</v>
      </c>
      <c r="C3166" s="1" t="str">
        <f>IF(Tabela8[[#This Row],[SETOR]]="","",IF(Tabela8[[#This Row],[SETOR]]&lt;200,"GV 10",IF(Tabela8[[#This Row],[SETOR]]&lt;300,"GV 20",IF(Tabela8[[#This Row],[SETOR]]&lt;400,"GV 30","S/GV"))))</f>
        <v>GV 10</v>
      </c>
      <c r="E3166" t="s">
        <v>123</v>
      </c>
      <c r="G3166" t="str">
        <f>_xlfn.CONCAT(Tabela9[[#This Row],[Coluna1]],Tabela9[[#This Row],[Coluna2]])</f>
        <v>20-Rota</v>
      </c>
    </row>
    <row r="3167" spans="1:7" x14ac:dyDescent="0.25">
      <c r="A3167">
        <v>17305</v>
      </c>
      <c r="B3167">
        <v>201</v>
      </c>
      <c r="C3167" s="1" t="str">
        <f>IF(Tabela8[[#This Row],[SETOR]]="","",IF(Tabela8[[#This Row],[SETOR]]&lt;200,"GV 10",IF(Tabela8[[#This Row],[SETOR]]&lt;300,"GV 20",IF(Tabela8[[#This Row],[SETOR]]&lt;400,"GV 30","S/GV"))))</f>
        <v>GV 20</v>
      </c>
      <c r="E3167" t="s">
        <v>123</v>
      </c>
      <c r="G3167" t="str">
        <f>_xlfn.CONCAT(Tabela9[[#This Row],[Coluna1]],Tabela9[[#This Row],[Coluna2]])</f>
        <v>20-Rota</v>
      </c>
    </row>
    <row r="3168" spans="1:7" x14ac:dyDescent="0.25">
      <c r="A3168">
        <v>17309</v>
      </c>
      <c r="B3168">
        <v>306</v>
      </c>
      <c r="C3168" s="1" t="str">
        <f>IF(Tabela8[[#This Row],[SETOR]]="","",IF(Tabela8[[#This Row],[SETOR]]&lt;200,"GV 10",IF(Tabela8[[#This Row],[SETOR]]&lt;300,"GV 20",IF(Tabela8[[#This Row],[SETOR]]&lt;400,"GV 30","S/GV"))))</f>
        <v>GV 30</v>
      </c>
      <c r="E3168" t="s">
        <v>128</v>
      </c>
      <c r="F3168" t="s">
        <v>129</v>
      </c>
      <c r="G3168" t="str">
        <f>_xlfn.CONCAT(Tabela9[[#This Row],[Coluna1]],Tabela9[[#This Row],[Coluna2]])</f>
        <v>15-AS(1-4)</v>
      </c>
    </row>
    <row r="3169" spans="1:7" x14ac:dyDescent="0.25">
      <c r="A3169">
        <v>17310</v>
      </c>
      <c r="B3169">
        <v>306</v>
      </c>
      <c r="C3169" s="1" t="str">
        <f>IF(Tabela8[[#This Row],[SETOR]]="","",IF(Tabela8[[#This Row],[SETOR]]&lt;200,"GV 10",IF(Tabela8[[#This Row],[SETOR]]&lt;300,"GV 20",IF(Tabela8[[#This Row],[SETOR]]&lt;400,"GV 30","S/GV"))))</f>
        <v>GV 30</v>
      </c>
      <c r="E3169" t="s">
        <v>125</v>
      </c>
      <c r="G3169" t="str">
        <f>_xlfn.CONCAT(Tabela9[[#This Row],[Coluna1]],Tabela9[[#This Row],[Coluna2]])</f>
        <v>18-TRAD</v>
      </c>
    </row>
    <row r="3170" spans="1:7" x14ac:dyDescent="0.25">
      <c r="A3170">
        <v>17311</v>
      </c>
      <c r="B3170">
        <v>102</v>
      </c>
      <c r="C3170" s="1" t="str">
        <f>IF(Tabela8[[#This Row],[SETOR]]="","",IF(Tabela8[[#This Row],[SETOR]]&lt;200,"GV 10",IF(Tabela8[[#This Row],[SETOR]]&lt;300,"GV 20",IF(Tabela8[[#This Row],[SETOR]]&lt;400,"GV 30","S/GV"))))</f>
        <v>GV 10</v>
      </c>
      <c r="E3170" t="s">
        <v>123</v>
      </c>
      <c r="G3170" t="str">
        <f>_xlfn.CONCAT(Tabela9[[#This Row],[Coluna1]],Tabela9[[#This Row],[Coluna2]])</f>
        <v>20-Rota</v>
      </c>
    </row>
    <row r="3171" spans="1:7" x14ac:dyDescent="0.25">
      <c r="A3171">
        <v>17312</v>
      </c>
      <c r="B3171">
        <v>301</v>
      </c>
      <c r="C3171" s="1" t="str">
        <f>IF(Tabela8[[#This Row],[SETOR]]="","",IF(Tabela8[[#This Row],[SETOR]]&lt;200,"GV 10",IF(Tabela8[[#This Row],[SETOR]]&lt;300,"GV 20",IF(Tabela8[[#This Row],[SETOR]]&lt;400,"GV 30","S/GV"))))</f>
        <v>GV 30</v>
      </c>
      <c r="E3171" t="s">
        <v>123</v>
      </c>
      <c r="G3171" t="str">
        <f>_xlfn.CONCAT(Tabela9[[#This Row],[Coluna1]],Tabela9[[#This Row],[Coluna2]])</f>
        <v>20-Rota</v>
      </c>
    </row>
    <row r="3172" spans="1:7" x14ac:dyDescent="0.25">
      <c r="A3172">
        <v>17313</v>
      </c>
      <c r="B3172">
        <v>304</v>
      </c>
      <c r="C3172" s="1" t="str">
        <f>IF(Tabela8[[#This Row],[SETOR]]="","",IF(Tabela8[[#This Row],[SETOR]]&lt;200,"GV 10",IF(Tabela8[[#This Row],[SETOR]]&lt;300,"GV 20",IF(Tabela8[[#This Row],[SETOR]]&lt;400,"GV 30","S/GV"))))</f>
        <v>GV 30</v>
      </c>
      <c r="E3172" t="s">
        <v>123</v>
      </c>
      <c r="G3172" t="str">
        <f>_xlfn.CONCAT(Tabela9[[#This Row],[Coluna1]],Tabela9[[#This Row],[Coluna2]])</f>
        <v>20-Rota</v>
      </c>
    </row>
    <row r="3173" spans="1:7" x14ac:dyDescent="0.25">
      <c r="A3173">
        <v>17316</v>
      </c>
      <c r="B3173">
        <v>306</v>
      </c>
      <c r="C3173" s="1" t="str">
        <f>IF(Tabela8[[#This Row],[SETOR]]="","",IF(Tabela8[[#This Row],[SETOR]]&lt;200,"GV 10",IF(Tabela8[[#This Row],[SETOR]]&lt;300,"GV 20",IF(Tabela8[[#This Row],[SETOR]]&lt;400,"GV 30","S/GV"))))</f>
        <v>GV 30</v>
      </c>
      <c r="E3173" t="s">
        <v>125</v>
      </c>
      <c r="G3173" t="str">
        <f>_xlfn.CONCAT(Tabela9[[#This Row],[Coluna1]],Tabela9[[#This Row],[Coluna2]])</f>
        <v>18-TRAD</v>
      </c>
    </row>
    <row r="3174" spans="1:7" x14ac:dyDescent="0.25">
      <c r="A3174">
        <v>17318</v>
      </c>
      <c r="B3174">
        <v>104</v>
      </c>
      <c r="C3174" s="1" t="str">
        <f>IF(Tabela8[[#This Row],[SETOR]]="","",IF(Tabela8[[#This Row],[SETOR]]&lt;200,"GV 10",IF(Tabela8[[#This Row],[SETOR]]&lt;300,"GV 20",IF(Tabela8[[#This Row],[SETOR]]&lt;400,"GV 30","S/GV"))))</f>
        <v>GV 10</v>
      </c>
      <c r="E3174" t="s">
        <v>123</v>
      </c>
      <c r="G3174" t="str">
        <f>_xlfn.CONCAT(Tabela9[[#This Row],[Coluna1]],Tabela9[[#This Row],[Coluna2]])</f>
        <v>20-Rota</v>
      </c>
    </row>
    <row r="3175" spans="1:7" x14ac:dyDescent="0.25">
      <c r="A3175">
        <v>17325</v>
      </c>
      <c r="B3175">
        <v>109</v>
      </c>
      <c r="C3175" s="1" t="str">
        <f>IF(Tabela8[[#This Row],[SETOR]]="","",IF(Tabela8[[#This Row],[SETOR]]&lt;200,"GV 10",IF(Tabela8[[#This Row],[SETOR]]&lt;300,"GV 20",IF(Tabela8[[#This Row],[SETOR]]&lt;400,"GV 30","S/GV"))))</f>
        <v>GV 10</v>
      </c>
      <c r="E3175" t="s">
        <v>123</v>
      </c>
      <c r="G3175" t="str">
        <f>_xlfn.CONCAT(Tabela9[[#This Row],[Coluna1]],Tabela9[[#This Row],[Coluna2]])</f>
        <v>20-Rota</v>
      </c>
    </row>
    <row r="3176" spans="1:7" x14ac:dyDescent="0.25">
      <c r="A3176">
        <v>17326</v>
      </c>
      <c r="B3176">
        <v>305</v>
      </c>
      <c r="C3176" s="1" t="str">
        <f>IF(Tabela8[[#This Row],[SETOR]]="","",IF(Tabela8[[#This Row],[SETOR]]&lt;200,"GV 10",IF(Tabela8[[#This Row],[SETOR]]&lt;300,"GV 20",IF(Tabela8[[#This Row],[SETOR]]&lt;400,"GV 30","S/GV"))))</f>
        <v>GV 30</v>
      </c>
      <c r="E3176" t="s">
        <v>130</v>
      </c>
      <c r="G3176" t="str">
        <f>_xlfn.CONCAT(Tabela9[[#This Row],[Coluna1]],Tabela9[[#This Row],[Coluna2]])</f>
        <v>21-SUB</v>
      </c>
    </row>
    <row r="3177" spans="1:7" x14ac:dyDescent="0.25">
      <c r="A3177">
        <v>17328</v>
      </c>
      <c r="B3177">
        <v>302</v>
      </c>
      <c r="C3177" s="1" t="str">
        <f>IF(Tabela8[[#This Row],[SETOR]]="","",IF(Tabela8[[#This Row],[SETOR]]&lt;200,"GV 10",IF(Tabela8[[#This Row],[SETOR]]&lt;300,"GV 20",IF(Tabela8[[#This Row],[SETOR]]&lt;400,"GV 30","S/GV"))))</f>
        <v>GV 30</v>
      </c>
      <c r="E3177" t="s">
        <v>123</v>
      </c>
      <c r="G3177" t="str">
        <f>_xlfn.CONCAT(Tabela9[[#This Row],[Coluna1]],Tabela9[[#This Row],[Coluna2]])</f>
        <v>20-Rota</v>
      </c>
    </row>
    <row r="3178" spans="1:7" x14ac:dyDescent="0.25">
      <c r="A3178">
        <v>17330</v>
      </c>
      <c r="B3178">
        <v>204</v>
      </c>
      <c r="C3178" s="1" t="str">
        <f>IF(Tabela8[[#This Row],[SETOR]]="","",IF(Tabela8[[#This Row],[SETOR]]&lt;200,"GV 10",IF(Tabela8[[#This Row],[SETOR]]&lt;300,"GV 20",IF(Tabela8[[#This Row],[SETOR]]&lt;400,"GV 30","S/GV"))))</f>
        <v>GV 20</v>
      </c>
      <c r="E3178" t="s">
        <v>123</v>
      </c>
      <c r="G3178" t="str">
        <f>_xlfn.CONCAT(Tabela9[[#This Row],[Coluna1]],Tabela9[[#This Row],[Coluna2]])</f>
        <v>20-Rota</v>
      </c>
    </row>
    <row r="3179" spans="1:7" x14ac:dyDescent="0.25">
      <c r="A3179">
        <v>17331</v>
      </c>
      <c r="B3179">
        <v>103</v>
      </c>
      <c r="C3179" s="1" t="str">
        <f>IF(Tabela8[[#This Row],[SETOR]]="","",IF(Tabela8[[#This Row],[SETOR]]&lt;200,"GV 10",IF(Tabela8[[#This Row],[SETOR]]&lt;300,"GV 20",IF(Tabela8[[#This Row],[SETOR]]&lt;400,"GV 30","S/GV"))))</f>
        <v>GV 10</v>
      </c>
      <c r="E3179" t="s">
        <v>123</v>
      </c>
      <c r="G3179" t="str">
        <f>_xlfn.CONCAT(Tabela9[[#This Row],[Coluna1]],Tabela9[[#This Row],[Coluna2]])</f>
        <v>20-Rota</v>
      </c>
    </row>
    <row r="3180" spans="1:7" x14ac:dyDescent="0.25">
      <c r="A3180">
        <v>17332</v>
      </c>
      <c r="B3180">
        <v>203</v>
      </c>
      <c r="C3180" s="1" t="str">
        <f>IF(Tabela8[[#This Row],[SETOR]]="","",IF(Tabela8[[#This Row],[SETOR]]&lt;200,"GV 10",IF(Tabela8[[#This Row],[SETOR]]&lt;300,"GV 20",IF(Tabela8[[#This Row],[SETOR]]&lt;400,"GV 30","S/GV"))))</f>
        <v>GV 20</v>
      </c>
      <c r="E3180" t="s">
        <v>123</v>
      </c>
      <c r="G3180" t="str">
        <f>_xlfn.CONCAT(Tabela9[[#This Row],[Coluna1]],Tabela9[[#This Row],[Coluna2]])</f>
        <v>20-Rota</v>
      </c>
    </row>
    <row r="3181" spans="1:7" x14ac:dyDescent="0.25">
      <c r="A3181">
        <v>17333</v>
      </c>
      <c r="B3181">
        <v>916</v>
      </c>
      <c r="C3181" s="1" t="str">
        <f>IF(Tabela8[[#This Row],[SETOR]]="","",IF(Tabela8[[#This Row],[SETOR]]&lt;200,"GV 10",IF(Tabela8[[#This Row],[SETOR]]&lt;300,"GV 20",IF(Tabela8[[#This Row],[SETOR]]&lt;400,"GV 30","S/GV"))))</f>
        <v>S/GV</v>
      </c>
      <c r="G3181" t="str">
        <f>_xlfn.CONCAT(Tabela9[[#This Row],[Coluna1]],Tabela9[[#This Row],[Coluna2]])</f>
        <v/>
      </c>
    </row>
    <row r="3182" spans="1:7" x14ac:dyDescent="0.25">
      <c r="A3182">
        <v>17335</v>
      </c>
      <c r="B3182">
        <v>916</v>
      </c>
      <c r="C3182" s="1" t="str">
        <f>IF(Tabela8[[#This Row],[SETOR]]="","",IF(Tabela8[[#This Row],[SETOR]]&lt;200,"GV 10",IF(Tabela8[[#This Row],[SETOR]]&lt;300,"GV 20",IF(Tabela8[[#This Row],[SETOR]]&lt;400,"GV 30","S/GV"))))</f>
        <v>S/GV</v>
      </c>
      <c r="G3182" t="str">
        <f>_xlfn.CONCAT(Tabela9[[#This Row],[Coluna1]],Tabela9[[#This Row],[Coluna2]])</f>
        <v/>
      </c>
    </row>
    <row r="3183" spans="1:7" x14ac:dyDescent="0.25">
      <c r="A3183">
        <v>17336</v>
      </c>
      <c r="B3183">
        <v>301</v>
      </c>
      <c r="C3183" s="1" t="str">
        <f>IF(Tabela8[[#This Row],[SETOR]]="","",IF(Tabela8[[#This Row],[SETOR]]&lt;200,"GV 10",IF(Tabela8[[#This Row],[SETOR]]&lt;300,"GV 20",IF(Tabela8[[#This Row],[SETOR]]&lt;400,"GV 30","S/GV"))))</f>
        <v>GV 30</v>
      </c>
      <c r="E3183" t="s">
        <v>123</v>
      </c>
      <c r="G3183" t="str">
        <f>_xlfn.CONCAT(Tabela9[[#This Row],[Coluna1]],Tabela9[[#This Row],[Coluna2]])</f>
        <v>20-Rota</v>
      </c>
    </row>
    <row r="3184" spans="1:7" x14ac:dyDescent="0.25">
      <c r="A3184">
        <v>17341</v>
      </c>
      <c r="B3184">
        <v>205</v>
      </c>
      <c r="C3184" s="1" t="str">
        <f>IF(Tabela8[[#This Row],[SETOR]]="","",IF(Tabela8[[#This Row],[SETOR]]&lt;200,"GV 10",IF(Tabela8[[#This Row],[SETOR]]&lt;300,"GV 20",IF(Tabela8[[#This Row],[SETOR]]&lt;400,"GV 30","S/GV"))))</f>
        <v>GV 20</v>
      </c>
      <c r="E3184" t="s">
        <v>123</v>
      </c>
      <c r="G3184" t="str">
        <f>_xlfn.CONCAT(Tabela9[[#This Row],[Coluna1]],Tabela9[[#This Row],[Coluna2]])</f>
        <v>20-Rota</v>
      </c>
    </row>
    <row r="3185" spans="1:7" x14ac:dyDescent="0.25">
      <c r="A3185">
        <v>17342</v>
      </c>
      <c r="B3185">
        <v>203</v>
      </c>
      <c r="C3185" s="1" t="str">
        <f>IF(Tabela8[[#This Row],[SETOR]]="","",IF(Tabela8[[#This Row],[SETOR]]&lt;200,"GV 10",IF(Tabela8[[#This Row],[SETOR]]&lt;300,"GV 20",IF(Tabela8[[#This Row],[SETOR]]&lt;400,"GV 30","S/GV"))))</f>
        <v>GV 20</v>
      </c>
      <c r="E3185" t="s">
        <v>123</v>
      </c>
      <c r="G3185" t="str">
        <f>_xlfn.CONCAT(Tabela9[[#This Row],[Coluna1]],Tabela9[[#This Row],[Coluna2]])</f>
        <v>20-Rota</v>
      </c>
    </row>
    <row r="3186" spans="1:7" x14ac:dyDescent="0.25">
      <c r="A3186">
        <v>17343</v>
      </c>
      <c r="B3186">
        <v>105</v>
      </c>
      <c r="C3186" s="1" t="str">
        <f>IF(Tabela8[[#This Row],[SETOR]]="","",IF(Tabela8[[#This Row],[SETOR]]&lt;200,"GV 10",IF(Tabela8[[#This Row],[SETOR]]&lt;300,"GV 20",IF(Tabela8[[#This Row],[SETOR]]&lt;400,"GV 30","S/GV"))))</f>
        <v>GV 10</v>
      </c>
      <c r="E3186" t="s">
        <v>123</v>
      </c>
      <c r="G3186" t="str">
        <f>_xlfn.CONCAT(Tabela9[[#This Row],[Coluna1]],Tabela9[[#This Row],[Coluna2]])</f>
        <v>20-Rota</v>
      </c>
    </row>
    <row r="3187" spans="1:7" x14ac:dyDescent="0.25">
      <c r="A3187">
        <v>17345</v>
      </c>
      <c r="B3187">
        <v>109</v>
      </c>
      <c r="C3187" s="1" t="str">
        <f>IF(Tabela8[[#This Row],[SETOR]]="","",IF(Tabela8[[#This Row],[SETOR]]&lt;200,"GV 10",IF(Tabela8[[#This Row],[SETOR]]&lt;300,"GV 20",IF(Tabela8[[#This Row],[SETOR]]&lt;400,"GV 30","S/GV"))))</f>
        <v>GV 10</v>
      </c>
      <c r="E3187" t="s">
        <v>123</v>
      </c>
      <c r="G3187" t="str">
        <f>_xlfn.CONCAT(Tabela9[[#This Row],[Coluna1]],Tabela9[[#This Row],[Coluna2]])</f>
        <v>20-Rota</v>
      </c>
    </row>
    <row r="3188" spans="1:7" x14ac:dyDescent="0.25">
      <c r="A3188">
        <v>17347</v>
      </c>
      <c r="B3188">
        <v>108</v>
      </c>
      <c r="C3188" s="1" t="str">
        <f>IF(Tabela8[[#This Row],[SETOR]]="","",IF(Tabela8[[#This Row],[SETOR]]&lt;200,"GV 10",IF(Tabela8[[#This Row],[SETOR]]&lt;300,"GV 20",IF(Tabela8[[#This Row],[SETOR]]&lt;400,"GV 30","S/GV"))))</f>
        <v>GV 10</v>
      </c>
      <c r="E3188" t="s">
        <v>130</v>
      </c>
      <c r="G3188" t="str">
        <f>_xlfn.CONCAT(Tabela9[[#This Row],[Coluna1]],Tabela9[[#This Row],[Coluna2]])</f>
        <v>21-SUB</v>
      </c>
    </row>
    <row r="3189" spans="1:7" x14ac:dyDescent="0.25">
      <c r="A3189">
        <v>17348</v>
      </c>
      <c r="B3189">
        <v>304</v>
      </c>
      <c r="C3189" s="1" t="str">
        <f>IF(Tabela8[[#This Row],[SETOR]]="","",IF(Tabela8[[#This Row],[SETOR]]&lt;200,"GV 10",IF(Tabela8[[#This Row],[SETOR]]&lt;300,"GV 20",IF(Tabela8[[#This Row],[SETOR]]&lt;400,"GV 30","S/GV"))))</f>
        <v>GV 30</v>
      </c>
      <c r="E3189" t="s">
        <v>123</v>
      </c>
      <c r="G3189" t="str">
        <f>_xlfn.CONCAT(Tabela9[[#This Row],[Coluna1]],Tabela9[[#This Row],[Coluna2]])</f>
        <v>20-Rota</v>
      </c>
    </row>
    <row r="3190" spans="1:7" x14ac:dyDescent="0.25">
      <c r="A3190">
        <v>17349</v>
      </c>
      <c r="B3190">
        <v>102</v>
      </c>
      <c r="C3190" s="1" t="str">
        <f>IF(Tabela8[[#This Row],[SETOR]]="","",IF(Tabela8[[#This Row],[SETOR]]&lt;200,"GV 10",IF(Tabela8[[#This Row],[SETOR]]&lt;300,"GV 20",IF(Tabela8[[#This Row],[SETOR]]&lt;400,"GV 30","S/GV"))))</f>
        <v>GV 10</v>
      </c>
      <c r="E3190" t="s">
        <v>123</v>
      </c>
      <c r="G3190" t="str">
        <f>_xlfn.CONCAT(Tabela9[[#This Row],[Coluna1]],Tabela9[[#This Row],[Coluna2]])</f>
        <v>20-Rota</v>
      </c>
    </row>
    <row r="3191" spans="1:7" x14ac:dyDescent="0.25">
      <c r="A3191">
        <v>17350</v>
      </c>
      <c r="B3191">
        <v>109</v>
      </c>
      <c r="C3191" s="1" t="str">
        <f>IF(Tabela8[[#This Row],[SETOR]]="","",IF(Tabela8[[#This Row],[SETOR]]&lt;200,"GV 10",IF(Tabela8[[#This Row],[SETOR]]&lt;300,"GV 20",IF(Tabela8[[#This Row],[SETOR]]&lt;400,"GV 30","S/GV"))))</f>
        <v>GV 10</v>
      </c>
      <c r="E3191" t="s">
        <v>123</v>
      </c>
      <c r="G3191" t="str">
        <f>_xlfn.CONCAT(Tabela9[[#This Row],[Coluna1]],Tabela9[[#This Row],[Coluna2]])</f>
        <v>20-Rota</v>
      </c>
    </row>
    <row r="3192" spans="1:7" x14ac:dyDescent="0.25">
      <c r="A3192">
        <v>17351</v>
      </c>
      <c r="B3192">
        <v>308</v>
      </c>
      <c r="C3192" s="1" t="str">
        <f>IF(Tabela8[[#This Row],[SETOR]]="","",IF(Tabela8[[#This Row],[SETOR]]&lt;200,"GV 10",IF(Tabela8[[#This Row],[SETOR]]&lt;300,"GV 20",IF(Tabela8[[#This Row],[SETOR]]&lt;400,"GV 30","S/GV"))))</f>
        <v>GV 30</v>
      </c>
      <c r="E3192" t="s">
        <v>128</v>
      </c>
      <c r="F3192" t="s">
        <v>129</v>
      </c>
      <c r="G3192" t="str">
        <f>_xlfn.CONCAT(Tabela9[[#This Row],[Coluna1]],Tabela9[[#This Row],[Coluna2]])</f>
        <v>15-AS(1-4)</v>
      </c>
    </row>
    <row r="3193" spans="1:7" x14ac:dyDescent="0.25">
      <c r="A3193">
        <v>17352</v>
      </c>
      <c r="B3193">
        <v>107</v>
      </c>
      <c r="C3193" s="1" t="str">
        <f>IF(Tabela8[[#This Row],[SETOR]]="","",IF(Tabela8[[#This Row],[SETOR]]&lt;200,"GV 10",IF(Tabela8[[#This Row],[SETOR]]&lt;300,"GV 20",IF(Tabela8[[#This Row],[SETOR]]&lt;400,"GV 30","S/GV"))))</f>
        <v>GV 10</v>
      </c>
      <c r="E3193" t="s">
        <v>130</v>
      </c>
      <c r="G3193" t="str">
        <f>_xlfn.CONCAT(Tabela9[[#This Row],[Coluna1]],Tabela9[[#This Row],[Coluna2]])</f>
        <v>21-SUB</v>
      </c>
    </row>
    <row r="3194" spans="1:7" x14ac:dyDescent="0.25">
      <c r="A3194">
        <v>17355</v>
      </c>
      <c r="B3194">
        <v>301</v>
      </c>
      <c r="C3194" s="1" t="str">
        <f>IF(Tabela8[[#This Row],[SETOR]]="","",IF(Tabela8[[#This Row],[SETOR]]&lt;200,"GV 10",IF(Tabela8[[#This Row],[SETOR]]&lt;300,"GV 20",IF(Tabela8[[#This Row],[SETOR]]&lt;400,"GV 30","S/GV"))))</f>
        <v>GV 30</v>
      </c>
      <c r="E3194" t="s">
        <v>123</v>
      </c>
      <c r="G3194" t="str">
        <f>_xlfn.CONCAT(Tabela9[[#This Row],[Coluna1]],Tabela9[[#This Row],[Coluna2]])</f>
        <v>20-Rota</v>
      </c>
    </row>
    <row r="3195" spans="1:7" x14ac:dyDescent="0.25">
      <c r="A3195">
        <v>17358</v>
      </c>
      <c r="B3195">
        <v>205</v>
      </c>
      <c r="C3195" s="1" t="str">
        <f>IF(Tabela8[[#This Row],[SETOR]]="","",IF(Tabela8[[#This Row],[SETOR]]&lt;200,"GV 10",IF(Tabela8[[#This Row],[SETOR]]&lt;300,"GV 20",IF(Tabela8[[#This Row],[SETOR]]&lt;400,"GV 30","S/GV"))))</f>
        <v>GV 20</v>
      </c>
      <c r="E3195" t="s">
        <v>123</v>
      </c>
      <c r="G3195" t="str">
        <f>_xlfn.CONCAT(Tabela9[[#This Row],[Coluna1]],Tabela9[[#This Row],[Coluna2]])</f>
        <v>20-Rota</v>
      </c>
    </row>
    <row r="3196" spans="1:7" x14ac:dyDescent="0.25">
      <c r="A3196">
        <v>17359</v>
      </c>
      <c r="B3196">
        <v>206</v>
      </c>
      <c r="C3196" s="1" t="str">
        <f>IF(Tabela8[[#This Row],[SETOR]]="","",IF(Tabela8[[#This Row],[SETOR]]&lt;200,"GV 10",IF(Tabela8[[#This Row],[SETOR]]&lt;300,"GV 20",IF(Tabela8[[#This Row],[SETOR]]&lt;400,"GV 30","S/GV"))))</f>
        <v>GV 20</v>
      </c>
      <c r="E3196" t="s">
        <v>123</v>
      </c>
      <c r="G3196" t="str">
        <f>_xlfn.CONCAT(Tabela9[[#This Row],[Coluna1]],Tabela9[[#This Row],[Coluna2]])</f>
        <v>20-Rota</v>
      </c>
    </row>
    <row r="3197" spans="1:7" x14ac:dyDescent="0.25">
      <c r="A3197">
        <v>17360</v>
      </c>
      <c r="B3197">
        <v>105</v>
      </c>
      <c r="C3197" s="1" t="str">
        <f>IF(Tabela8[[#This Row],[SETOR]]="","",IF(Tabela8[[#This Row],[SETOR]]&lt;200,"GV 10",IF(Tabela8[[#This Row],[SETOR]]&lt;300,"GV 20",IF(Tabela8[[#This Row],[SETOR]]&lt;400,"GV 30","S/GV"))))</f>
        <v>GV 10</v>
      </c>
      <c r="E3197" t="s">
        <v>123</v>
      </c>
      <c r="G3197" t="str">
        <f>_xlfn.CONCAT(Tabela9[[#This Row],[Coluna1]],Tabela9[[#This Row],[Coluna2]])</f>
        <v>20-Rota</v>
      </c>
    </row>
    <row r="3198" spans="1:7" x14ac:dyDescent="0.25">
      <c r="A3198">
        <v>17361</v>
      </c>
      <c r="B3198">
        <v>303</v>
      </c>
      <c r="C3198" s="1" t="str">
        <f>IF(Tabela8[[#This Row],[SETOR]]="","",IF(Tabela8[[#This Row],[SETOR]]&lt;200,"GV 10",IF(Tabela8[[#This Row],[SETOR]]&lt;300,"GV 20",IF(Tabela8[[#This Row],[SETOR]]&lt;400,"GV 30","S/GV"))))</f>
        <v>GV 30</v>
      </c>
      <c r="E3198" t="s">
        <v>123</v>
      </c>
      <c r="G3198" t="str">
        <f>_xlfn.CONCAT(Tabela9[[#This Row],[Coluna1]],Tabela9[[#This Row],[Coluna2]])</f>
        <v>20-Rota</v>
      </c>
    </row>
    <row r="3199" spans="1:7" x14ac:dyDescent="0.25">
      <c r="A3199">
        <v>17363</v>
      </c>
      <c r="B3199">
        <v>204</v>
      </c>
      <c r="C3199" s="1" t="str">
        <f>IF(Tabela8[[#This Row],[SETOR]]="","",IF(Tabela8[[#This Row],[SETOR]]&lt;200,"GV 10",IF(Tabela8[[#This Row],[SETOR]]&lt;300,"GV 20",IF(Tabela8[[#This Row],[SETOR]]&lt;400,"GV 30","S/GV"))))</f>
        <v>GV 20</v>
      </c>
      <c r="E3199" t="s">
        <v>123</v>
      </c>
      <c r="G3199" t="str">
        <f>_xlfn.CONCAT(Tabela9[[#This Row],[Coluna1]],Tabela9[[#This Row],[Coluna2]])</f>
        <v>20-Rota</v>
      </c>
    </row>
    <row r="3200" spans="1:7" x14ac:dyDescent="0.25">
      <c r="A3200">
        <v>17366</v>
      </c>
      <c r="B3200">
        <v>302</v>
      </c>
      <c r="C3200" s="1" t="str">
        <f>IF(Tabela8[[#This Row],[SETOR]]="","",IF(Tabela8[[#This Row],[SETOR]]&lt;200,"GV 10",IF(Tabela8[[#This Row],[SETOR]]&lt;300,"GV 20",IF(Tabela8[[#This Row],[SETOR]]&lt;400,"GV 30","S/GV"))))</f>
        <v>GV 30</v>
      </c>
      <c r="E3200" t="s">
        <v>123</v>
      </c>
      <c r="G3200" t="str">
        <f>_xlfn.CONCAT(Tabela9[[#This Row],[Coluna1]],Tabela9[[#This Row],[Coluna2]])</f>
        <v>20-Rota</v>
      </c>
    </row>
    <row r="3201" spans="1:7" x14ac:dyDescent="0.25">
      <c r="A3201">
        <v>17367</v>
      </c>
      <c r="B3201">
        <v>304</v>
      </c>
      <c r="C3201" s="1" t="str">
        <f>IF(Tabela8[[#This Row],[SETOR]]="","",IF(Tabela8[[#This Row],[SETOR]]&lt;200,"GV 10",IF(Tabela8[[#This Row],[SETOR]]&lt;300,"GV 20",IF(Tabela8[[#This Row],[SETOR]]&lt;400,"GV 30","S/GV"))))</f>
        <v>GV 30</v>
      </c>
      <c r="E3201" t="s">
        <v>123</v>
      </c>
      <c r="G3201" t="str">
        <f>_xlfn.CONCAT(Tabela9[[#This Row],[Coluna1]],Tabela9[[#This Row],[Coluna2]])</f>
        <v>20-Rota</v>
      </c>
    </row>
    <row r="3202" spans="1:7" x14ac:dyDescent="0.25">
      <c r="A3202">
        <v>17368</v>
      </c>
      <c r="B3202">
        <v>203</v>
      </c>
      <c r="C3202" s="1" t="str">
        <f>IF(Tabela8[[#This Row],[SETOR]]="","",IF(Tabela8[[#This Row],[SETOR]]&lt;200,"GV 10",IF(Tabela8[[#This Row],[SETOR]]&lt;300,"GV 20",IF(Tabela8[[#This Row],[SETOR]]&lt;400,"GV 30","S/GV"))))</f>
        <v>GV 20</v>
      </c>
      <c r="E3202" t="s">
        <v>123</v>
      </c>
      <c r="G3202" t="str">
        <f>_xlfn.CONCAT(Tabela9[[#This Row],[Coluna1]],Tabela9[[#This Row],[Coluna2]])</f>
        <v>20-Rota</v>
      </c>
    </row>
    <row r="3203" spans="1:7" x14ac:dyDescent="0.25">
      <c r="A3203">
        <v>17369</v>
      </c>
      <c r="B3203">
        <v>207</v>
      </c>
      <c r="C3203" s="1" t="str">
        <f>IF(Tabela8[[#This Row],[SETOR]]="","",IF(Tabela8[[#This Row],[SETOR]]&lt;200,"GV 10",IF(Tabela8[[#This Row],[SETOR]]&lt;300,"GV 20",IF(Tabela8[[#This Row],[SETOR]]&lt;400,"GV 30","S/GV"))))</f>
        <v>GV 20</v>
      </c>
      <c r="E3203" t="s">
        <v>130</v>
      </c>
      <c r="G3203" t="str">
        <f>_xlfn.CONCAT(Tabela9[[#This Row],[Coluna1]],Tabela9[[#This Row],[Coluna2]])</f>
        <v>21-SUB</v>
      </c>
    </row>
    <row r="3204" spans="1:7" x14ac:dyDescent="0.25">
      <c r="A3204">
        <v>17373</v>
      </c>
      <c r="B3204">
        <v>202</v>
      </c>
      <c r="C3204" s="1" t="str">
        <f>IF(Tabela8[[#This Row],[SETOR]]="","",IF(Tabela8[[#This Row],[SETOR]]&lt;200,"GV 10",IF(Tabela8[[#This Row],[SETOR]]&lt;300,"GV 20",IF(Tabela8[[#This Row],[SETOR]]&lt;400,"GV 30","S/GV"))))</f>
        <v>GV 20</v>
      </c>
      <c r="E3204" t="s">
        <v>125</v>
      </c>
      <c r="G3204" t="str">
        <f>_xlfn.CONCAT(Tabela9[[#This Row],[Coluna1]],Tabela9[[#This Row],[Coluna2]])</f>
        <v>18-TRAD</v>
      </c>
    </row>
    <row r="3205" spans="1:7" x14ac:dyDescent="0.25">
      <c r="A3205">
        <v>17376</v>
      </c>
      <c r="B3205">
        <v>205</v>
      </c>
      <c r="C3205" s="1" t="str">
        <f>IF(Tabela8[[#This Row],[SETOR]]="","",IF(Tabela8[[#This Row],[SETOR]]&lt;200,"GV 10",IF(Tabela8[[#This Row],[SETOR]]&lt;300,"GV 20",IF(Tabela8[[#This Row],[SETOR]]&lt;400,"GV 30","S/GV"))))</f>
        <v>GV 20</v>
      </c>
      <c r="E3205" t="s">
        <v>123</v>
      </c>
      <c r="G3205" t="str">
        <f>_xlfn.CONCAT(Tabela9[[#This Row],[Coluna1]],Tabela9[[#This Row],[Coluna2]])</f>
        <v>20-Rota</v>
      </c>
    </row>
    <row r="3206" spans="1:7" x14ac:dyDescent="0.25">
      <c r="A3206">
        <v>17377</v>
      </c>
      <c r="B3206">
        <v>103</v>
      </c>
      <c r="C3206" s="1" t="str">
        <f>IF(Tabela8[[#This Row],[SETOR]]="","",IF(Tabela8[[#This Row],[SETOR]]&lt;200,"GV 10",IF(Tabela8[[#This Row],[SETOR]]&lt;300,"GV 20",IF(Tabela8[[#This Row],[SETOR]]&lt;400,"GV 30","S/GV"))))</f>
        <v>GV 10</v>
      </c>
      <c r="E3206" t="s">
        <v>125</v>
      </c>
      <c r="G3206" t="str">
        <f>_xlfn.CONCAT(Tabela9[[#This Row],[Coluna1]],Tabela9[[#This Row],[Coluna2]])</f>
        <v>18-TRAD</v>
      </c>
    </row>
    <row r="3207" spans="1:7" x14ac:dyDescent="0.25">
      <c r="A3207">
        <v>17385</v>
      </c>
      <c r="B3207">
        <v>103</v>
      </c>
      <c r="C3207" s="1" t="str">
        <f>IF(Tabela8[[#This Row],[SETOR]]="","",IF(Tabela8[[#This Row],[SETOR]]&lt;200,"GV 10",IF(Tabela8[[#This Row],[SETOR]]&lt;300,"GV 20",IF(Tabela8[[#This Row],[SETOR]]&lt;400,"GV 30","S/GV"))))</f>
        <v>GV 10</v>
      </c>
      <c r="E3207" t="s">
        <v>123</v>
      </c>
      <c r="G3207" t="str">
        <f>_xlfn.CONCAT(Tabela9[[#This Row],[Coluna1]],Tabela9[[#This Row],[Coluna2]])</f>
        <v>20-Rota</v>
      </c>
    </row>
    <row r="3208" spans="1:7" x14ac:dyDescent="0.25">
      <c r="A3208">
        <v>17387</v>
      </c>
      <c r="B3208">
        <v>105</v>
      </c>
      <c r="C3208" s="1" t="str">
        <f>IF(Tabela8[[#This Row],[SETOR]]="","",IF(Tabela8[[#This Row],[SETOR]]&lt;200,"GV 10",IF(Tabela8[[#This Row],[SETOR]]&lt;300,"GV 20",IF(Tabela8[[#This Row],[SETOR]]&lt;400,"GV 30","S/GV"))))</f>
        <v>GV 10</v>
      </c>
      <c r="E3208" t="s">
        <v>125</v>
      </c>
      <c r="G3208" t="str">
        <f>_xlfn.CONCAT(Tabela9[[#This Row],[Coluna1]],Tabela9[[#This Row],[Coluna2]])</f>
        <v>18-TRAD</v>
      </c>
    </row>
    <row r="3209" spans="1:7" x14ac:dyDescent="0.25">
      <c r="A3209">
        <v>17392</v>
      </c>
      <c r="B3209">
        <v>304</v>
      </c>
      <c r="C3209" s="1" t="str">
        <f>IF(Tabela8[[#This Row],[SETOR]]="","",IF(Tabela8[[#This Row],[SETOR]]&lt;200,"GV 10",IF(Tabela8[[#This Row],[SETOR]]&lt;300,"GV 20",IF(Tabela8[[#This Row],[SETOR]]&lt;400,"GV 30","S/GV"))))</f>
        <v>GV 30</v>
      </c>
      <c r="E3209" t="s">
        <v>130</v>
      </c>
      <c r="G3209" t="str">
        <f>_xlfn.CONCAT(Tabela9[[#This Row],[Coluna1]],Tabela9[[#This Row],[Coluna2]])</f>
        <v>21-SUB</v>
      </c>
    </row>
    <row r="3210" spans="1:7" x14ac:dyDescent="0.25">
      <c r="A3210">
        <v>17396</v>
      </c>
      <c r="B3210">
        <v>205</v>
      </c>
      <c r="C3210" s="1" t="str">
        <f>IF(Tabela8[[#This Row],[SETOR]]="","",IF(Tabela8[[#This Row],[SETOR]]&lt;200,"GV 10",IF(Tabela8[[#This Row],[SETOR]]&lt;300,"GV 20",IF(Tabela8[[#This Row],[SETOR]]&lt;400,"GV 30","S/GV"))))</f>
        <v>GV 20</v>
      </c>
      <c r="E3210" t="s">
        <v>123</v>
      </c>
      <c r="G3210" t="str">
        <f>_xlfn.CONCAT(Tabela9[[#This Row],[Coluna1]],Tabela9[[#This Row],[Coluna2]])</f>
        <v>20-Rota</v>
      </c>
    </row>
    <row r="3211" spans="1:7" x14ac:dyDescent="0.25">
      <c r="A3211">
        <v>17397</v>
      </c>
      <c r="B3211">
        <v>107</v>
      </c>
      <c r="C3211" s="1" t="str">
        <f>IF(Tabela8[[#This Row],[SETOR]]="","",IF(Tabela8[[#This Row],[SETOR]]&lt;200,"GV 10",IF(Tabela8[[#This Row],[SETOR]]&lt;300,"GV 20",IF(Tabela8[[#This Row],[SETOR]]&lt;400,"GV 30","S/GV"))))</f>
        <v>GV 10</v>
      </c>
      <c r="E3211" t="s">
        <v>130</v>
      </c>
      <c r="G3211" t="str">
        <f>_xlfn.CONCAT(Tabela9[[#This Row],[Coluna1]],Tabela9[[#This Row],[Coluna2]])</f>
        <v>21-SUB</v>
      </c>
    </row>
    <row r="3212" spans="1:7" x14ac:dyDescent="0.25">
      <c r="A3212">
        <v>17400</v>
      </c>
      <c r="B3212">
        <v>302</v>
      </c>
      <c r="C3212" s="1" t="str">
        <f>IF(Tabela8[[#This Row],[SETOR]]="","",IF(Tabela8[[#This Row],[SETOR]]&lt;200,"GV 10",IF(Tabela8[[#This Row],[SETOR]]&lt;300,"GV 20",IF(Tabela8[[#This Row],[SETOR]]&lt;400,"GV 30","S/GV"))))</f>
        <v>GV 30</v>
      </c>
      <c r="E3212" t="s">
        <v>123</v>
      </c>
      <c r="G3212" t="str">
        <f>_xlfn.CONCAT(Tabela9[[#This Row],[Coluna1]],Tabela9[[#This Row],[Coluna2]])</f>
        <v>20-Rota</v>
      </c>
    </row>
    <row r="3213" spans="1:7" x14ac:dyDescent="0.25">
      <c r="A3213">
        <v>17402</v>
      </c>
      <c r="B3213">
        <v>104</v>
      </c>
      <c r="C3213" s="1" t="str">
        <f>IF(Tabela8[[#This Row],[SETOR]]="","",IF(Tabela8[[#This Row],[SETOR]]&lt;200,"GV 10",IF(Tabela8[[#This Row],[SETOR]]&lt;300,"GV 20",IF(Tabela8[[#This Row],[SETOR]]&lt;400,"GV 30","S/GV"))))</f>
        <v>GV 10</v>
      </c>
      <c r="E3213" t="s">
        <v>123</v>
      </c>
      <c r="G3213" t="str">
        <f>_xlfn.CONCAT(Tabela9[[#This Row],[Coluna1]],Tabela9[[#This Row],[Coluna2]])</f>
        <v>20-Rota</v>
      </c>
    </row>
    <row r="3214" spans="1:7" x14ac:dyDescent="0.25">
      <c r="A3214">
        <v>17403</v>
      </c>
      <c r="B3214">
        <v>107</v>
      </c>
      <c r="C3214" s="1" t="str">
        <f>IF(Tabela8[[#This Row],[SETOR]]="","",IF(Tabela8[[#This Row],[SETOR]]&lt;200,"GV 10",IF(Tabela8[[#This Row],[SETOR]]&lt;300,"GV 20",IF(Tabela8[[#This Row],[SETOR]]&lt;400,"GV 30","S/GV"))))</f>
        <v>GV 10</v>
      </c>
      <c r="E3214" t="s">
        <v>125</v>
      </c>
      <c r="G3214" t="str">
        <f>_xlfn.CONCAT(Tabela9[[#This Row],[Coluna1]],Tabela9[[#This Row],[Coluna2]])</f>
        <v>18-TRAD</v>
      </c>
    </row>
    <row r="3215" spans="1:7" x14ac:dyDescent="0.25">
      <c r="A3215">
        <v>17404</v>
      </c>
      <c r="B3215">
        <v>205</v>
      </c>
      <c r="C3215" s="1" t="str">
        <f>IF(Tabela8[[#This Row],[SETOR]]="","",IF(Tabela8[[#This Row],[SETOR]]&lt;200,"GV 10",IF(Tabela8[[#This Row],[SETOR]]&lt;300,"GV 20",IF(Tabela8[[#This Row],[SETOR]]&lt;400,"GV 30","S/GV"))))</f>
        <v>GV 20</v>
      </c>
      <c r="E3215" t="s">
        <v>123</v>
      </c>
      <c r="G3215" t="str">
        <f>_xlfn.CONCAT(Tabela9[[#This Row],[Coluna1]],Tabela9[[#This Row],[Coluna2]])</f>
        <v>20-Rota</v>
      </c>
    </row>
    <row r="3216" spans="1:7" x14ac:dyDescent="0.25">
      <c r="A3216">
        <v>17408</v>
      </c>
      <c r="B3216">
        <v>105</v>
      </c>
      <c r="C3216" s="1" t="str">
        <f>IF(Tabela8[[#This Row],[SETOR]]="","",IF(Tabela8[[#This Row],[SETOR]]&lt;200,"GV 10",IF(Tabela8[[#This Row],[SETOR]]&lt;300,"GV 20",IF(Tabela8[[#This Row],[SETOR]]&lt;400,"GV 30","S/GV"))))</f>
        <v>GV 10</v>
      </c>
      <c r="E3216" t="s">
        <v>123</v>
      </c>
      <c r="G3216" t="str">
        <f>_xlfn.CONCAT(Tabela9[[#This Row],[Coluna1]],Tabela9[[#This Row],[Coluna2]])</f>
        <v>20-Rota</v>
      </c>
    </row>
    <row r="3217" spans="1:7" x14ac:dyDescent="0.25">
      <c r="A3217">
        <v>17412</v>
      </c>
      <c r="B3217">
        <v>206</v>
      </c>
      <c r="C3217" s="1" t="str">
        <f>IF(Tabela8[[#This Row],[SETOR]]="","",IF(Tabela8[[#This Row],[SETOR]]&lt;200,"GV 10",IF(Tabela8[[#This Row],[SETOR]]&lt;300,"GV 20",IF(Tabela8[[#This Row],[SETOR]]&lt;400,"GV 30","S/GV"))))</f>
        <v>GV 20</v>
      </c>
      <c r="E3217" t="s">
        <v>125</v>
      </c>
      <c r="G3217" t="str">
        <f>_xlfn.CONCAT(Tabela9[[#This Row],[Coluna1]],Tabela9[[#This Row],[Coluna2]])</f>
        <v>18-TRAD</v>
      </c>
    </row>
    <row r="3218" spans="1:7" x14ac:dyDescent="0.25">
      <c r="A3218">
        <v>17413</v>
      </c>
      <c r="B3218">
        <v>106</v>
      </c>
      <c r="C3218" s="1" t="str">
        <f>IF(Tabela8[[#This Row],[SETOR]]="","",IF(Tabela8[[#This Row],[SETOR]]&lt;200,"GV 10",IF(Tabela8[[#This Row],[SETOR]]&lt;300,"GV 20",IF(Tabela8[[#This Row],[SETOR]]&lt;400,"GV 30","S/GV"))))</f>
        <v>GV 10</v>
      </c>
      <c r="E3218" t="s">
        <v>123</v>
      </c>
      <c r="G3218" t="str">
        <f>_xlfn.CONCAT(Tabela9[[#This Row],[Coluna1]],Tabela9[[#This Row],[Coluna2]])</f>
        <v>20-Rota</v>
      </c>
    </row>
    <row r="3219" spans="1:7" x14ac:dyDescent="0.25">
      <c r="A3219">
        <v>17414</v>
      </c>
      <c r="B3219">
        <v>306</v>
      </c>
      <c r="C3219" s="1" t="str">
        <f>IF(Tabela8[[#This Row],[SETOR]]="","",IF(Tabela8[[#This Row],[SETOR]]&lt;200,"GV 10",IF(Tabela8[[#This Row],[SETOR]]&lt;300,"GV 20",IF(Tabela8[[#This Row],[SETOR]]&lt;400,"GV 30","S/GV"))))</f>
        <v>GV 30</v>
      </c>
      <c r="E3219" t="s">
        <v>128</v>
      </c>
      <c r="F3219" t="s">
        <v>129</v>
      </c>
      <c r="G3219" t="str">
        <f>_xlfn.CONCAT(Tabela9[[#This Row],[Coluna1]],Tabela9[[#This Row],[Coluna2]])</f>
        <v>15-AS(1-4)</v>
      </c>
    </row>
    <row r="3220" spans="1:7" x14ac:dyDescent="0.25">
      <c r="A3220">
        <v>17418</v>
      </c>
      <c r="B3220">
        <v>103</v>
      </c>
      <c r="C3220" s="1" t="str">
        <f>IF(Tabela8[[#This Row],[SETOR]]="","",IF(Tabela8[[#This Row],[SETOR]]&lt;200,"GV 10",IF(Tabela8[[#This Row],[SETOR]]&lt;300,"GV 20",IF(Tabela8[[#This Row],[SETOR]]&lt;400,"GV 30","S/GV"))))</f>
        <v>GV 10</v>
      </c>
      <c r="E3220" t="s">
        <v>123</v>
      </c>
      <c r="G3220" t="str">
        <f>_xlfn.CONCAT(Tabela9[[#This Row],[Coluna1]],Tabela9[[#This Row],[Coluna2]])</f>
        <v>20-Rota</v>
      </c>
    </row>
    <row r="3221" spans="1:7" x14ac:dyDescent="0.25">
      <c r="A3221">
        <v>17419</v>
      </c>
      <c r="B3221">
        <v>301</v>
      </c>
      <c r="C3221" s="1" t="str">
        <f>IF(Tabela8[[#This Row],[SETOR]]="","",IF(Tabela8[[#This Row],[SETOR]]&lt;200,"GV 10",IF(Tabela8[[#This Row],[SETOR]]&lt;300,"GV 20",IF(Tabela8[[#This Row],[SETOR]]&lt;400,"GV 30","S/GV"))))</f>
        <v>GV 30</v>
      </c>
      <c r="E3221" t="s">
        <v>123</v>
      </c>
      <c r="G3221" t="str">
        <f>_xlfn.CONCAT(Tabela9[[#This Row],[Coluna1]],Tabela9[[#This Row],[Coluna2]])</f>
        <v>20-Rota</v>
      </c>
    </row>
    <row r="3222" spans="1:7" x14ac:dyDescent="0.25">
      <c r="A3222">
        <v>17420</v>
      </c>
      <c r="B3222">
        <v>907</v>
      </c>
      <c r="C3222" s="1" t="str">
        <f>IF(Tabela8[[#This Row],[SETOR]]="","",IF(Tabela8[[#This Row],[SETOR]]&lt;200,"GV 10",IF(Tabela8[[#This Row],[SETOR]]&lt;300,"GV 20",IF(Tabela8[[#This Row],[SETOR]]&lt;400,"GV 30","S/GV"))))</f>
        <v>S/GV</v>
      </c>
      <c r="G3222" t="str">
        <f>_xlfn.CONCAT(Tabela9[[#This Row],[Coluna1]],Tabela9[[#This Row],[Coluna2]])</f>
        <v/>
      </c>
    </row>
    <row r="3223" spans="1:7" x14ac:dyDescent="0.25">
      <c r="A3223">
        <v>17422</v>
      </c>
      <c r="B3223">
        <v>202</v>
      </c>
      <c r="C3223" s="1" t="str">
        <f>IF(Tabela8[[#This Row],[SETOR]]="","",IF(Tabela8[[#This Row],[SETOR]]&lt;200,"GV 10",IF(Tabela8[[#This Row],[SETOR]]&lt;300,"GV 20",IF(Tabela8[[#This Row],[SETOR]]&lt;400,"GV 30","S/GV"))))</f>
        <v>GV 20</v>
      </c>
      <c r="E3223" t="s">
        <v>123</v>
      </c>
      <c r="G3223" t="str">
        <f>_xlfn.CONCAT(Tabela9[[#This Row],[Coluna1]],Tabela9[[#This Row],[Coluna2]])</f>
        <v>20-Rota</v>
      </c>
    </row>
    <row r="3224" spans="1:7" x14ac:dyDescent="0.25">
      <c r="A3224">
        <v>17425</v>
      </c>
      <c r="B3224">
        <v>204</v>
      </c>
      <c r="C3224" s="1" t="str">
        <f>IF(Tabela8[[#This Row],[SETOR]]="","",IF(Tabela8[[#This Row],[SETOR]]&lt;200,"GV 10",IF(Tabela8[[#This Row],[SETOR]]&lt;300,"GV 20",IF(Tabela8[[#This Row],[SETOR]]&lt;400,"GV 30","S/GV"))))</f>
        <v>GV 20</v>
      </c>
      <c r="E3224" t="s">
        <v>130</v>
      </c>
      <c r="G3224" t="str">
        <f>_xlfn.CONCAT(Tabela9[[#This Row],[Coluna1]],Tabela9[[#This Row],[Coluna2]])</f>
        <v>21-SUB</v>
      </c>
    </row>
    <row r="3225" spans="1:7" x14ac:dyDescent="0.25">
      <c r="A3225">
        <v>17427</v>
      </c>
      <c r="B3225">
        <v>306</v>
      </c>
      <c r="C3225" s="1" t="str">
        <f>IF(Tabela8[[#This Row],[SETOR]]="","",IF(Tabela8[[#This Row],[SETOR]]&lt;200,"GV 10",IF(Tabela8[[#This Row],[SETOR]]&lt;300,"GV 20",IF(Tabela8[[#This Row],[SETOR]]&lt;400,"GV 30","S/GV"))))</f>
        <v>GV 30</v>
      </c>
      <c r="E3225" t="s">
        <v>125</v>
      </c>
      <c r="G3225" t="str">
        <f>_xlfn.CONCAT(Tabela9[[#This Row],[Coluna1]],Tabela9[[#This Row],[Coluna2]])</f>
        <v>18-TRAD</v>
      </c>
    </row>
    <row r="3226" spans="1:7" x14ac:dyDescent="0.25">
      <c r="A3226">
        <v>17429</v>
      </c>
      <c r="B3226">
        <v>102</v>
      </c>
      <c r="C3226" s="1" t="str">
        <f>IF(Tabela8[[#This Row],[SETOR]]="","",IF(Tabela8[[#This Row],[SETOR]]&lt;200,"GV 10",IF(Tabela8[[#This Row],[SETOR]]&lt;300,"GV 20",IF(Tabela8[[#This Row],[SETOR]]&lt;400,"GV 30","S/GV"))))</f>
        <v>GV 10</v>
      </c>
      <c r="E3226" t="s">
        <v>123</v>
      </c>
      <c r="G3226" t="str">
        <f>_xlfn.CONCAT(Tabela9[[#This Row],[Coluna1]],Tabela9[[#This Row],[Coluna2]])</f>
        <v>20-Rota</v>
      </c>
    </row>
    <row r="3227" spans="1:7" x14ac:dyDescent="0.25">
      <c r="A3227">
        <v>17431</v>
      </c>
      <c r="B3227">
        <v>307</v>
      </c>
      <c r="C3227" s="1" t="str">
        <f>IF(Tabela8[[#This Row],[SETOR]]="","",IF(Tabela8[[#This Row],[SETOR]]&lt;200,"GV 10",IF(Tabela8[[#This Row],[SETOR]]&lt;300,"GV 20",IF(Tabela8[[#This Row],[SETOR]]&lt;400,"GV 30","S/GV"))))</f>
        <v>GV 30</v>
      </c>
      <c r="E3227" t="s">
        <v>130</v>
      </c>
      <c r="G3227" t="str">
        <f>_xlfn.CONCAT(Tabela9[[#This Row],[Coluna1]],Tabela9[[#This Row],[Coluna2]])</f>
        <v>21-SUB</v>
      </c>
    </row>
    <row r="3228" spans="1:7" x14ac:dyDescent="0.25">
      <c r="A3228">
        <v>17432</v>
      </c>
      <c r="B3228">
        <v>202</v>
      </c>
      <c r="C3228" s="1" t="str">
        <f>IF(Tabela8[[#This Row],[SETOR]]="","",IF(Tabela8[[#This Row],[SETOR]]&lt;200,"GV 10",IF(Tabela8[[#This Row],[SETOR]]&lt;300,"GV 20",IF(Tabela8[[#This Row],[SETOR]]&lt;400,"GV 30","S/GV"))))</f>
        <v>GV 20</v>
      </c>
      <c r="E3228" t="s">
        <v>123</v>
      </c>
      <c r="G3228" t="str">
        <f>_xlfn.CONCAT(Tabela9[[#This Row],[Coluna1]],Tabela9[[#This Row],[Coluna2]])</f>
        <v>20-Rota</v>
      </c>
    </row>
    <row r="3229" spans="1:7" x14ac:dyDescent="0.25">
      <c r="A3229">
        <v>17434</v>
      </c>
      <c r="B3229">
        <v>108</v>
      </c>
      <c r="C3229" s="1" t="str">
        <f>IF(Tabela8[[#This Row],[SETOR]]="","",IF(Tabela8[[#This Row],[SETOR]]&lt;200,"GV 10",IF(Tabela8[[#This Row],[SETOR]]&lt;300,"GV 20",IF(Tabela8[[#This Row],[SETOR]]&lt;400,"GV 30","S/GV"))))</f>
        <v>GV 10</v>
      </c>
      <c r="E3229" t="s">
        <v>131</v>
      </c>
      <c r="F3229" t="s">
        <v>132</v>
      </c>
      <c r="G3229" t="str">
        <f>_xlfn.CONCAT(Tabela9[[#This Row],[Coluna1]],Tabela9[[#This Row],[Coluna2]])</f>
        <v>14-Lj.Conveniência</v>
      </c>
    </row>
    <row r="3230" spans="1:7" x14ac:dyDescent="0.25">
      <c r="A3230">
        <v>17435</v>
      </c>
      <c r="B3230">
        <v>301</v>
      </c>
      <c r="C3230" s="1" t="str">
        <f>IF(Tabela8[[#This Row],[SETOR]]="","",IF(Tabela8[[#This Row],[SETOR]]&lt;200,"GV 10",IF(Tabela8[[#This Row],[SETOR]]&lt;300,"GV 20",IF(Tabela8[[#This Row],[SETOR]]&lt;400,"GV 30","S/GV"))))</f>
        <v>GV 30</v>
      </c>
      <c r="E3230" t="s">
        <v>123</v>
      </c>
      <c r="G3230" t="str">
        <f>_xlfn.CONCAT(Tabela9[[#This Row],[Coluna1]],Tabela9[[#This Row],[Coluna2]])</f>
        <v>20-Rota</v>
      </c>
    </row>
    <row r="3231" spans="1:7" x14ac:dyDescent="0.25">
      <c r="A3231">
        <v>17436</v>
      </c>
      <c r="B3231">
        <v>201</v>
      </c>
      <c r="C3231" s="1" t="str">
        <f>IF(Tabela8[[#This Row],[SETOR]]="","",IF(Tabela8[[#This Row],[SETOR]]&lt;200,"GV 10",IF(Tabela8[[#This Row],[SETOR]]&lt;300,"GV 20",IF(Tabela8[[#This Row],[SETOR]]&lt;400,"GV 30","S/GV"))))</f>
        <v>GV 20</v>
      </c>
      <c r="E3231" t="s">
        <v>123</v>
      </c>
      <c r="G3231" t="str">
        <f>_xlfn.CONCAT(Tabela9[[#This Row],[Coluna1]],Tabela9[[#This Row],[Coluna2]])</f>
        <v>20-Rota</v>
      </c>
    </row>
    <row r="3232" spans="1:7" x14ac:dyDescent="0.25">
      <c r="A3232">
        <v>17439</v>
      </c>
      <c r="B3232">
        <v>208</v>
      </c>
      <c r="C3232" s="1" t="str">
        <f>IF(Tabela8[[#This Row],[SETOR]]="","",IF(Tabela8[[#This Row],[SETOR]]&lt;200,"GV 10",IF(Tabela8[[#This Row],[SETOR]]&lt;300,"GV 20",IF(Tabela8[[#This Row],[SETOR]]&lt;400,"GV 30","S/GV"))))</f>
        <v>GV 20</v>
      </c>
      <c r="E3232" t="s">
        <v>126</v>
      </c>
      <c r="F3232" t="s">
        <v>127</v>
      </c>
      <c r="G3232" t="str">
        <f>_xlfn.CONCAT(Tabela9[[#This Row],[Coluna1]],Tabela9[[#This Row],[Coluna2]])</f>
        <v>16-AS(5+)</v>
      </c>
    </row>
    <row r="3233" spans="1:7" x14ac:dyDescent="0.25">
      <c r="A3233">
        <v>17444</v>
      </c>
      <c r="B3233">
        <v>305</v>
      </c>
      <c r="C3233" s="1" t="str">
        <f>IF(Tabela8[[#This Row],[SETOR]]="","",IF(Tabela8[[#This Row],[SETOR]]&lt;200,"GV 10",IF(Tabela8[[#This Row],[SETOR]]&lt;300,"GV 20",IF(Tabela8[[#This Row],[SETOR]]&lt;400,"GV 30","S/GV"))))</f>
        <v>GV 30</v>
      </c>
      <c r="E3233" t="s">
        <v>123</v>
      </c>
      <c r="G3233" t="str">
        <f>_xlfn.CONCAT(Tabela9[[#This Row],[Coluna1]],Tabela9[[#This Row],[Coluna2]])</f>
        <v>20-Rota</v>
      </c>
    </row>
    <row r="3234" spans="1:7" x14ac:dyDescent="0.25">
      <c r="A3234">
        <v>17446</v>
      </c>
      <c r="B3234">
        <v>207</v>
      </c>
      <c r="C3234" s="1" t="str">
        <f>IF(Tabela8[[#This Row],[SETOR]]="","",IF(Tabela8[[#This Row],[SETOR]]&lt;200,"GV 10",IF(Tabela8[[#This Row],[SETOR]]&lt;300,"GV 20",IF(Tabela8[[#This Row],[SETOR]]&lt;400,"GV 30","S/GV"))))</f>
        <v>GV 20</v>
      </c>
      <c r="E3234" t="s">
        <v>130</v>
      </c>
      <c r="G3234" t="str">
        <f>_xlfn.CONCAT(Tabela9[[#This Row],[Coluna1]],Tabela9[[#This Row],[Coluna2]])</f>
        <v>21-SUB</v>
      </c>
    </row>
    <row r="3235" spans="1:7" x14ac:dyDescent="0.25">
      <c r="A3235">
        <v>17449</v>
      </c>
      <c r="B3235">
        <v>201</v>
      </c>
      <c r="C3235" s="1" t="str">
        <f>IF(Tabela8[[#This Row],[SETOR]]="","",IF(Tabela8[[#This Row],[SETOR]]&lt;200,"GV 10",IF(Tabela8[[#This Row],[SETOR]]&lt;300,"GV 20",IF(Tabela8[[#This Row],[SETOR]]&lt;400,"GV 30","S/GV"))))</f>
        <v>GV 20</v>
      </c>
      <c r="E3235" t="s">
        <v>125</v>
      </c>
      <c r="G3235" t="str">
        <f>_xlfn.CONCAT(Tabela9[[#This Row],[Coluna1]],Tabela9[[#This Row],[Coluna2]])</f>
        <v>18-TRAD</v>
      </c>
    </row>
    <row r="3236" spans="1:7" x14ac:dyDescent="0.25">
      <c r="A3236">
        <v>17450</v>
      </c>
      <c r="B3236">
        <v>101</v>
      </c>
      <c r="C3236" s="1" t="str">
        <f>IF(Tabela8[[#This Row],[SETOR]]="","",IF(Tabela8[[#This Row],[SETOR]]&lt;200,"GV 10",IF(Tabela8[[#This Row],[SETOR]]&lt;300,"GV 20",IF(Tabela8[[#This Row],[SETOR]]&lt;400,"GV 30","S/GV"))))</f>
        <v>GV 10</v>
      </c>
      <c r="E3236" t="s">
        <v>123</v>
      </c>
      <c r="G3236" t="str">
        <f>_xlfn.CONCAT(Tabela9[[#This Row],[Coluna1]],Tabela9[[#This Row],[Coluna2]])</f>
        <v>20-Rota</v>
      </c>
    </row>
    <row r="3237" spans="1:7" x14ac:dyDescent="0.25">
      <c r="A3237">
        <v>17451</v>
      </c>
      <c r="B3237">
        <v>203</v>
      </c>
      <c r="C3237" s="1" t="str">
        <f>IF(Tabela8[[#This Row],[SETOR]]="","",IF(Tabela8[[#This Row],[SETOR]]&lt;200,"GV 10",IF(Tabela8[[#This Row],[SETOR]]&lt;300,"GV 20",IF(Tabela8[[#This Row],[SETOR]]&lt;400,"GV 30","S/GV"))))</f>
        <v>GV 20</v>
      </c>
      <c r="E3237" t="s">
        <v>123</v>
      </c>
      <c r="G3237" t="str">
        <f>_xlfn.CONCAT(Tabela9[[#This Row],[Coluna1]],Tabela9[[#This Row],[Coluna2]])</f>
        <v>20-Rota</v>
      </c>
    </row>
    <row r="3238" spans="1:7" x14ac:dyDescent="0.25">
      <c r="A3238">
        <v>17453</v>
      </c>
      <c r="B3238">
        <v>102</v>
      </c>
      <c r="C3238" s="1" t="str">
        <f>IF(Tabela8[[#This Row],[SETOR]]="","",IF(Tabela8[[#This Row],[SETOR]]&lt;200,"GV 10",IF(Tabela8[[#This Row],[SETOR]]&lt;300,"GV 20",IF(Tabela8[[#This Row],[SETOR]]&lt;400,"GV 30","S/GV"))))</f>
        <v>GV 10</v>
      </c>
      <c r="E3238" t="s">
        <v>123</v>
      </c>
      <c r="G3238" t="str">
        <f>_xlfn.CONCAT(Tabela9[[#This Row],[Coluna1]],Tabela9[[#This Row],[Coluna2]])</f>
        <v>20-Rota</v>
      </c>
    </row>
    <row r="3239" spans="1:7" x14ac:dyDescent="0.25">
      <c r="A3239">
        <v>17454</v>
      </c>
      <c r="B3239">
        <v>302</v>
      </c>
      <c r="C3239" s="1" t="str">
        <f>IF(Tabela8[[#This Row],[SETOR]]="","",IF(Tabela8[[#This Row],[SETOR]]&lt;200,"GV 10",IF(Tabela8[[#This Row],[SETOR]]&lt;300,"GV 20",IF(Tabela8[[#This Row],[SETOR]]&lt;400,"GV 30","S/GV"))))</f>
        <v>GV 30</v>
      </c>
      <c r="E3239" t="s">
        <v>123</v>
      </c>
      <c r="G3239" t="str">
        <f>_xlfn.CONCAT(Tabela9[[#This Row],[Coluna1]],Tabela9[[#This Row],[Coluna2]])</f>
        <v>20-Rota</v>
      </c>
    </row>
    <row r="3240" spans="1:7" x14ac:dyDescent="0.25">
      <c r="A3240">
        <v>17456</v>
      </c>
      <c r="B3240">
        <v>304</v>
      </c>
      <c r="C3240" s="1" t="str">
        <f>IF(Tabela8[[#This Row],[SETOR]]="","",IF(Tabela8[[#This Row],[SETOR]]&lt;200,"GV 10",IF(Tabela8[[#This Row],[SETOR]]&lt;300,"GV 20",IF(Tabela8[[#This Row],[SETOR]]&lt;400,"GV 30","S/GV"))))</f>
        <v>GV 30</v>
      </c>
      <c r="E3240" t="s">
        <v>123</v>
      </c>
      <c r="G3240" t="str">
        <f>_xlfn.CONCAT(Tabela9[[#This Row],[Coluna1]],Tabela9[[#This Row],[Coluna2]])</f>
        <v>20-Rota</v>
      </c>
    </row>
    <row r="3241" spans="1:7" x14ac:dyDescent="0.25">
      <c r="A3241">
        <v>17457</v>
      </c>
      <c r="B3241">
        <v>102</v>
      </c>
      <c r="C3241" s="1" t="str">
        <f>IF(Tabela8[[#This Row],[SETOR]]="","",IF(Tabela8[[#This Row],[SETOR]]&lt;200,"GV 10",IF(Tabela8[[#This Row],[SETOR]]&lt;300,"GV 20",IF(Tabela8[[#This Row],[SETOR]]&lt;400,"GV 30","S/GV"))))</f>
        <v>GV 10</v>
      </c>
      <c r="E3241" t="s">
        <v>123</v>
      </c>
      <c r="G3241" t="str">
        <f>_xlfn.CONCAT(Tabela9[[#This Row],[Coluna1]],Tabela9[[#This Row],[Coluna2]])</f>
        <v>20-Rota</v>
      </c>
    </row>
    <row r="3242" spans="1:7" x14ac:dyDescent="0.25">
      <c r="A3242">
        <v>17458</v>
      </c>
      <c r="B3242">
        <v>305</v>
      </c>
      <c r="C3242" s="1" t="str">
        <f>IF(Tabela8[[#This Row],[SETOR]]="","",IF(Tabela8[[#This Row],[SETOR]]&lt;200,"GV 10",IF(Tabela8[[#This Row],[SETOR]]&lt;300,"GV 20",IF(Tabela8[[#This Row],[SETOR]]&lt;400,"GV 30","S/GV"))))</f>
        <v>GV 30</v>
      </c>
      <c r="E3242" t="s">
        <v>123</v>
      </c>
      <c r="G3242" t="str">
        <f>_xlfn.CONCAT(Tabela9[[#This Row],[Coluna1]],Tabela9[[#This Row],[Coluna2]])</f>
        <v>20-Rota</v>
      </c>
    </row>
    <row r="3243" spans="1:7" x14ac:dyDescent="0.25">
      <c r="A3243">
        <v>17460</v>
      </c>
      <c r="B3243">
        <v>303</v>
      </c>
      <c r="C3243" s="1" t="str">
        <f>IF(Tabela8[[#This Row],[SETOR]]="","",IF(Tabela8[[#This Row],[SETOR]]&lt;200,"GV 10",IF(Tabela8[[#This Row],[SETOR]]&lt;300,"GV 20",IF(Tabela8[[#This Row],[SETOR]]&lt;400,"GV 30","S/GV"))))</f>
        <v>GV 30</v>
      </c>
      <c r="E3243" t="s">
        <v>125</v>
      </c>
      <c r="G3243" t="str">
        <f>_xlfn.CONCAT(Tabela9[[#This Row],[Coluna1]],Tabela9[[#This Row],[Coluna2]])</f>
        <v>18-TRAD</v>
      </c>
    </row>
    <row r="3244" spans="1:7" x14ac:dyDescent="0.25">
      <c r="A3244">
        <v>17462</v>
      </c>
      <c r="B3244">
        <v>301</v>
      </c>
      <c r="C3244" s="1" t="str">
        <f>IF(Tabela8[[#This Row],[SETOR]]="","",IF(Tabela8[[#This Row],[SETOR]]&lt;200,"GV 10",IF(Tabela8[[#This Row],[SETOR]]&lt;300,"GV 20",IF(Tabela8[[#This Row],[SETOR]]&lt;400,"GV 30","S/GV"))))</f>
        <v>GV 30</v>
      </c>
      <c r="E3244" t="s">
        <v>123</v>
      </c>
      <c r="G3244" t="str">
        <f>_xlfn.CONCAT(Tabela9[[#This Row],[Coluna1]],Tabela9[[#This Row],[Coluna2]])</f>
        <v>20-Rota</v>
      </c>
    </row>
    <row r="3245" spans="1:7" x14ac:dyDescent="0.25">
      <c r="A3245">
        <v>17465</v>
      </c>
      <c r="B3245">
        <v>105</v>
      </c>
      <c r="C3245" s="1" t="str">
        <f>IF(Tabela8[[#This Row],[SETOR]]="","",IF(Tabela8[[#This Row],[SETOR]]&lt;200,"GV 10",IF(Tabela8[[#This Row],[SETOR]]&lt;300,"GV 20",IF(Tabela8[[#This Row],[SETOR]]&lt;400,"GV 30","S/GV"))))</f>
        <v>GV 10</v>
      </c>
      <c r="E3245" t="s">
        <v>123</v>
      </c>
      <c r="G3245" t="str">
        <f>_xlfn.CONCAT(Tabela9[[#This Row],[Coluna1]],Tabela9[[#This Row],[Coluna2]])</f>
        <v>20-Rota</v>
      </c>
    </row>
    <row r="3246" spans="1:7" x14ac:dyDescent="0.25">
      <c r="A3246">
        <v>17466</v>
      </c>
      <c r="B3246">
        <v>202</v>
      </c>
      <c r="C3246" s="1" t="str">
        <f>IF(Tabela8[[#This Row],[SETOR]]="","",IF(Tabela8[[#This Row],[SETOR]]&lt;200,"GV 10",IF(Tabela8[[#This Row],[SETOR]]&lt;300,"GV 20",IF(Tabela8[[#This Row],[SETOR]]&lt;400,"GV 30","S/GV"))))</f>
        <v>GV 20</v>
      </c>
      <c r="E3246" t="s">
        <v>123</v>
      </c>
      <c r="G3246" t="str">
        <f>_xlfn.CONCAT(Tabela9[[#This Row],[Coluna1]],Tabela9[[#This Row],[Coluna2]])</f>
        <v>20-Rota</v>
      </c>
    </row>
    <row r="3247" spans="1:7" x14ac:dyDescent="0.25">
      <c r="A3247">
        <v>17468</v>
      </c>
      <c r="B3247">
        <v>302</v>
      </c>
      <c r="C3247" s="1" t="str">
        <f>IF(Tabela8[[#This Row],[SETOR]]="","",IF(Tabela8[[#This Row],[SETOR]]&lt;200,"GV 10",IF(Tabela8[[#This Row],[SETOR]]&lt;300,"GV 20",IF(Tabela8[[#This Row],[SETOR]]&lt;400,"GV 30","S/GV"))))</f>
        <v>GV 30</v>
      </c>
      <c r="E3247" t="s">
        <v>123</v>
      </c>
      <c r="G3247" t="str">
        <f>_xlfn.CONCAT(Tabela9[[#This Row],[Coluna1]],Tabela9[[#This Row],[Coluna2]])</f>
        <v>20-Rota</v>
      </c>
    </row>
    <row r="3248" spans="1:7" x14ac:dyDescent="0.25">
      <c r="A3248">
        <v>17469</v>
      </c>
      <c r="B3248">
        <v>206</v>
      </c>
      <c r="C3248" s="1" t="str">
        <f>IF(Tabela8[[#This Row],[SETOR]]="","",IF(Tabela8[[#This Row],[SETOR]]&lt;200,"GV 10",IF(Tabela8[[#This Row],[SETOR]]&lt;300,"GV 20",IF(Tabela8[[#This Row],[SETOR]]&lt;400,"GV 30","S/GV"))))</f>
        <v>GV 20</v>
      </c>
      <c r="E3248" t="s">
        <v>123</v>
      </c>
      <c r="G3248" t="str">
        <f>_xlfn.CONCAT(Tabela9[[#This Row],[Coluna1]],Tabela9[[#This Row],[Coluna2]])</f>
        <v>20-Rota</v>
      </c>
    </row>
    <row r="3249" spans="1:7" x14ac:dyDescent="0.25">
      <c r="A3249">
        <v>17470</v>
      </c>
      <c r="B3249">
        <v>104</v>
      </c>
      <c r="C3249" s="1" t="str">
        <f>IF(Tabela8[[#This Row],[SETOR]]="","",IF(Tabela8[[#This Row],[SETOR]]&lt;200,"GV 10",IF(Tabela8[[#This Row],[SETOR]]&lt;300,"GV 20",IF(Tabela8[[#This Row],[SETOR]]&lt;400,"GV 30","S/GV"))))</f>
        <v>GV 10</v>
      </c>
      <c r="E3249" t="s">
        <v>125</v>
      </c>
      <c r="G3249" t="str">
        <f>_xlfn.CONCAT(Tabela9[[#This Row],[Coluna1]],Tabela9[[#This Row],[Coluna2]])</f>
        <v>18-TRAD</v>
      </c>
    </row>
    <row r="3250" spans="1:7" x14ac:dyDescent="0.25">
      <c r="A3250">
        <v>17472</v>
      </c>
      <c r="B3250">
        <v>303</v>
      </c>
      <c r="C3250" s="1" t="str">
        <f>IF(Tabela8[[#This Row],[SETOR]]="","",IF(Tabela8[[#This Row],[SETOR]]&lt;200,"GV 10",IF(Tabela8[[#This Row],[SETOR]]&lt;300,"GV 20",IF(Tabela8[[#This Row],[SETOR]]&lt;400,"GV 30","S/GV"))))</f>
        <v>GV 30</v>
      </c>
      <c r="E3250" t="s">
        <v>123</v>
      </c>
      <c r="G3250" t="str">
        <f>_xlfn.CONCAT(Tabela9[[#This Row],[Coluna1]],Tabela9[[#This Row],[Coluna2]])</f>
        <v>20-Rota</v>
      </c>
    </row>
    <row r="3251" spans="1:7" x14ac:dyDescent="0.25">
      <c r="A3251">
        <v>17474</v>
      </c>
      <c r="B3251">
        <v>206</v>
      </c>
      <c r="C3251" s="1" t="str">
        <f>IF(Tabela8[[#This Row],[SETOR]]="","",IF(Tabela8[[#This Row],[SETOR]]&lt;200,"GV 10",IF(Tabela8[[#This Row],[SETOR]]&lt;300,"GV 20",IF(Tabela8[[#This Row],[SETOR]]&lt;400,"GV 30","S/GV"))))</f>
        <v>GV 20</v>
      </c>
      <c r="E3251" t="s">
        <v>125</v>
      </c>
      <c r="G3251" t="str">
        <f>_xlfn.CONCAT(Tabela9[[#This Row],[Coluna1]],Tabela9[[#This Row],[Coluna2]])</f>
        <v>18-TRAD</v>
      </c>
    </row>
    <row r="3252" spans="1:7" x14ac:dyDescent="0.25">
      <c r="A3252">
        <v>17475</v>
      </c>
      <c r="B3252">
        <v>306</v>
      </c>
      <c r="C3252" s="1" t="str">
        <f>IF(Tabela8[[#This Row],[SETOR]]="","",IF(Tabela8[[#This Row],[SETOR]]&lt;200,"GV 10",IF(Tabela8[[#This Row],[SETOR]]&lt;300,"GV 20",IF(Tabela8[[#This Row],[SETOR]]&lt;400,"GV 30","S/GV"))))</f>
        <v>GV 30</v>
      </c>
      <c r="E3252" t="s">
        <v>125</v>
      </c>
      <c r="G3252" t="str">
        <f>_xlfn.CONCAT(Tabela9[[#This Row],[Coluna1]],Tabela9[[#This Row],[Coluna2]])</f>
        <v>18-TRAD</v>
      </c>
    </row>
    <row r="3253" spans="1:7" x14ac:dyDescent="0.25">
      <c r="A3253">
        <v>17476</v>
      </c>
      <c r="B3253">
        <v>105</v>
      </c>
      <c r="C3253" s="1" t="str">
        <f>IF(Tabela8[[#This Row],[SETOR]]="","",IF(Tabela8[[#This Row],[SETOR]]&lt;200,"GV 10",IF(Tabela8[[#This Row],[SETOR]]&lt;300,"GV 20",IF(Tabela8[[#This Row],[SETOR]]&lt;400,"GV 30","S/GV"))))</f>
        <v>GV 10</v>
      </c>
      <c r="E3253" t="s">
        <v>123</v>
      </c>
      <c r="G3253" t="str">
        <f>_xlfn.CONCAT(Tabela9[[#This Row],[Coluna1]],Tabela9[[#This Row],[Coluna2]])</f>
        <v>20-Rota</v>
      </c>
    </row>
    <row r="3254" spans="1:7" x14ac:dyDescent="0.25">
      <c r="A3254">
        <v>17477</v>
      </c>
      <c r="B3254">
        <v>304</v>
      </c>
      <c r="C3254" s="1" t="str">
        <f>IF(Tabela8[[#This Row],[SETOR]]="","",IF(Tabela8[[#This Row],[SETOR]]&lt;200,"GV 10",IF(Tabela8[[#This Row],[SETOR]]&lt;300,"GV 20",IF(Tabela8[[#This Row],[SETOR]]&lt;400,"GV 30","S/GV"))))</f>
        <v>GV 30</v>
      </c>
      <c r="E3254" t="s">
        <v>123</v>
      </c>
      <c r="G3254" t="str">
        <f>_xlfn.CONCAT(Tabela9[[#This Row],[Coluna1]],Tabela9[[#This Row],[Coluna2]])</f>
        <v>20-Rota</v>
      </c>
    </row>
    <row r="3255" spans="1:7" x14ac:dyDescent="0.25">
      <c r="A3255">
        <v>17478</v>
      </c>
      <c r="B3255">
        <v>104</v>
      </c>
      <c r="C3255" s="1" t="str">
        <f>IF(Tabela8[[#This Row],[SETOR]]="","",IF(Tabela8[[#This Row],[SETOR]]&lt;200,"GV 10",IF(Tabela8[[#This Row],[SETOR]]&lt;300,"GV 20",IF(Tabela8[[#This Row],[SETOR]]&lt;400,"GV 30","S/GV"))))</f>
        <v>GV 10</v>
      </c>
      <c r="E3255" t="s">
        <v>123</v>
      </c>
      <c r="G3255" t="str">
        <f>_xlfn.CONCAT(Tabela9[[#This Row],[Coluna1]],Tabela9[[#This Row],[Coluna2]])</f>
        <v>20-Rota</v>
      </c>
    </row>
    <row r="3256" spans="1:7" x14ac:dyDescent="0.25">
      <c r="A3256">
        <v>17479</v>
      </c>
      <c r="B3256">
        <v>201</v>
      </c>
      <c r="C3256" s="1" t="str">
        <f>IF(Tabela8[[#This Row],[SETOR]]="","",IF(Tabela8[[#This Row],[SETOR]]&lt;200,"GV 10",IF(Tabela8[[#This Row],[SETOR]]&lt;300,"GV 20",IF(Tabela8[[#This Row],[SETOR]]&lt;400,"GV 30","S/GV"))))</f>
        <v>GV 20</v>
      </c>
      <c r="E3256" t="s">
        <v>123</v>
      </c>
      <c r="G3256" t="str">
        <f>_xlfn.CONCAT(Tabela9[[#This Row],[Coluna1]],Tabela9[[#This Row],[Coluna2]])</f>
        <v>20-Rota</v>
      </c>
    </row>
    <row r="3257" spans="1:7" x14ac:dyDescent="0.25">
      <c r="A3257">
        <v>17480</v>
      </c>
      <c r="B3257">
        <v>205</v>
      </c>
      <c r="C3257" s="1" t="str">
        <f>IF(Tabela8[[#This Row],[SETOR]]="","",IF(Tabela8[[#This Row],[SETOR]]&lt;200,"GV 10",IF(Tabela8[[#This Row],[SETOR]]&lt;300,"GV 20",IF(Tabela8[[#This Row],[SETOR]]&lt;400,"GV 30","S/GV"))))</f>
        <v>GV 20</v>
      </c>
      <c r="E3257" t="s">
        <v>125</v>
      </c>
      <c r="G3257" t="str">
        <f>_xlfn.CONCAT(Tabela9[[#This Row],[Coluna1]],Tabela9[[#This Row],[Coluna2]])</f>
        <v>18-TRAD</v>
      </c>
    </row>
    <row r="3258" spans="1:7" x14ac:dyDescent="0.25">
      <c r="A3258">
        <v>17481</v>
      </c>
      <c r="B3258">
        <v>205</v>
      </c>
      <c r="C3258" s="1" t="str">
        <f>IF(Tabela8[[#This Row],[SETOR]]="","",IF(Tabela8[[#This Row],[SETOR]]&lt;200,"GV 10",IF(Tabela8[[#This Row],[SETOR]]&lt;300,"GV 20",IF(Tabela8[[#This Row],[SETOR]]&lt;400,"GV 30","S/GV"))))</f>
        <v>GV 20</v>
      </c>
      <c r="E3258" t="s">
        <v>125</v>
      </c>
      <c r="G3258" t="str">
        <f>_xlfn.CONCAT(Tabela9[[#This Row],[Coluna1]],Tabela9[[#This Row],[Coluna2]])</f>
        <v>18-TRAD</v>
      </c>
    </row>
    <row r="3259" spans="1:7" x14ac:dyDescent="0.25">
      <c r="A3259">
        <v>17482</v>
      </c>
      <c r="B3259">
        <v>205</v>
      </c>
      <c r="C3259" s="1" t="str">
        <f>IF(Tabela8[[#This Row],[SETOR]]="","",IF(Tabela8[[#This Row],[SETOR]]&lt;200,"GV 10",IF(Tabela8[[#This Row],[SETOR]]&lt;300,"GV 20",IF(Tabela8[[#This Row],[SETOR]]&lt;400,"GV 30","S/GV"))))</f>
        <v>GV 20</v>
      </c>
      <c r="E3259" t="s">
        <v>123</v>
      </c>
      <c r="G3259" t="str">
        <f>_xlfn.CONCAT(Tabela9[[#This Row],[Coluna1]],Tabela9[[#This Row],[Coluna2]])</f>
        <v>20-Rota</v>
      </c>
    </row>
    <row r="3260" spans="1:7" x14ac:dyDescent="0.25">
      <c r="A3260">
        <v>17483</v>
      </c>
      <c r="B3260">
        <v>205</v>
      </c>
      <c r="C3260" s="1" t="str">
        <f>IF(Tabela8[[#This Row],[SETOR]]="","",IF(Tabela8[[#This Row],[SETOR]]&lt;200,"GV 10",IF(Tabela8[[#This Row],[SETOR]]&lt;300,"GV 20",IF(Tabela8[[#This Row],[SETOR]]&lt;400,"GV 30","S/GV"))))</f>
        <v>GV 20</v>
      </c>
      <c r="E3260" t="s">
        <v>123</v>
      </c>
      <c r="G3260" t="str">
        <f>_xlfn.CONCAT(Tabela9[[#This Row],[Coluna1]],Tabela9[[#This Row],[Coluna2]])</f>
        <v>20-Rota</v>
      </c>
    </row>
    <row r="3261" spans="1:7" x14ac:dyDescent="0.25">
      <c r="A3261">
        <v>17484</v>
      </c>
      <c r="B3261">
        <v>105</v>
      </c>
      <c r="C3261" s="1" t="str">
        <f>IF(Tabela8[[#This Row],[SETOR]]="","",IF(Tabela8[[#This Row],[SETOR]]&lt;200,"GV 10",IF(Tabela8[[#This Row],[SETOR]]&lt;300,"GV 20",IF(Tabela8[[#This Row],[SETOR]]&lt;400,"GV 30","S/GV"))))</f>
        <v>GV 10</v>
      </c>
      <c r="E3261" t="s">
        <v>123</v>
      </c>
      <c r="G3261" t="str">
        <f>_xlfn.CONCAT(Tabela9[[#This Row],[Coluna1]],Tabela9[[#This Row],[Coluna2]])</f>
        <v>20-Rota</v>
      </c>
    </row>
    <row r="3262" spans="1:7" x14ac:dyDescent="0.25">
      <c r="A3262">
        <v>17485</v>
      </c>
      <c r="B3262">
        <v>105</v>
      </c>
      <c r="C3262" s="1" t="str">
        <f>IF(Tabela8[[#This Row],[SETOR]]="","",IF(Tabela8[[#This Row],[SETOR]]&lt;200,"GV 10",IF(Tabela8[[#This Row],[SETOR]]&lt;300,"GV 20",IF(Tabela8[[#This Row],[SETOR]]&lt;400,"GV 30","S/GV"))))</f>
        <v>GV 10</v>
      </c>
      <c r="E3262" t="s">
        <v>123</v>
      </c>
      <c r="G3262" t="str">
        <f>_xlfn.CONCAT(Tabela9[[#This Row],[Coluna1]],Tabela9[[#This Row],[Coluna2]])</f>
        <v>20-Rota</v>
      </c>
    </row>
    <row r="3263" spans="1:7" x14ac:dyDescent="0.25">
      <c r="A3263">
        <v>17486</v>
      </c>
      <c r="B3263">
        <v>106</v>
      </c>
      <c r="C3263" s="1" t="str">
        <f>IF(Tabela8[[#This Row],[SETOR]]="","",IF(Tabela8[[#This Row],[SETOR]]&lt;200,"GV 10",IF(Tabela8[[#This Row],[SETOR]]&lt;300,"GV 20",IF(Tabela8[[#This Row],[SETOR]]&lt;400,"GV 30","S/GV"))))</f>
        <v>GV 10</v>
      </c>
      <c r="E3263" t="s">
        <v>125</v>
      </c>
      <c r="G3263" t="str">
        <f>_xlfn.CONCAT(Tabela9[[#This Row],[Coluna1]],Tabela9[[#This Row],[Coluna2]])</f>
        <v>18-TRAD</v>
      </c>
    </row>
    <row r="3264" spans="1:7" x14ac:dyDescent="0.25">
      <c r="A3264">
        <v>17487</v>
      </c>
      <c r="B3264">
        <v>302</v>
      </c>
      <c r="C3264" s="1" t="str">
        <f>IF(Tabela8[[#This Row],[SETOR]]="","",IF(Tabela8[[#This Row],[SETOR]]&lt;200,"GV 10",IF(Tabela8[[#This Row],[SETOR]]&lt;300,"GV 20",IF(Tabela8[[#This Row],[SETOR]]&lt;400,"GV 30","S/GV"))))</f>
        <v>GV 30</v>
      </c>
      <c r="E3264" t="s">
        <v>123</v>
      </c>
      <c r="G3264" t="str">
        <f>_xlfn.CONCAT(Tabela9[[#This Row],[Coluna1]],Tabela9[[#This Row],[Coluna2]])</f>
        <v>20-Rota</v>
      </c>
    </row>
    <row r="3265" spans="1:7" x14ac:dyDescent="0.25">
      <c r="A3265">
        <v>17488</v>
      </c>
      <c r="B3265">
        <v>104</v>
      </c>
      <c r="C3265" s="1" t="str">
        <f>IF(Tabela8[[#This Row],[SETOR]]="","",IF(Tabela8[[#This Row],[SETOR]]&lt;200,"GV 10",IF(Tabela8[[#This Row],[SETOR]]&lt;300,"GV 20",IF(Tabela8[[#This Row],[SETOR]]&lt;400,"GV 30","S/GV"))))</f>
        <v>GV 10</v>
      </c>
      <c r="E3265" t="s">
        <v>125</v>
      </c>
      <c r="G3265" t="str">
        <f>_xlfn.CONCAT(Tabela9[[#This Row],[Coluna1]],Tabela9[[#This Row],[Coluna2]])</f>
        <v>18-TRAD</v>
      </c>
    </row>
    <row r="3266" spans="1:7" x14ac:dyDescent="0.25">
      <c r="A3266">
        <v>17489</v>
      </c>
      <c r="B3266">
        <v>101</v>
      </c>
      <c r="C3266" s="1" t="str">
        <f>IF(Tabela8[[#This Row],[SETOR]]="","",IF(Tabela8[[#This Row],[SETOR]]&lt;200,"GV 10",IF(Tabela8[[#This Row],[SETOR]]&lt;300,"GV 20",IF(Tabela8[[#This Row],[SETOR]]&lt;400,"GV 30","S/GV"))))</f>
        <v>GV 10</v>
      </c>
      <c r="E3266" t="s">
        <v>123</v>
      </c>
      <c r="G3266" t="str">
        <f>_xlfn.CONCAT(Tabela9[[#This Row],[Coluna1]],Tabela9[[#This Row],[Coluna2]])</f>
        <v>20-Rota</v>
      </c>
    </row>
    <row r="3267" spans="1:7" x14ac:dyDescent="0.25">
      <c r="A3267">
        <v>17493</v>
      </c>
      <c r="B3267">
        <v>205</v>
      </c>
      <c r="C3267" s="1" t="str">
        <f>IF(Tabela8[[#This Row],[SETOR]]="","",IF(Tabela8[[#This Row],[SETOR]]&lt;200,"GV 10",IF(Tabela8[[#This Row],[SETOR]]&lt;300,"GV 20",IF(Tabela8[[#This Row],[SETOR]]&lt;400,"GV 30","S/GV"))))</f>
        <v>GV 20</v>
      </c>
      <c r="E3267" t="s">
        <v>123</v>
      </c>
      <c r="G3267" t="str">
        <f>_xlfn.CONCAT(Tabela9[[#This Row],[Coluna1]],Tabela9[[#This Row],[Coluna2]])</f>
        <v>20-Rota</v>
      </c>
    </row>
    <row r="3268" spans="1:7" x14ac:dyDescent="0.25">
      <c r="A3268">
        <v>17494</v>
      </c>
      <c r="B3268">
        <v>106</v>
      </c>
      <c r="C3268" s="1" t="str">
        <f>IF(Tabela8[[#This Row],[SETOR]]="","",IF(Tabela8[[#This Row],[SETOR]]&lt;200,"GV 10",IF(Tabela8[[#This Row],[SETOR]]&lt;300,"GV 20",IF(Tabela8[[#This Row],[SETOR]]&lt;400,"GV 30","S/GV"))))</f>
        <v>GV 10</v>
      </c>
      <c r="E3268" t="s">
        <v>123</v>
      </c>
      <c r="G3268" t="str">
        <f>_xlfn.CONCAT(Tabela9[[#This Row],[Coluna1]],Tabela9[[#This Row],[Coluna2]])</f>
        <v>20-Rota</v>
      </c>
    </row>
    <row r="3269" spans="1:7" x14ac:dyDescent="0.25">
      <c r="A3269">
        <v>17495</v>
      </c>
      <c r="B3269">
        <v>105</v>
      </c>
      <c r="C3269" s="1" t="str">
        <f>IF(Tabela8[[#This Row],[SETOR]]="","",IF(Tabela8[[#This Row],[SETOR]]&lt;200,"GV 10",IF(Tabela8[[#This Row],[SETOR]]&lt;300,"GV 20",IF(Tabela8[[#This Row],[SETOR]]&lt;400,"GV 30","S/GV"))))</f>
        <v>GV 10</v>
      </c>
      <c r="E3269" t="s">
        <v>123</v>
      </c>
      <c r="G3269" t="str">
        <f>_xlfn.CONCAT(Tabela9[[#This Row],[Coluna1]],Tabela9[[#This Row],[Coluna2]])</f>
        <v>20-Rota</v>
      </c>
    </row>
    <row r="3270" spans="1:7" x14ac:dyDescent="0.25">
      <c r="A3270">
        <v>17498</v>
      </c>
      <c r="B3270">
        <v>101</v>
      </c>
      <c r="C3270" s="1" t="str">
        <f>IF(Tabela8[[#This Row],[SETOR]]="","",IF(Tabela8[[#This Row],[SETOR]]&lt;200,"GV 10",IF(Tabela8[[#This Row],[SETOR]]&lt;300,"GV 20",IF(Tabela8[[#This Row],[SETOR]]&lt;400,"GV 30","S/GV"))))</f>
        <v>GV 10</v>
      </c>
      <c r="E3270" t="s">
        <v>123</v>
      </c>
      <c r="G3270" t="str">
        <f>_xlfn.CONCAT(Tabela9[[#This Row],[Coluna1]],Tabela9[[#This Row],[Coluna2]])</f>
        <v>20-Rota</v>
      </c>
    </row>
    <row r="3271" spans="1:7" x14ac:dyDescent="0.25">
      <c r="A3271">
        <v>17499</v>
      </c>
      <c r="B3271">
        <v>304</v>
      </c>
      <c r="C3271" s="1" t="str">
        <f>IF(Tabela8[[#This Row],[SETOR]]="","",IF(Tabela8[[#This Row],[SETOR]]&lt;200,"GV 10",IF(Tabela8[[#This Row],[SETOR]]&lt;300,"GV 20",IF(Tabela8[[#This Row],[SETOR]]&lt;400,"GV 30","S/GV"))))</f>
        <v>GV 30</v>
      </c>
      <c r="E3271" t="s">
        <v>123</v>
      </c>
      <c r="G3271" t="str">
        <f>_xlfn.CONCAT(Tabela9[[#This Row],[Coluna1]],Tabela9[[#This Row],[Coluna2]])</f>
        <v>20-Rota</v>
      </c>
    </row>
    <row r="3272" spans="1:7" x14ac:dyDescent="0.25">
      <c r="A3272">
        <v>17501</v>
      </c>
      <c r="B3272">
        <v>304</v>
      </c>
      <c r="C3272" s="1" t="str">
        <f>IF(Tabela8[[#This Row],[SETOR]]="","",IF(Tabela8[[#This Row],[SETOR]]&lt;200,"GV 10",IF(Tabela8[[#This Row],[SETOR]]&lt;300,"GV 20",IF(Tabela8[[#This Row],[SETOR]]&lt;400,"GV 30","S/GV"))))</f>
        <v>GV 30</v>
      </c>
      <c r="E3272" t="s">
        <v>123</v>
      </c>
      <c r="G3272" t="str">
        <f>_xlfn.CONCAT(Tabela9[[#This Row],[Coluna1]],Tabela9[[#This Row],[Coluna2]])</f>
        <v>20-Rota</v>
      </c>
    </row>
    <row r="3273" spans="1:7" x14ac:dyDescent="0.25">
      <c r="A3273">
        <v>17504</v>
      </c>
      <c r="B3273">
        <v>101</v>
      </c>
      <c r="C3273" s="1" t="str">
        <f>IF(Tabela8[[#This Row],[SETOR]]="","",IF(Tabela8[[#This Row],[SETOR]]&lt;200,"GV 10",IF(Tabela8[[#This Row],[SETOR]]&lt;300,"GV 20",IF(Tabela8[[#This Row],[SETOR]]&lt;400,"GV 30","S/GV"))))</f>
        <v>GV 10</v>
      </c>
      <c r="E3273" t="s">
        <v>123</v>
      </c>
      <c r="G3273" t="str">
        <f>_xlfn.CONCAT(Tabela9[[#This Row],[Coluna1]],Tabela9[[#This Row],[Coluna2]])</f>
        <v>20-Rota</v>
      </c>
    </row>
    <row r="3274" spans="1:7" x14ac:dyDescent="0.25">
      <c r="A3274">
        <v>17506</v>
      </c>
      <c r="B3274">
        <v>109</v>
      </c>
      <c r="C3274" s="1" t="str">
        <f>IF(Tabela8[[#This Row],[SETOR]]="","",IF(Tabela8[[#This Row],[SETOR]]&lt;200,"GV 10",IF(Tabela8[[#This Row],[SETOR]]&lt;300,"GV 20",IF(Tabela8[[#This Row],[SETOR]]&lt;400,"GV 30","S/GV"))))</f>
        <v>GV 10</v>
      </c>
      <c r="E3274" t="s">
        <v>123</v>
      </c>
      <c r="G3274" t="str">
        <f>_xlfn.CONCAT(Tabela9[[#This Row],[Coluna1]],Tabela9[[#This Row],[Coluna2]])</f>
        <v>20-Rota</v>
      </c>
    </row>
    <row r="3275" spans="1:7" x14ac:dyDescent="0.25">
      <c r="A3275">
        <v>17513</v>
      </c>
      <c r="B3275">
        <v>104</v>
      </c>
      <c r="C3275" s="1" t="str">
        <f>IF(Tabela8[[#This Row],[SETOR]]="","",IF(Tabela8[[#This Row],[SETOR]]&lt;200,"GV 10",IF(Tabela8[[#This Row],[SETOR]]&lt;300,"GV 20",IF(Tabela8[[#This Row],[SETOR]]&lt;400,"GV 30","S/GV"))))</f>
        <v>GV 10</v>
      </c>
      <c r="E3275" t="s">
        <v>123</v>
      </c>
      <c r="G3275" t="str">
        <f>_xlfn.CONCAT(Tabela9[[#This Row],[Coluna1]],Tabela9[[#This Row],[Coluna2]])</f>
        <v>20-Rota</v>
      </c>
    </row>
    <row r="3276" spans="1:7" x14ac:dyDescent="0.25">
      <c r="A3276">
        <v>17514</v>
      </c>
      <c r="B3276">
        <v>103</v>
      </c>
      <c r="C3276" s="1" t="str">
        <f>IF(Tabela8[[#This Row],[SETOR]]="","",IF(Tabela8[[#This Row],[SETOR]]&lt;200,"GV 10",IF(Tabela8[[#This Row],[SETOR]]&lt;300,"GV 20",IF(Tabela8[[#This Row],[SETOR]]&lt;400,"GV 30","S/GV"))))</f>
        <v>GV 10</v>
      </c>
      <c r="E3276" t="s">
        <v>123</v>
      </c>
      <c r="G3276" t="str">
        <f>_xlfn.CONCAT(Tabela9[[#This Row],[Coluna1]],Tabela9[[#This Row],[Coluna2]])</f>
        <v>20-Rota</v>
      </c>
    </row>
    <row r="3277" spans="1:7" x14ac:dyDescent="0.25">
      <c r="A3277">
        <v>17515</v>
      </c>
      <c r="B3277">
        <v>101</v>
      </c>
      <c r="C3277" s="1" t="str">
        <f>IF(Tabela8[[#This Row],[SETOR]]="","",IF(Tabela8[[#This Row],[SETOR]]&lt;200,"GV 10",IF(Tabela8[[#This Row],[SETOR]]&lt;300,"GV 20",IF(Tabela8[[#This Row],[SETOR]]&lt;400,"GV 30","S/GV"))))</f>
        <v>GV 10</v>
      </c>
      <c r="E3277" t="s">
        <v>123</v>
      </c>
      <c r="G3277" t="str">
        <f>_xlfn.CONCAT(Tabela9[[#This Row],[Coluna1]],Tabela9[[#This Row],[Coluna2]])</f>
        <v>20-Rota</v>
      </c>
    </row>
    <row r="3278" spans="1:7" x14ac:dyDescent="0.25">
      <c r="A3278">
        <v>17517</v>
      </c>
      <c r="B3278">
        <v>301</v>
      </c>
      <c r="C3278" s="1" t="str">
        <f>IF(Tabela8[[#This Row],[SETOR]]="","",IF(Tabela8[[#This Row],[SETOR]]&lt;200,"GV 10",IF(Tabela8[[#This Row],[SETOR]]&lt;300,"GV 20",IF(Tabela8[[#This Row],[SETOR]]&lt;400,"GV 30","S/GV"))))</f>
        <v>GV 30</v>
      </c>
      <c r="E3278" t="s">
        <v>123</v>
      </c>
      <c r="G3278" t="str">
        <f>_xlfn.CONCAT(Tabela9[[#This Row],[Coluna1]],Tabela9[[#This Row],[Coluna2]])</f>
        <v>20-Rota</v>
      </c>
    </row>
    <row r="3279" spans="1:7" x14ac:dyDescent="0.25">
      <c r="A3279">
        <v>17519</v>
      </c>
      <c r="B3279">
        <v>301</v>
      </c>
      <c r="C3279" s="1" t="str">
        <f>IF(Tabela8[[#This Row],[SETOR]]="","",IF(Tabela8[[#This Row],[SETOR]]&lt;200,"GV 10",IF(Tabela8[[#This Row],[SETOR]]&lt;300,"GV 20",IF(Tabela8[[#This Row],[SETOR]]&lt;400,"GV 30","S/GV"))))</f>
        <v>GV 30</v>
      </c>
      <c r="E3279" t="s">
        <v>123</v>
      </c>
      <c r="G3279" t="str">
        <f>_xlfn.CONCAT(Tabela9[[#This Row],[Coluna1]],Tabela9[[#This Row],[Coluna2]])</f>
        <v>20-Rota</v>
      </c>
    </row>
    <row r="3280" spans="1:7" x14ac:dyDescent="0.25">
      <c r="A3280">
        <v>17521</v>
      </c>
      <c r="B3280">
        <v>304</v>
      </c>
      <c r="C3280" s="1" t="str">
        <f>IF(Tabela8[[#This Row],[SETOR]]="","",IF(Tabela8[[#This Row],[SETOR]]&lt;200,"GV 10",IF(Tabela8[[#This Row],[SETOR]]&lt;300,"GV 20",IF(Tabela8[[#This Row],[SETOR]]&lt;400,"GV 30","S/GV"))))</f>
        <v>GV 30</v>
      </c>
      <c r="E3280" t="s">
        <v>123</v>
      </c>
      <c r="G3280" t="str">
        <f>_xlfn.CONCAT(Tabela9[[#This Row],[Coluna1]],Tabela9[[#This Row],[Coluna2]])</f>
        <v>20-Rota</v>
      </c>
    </row>
    <row r="3281" spans="1:7" x14ac:dyDescent="0.25">
      <c r="A3281">
        <v>17522</v>
      </c>
      <c r="B3281">
        <v>307</v>
      </c>
      <c r="C3281" s="1" t="str">
        <f>IF(Tabela8[[#This Row],[SETOR]]="","",IF(Tabela8[[#This Row],[SETOR]]&lt;200,"GV 10",IF(Tabela8[[#This Row],[SETOR]]&lt;300,"GV 20",IF(Tabela8[[#This Row],[SETOR]]&lt;400,"GV 30","S/GV"))))</f>
        <v>GV 30</v>
      </c>
      <c r="E3281" t="s">
        <v>130</v>
      </c>
      <c r="G3281" t="str">
        <f>_xlfn.CONCAT(Tabela9[[#This Row],[Coluna1]],Tabela9[[#This Row],[Coluna2]])</f>
        <v>21-SUB</v>
      </c>
    </row>
    <row r="3282" spans="1:7" x14ac:dyDescent="0.25">
      <c r="A3282">
        <v>17523</v>
      </c>
      <c r="B3282">
        <v>302</v>
      </c>
      <c r="C3282" s="1" t="str">
        <f>IF(Tabela8[[#This Row],[SETOR]]="","",IF(Tabela8[[#This Row],[SETOR]]&lt;200,"GV 10",IF(Tabela8[[#This Row],[SETOR]]&lt;300,"GV 20",IF(Tabela8[[#This Row],[SETOR]]&lt;400,"GV 30","S/GV"))))</f>
        <v>GV 30</v>
      </c>
      <c r="E3282" t="s">
        <v>123</v>
      </c>
      <c r="G3282" t="str">
        <f>_xlfn.CONCAT(Tabela9[[#This Row],[Coluna1]],Tabela9[[#This Row],[Coluna2]])</f>
        <v>20-Rota</v>
      </c>
    </row>
    <row r="3283" spans="1:7" x14ac:dyDescent="0.25">
      <c r="A3283">
        <v>17525</v>
      </c>
      <c r="B3283">
        <v>107</v>
      </c>
      <c r="C3283" s="1" t="str">
        <f>IF(Tabela8[[#This Row],[SETOR]]="","",IF(Tabela8[[#This Row],[SETOR]]&lt;200,"GV 10",IF(Tabela8[[#This Row],[SETOR]]&lt;300,"GV 20",IF(Tabela8[[#This Row],[SETOR]]&lt;400,"GV 30","S/GV"))))</f>
        <v>GV 10</v>
      </c>
      <c r="E3283" t="s">
        <v>125</v>
      </c>
      <c r="G3283" t="str">
        <f>_xlfn.CONCAT(Tabela9[[#This Row],[Coluna1]],Tabela9[[#This Row],[Coluna2]])</f>
        <v>18-TRAD</v>
      </c>
    </row>
    <row r="3284" spans="1:7" x14ac:dyDescent="0.25">
      <c r="A3284">
        <v>17526</v>
      </c>
      <c r="B3284">
        <v>309</v>
      </c>
      <c r="C3284" s="1" t="str">
        <f>IF(Tabela8[[#This Row],[SETOR]]="","",IF(Tabela8[[#This Row],[SETOR]]&lt;200,"GV 10",IF(Tabela8[[#This Row],[SETOR]]&lt;300,"GV 20",IF(Tabela8[[#This Row],[SETOR]]&lt;400,"GV 30","S/GV"))))</f>
        <v>GV 30</v>
      </c>
      <c r="E3284" t="s">
        <v>126</v>
      </c>
      <c r="F3284" t="s">
        <v>127</v>
      </c>
      <c r="G3284" t="str">
        <f>_xlfn.CONCAT(Tabela9[[#This Row],[Coluna1]],Tabela9[[#This Row],[Coluna2]])</f>
        <v>16-AS(5+)</v>
      </c>
    </row>
    <row r="3285" spans="1:7" x14ac:dyDescent="0.25">
      <c r="A3285">
        <v>17527</v>
      </c>
      <c r="B3285">
        <v>202</v>
      </c>
      <c r="C3285" s="1" t="str">
        <f>IF(Tabela8[[#This Row],[SETOR]]="","",IF(Tabela8[[#This Row],[SETOR]]&lt;200,"GV 10",IF(Tabela8[[#This Row],[SETOR]]&lt;300,"GV 20",IF(Tabela8[[#This Row],[SETOR]]&lt;400,"GV 30","S/GV"))))</f>
        <v>GV 20</v>
      </c>
      <c r="E3285" t="s">
        <v>123</v>
      </c>
      <c r="G3285" t="str">
        <f>_xlfn.CONCAT(Tabela9[[#This Row],[Coluna1]],Tabela9[[#This Row],[Coluna2]])</f>
        <v>20-Rota</v>
      </c>
    </row>
    <row r="3286" spans="1:7" x14ac:dyDescent="0.25">
      <c r="A3286">
        <v>17528</v>
      </c>
      <c r="B3286">
        <v>205</v>
      </c>
      <c r="C3286" s="1" t="str">
        <f>IF(Tabela8[[#This Row],[SETOR]]="","",IF(Tabela8[[#This Row],[SETOR]]&lt;200,"GV 10",IF(Tabela8[[#This Row],[SETOR]]&lt;300,"GV 20",IF(Tabela8[[#This Row],[SETOR]]&lt;400,"GV 30","S/GV"))))</f>
        <v>GV 20</v>
      </c>
      <c r="E3286" t="s">
        <v>123</v>
      </c>
      <c r="G3286" t="str">
        <f>_xlfn.CONCAT(Tabela9[[#This Row],[Coluna1]],Tabela9[[#This Row],[Coluna2]])</f>
        <v>20-Rota</v>
      </c>
    </row>
    <row r="3287" spans="1:7" x14ac:dyDescent="0.25">
      <c r="A3287">
        <v>17529</v>
      </c>
      <c r="B3287">
        <v>107</v>
      </c>
      <c r="C3287" s="1" t="str">
        <f>IF(Tabela8[[#This Row],[SETOR]]="","",IF(Tabela8[[#This Row],[SETOR]]&lt;200,"GV 10",IF(Tabela8[[#This Row],[SETOR]]&lt;300,"GV 20",IF(Tabela8[[#This Row],[SETOR]]&lt;400,"GV 30","S/GV"))))</f>
        <v>GV 10</v>
      </c>
      <c r="E3287" t="s">
        <v>130</v>
      </c>
      <c r="G3287" t="str">
        <f>_xlfn.CONCAT(Tabela9[[#This Row],[Coluna1]],Tabela9[[#This Row],[Coluna2]])</f>
        <v>21-SUB</v>
      </c>
    </row>
    <row r="3288" spans="1:7" x14ac:dyDescent="0.25">
      <c r="A3288">
        <v>17530</v>
      </c>
      <c r="B3288">
        <v>103</v>
      </c>
      <c r="C3288" s="1" t="str">
        <f>IF(Tabela8[[#This Row],[SETOR]]="","",IF(Tabela8[[#This Row],[SETOR]]&lt;200,"GV 10",IF(Tabela8[[#This Row],[SETOR]]&lt;300,"GV 20",IF(Tabela8[[#This Row],[SETOR]]&lt;400,"GV 30","S/GV"))))</f>
        <v>GV 10</v>
      </c>
      <c r="E3288" t="s">
        <v>123</v>
      </c>
      <c r="G3288" t="str">
        <f>_xlfn.CONCAT(Tabela9[[#This Row],[Coluna1]],Tabela9[[#This Row],[Coluna2]])</f>
        <v>20-Rota</v>
      </c>
    </row>
    <row r="3289" spans="1:7" x14ac:dyDescent="0.25">
      <c r="A3289">
        <v>17531</v>
      </c>
      <c r="B3289">
        <v>103</v>
      </c>
      <c r="C3289" s="1" t="str">
        <f>IF(Tabela8[[#This Row],[SETOR]]="","",IF(Tabela8[[#This Row],[SETOR]]&lt;200,"GV 10",IF(Tabela8[[#This Row],[SETOR]]&lt;300,"GV 20",IF(Tabela8[[#This Row],[SETOR]]&lt;400,"GV 30","S/GV"))))</f>
        <v>GV 10</v>
      </c>
      <c r="E3289" t="s">
        <v>123</v>
      </c>
      <c r="G3289" t="str">
        <f>_xlfn.CONCAT(Tabela9[[#This Row],[Coluna1]],Tabela9[[#This Row],[Coluna2]])</f>
        <v>20-Rota</v>
      </c>
    </row>
    <row r="3290" spans="1:7" x14ac:dyDescent="0.25">
      <c r="A3290">
        <v>17532</v>
      </c>
      <c r="B3290">
        <v>106</v>
      </c>
      <c r="C3290" s="1" t="str">
        <f>IF(Tabela8[[#This Row],[SETOR]]="","",IF(Tabela8[[#This Row],[SETOR]]&lt;200,"GV 10",IF(Tabela8[[#This Row],[SETOR]]&lt;300,"GV 20",IF(Tabela8[[#This Row],[SETOR]]&lt;400,"GV 30","S/GV"))))</f>
        <v>GV 10</v>
      </c>
      <c r="E3290" t="s">
        <v>123</v>
      </c>
      <c r="G3290" t="str">
        <f>_xlfn.CONCAT(Tabela9[[#This Row],[Coluna1]],Tabela9[[#This Row],[Coluna2]])</f>
        <v>20-Rota</v>
      </c>
    </row>
    <row r="3291" spans="1:7" x14ac:dyDescent="0.25">
      <c r="A3291">
        <v>17535</v>
      </c>
      <c r="B3291">
        <v>101</v>
      </c>
      <c r="C3291" s="1" t="str">
        <f>IF(Tabela8[[#This Row],[SETOR]]="","",IF(Tabela8[[#This Row],[SETOR]]&lt;200,"GV 10",IF(Tabela8[[#This Row],[SETOR]]&lt;300,"GV 20",IF(Tabela8[[#This Row],[SETOR]]&lt;400,"GV 30","S/GV"))))</f>
        <v>GV 10</v>
      </c>
      <c r="E3291" t="s">
        <v>123</v>
      </c>
      <c r="G3291" t="str">
        <f>_xlfn.CONCAT(Tabela9[[#This Row],[Coluna1]],Tabela9[[#This Row],[Coluna2]])</f>
        <v>20-Rota</v>
      </c>
    </row>
    <row r="3292" spans="1:7" x14ac:dyDescent="0.25">
      <c r="A3292">
        <v>17536</v>
      </c>
      <c r="B3292">
        <v>103</v>
      </c>
      <c r="C3292" s="1" t="str">
        <f>IF(Tabela8[[#This Row],[SETOR]]="","",IF(Tabela8[[#This Row],[SETOR]]&lt;200,"GV 10",IF(Tabela8[[#This Row],[SETOR]]&lt;300,"GV 20",IF(Tabela8[[#This Row],[SETOR]]&lt;400,"GV 30","S/GV"))))</f>
        <v>GV 10</v>
      </c>
      <c r="E3292" t="s">
        <v>123</v>
      </c>
      <c r="G3292" t="str">
        <f>_xlfn.CONCAT(Tabela9[[#This Row],[Coluna1]],Tabela9[[#This Row],[Coluna2]])</f>
        <v>20-Rota</v>
      </c>
    </row>
    <row r="3293" spans="1:7" x14ac:dyDescent="0.25">
      <c r="A3293">
        <v>17537</v>
      </c>
      <c r="B3293">
        <v>102</v>
      </c>
      <c r="C3293" s="1" t="str">
        <f>IF(Tabela8[[#This Row],[SETOR]]="","",IF(Tabela8[[#This Row],[SETOR]]&lt;200,"GV 10",IF(Tabela8[[#This Row],[SETOR]]&lt;300,"GV 20",IF(Tabela8[[#This Row],[SETOR]]&lt;400,"GV 30","S/GV"))))</f>
        <v>GV 10</v>
      </c>
      <c r="E3293" t="s">
        <v>123</v>
      </c>
      <c r="G3293" t="str">
        <f>_xlfn.CONCAT(Tabela9[[#This Row],[Coluna1]],Tabela9[[#This Row],[Coluna2]])</f>
        <v>20-Rota</v>
      </c>
    </row>
    <row r="3294" spans="1:7" x14ac:dyDescent="0.25">
      <c r="A3294">
        <v>17538</v>
      </c>
      <c r="B3294">
        <v>301</v>
      </c>
      <c r="C3294" s="1" t="str">
        <f>IF(Tabela8[[#This Row],[SETOR]]="","",IF(Tabela8[[#This Row],[SETOR]]&lt;200,"GV 10",IF(Tabela8[[#This Row],[SETOR]]&lt;300,"GV 20",IF(Tabela8[[#This Row],[SETOR]]&lt;400,"GV 30","S/GV"))))</f>
        <v>GV 30</v>
      </c>
      <c r="E3294" t="s">
        <v>123</v>
      </c>
      <c r="G3294" t="str">
        <f>_xlfn.CONCAT(Tabela9[[#This Row],[Coluna1]],Tabela9[[#This Row],[Coluna2]])</f>
        <v>20-Rota</v>
      </c>
    </row>
    <row r="3295" spans="1:7" x14ac:dyDescent="0.25">
      <c r="A3295">
        <v>17540</v>
      </c>
      <c r="B3295">
        <v>104</v>
      </c>
      <c r="C3295" s="1" t="str">
        <f>IF(Tabela8[[#This Row],[SETOR]]="","",IF(Tabela8[[#This Row],[SETOR]]&lt;200,"GV 10",IF(Tabela8[[#This Row],[SETOR]]&lt;300,"GV 20",IF(Tabela8[[#This Row],[SETOR]]&lt;400,"GV 30","S/GV"))))</f>
        <v>GV 10</v>
      </c>
      <c r="E3295" t="s">
        <v>123</v>
      </c>
      <c r="G3295" t="str">
        <f>_xlfn.CONCAT(Tabela9[[#This Row],[Coluna1]],Tabela9[[#This Row],[Coluna2]])</f>
        <v>20-Rota</v>
      </c>
    </row>
    <row r="3296" spans="1:7" x14ac:dyDescent="0.25">
      <c r="A3296">
        <v>17541</v>
      </c>
      <c r="B3296">
        <v>203</v>
      </c>
      <c r="C3296" s="1" t="str">
        <f>IF(Tabela8[[#This Row],[SETOR]]="","",IF(Tabela8[[#This Row],[SETOR]]&lt;200,"GV 10",IF(Tabela8[[#This Row],[SETOR]]&lt;300,"GV 20",IF(Tabela8[[#This Row],[SETOR]]&lt;400,"GV 30","S/GV"))))</f>
        <v>GV 20</v>
      </c>
      <c r="E3296" t="s">
        <v>123</v>
      </c>
      <c r="G3296" t="str">
        <f>_xlfn.CONCAT(Tabela9[[#This Row],[Coluna1]],Tabela9[[#This Row],[Coluna2]])</f>
        <v>20-Rota</v>
      </c>
    </row>
    <row r="3297" spans="1:7" x14ac:dyDescent="0.25">
      <c r="A3297">
        <v>17543</v>
      </c>
      <c r="B3297">
        <v>204</v>
      </c>
      <c r="C3297" s="1" t="str">
        <f>IF(Tabela8[[#This Row],[SETOR]]="","",IF(Tabela8[[#This Row],[SETOR]]&lt;200,"GV 10",IF(Tabela8[[#This Row],[SETOR]]&lt;300,"GV 20",IF(Tabela8[[#This Row],[SETOR]]&lt;400,"GV 30","S/GV"))))</f>
        <v>GV 20</v>
      </c>
      <c r="E3297" t="s">
        <v>123</v>
      </c>
      <c r="G3297" t="str">
        <f>_xlfn.CONCAT(Tabela9[[#This Row],[Coluna1]],Tabela9[[#This Row],[Coluna2]])</f>
        <v>20-Rota</v>
      </c>
    </row>
    <row r="3298" spans="1:7" x14ac:dyDescent="0.25">
      <c r="A3298">
        <v>17544</v>
      </c>
      <c r="B3298">
        <v>106</v>
      </c>
      <c r="C3298" s="1" t="str">
        <f>IF(Tabela8[[#This Row],[SETOR]]="","",IF(Tabela8[[#This Row],[SETOR]]&lt;200,"GV 10",IF(Tabela8[[#This Row],[SETOR]]&lt;300,"GV 20",IF(Tabela8[[#This Row],[SETOR]]&lt;400,"GV 30","S/GV"))))</f>
        <v>GV 10</v>
      </c>
      <c r="E3298" t="s">
        <v>123</v>
      </c>
      <c r="G3298" t="str">
        <f>_xlfn.CONCAT(Tabela9[[#This Row],[Coluna1]],Tabela9[[#This Row],[Coluna2]])</f>
        <v>20-Rota</v>
      </c>
    </row>
    <row r="3299" spans="1:7" x14ac:dyDescent="0.25">
      <c r="A3299">
        <v>17545</v>
      </c>
      <c r="B3299">
        <v>105</v>
      </c>
      <c r="C3299" s="1" t="str">
        <f>IF(Tabela8[[#This Row],[SETOR]]="","",IF(Tabela8[[#This Row],[SETOR]]&lt;200,"GV 10",IF(Tabela8[[#This Row],[SETOR]]&lt;300,"GV 20",IF(Tabela8[[#This Row],[SETOR]]&lt;400,"GV 30","S/GV"))))</f>
        <v>GV 10</v>
      </c>
      <c r="E3299" t="s">
        <v>123</v>
      </c>
      <c r="G3299" t="str">
        <f>_xlfn.CONCAT(Tabela9[[#This Row],[Coluna1]],Tabela9[[#This Row],[Coluna2]])</f>
        <v>20-Rota</v>
      </c>
    </row>
    <row r="3300" spans="1:7" x14ac:dyDescent="0.25">
      <c r="A3300">
        <v>17546</v>
      </c>
      <c r="B3300">
        <v>104</v>
      </c>
      <c r="C3300" s="1" t="str">
        <f>IF(Tabela8[[#This Row],[SETOR]]="","",IF(Tabela8[[#This Row],[SETOR]]&lt;200,"GV 10",IF(Tabela8[[#This Row],[SETOR]]&lt;300,"GV 20",IF(Tabela8[[#This Row],[SETOR]]&lt;400,"GV 30","S/GV"))))</f>
        <v>GV 10</v>
      </c>
      <c r="E3300" t="s">
        <v>123</v>
      </c>
      <c r="G3300" t="str">
        <f>_xlfn.CONCAT(Tabela9[[#This Row],[Coluna1]],Tabela9[[#This Row],[Coluna2]])</f>
        <v>20-Rota</v>
      </c>
    </row>
    <row r="3301" spans="1:7" x14ac:dyDescent="0.25">
      <c r="A3301">
        <v>17549</v>
      </c>
      <c r="B3301">
        <v>916</v>
      </c>
      <c r="C3301" s="1" t="str">
        <f>IF(Tabela8[[#This Row],[SETOR]]="","",IF(Tabela8[[#This Row],[SETOR]]&lt;200,"GV 10",IF(Tabela8[[#This Row],[SETOR]]&lt;300,"GV 20",IF(Tabela8[[#This Row],[SETOR]]&lt;400,"GV 30","S/GV"))))</f>
        <v>S/GV</v>
      </c>
      <c r="G3301" t="str">
        <f>_xlfn.CONCAT(Tabela9[[#This Row],[Coluna1]],Tabela9[[#This Row],[Coluna2]])</f>
        <v/>
      </c>
    </row>
    <row r="3302" spans="1:7" x14ac:dyDescent="0.25">
      <c r="A3302">
        <v>17551</v>
      </c>
      <c r="B3302">
        <v>104</v>
      </c>
      <c r="C3302" s="1" t="str">
        <f>IF(Tabela8[[#This Row],[SETOR]]="","",IF(Tabela8[[#This Row],[SETOR]]&lt;200,"GV 10",IF(Tabela8[[#This Row],[SETOR]]&lt;300,"GV 20",IF(Tabela8[[#This Row],[SETOR]]&lt;400,"GV 30","S/GV"))))</f>
        <v>GV 10</v>
      </c>
      <c r="E3302" t="s">
        <v>123</v>
      </c>
      <c r="G3302" t="str">
        <f>_xlfn.CONCAT(Tabela9[[#This Row],[Coluna1]],Tabela9[[#This Row],[Coluna2]])</f>
        <v>20-Rota</v>
      </c>
    </row>
    <row r="3303" spans="1:7" x14ac:dyDescent="0.25">
      <c r="A3303">
        <v>17552</v>
      </c>
      <c r="B3303">
        <v>107</v>
      </c>
      <c r="C3303" s="1" t="str">
        <f>IF(Tabela8[[#This Row],[SETOR]]="","",IF(Tabela8[[#This Row],[SETOR]]&lt;200,"GV 10",IF(Tabela8[[#This Row],[SETOR]]&lt;300,"GV 20",IF(Tabela8[[#This Row],[SETOR]]&lt;400,"GV 30","S/GV"))))</f>
        <v>GV 10</v>
      </c>
      <c r="E3303" t="s">
        <v>130</v>
      </c>
      <c r="G3303" t="str">
        <f>_xlfn.CONCAT(Tabela9[[#This Row],[Coluna1]],Tabela9[[#This Row],[Coluna2]])</f>
        <v>21-SUB</v>
      </c>
    </row>
    <row r="3304" spans="1:7" x14ac:dyDescent="0.25">
      <c r="A3304">
        <v>17556</v>
      </c>
      <c r="B3304">
        <v>305</v>
      </c>
      <c r="C3304" s="1" t="str">
        <f>IF(Tabela8[[#This Row],[SETOR]]="","",IF(Tabela8[[#This Row],[SETOR]]&lt;200,"GV 10",IF(Tabela8[[#This Row],[SETOR]]&lt;300,"GV 20",IF(Tabela8[[#This Row],[SETOR]]&lt;400,"GV 30","S/GV"))))</f>
        <v>GV 30</v>
      </c>
      <c r="E3304" t="s">
        <v>123</v>
      </c>
      <c r="G3304" t="str">
        <f>_xlfn.CONCAT(Tabela9[[#This Row],[Coluna1]],Tabela9[[#This Row],[Coluna2]])</f>
        <v>20-Rota</v>
      </c>
    </row>
    <row r="3305" spans="1:7" x14ac:dyDescent="0.25">
      <c r="A3305">
        <v>17558</v>
      </c>
      <c r="B3305">
        <v>201</v>
      </c>
      <c r="C3305" s="1" t="str">
        <f>IF(Tabela8[[#This Row],[SETOR]]="","",IF(Tabela8[[#This Row],[SETOR]]&lt;200,"GV 10",IF(Tabela8[[#This Row],[SETOR]]&lt;300,"GV 20",IF(Tabela8[[#This Row],[SETOR]]&lt;400,"GV 30","S/GV"))))</f>
        <v>GV 20</v>
      </c>
      <c r="E3305" t="s">
        <v>123</v>
      </c>
      <c r="G3305" t="str">
        <f>_xlfn.CONCAT(Tabela9[[#This Row],[Coluna1]],Tabela9[[#This Row],[Coluna2]])</f>
        <v>20-Rota</v>
      </c>
    </row>
    <row r="3306" spans="1:7" x14ac:dyDescent="0.25">
      <c r="A3306">
        <v>17559</v>
      </c>
      <c r="B3306">
        <v>106</v>
      </c>
      <c r="C3306" s="1" t="str">
        <f>IF(Tabela8[[#This Row],[SETOR]]="","",IF(Tabela8[[#This Row],[SETOR]]&lt;200,"GV 10",IF(Tabela8[[#This Row],[SETOR]]&lt;300,"GV 20",IF(Tabela8[[#This Row],[SETOR]]&lt;400,"GV 30","S/GV"))))</f>
        <v>GV 10</v>
      </c>
      <c r="E3306" t="s">
        <v>123</v>
      </c>
      <c r="G3306" t="str">
        <f>_xlfn.CONCAT(Tabela9[[#This Row],[Coluna1]],Tabela9[[#This Row],[Coluna2]])</f>
        <v>20-Rota</v>
      </c>
    </row>
    <row r="3307" spans="1:7" x14ac:dyDescent="0.25">
      <c r="A3307">
        <v>17560</v>
      </c>
      <c r="B3307">
        <v>207</v>
      </c>
      <c r="C3307" s="1" t="str">
        <f>IF(Tabela8[[#This Row],[SETOR]]="","",IF(Tabela8[[#This Row],[SETOR]]&lt;200,"GV 10",IF(Tabela8[[#This Row],[SETOR]]&lt;300,"GV 20",IF(Tabela8[[#This Row],[SETOR]]&lt;400,"GV 30","S/GV"))))</f>
        <v>GV 20</v>
      </c>
      <c r="E3307" t="s">
        <v>125</v>
      </c>
      <c r="G3307" t="str">
        <f>_xlfn.CONCAT(Tabela9[[#This Row],[Coluna1]],Tabela9[[#This Row],[Coluna2]])</f>
        <v>18-TRAD</v>
      </c>
    </row>
    <row r="3308" spans="1:7" x14ac:dyDescent="0.25">
      <c r="A3308">
        <v>17562</v>
      </c>
      <c r="B3308">
        <v>207</v>
      </c>
      <c r="C3308" s="1" t="str">
        <f>IF(Tabela8[[#This Row],[SETOR]]="","",IF(Tabela8[[#This Row],[SETOR]]&lt;200,"GV 10",IF(Tabela8[[#This Row],[SETOR]]&lt;300,"GV 20",IF(Tabela8[[#This Row],[SETOR]]&lt;400,"GV 30","S/GV"))))</f>
        <v>GV 20</v>
      </c>
      <c r="E3308" t="s">
        <v>130</v>
      </c>
      <c r="G3308" t="str">
        <f>_xlfn.CONCAT(Tabela9[[#This Row],[Coluna1]],Tabela9[[#This Row],[Coluna2]])</f>
        <v>21-SUB</v>
      </c>
    </row>
    <row r="3309" spans="1:7" x14ac:dyDescent="0.25">
      <c r="A3309">
        <v>17564</v>
      </c>
      <c r="B3309">
        <v>103</v>
      </c>
      <c r="C3309" s="1" t="str">
        <f>IF(Tabela8[[#This Row],[SETOR]]="","",IF(Tabela8[[#This Row],[SETOR]]&lt;200,"GV 10",IF(Tabela8[[#This Row],[SETOR]]&lt;300,"GV 20",IF(Tabela8[[#This Row],[SETOR]]&lt;400,"GV 30","S/GV"))))</f>
        <v>GV 10</v>
      </c>
      <c r="E3309" t="s">
        <v>123</v>
      </c>
      <c r="G3309" t="str">
        <f>_xlfn.CONCAT(Tabela9[[#This Row],[Coluna1]],Tabela9[[#This Row],[Coluna2]])</f>
        <v>20-Rota</v>
      </c>
    </row>
    <row r="3310" spans="1:7" x14ac:dyDescent="0.25">
      <c r="A3310">
        <v>17565</v>
      </c>
      <c r="B3310">
        <v>101</v>
      </c>
      <c r="C3310" s="1" t="str">
        <f>IF(Tabela8[[#This Row],[SETOR]]="","",IF(Tabela8[[#This Row],[SETOR]]&lt;200,"GV 10",IF(Tabela8[[#This Row],[SETOR]]&lt;300,"GV 20",IF(Tabela8[[#This Row],[SETOR]]&lt;400,"GV 30","S/GV"))))</f>
        <v>GV 10</v>
      </c>
      <c r="E3310" t="s">
        <v>123</v>
      </c>
      <c r="G3310" t="str">
        <f>_xlfn.CONCAT(Tabela9[[#This Row],[Coluna1]],Tabela9[[#This Row],[Coluna2]])</f>
        <v>20-Rota</v>
      </c>
    </row>
    <row r="3311" spans="1:7" x14ac:dyDescent="0.25">
      <c r="A3311">
        <v>17567</v>
      </c>
      <c r="B3311">
        <v>203</v>
      </c>
      <c r="C3311" s="1" t="str">
        <f>IF(Tabela8[[#This Row],[SETOR]]="","",IF(Tabela8[[#This Row],[SETOR]]&lt;200,"GV 10",IF(Tabela8[[#This Row],[SETOR]]&lt;300,"GV 20",IF(Tabela8[[#This Row],[SETOR]]&lt;400,"GV 30","S/GV"))))</f>
        <v>GV 20</v>
      </c>
      <c r="E3311" t="s">
        <v>123</v>
      </c>
      <c r="G3311" t="str">
        <f>_xlfn.CONCAT(Tabela9[[#This Row],[Coluna1]],Tabela9[[#This Row],[Coluna2]])</f>
        <v>20-Rota</v>
      </c>
    </row>
    <row r="3312" spans="1:7" x14ac:dyDescent="0.25">
      <c r="A3312">
        <v>17568</v>
      </c>
      <c r="B3312">
        <v>202</v>
      </c>
      <c r="C3312" s="1" t="str">
        <f>IF(Tabela8[[#This Row],[SETOR]]="","",IF(Tabela8[[#This Row],[SETOR]]&lt;200,"GV 10",IF(Tabela8[[#This Row],[SETOR]]&lt;300,"GV 20",IF(Tabela8[[#This Row],[SETOR]]&lt;400,"GV 30","S/GV"))))</f>
        <v>GV 20</v>
      </c>
      <c r="E3312" t="s">
        <v>123</v>
      </c>
      <c r="G3312" t="str">
        <f>_xlfn.CONCAT(Tabela9[[#This Row],[Coluna1]],Tabela9[[#This Row],[Coluna2]])</f>
        <v>20-Rota</v>
      </c>
    </row>
    <row r="3313" spans="1:7" x14ac:dyDescent="0.25">
      <c r="A3313">
        <v>17569</v>
      </c>
      <c r="B3313">
        <v>308</v>
      </c>
      <c r="C3313" s="1" t="str">
        <f>IF(Tabela8[[#This Row],[SETOR]]="","",IF(Tabela8[[#This Row],[SETOR]]&lt;200,"GV 10",IF(Tabela8[[#This Row],[SETOR]]&lt;300,"GV 20",IF(Tabela8[[#This Row],[SETOR]]&lt;400,"GV 30","S/GV"))))</f>
        <v>GV 30</v>
      </c>
      <c r="E3313" t="s">
        <v>128</v>
      </c>
      <c r="F3313" t="s">
        <v>129</v>
      </c>
      <c r="G3313" t="str">
        <f>_xlfn.CONCAT(Tabela9[[#This Row],[Coluna1]],Tabela9[[#This Row],[Coluna2]])</f>
        <v>15-AS(1-4)</v>
      </c>
    </row>
    <row r="3314" spans="1:7" x14ac:dyDescent="0.25">
      <c r="A3314">
        <v>17570</v>
      </c>
      <c r="B3314">
        <v>204</v>
      </c>
      <c r="C3314" s="1" t="str">
        <f>IF(Tabela8[[#This Row],[SETOR]]="","",IF(Tabela8[[#This Row],[SETOR]]&lt;200,"GV 10",IF(Tabela8[[#This Row],[SETOR]]&lt;300,"GV 20",IF(Tabela8[[#This Row],[SETOR]]&lt;400,"GV 30","S/GV"))))</f>
        <v>GV 20</v>
      </c>
      <c r="E3314" t="s">
        <v>123</v>
      </c>
      <c r="G3314" t="str">
        <f>_xlfn.CONCAT(Tabela9[[#This Row],[Coluna1]],Tabela9[[#This Row],[Coluna2]])</f>
        <v>20-Rota</v>
      </c>
    </row>
    <row r="3315" spans="1:7" x14ac:dyDescent="0.25">
      <c r="A3315">
        <v>17572</v>
      </c>
      <c r="B3315">
        <v>302</v>
      </c>
      <c r="C3315" s="1" t="str">
        <f>IF(Tabela8[[#This Row],[SETOR]]="","",IF(Tabela8[[#This Row],[SETOR]]&lt;200,"GV 10",IF(Tabela8[[#This Row],[SETOR]]&lt;300,"GV 20",IF(Tabela8[[#This Row],[SETOR]]&lt;400,"GV 30","S/GV"))))</f>
        <v>GV 30</v>
      </c>
      <c r="E3315" t="s">
        <v>123</v>
      </c>
      <c r="G3315" t="str">
        <f>_xlfn.CONCAT(Tabela9[[#This Row],[Coluna1]],Tabela9[[#This Row],[Coluna2]])</f>
        <v>20-Rota</v>
      </c>
    </row>
    <row r="3316" spans="1:7" x14ac:dyDescent="0.25">
      <c r="A3316">
        <v>17574</v>
      </c>
      <c r="B3316">
        <v>106</v>
      </c>
      <c r="C3316" s="1" t="str">
        <f>IF(Tabela8[[#This Row],[SETOR]]="","",IF(Tabela8[[#This Row],[SETOR]]&lt;200,"GV 10",IF(Tabela8[[#This Row],[SETOR]]&lt;300,"GV 20",IF(Tabela8[[#This Row],[SETOR]]&lt;400,"GV 30","S/GV"))))</f>
        <v>GV 10</v>
      </c>
      <c r="E3316" t="s">
        <v>123</v>
      </c>
      <c r="G3316" t="str">
        <f>_xlfn.CONCAT(Tabela9[[#This Row],[Coluna1]],Tabela9[[#This Row],[Coluna2]])</f>
        <v>20-Rota</v>
      </c>
    </row>
    <row r="3317" spans="1:7" x14ac:dyDescent="0.25">
      <c r="A3317">
        <v>17576</v>
      </c>
      <c r="B3317">
        <v>101</v>
      </c>
      <c r="C3317" s="1" t="str">
        <f>IF(Tabela8[[#This Row],[SETOR]]="","",IF(Tabela8[[#This Row],[SETOR]]&lt;200,"GV 10",IF(Tabela8[[#This Row],[SETOR]]&lt;300,"GV 20",IF(Tabela8[[#This Row],[SETOR]]&lt;400,"GV 30","S/GV"))))</f>
        <v>GV 10</v>
      </c>
      <c r="E3317" t="s">
        <v>123</v>
      </c>
      <c r="G3317" t="str">
        <f>_xlfn.CONCAT(Tabela9[[#This Row],[Coluna1]],Tabela9[[#This Row],[Coluna2]])</f>
        <v>20-Rota</v>
      </c>
    </row>
    <row r="3318" spans="1:7" x14ac:dyDescent="0.25">
      <c r="A3318">
        <v>17578</v>
      </c>
      <c r="B3318">
        <v>104</v>
      </c>
      <c r="C3318" s="1" t="str">
        <f>IF(Tabela8[[#This Row],[SETOR]]="","",IF(Tabela8[[#This Row],[SETOR]]&lt;200,"GV 10",IF(Tabela8[[#This Row],[SETOR]]&lt;300,"GV 20",IF(Tabela8[[#This Row],[SETOR]]&lt;400,"GV 30","S/GV"))))</f>
        <v>GV 10</v>
      </c>
      <c r="E3318" t="s">
        <v>125</v>
      </c>
      <c r="G3318" t="str">
        <f>_xlfn.CONCAT(Tabela9[[#This Row],[Coluna1]],Tabela9[[#This Row],[Coluna2]])</f>
        <v>18-TRAD</v>
      </c>
    </row>
    <row r="3319" spans="1:7" x14ac:dyDescent="0.25">
      <c r="A3319">
        <v>17581</v>
      </c>
      <c r="B3319">
        <v>302</v>
      </c>
      <c r="C3319" s="1" t="str">
        <f>IF(Tabela8[[#This Row],[SETOR]]="","",IF(Tabela8[[#This Row],[SETOR]]&lt;200,"GV 10",IF(Tabela8[[#This Row],[SETOR]]&lt;300,"GV 20",IF(Tabela8[[#This Row],[SETOR]]&lt;400,"GV 30","S/GV"))))</f>
        <v>GV 30</v>
      </c>
      <c r="E3319" t="s">
        <v>123</v>
      </c>
      <c r="G3319" t="str">
        <f>_xlfn.CONCAT(Tabela9[[#This Row],[Coluna1]],Tabela9[[#This Row],[Coluna2]])</f>
        <v>20-Rota</v>
      </c>
    </row>
    <row r="3320" spans="1:7" x14ac:dyDescent="0.25">
      <c r="A3320">
        <v>17582</v>
      </c>
      <c r="B3320">
        <v>107</v>
      </c>
      <c r="C3320" s="1" t="str">
        <f>IF(Tabela8[[#This Row],[SETOR]]="","",IF(Tabela8[[#This Row],[SETOR]]&lt;200,"GV 10",IF(Tabela8[[#This Row],[SETOR]]&lt;300,"GV 20",IF(Tabela8[[#This Row],[SETOR]]&lt;400,"GV 30","S/GV"))))</f>
        <v>GV 10</v>
      </c>
      <c r="E3320" t="s">
        <v>130</v>
      </c>
      <c r="G3320" t="str">
        <f>_xlfn.CONCAT(Tabela9[[#This Row],[Coluna1]],Tabela9[[#This Row],[Coluna2]])</f>
        <v>21-SUB</v>
      </c>
    </row>
    <row r="3321" spans="1:7" x14ac:dyDescent="0.25">
      <c r="A3321">
        <v>17585</v>
      </c>
      <c r="B3321">
        <v>203</v>
      </c>
      <c r="C3321" s="1" t="str">
        <f>IF(Tabela8[[#This Row],[SETOR]]="","",IF(Tabela8[[#This Row],[SETOR]]&lt;200,"GV 10",IF(Tabela8[[#This Row],[SETOR]]&lt;300,"GV 20",IF(Tabela8[[#This Row],[SETOR]]&lt;400,"GV 30","S/GV"))))</f>
        <v>GV 20</v>
      </c>
      <c r="E3321" t="s">
        <v>123</v>
      </c>
      <c r="G3321" t="str">
        <f>_xlfn.CONCAT(Tabela9[[#This Row],[Coluna1]],Tabela9[[#This Row],[Coluna2]])</f>
        <v>20-Rota</v>
      </c>
    </row>
    <row r="3322" spans="1:7" x14ac:dyDescent="0.25">
      <c r="A3322">
        <v>17586</v>
      </c>
      <c r="B3322">
        <v>916</v>
      </c>
      <c r="C3322" s="1" t="str">
        <f>IF(Tabela8[[#This Row],[SETOR]]="","",IF(Tabela8[[#This Row],[SETOR]]&lt;200,"GV 10",IF(Tabela8[[#This Row],[SETOR]]&lt;300,"GV 20",IF(Tabela8[[#This Row],[SETOR]]&lt;400,"GV 30","S/GV"))))</f>
        <v>S/GV</v>
      </c>
      <c r="G3322" t="str">
        <f>_xlfn.CONCAT(Tabela9[[#This Row],[Coluna1]],Tabela9[[#This Row],[Coluna2]])</f>
        <v/>
      </c>
    </row>
    <row r="3323" spans="1:7" x14ac:dyDescent="0.25">
      <c r="A3323">
        <v>17587</v>
      </c>
      <c r="B3323">
        <v>303</v>
      </c>
      <c r="C3323" s="1" t="str">
        <f>IF(Tabela8[[#This Row],[SETOR]]="","",IF(Tabela8[[#This Row],[SETOR]]&lt;200,"GV 10",IF(Tabela8[[#This Row],[SETOR]]&lt;300,"GV 20",IF(Tabela8[[#This Row],[SETOR]]&lt;400,"GV 30","S/GV"))))</f>
        <v>GV 30</v>
      </c>
      <c r="E3323" t="s">
        <v>123</v>
      </c>
      <c r="G3323" t="str">
        <f>_xlfn.CONCAT(Tabela9[[#This Row],[Coluna1]],Tabela9[[#This Row],[Coluna2]])</f>
        <v>20-Rota</v>
      </c>
    </row>
    <row r="3324" spans="1:7" x14ac:dyDescent="0.25">
      <c r="A3324">
        <v>17588</v>
      </c>
      <c r="B3324">
        <v>916</v>
      </c>
      <c r="C3324" s="1" t="str">
        <f>IF(Tabela8[[#This Row],[SETOR]]="","",IF(Tabela8[[#This Row],[SETOR]]&lt;200,"GV 10",IF(Tabela8[[#This Row],[SETOR]]&lt;300,"GV 20",IF(Tabela8[[#This Row],[SETOR]]&lt;400,"GV 30","S/GV"))))</f>
        <v>S/GV</v>
      </c>
      <c r="G3324" t="str">
        <f>_xlfn.CONCAT(Tabela9[[#This Row],[Coluna1]],Tabela9[[#This Row],[Coluna2]])</f>
        <v/>
      </c>
    </row>
    <row r="3325" spans="1:7" x14ac:dyDescent="0.25">
      <c r="A3325">
        <v>17591</v>
      </c>
      <c r="B3325">
        <v>103</v>
      </c>
      <c r="C3325" s="1" t="str">
        <f>IF(Tabela8[[#This Row],[SETOR]]="","",IF(Tabela8[[#This Row],[SETOR]]&lt;200,"GV 10",IF(Tabela8[[#This Row],[SETOR]]&lt;300,"GV 20",IF(Tabela8[[#This Row],[SETOR]]&lt;400,"GV 30","S/GV"))))</f>
        <v>GV 10</v>
      </c>
      <c r="E3325" t="s">
        <v>125</v>
      </c>
      <c r="G3325" t="str">
        <f>_xlfn.CONCAT(Tabela9[[#This Row],[Coluna1]],Tabela9[[#This Row],[Coluna2]])</f>
        <v>18-TRAD</v>
      </c>
    </row>
    <row r="3326" spans="1:7" x14ac:dyDescent="0.25">
      <c r="A3326">
        <v>17592</v>
      </c>
      <c r="B3326">
        <v>207</v>
      </c>
      <c r="C3326" s="1" t="str">
        <f>IF(Tabela8[[#This Row],[SETOR]]="","",IF(Tabela8[[#This Row],[SETOR]]&lt;200,"GV 10",IF(Tabela8[[#This Row],[SETOR]]&lt;300,"GV 20",IF(Tabela8[[#This Row],[SETOR]]&lt;400,"GV 30","S/GV"))))</f>
        <v>GV 20</v>
      </c>
      <c r="E3326" t="s">
        <v>125</v>
      </c>
      <c r="G3326" t="str">
        <f>_xlfn.CONCAT(Tabela9[[#This Row],[Coluna1]],Tabela9[[#This Row],[Coluna2]])</f>
        <v>18-TRAD</v>
      </c>
    </row>
    <row r="3327" spans="1:7" x14ac:dyDescent="0.25">
      <c r="A3327">
        <v>17593</v>
      </c>
      <c r="B3327">
        <v>205</v>
      </c>
      <c r="C3327" s="1" t="str">
        <f>IF(Tabela8[[#This Row],[SETOR]]="","",IF(Tabela8[[#This Row],[SETOR]]&lt;200,"GV 10",IF(Tabela8[[#This Row],[SETOR]]&lt;300,"GV 20",IF(Tabela8[[#This Row],[SETOR]]&lt;400,"GV 30","S/GV"))))</f>
        <v>GV 20</v>
      </c>
      <c r="E3327" t="s">
        <v>123</v>
      </c>
      <c r="G3327" t="str">
        <f>_xlfn.CONCAT(Tabela9[[#This Row],[Coluna1]],Tabela9[[#This Row],[Coluna2]])</f>
        <v>20-Rota</v>
      </c>
    </row>
    <row r="3328" spans="1:7" x14ac:dyDescent="0.25">
      <c r="A3328">
        <v>17594</v>
      </c>
      <c r="B3328">
        <v>205</v>
      </c>
      <c r="C3328" s="1" t="str">
        <f>IF(Tabela8[[#This Row],[SETOR]]="","",IF(Tabela8[[#This Row],[SETOR]]&lt;200,"GV 10",IF(Tabela8[[#This Row],[SETOR]]&lt;300,"GV 20",IF(Tabela8[[#This Row],[SETOR]]&lt;400,"GV 30","S/GV"))))</f>
        <v>GV 20</v>
      </c>
      <c r="E3328" t="s">
        <v>123</v>
      </c>
      <c r="G3328" t="str">
        <f>_xlfn.CONCAT(Tabela9[[#This Row],[Coluna1]],Tabela9[[#This Row],[Coluna2]])</f>
        <v>20-Rota</v>
      </c>
    </row>
    <row r="3329" spans="1:7" x14ac:dyDescent="0.25">
      <c r="A3329">
        <v>17597</v>
      </c>
      <c r="B3329">
        <v>107</v>
      </c>
      <c r="C3329" s="1" t="str">
        <f>IF(Tabela8[[#This Row],[SETOR]]="","",IF(Tabela8[[#This Row],[SETOR]]&lt;200,"GV 10",IF(Tabela8[[#This Row],[SETOR]]&lt;300,"GV 20",IF(Tabela8[[#This Row],[SETOR]]&lt;400,"GV 30","S/GV"))))</f>
        <v>GV 10</v>
      </c>
      <c r="E3329" t="s">
        <v>130</v>
      </c>
      <c r="G3329" t="str">
        <f>_xlfn.CONCAT(Tabela9[[#This Row],[Coluna1]],Tabela9[[#This Row],[Coluna2]])</f>
        <v>21-SUB</v>
      </c>
    </row>
    <row r="3330" spans="1:7" x14ac:dyDescent="0.25">
      <c r="A3330">
        <v>17599</v>
      </c>
      <c r="B3330">
        <v>105</v>
      </c>
      <c r="C3330" s="1" t="str">
        <f>IF(Tabela8[[#This Row],[SETOR]]="","",IF(Tabela8[[#This Row],[SETOR]]&lt;200,"GV 10",IF(Tabela8[[#This Row],[SETOR]]&lt;300,"GV 20",IF(Tabela8[[#This Row],[SETOR]]&lt;400,"GV 30","S/GV"))))</f>
        <v>GV 10</v>
      </c>
      <c r="E3330" t="s">
        <v>123</v>
      </c>
      <c r="G3330" t="str">
        <f>_xlfn.CONCAT(Tabela9[[#This Row],[Coluna1]],Tabela9[[#This Row],[Coluna2]])</f>
        <v>20-Rota</v>
      </c>
    </row>
    <row r="3331" spans="1:7" x14ac:dyDescent="0.25">
      <c r="A3331">
        <v>17600</v>
      </c>
      <c r="B3331">
        <v>301</v>
      </c>
      <c r="C3331" s="1" t="str">
        <f>IF(Tabela8[[#This Row],[SETOR]]="","",IF(Tabela8[[#This Row],[SETOR]]&lt;200,"GV 10",IF(Tabela8[[#This Row],[SETOR]]&lt;300,"GV 20",IF(Tabela8[[#This Row],[SETOR]]&lt;400,"GV 30","S/GV"))))</f>
        <v>GV 30</v>
      </c>
      <c r="E3331" t="s">
        <v>123</v>
      </c>
      <c r="G3331" t="str">
        <f>_xlfn.CONCAT(Tabela9[[#This Row],[Coluna1]],Tabela9[[#This Row],[Coluna2]])</f>
        <v>20-Rota</v>
      </c>
    </row>
    <row r="3332" spans="1:7" x14ac:dyDescent="0.25">
      <c r="A3332">
        <v>17603</v>
      </c>
      <c r="B3332">
        <v>305</v>
      </c>
      <c r="C3332" s="1" t="str">
        <f>IF(Tabela8[[#This Row],[SETOR]]="","",IF(Tabela8[[#This Row],[SETOR]]&lt;200,"GV 10",IF(Tabela8[[#This Row],[SETOR]]&lt;300,"GV 20",IF(Tabela8[[#This Row],[SETOR]]&lt;400,"GV 30","S/GV"))))</f>
        <v>GV 30</v>
      </c>
      <c r="E3332" t="s">
        <v>123</v>
      </c>
      <c r="G3332" t="str">
        <f>_xlfn.CONCAT(Tabela9[[#This Row],[Coluna1]],Tabela9[[#This Row],[Coluna2]])</f>
        <v>20-Rota</v>
      </c>
    </row>
    <row r="3333" spans="1:7" x14ac:dyDescent="0.25">
      <c r="A3333">
        <v>17604</v>
      </c>
      <c r="B3333">
        <v>205</v>
      </c>
      <c r="C3333" s="1" t="str">
        <f>IF(Tabela8[[#This Row],[SETOR]]="","",IF(Tabela8[[#This Row],[SETOR]]&lt;200,"GV 10",IF(Tabela8[[#This Row],[SETOR]]&lt;300,"GV 20",IF(Tabela8[[#This Row],[SETOR]]&lt;400,"GV 30","S/GV"))))</f>
        <v>GV 20</v>
      </c>
      <c r="E3333" t="s">
        <v>123</v>
      </c>
      <c r="G3333" t="str">
        <f>_xlfn.CONCAT(Tabela9[[#This Row],[Coluna1]],Tabela9[[#This Row],[Coluna2]])</f>
        <v>20-Rota</v>
      </c>
    </row>
    <row r="3334" spans="1:7" x14ac:dyDescent="0.25">
      <c r="A3334">
        <v>17605</v>
      </c>
      <c r="B3334">
        <v>107</v>
      </c>
      <c r="C3334" s="1" t="str">
        <f>IF(Tabela8[[#This Row],[SETOR]]="","",IF(Tabela8[[#This Row],[SETOR]]&lt;200,"GV 10",IF(Tabela8[[#This Row],[SETOR]]&lt;300,"GV 20",IF(Tabela8[[#This Row],[SETOR]]&lt;400,"GV 30","S/GV"))))</f>
        <v>GV 10</v>
      </c>
      <c r="E3334" t="s">
        <v>125</v>
      </c>
      <c r="G3334" t="str">
        <f>_xlfn.CONCAT(Tabela9[[#This Row],[Coluna1]],Tabela9[[#This Row],[Coluna2]])</f>
        <v>18-TRAD</v>
      </c>
    </row>
    <row r="3335" spans="1:7" x14ac:dyDescent="0.25">
      <c r="A3335">
        <v>17606</v>
      </c>
      <c r="B3335">
        <v>207</v>
      </c>
      <c r="C3335" s="1" t="str">
        <f>IF(Tabela8[[#This Row],[SETOR]]="","",IF(Tabela8[[#This Row],[SETOR]]&lt;200,"GV 10",IF(Tabela8[[#This Row],[SETOR]]&lt;300,"GV 20",IF(Tabela8[[#This Row],[SETOR]]&lt;400,"GV 30","S/GV"))))</f>
        <v>GV 20</v>
      </c>
      <c r="E3335" t="s">
        <v>130</v>
      </c>
      <c r="G3335" t="str">
        <f>_xlfn.CONCAT(Tabela9[[#This Row],[Coluna1]],Tabela9[[#This Row],[Coluna2]])</f>
        <v>21-SUB</v>
      </c>
    </row>
    <row r="3336" spans="1:7" x14ac:dyDescent="0.25">
      <c r="A3336">
        <v>17609</v>
      </c>
      <c r="B3336">
        <v>106</v>
      </c>
      <c r="C3336" s="1" t="str">
        <f>IF(Tabela8[[#This Row],[SETOR]]="","",IF(Tabela8[[#This Row],[SETOR]]&lt;200,"GV 10",IF(Tabela8[[#This Row],[SETOR]]&lt;300,"GV 20",IF(Tabela8[[#This Row],[SETOR]]&lt;400,"GV 30","S/GV"))))</f>
        <v>GV 10</v>
      </c>
      <c r="E3336" t="s">
        <v>130</v>
      </c>
      <c r="G3336" t="str">
        <f>_xlfn.CONCAT(Tabela9[[#This Row],[Coluna1]],Tabela9[[#This Row],[Coluna2]])</f>
        <v>21-SUB</v>
      </c>
    </row>
    <row r="3337" spans="1:7" x14ac:dyDescent="0.25">
      <c r="A3337">
        <v>17611</v>
      </c>
      <c r="B3337">
        <v>206</v>
      </c>
      <c r="C3337" s="1" t="str">
        <f>IF(Tabela8[[#This Row],[SETOR]]="","",IF(Tabela8[[#This Row],[SETOR]]&lt;200,"GV 10",IF(Tabela8[[#This Row],[SETOR]]&lt;300,"GV 20",IF(Tabela8[[#This Row],[SETOR]]&lt;400,"GV 30","S/GV"))))</f>
        <v>GV 20</v>
      </c>
      <c r="E3337" t="s">
        <v>130</v>
      </c>
      <c r="G3337" t="str">
        <f>_xlfn.CONCAT(Tabela9[[#This Row],[Coluna1]],Tabela9[[#This Row],[Coluna2]])</f>
        <v>21-SUB</v>
      </c>
    </row>
    <row r="3338" spans="1:7" x14ac:dyDescent="0.25">
      <c r="A3338">
        <v>17612</v>
      </c>
      <c r="B3338">
        <v>201</v>
      </c>
      <c r="C3338" s="1" t="str">
        <f>IF(Tabela8[[#This Row],[SETOR]]="","",IF(Tabela8[[#This Row],[SETOR]]&lt;200,"GV 10",IF(Tabela8[[#This Row],[SETOR]]&lt;300,"GV 20",IF(Tabela8[[#This Row],[SETOR]]&lt;400,"GV 30","S/GV"))))</f>
        <v>GV 20</v>
      </c>
      <c r="E3338" t="s">
        <v>123</v>
      </c>
      <c r="G3338" t="str">
        <f>_xlfn.CONCAT(Tabela9[[#This Row],[Coluna1]],Tabela9[[#This Row],[Coluna2]])</f>
        <v>20-Rota</v>
      </c>
    </row>
    <row r="3339" spans="1:7" x14ac:dyDescent="0.25">
      <c r="A3339">
        <v>17614</v>
      </c>
      <c r="B3339">
        <v>307</v>
      </c>
      <c r="C3339" s="1" t="str">
        <f>IF(Tabela8[[#This Row],[SETOR]]="","",IF(Tabela8[[#This Row],[SETOR]]&lt;200,"GV 10",IF(Tabela8[[#This Row],[SETOR]]&lt;300,"GV 20",IF(Tabela8[[#This Row],[SETOR]]&lt;400,"GV 30","S/GV"))))</f>
        <v>GV 30</v>
      </c>
      <c r="E3339" t="s">
        <v>130</v>
      </c>
      <c r="G3339" t="str">
        <f>_xlfn.CONCAT(Tabela9[[#This Row],[Coluna1]],Tabela9[[#This Row],[Coluna2]])</f>
        <v>21-SUB</v>
      </c>
    </row>
    <row r="3340" spans="1:7" x14ac:dyDescent="0.25">
      <c r="A3340">
        <v>17615</v>
      </c>
      <c r="B3340">
        <v>108</v>
      </c>
      <c r="C3340" s="1" t="str">
        <f>IF(Tabela8[[#This Row],[SETOR]]="","",IF(Tabela8[[#This Row],[SETOR]]&lt;200,"GV 10",IF(Tabela8[[#This Row],[SETOR]]&lt;300,"GV 20",IF(Tabela8[[#This Row],[SETOR]]&lt;400,"GV 30","S/GV"))))</f>
        <v>GV 10</v>
      </c>
      <c r="E3340" t="s">
        <v>125</v>
      </c>
      <c r="G3340" t="str">
        <f>_xlfn.CONCAT(Tabela9[[#This Row],[Coluna1]],Tabela9[[#This Row],[Coluna2]])</f>
        <v>18-TRAD</v>
      </c>
    </row>
    <row r="3341" spans="1:7" x14ac:dyDescent="0.25">
      <c r="A3341">
        <v>17616</v>
      </c>
      <c r="B3341">
        <v>916</v>
      </c>
      <c r="C3341" s="1" t="str">
        <f>IF(Tabela8[[#This Row],[SETOR]]="","",IF(Tabela8[[#This Row],[SETOR]]&lt;200,"GV 10",IF(Tabela8[[#This Row],[SETOR]]&lt;300,"GV 20",IF(Tabela8[[#This Row],[SETOR]]&lt;400,"GV 30","S/GV"))))</f>
        <v>S/GV</v>
      </c>
      <c r="G3341" t="str">
        <f>_xlfn.CONCAT(Tabela9[[#This Row],[Coluna1]],Tabela9[[#This Row],[Coluna2]])</f>
        <v/>
      </c>
    </row>
    <row r="3342" spans="1:7" x14ac:dyDescent="0.25">
      <c r="A3342">
        <v>17619</v>
      </c>
      <c r="B3342">
        <v>302</v>
      </c>
      <c r="C3342" s="1" t="str">
        <f>IF(Tabela8[[#This Row],[SETOR]]="","",IF(Tabela8[[#This Row],[SETOR]]&lt;200,"GV 10",IF(Tabela8[[#This Row],[SETOR]]&lt;300,"GV 20",IF(Tabela8[[#This Row],[SETOR]]&lt;400,"GV 30","S/GV"))))</f>
        <v>GV 30</v>
      </c>
      <c r="E3342" t="s">
        <v>123</v>
      </c>
      <c r="G3342" t="str">
        <f>_xlfn.CONCAT(Tabela9[[#This Row],[Coluna1]],Tabela9[[#This Row],[Coluna2]])</f>
        <v>20-Rota</v>
      </c>
    </row>
    <row r="3343" spans="1:7" x14ac:dyDescent="0.25">
      <c r="A3343">
        <v>17620</v>
      </c>
      <c r="B3343">
        <v>204</v>
      </c>
      <c r="C3343" s="1" t="str">
        <f>IF(Tabela8[[#This Row],[SETOR]]="","",IF(Tabela8[[#This Row],[SETOR]]&lt;200,"GV 10",IF(Tabela8[[#This Row],[SETOR]]&lt;300,"GV 20",IF(Tabela8[[#This Row],[SETOR]]&lt;400,"GV 30","S/GV"))))</f>
        <v>GV 20</v>
      </c>
      <c r="E3343" t="s">
        <v>123</v>
      </c>
      <c r="G3343" t="str">
        <f>_xlfn.CONCAT(Tabela9[[#This Row],[Coluna1]],Tabela9[[#This Row],[Coluna2]])</f>
        <v>20-Rota</v>
      </c>
    </row>
    <row r="3344" spans="1:7" x14ac:dyDescent="0.25">
      <c r="A3344">
        <v>17621</v>
      </c>
      <c r="B3344">
        <v>202</v>
      </c>
      <c r="C3344" s="1" t="str">
        <f>IF(Tabela8[[#This Row],[SETOR]]="","",IF(Tabela8[[#This Row],[SETOR]]&lt;200,"GV 10",IF(Tabela8[[#This Row],[SETOR]]&lt;300,"GV 20",IF(Tabela8[[#This Row],[SETOR]]&lt;400,"GV 30","S/GV"))))</f>
        <v>GV 20</v>
      </c>
      <c r="E3344" t="s">
        <v>123</v>
      </c>
      <c r="G3344" t="str">
        <f>_xlfn.CONCAT(Tabela9[[#This Row],[Coluna1]],Tabela9[[#This Row],[Coluna2]])</f>
        <v>20-Rota</v>
      </c>
    </row>
    <row r="3345" spans="1:7" x14ac:dyDescent="0.25">
      <c r="A3345">
        <v>17622</v>
      </c>
      <c r="B3345">
        <v>103</v>
      </c>
      <c r="C3345" s="1" t="str">
        <f>IF(Tabela8[[#This Row],[SETOR]]="","",IF(Tabela8[[#This Row],[SETOR]]&lt;200,"GV 10",IF(Tabela8[[#This Row],[SETOR]]&lt;300,"GV 20",IF(Tabela8[[#This Row],[SETOR]]&lt;400,"GV 30","S/GV"))))</f>
        <v>GV 10</v>
      </c>
      <c r="E3345" t="s">
        <v>123</v>
      </c>
      <c r="G3345" t="str">
        <f>_xlfn.CONCAT(Tabela9[[#This Row],[Coluna1]],Tabela9[[#This Row],[Coluna2]])</f>
        <v>20-Rota</v>
      </c>
    </row>
    <row r="3346" spans="1:7" x14ac:dyDescent="0.25">
      <c r="A3346">
        <v>17625</v>
      </c>
      <c r="B3346">
        <v>302</v>
      </c>
      <c r="C3346" s="1" t="str">
        <f>IF(Tabela8[[#This Row],[SETOR]]="","",IF(Tabela8[[#This Row],[SETOR]]&lt;200,"GV 10",IF(Tabela8[[#This Row],[SETOR]]&lt;300,"GV 20",IF(Tabela8[[#This Row],[SETOR]]&lt;400,"GV 30","S/GV"))))</f>
        <v>GV 30</v>
      </c>
      <c r="E3346" t="s">
        <v>123</v>
      </c>
      <c r="G3346" t="str">
        <f>_xlfn.CONCAT(Tabela9[[#This Row],[Coluna1]],Tabela9[[#This Row],[Coluna2]])</f>
        <v>20-Rota</v>
      </c>
    </row>
    <row r="3347" spans="1:7" x14ac:dyDescent="0.25">
      <c r="A3347">
        <v>17626</v>
      </c>
      <c r="B3347">
        <v>102</v>
      </c>
      <c r="C3347" s="1" t="str">
        <f>IF(Tabela8[[#This Row],[SETOR]]="","",IF(Tabela8[[#This Row],[SETOR]]&lt;200,"GV 10",IF(Tabela8[[#This Row],[SETOR]]&lt;300,"GV 20",IF(Tabela8[[#This Row],[SETOR]]&lt;400,"GV 30","S/GV"))))</f>
        <v>GV 10</v>
      </c>
      <c r="E3347" t="s">
        <v>123</v>
      </c>
      <c r="G3347" t="str">
        <f>_xlfn.CONCAT(Tabela9[[#This Row],[Coluna1]],Tabela9[[#This Row],[Coluna2]])</f>
        <v>20-Rota</v>
      </c>
    </row>
    <row r="3348" spans="1:7" x14ac:dyDescent="0.25">
      <c r="A3348">
        <v>17627</v>
      </c>
      <c r="B3348">
        <v>205</v>
      </c>
      <c r="C3348" s="1" t="str">
        <f>IF(Tabela8[[#This Row],[SETOR]]="","",IF(Tabela8[[#This Row],[SETOR]]&lt;200,"GV 10",IF(Tabela8[[#This Row],[SETOR]]&lt;300,"GV 20",IF(Tabela8[[#This Row],[SETOR]]&lt;400,"GV 30","S/GV"))))</f>
        <v>GV 20</v>
      </c>
      <c r="E3348" t="s">
        <v>123</v>
      </c>
      <c r="G3348" t="str">
        <f>_xlfn.CONCAT(Tabela9[[#This Row],[Coluna1]],Tabela9[[#This Row],[Coluna2]])</f>
        <v>20-Rota</v>
      </c>
    </row>
    <row r="3349" spans="1:7" x14ac:dyDescent="0.25">
      <c r="A3349">
        <v>17628</v>
      </c>
      <c r="B3349">
        <v>206</v>
      </c>
      <c r="C3349" s="1" t="str">
        <f>IF(Tabela8[[#This Row],[SETOR]]="","",IF(Tabela8[[#This Row],[SETOR]]&lt;200,"GV 10",IF(Tabela8[[#This Row],[SETOR]]&lt;300,"GV 20",IF(Tabela8[[#This Row],[SETOR]]&lt;400,"GV 30","S/GV"))))</f>
        <v>GV 20</v>
      </c>
      <c r="E3349" t="s">
        <v>123</v>
      </c>
      <c r="G3349" t="str">
        <f>_xlfn.CONCAT(Tabela9[[#This Row],[Coluna1]],Tabela9[[#This Row],[Coluna2]])</f>
        <v>20-Rota</v>
      </c>
    </row>
    <row r="3350" spans="1:7" x14ac:dyDescent="0.25">
      <c r="A3350">
        <v>17629</v>
      </c>
      <c r="B3350">
        <v>109</v>
      </c>
      <c r="C3350" s="1" t="str">
        <f>IF(Tabela8[[#This Row],[SETOR]]="","",IF(Tabela8[[#This Row],[SETOR]]&lt;200,"GV 10",IF(Tabela8[[#This Row],[SETOR]]&lt;300,"GV 20",IF(Tabela8[[#This Row],[SETOR]]&lt;400,"GV 30","S/GV"))))</f>
        <v>GV 10</v>
      </c>
      <c r="E3350" t="s">
        <v>123</v>
      </c>
      <c r="G3350" t="str">
        <f>_xlfn.CONCAT(Tabela9[[#This Row],[Coluna1]],Tabela9[[#This Row],[Coluna2]])</f>
        <v>20-Rota</v>
      </c>
    </row>
    <row r="3351" spans="1:7" x14ac:dyDescent="0.25">
      <c r="A3351">
        <v>17630</v>
      </c>
      <c r="B3351">
        <v>202</v>
      </c>
      <c r="C3351" s="1" t="str">
        <f>IF(Tabela8[[#This Row],[SETOR]]="","",IF(Tabela8[[#This Row],[SETOR]]&lt;200,"GV 10",IF(Tabela8[[#This Row],[SETOR]]&lt;300,"GV 20",IF(Tabela8[[#This Row],[SETOR]]&lt;400,"GV 30","S/GV"))))</f>
        <v>GV 20</v>
      </c>
      <c r="E3351" t="s">
        <v>123</v>
      </c>
      <c r="G3351" t="str">
        <f>_xlfn.CONCAT(Tabela9[[#This Row],[Coluna1]],Tabela9[[#This Row],[Coluna2]])</f>
        <v>20-Rota</v>
      </c>
    </row>
    <row r="3352" spans="1:7" x14ac:dyDescent="0.25">
      <c r="A3352">
        <v>17631</v>
      </c>
      <c r="B3352">
        <v>305</v>
      </c>
      <c r="C3352" s="1" t="str">
        <f>IF(Tabela8[[#This Row],[SETOR]]="","",IF(Tabela8[[#This Row],[SETOR]]&lt;200,"GV 10",IF(Tabela8[[#This Row],[SETOR]]&lt;300,"GV 20",IF(Tabela8[[#This Row],[SETOR]]&lt;400,"GV 30","S/GV"))))</f>
        <v>GV 30</v>
      </c>
      <c r="E3352" t="s">
        <v>123</v>
      </c>
      <c r="G3352" t="str">
        <f>_xlfn.CONCAT(Tabela9[[#This Row],[Coluna1]],Tabela9[[#This Row],[Coluna2]])</f>
        <v>20-Rota</v>
      </c>
    </row>
    <row r="3353" spans="1:7" x14ac:dyDescent="0.25">
      <c r="A3353">
        <v>17632</v>
      </c>
      <c r="B3353">
        <v>304</v>
      </c>
      <c r="C3353" s="1" t="str">
        <f>IF(Tabela8[[#This Row],[SETOR]]="","",IF(Tabela8[[#This Row],[SETOR]]&lt;200,"GV 10",IF(Tabela8[[#This Row],[SETOR]]&lt;300,"GV 20",IF(Tabela8[[#This Row],[SETOR]]&lt;400,"GV 30","S/GV"))))</f>
        <v>GV 30</v>
      </c>
      <c r="E3353" t="s">
        <v>123</v>
      </c>
      <c r="G3353" t="str">
        <f>_xlfn.CONCAT(Tabela9[[#This Row],[Coluna1]],Tabela9[[#This Row],[Coluna2]])</f>
        <v>20-Rota</v>
      </c>
    </row>
    <row r="3354" spans="1:7" x14ac:dyDescent="0.25">
      <c r="A3354">
        <v>17633</v>
      </c>
      <c r="B3354">
        <v>202</v>
      </c>
      <c r="C3354" s="1" t="str">
        <f>IF(Tabela8[[#This Row],[SETOR]]="","",IF(Tabela8[[#This Row],[SETOR]]&lt;200,"GV 10",IF(Tabela8[[#This Row],[SETOR]]&lt;300,"GV 20",IF(Tabela8[[#This Row],[SETOR]]&lt;400,"GV 30","S/GV"))))</f>
        <v>GV 20</v>
      </c>
      <c r="E3354" t="s">
        <v>123</v>
      </c>
      <c r="G3354" t="str">
        <f>_xlfn.CONCAT(Tabela9[[#This Row],[Coluna1]],Tabela9[[#This Row],[Coluna2]])</f>
        <v>20-Rota</v>
      </c>
    </row>
    <row r="3355" spans="1:7" x14ac:dyDescent="0.25">
      <c r="A3355">
        <v>17634</v>
      </c>
      <c r="B3355">
        <v>307</v>
      </c>
      <c r="C3355" s="1" t="str">
        <f>IF(Tabela8[[#This Row],[SETOR]]="","",IF(Tabela8[[#This Row],[SETOR]]&lt;200,"GV 10",IF(Tabela8[[#This Row],[SETOR]]&lt;300,"GV 20",IF(Tabela8[[#This Row],[SETOR]]&lt;400,"GV 30","S/GV"))))</f>
        <v>GV 30</v>
      </c>
      <c r="E3355" t="s">
        <v>130</v>
      </c>
      <c r="G3355" t="str">
        <f>_xlfn.CONCAT(Tabela9[[#This Row],[Coluna1]],Tabela9[[#This Row],[Coluna2]])</f>
        <v>21-SUB</v>
      </c>
    </row>
    <row r="3356" spans="1:7" x14ac:dyDescent="0.25">
      <c r="A3356">
        <v>17636</v>
      </c>
      <c r="B3356">
        <v>207</v>
      </c>
      <c r="C3356" s="1" t="str">
        <f>IF(Tabela8[[#This Row],[SETOR]]="","",IF(Tabela8[[#This Row],[SETOR]]&lt;200,"GV 10",IF(Tabela8[[#This Row],[SETOR]]&lt;300,"GV 20",IF(Tabela8[[#This Row],[SETOR]]&lt;400,"GV 30","S/GV"))))</f>
        <v>GV 20</v>
      </c>
      <c r="E3356" t="s">
        <v>130</v>
      </c>
      <c r="G3356" t="str">
        <f>_xlfn.CONCAT(Tabela9[[#This Row],[Coluna1]],Tabela9[[#This Row],[Coluna2]])</f>
        <v>21-SUB</v>
      </c>
    </row>
    <row r="3357" spans="1:7" x14ac:dyDescent="0.25">
      <c r="A3357">
        <v>17638</v>
      </c>
      <c r="B3357">
        <v>104</v>
      </c>
      <c r="C3357" s="1" t="str">
        <f>IF(Tabela8[[#This Row],[SETOR]]="","",IF(Tabela8[[#This Row],[SETOR]]&lt;200,"GV 10",IF(Tabela8[[#This Row],[SETOR]]&lt;300,"GV 20",IF(Tabela8[[#This Row],[SETOR]]&lt;400,"GV 30","S/GV"))))</f>
        <v>GV 10</v>
      </c>
      <c r="E3357" t="s">
        <v>123</v>
      </c>
      <c r="G3357" t="str">
        <f>_xlfn.CONCAT(Tabela9[[#This Row],[Coluna1]],Tabela9[[#This Row],[Coluna2]])</f>
        <v>20-Rota</v>
      </c>
    </row>
    <row r="3358" spans="1:7" x14ac:dyDescent="0.25">
      <c r="A3358">
        <v>17639</v>
      </c>
      <c r="B3358">
        <v>303</v>
      </c>
      <c r="C3358" s="1" t="str">
        <f>IF(Tabela8[[#This Row],[SETOR]]="","",IF(Tabela8[[#This Row],[SETOR]]&lt;200,"GV 10",IF(Tabela8[[#This Row],[SETOR]]&lt;300,"GV 20",IF(Tabela8[[#This Row],[SETOR]]&lt;400,"GV 30","S/GV"))))</f>
        <v>GV 30</v>
      </c>
      <c r="E3358" t="s">
        <v>123</v>
      </c>
      <c r="G3358" t="str">
        <f>_xlfn.CONCAT(Tabela9[[#This Row],[Coluna1]],Tabela9[[#This Row],[Coluna2]])</f>
        <v>20-Rota</v>
      </c>
    </row>
    <row r="3359" spans="1:7" x14ac:dyDescent="0.25">
      <c r="A3359">
        <v>17640</v>
      </c>
      <c r="B3359">
        <v>109</v>
      </c>
      <c r="C3359" s="1" t="str">
        <f>IF(Tabela8[[#This Row],[SETOR]]="","",IF(Tabela8[[#This Row],[SETOR]]&lt;200,"GV 10",IF(Tabela8[[#This Row],[SETOR]]&lt;300,"GV 20",IF(Tabela8[[#This Row],[SETOR]]&lt;400,"GV 30","S/GV"))))</f>
        <v>GV 10</v>
      </c>
      <c r="E3359" t="s">
        <v>123</v>
      </c>
      <c r="G3359" t="str">
        <f>_xlfn.CONCAT(Tabela9[[#This Row],[Coluna1]],Tabela9[[#This Row],[Coluna2]])</f>
        <v>20-Rota</v>
      </c>
    </row>
    <row r="3360" spans="1:7" x14ac:dyDescent="0.25">
      <c r="A3360">
        <v>17643</v>
      </c>
      <c r="B3360">
        <v>205</v>
      </c>
      <c r="C3360" s="1" t="str">
        <f>IF(Tabela8[[#This Row],[SETOR]]="","",IF(Tabela8[[#This Row],[SETOR]]&lt;200,"GV 10",IF(Tabela8[[#This Row],[SETOR]]&lt;300,"GV 20",IF(Tabela8[[#This Row],[SETOR]]&lt;400,"GV 30","S/GV"))))</f>
        <v>GV 20</v>
      </c>
      <c r="E3360" t="s">
        <v>123</v>
      </c>
      <c r="G3360" t="str">
        <f>_xlfn.CONCAT(Tabela9[[#This Row],[Coluna1]],Tabela9[[#This Row],[Coluna2]])</f>
        <v>20-Rota</v>
      </c>
    </row>
    <row r="3361" spans="1:7" x14ac:dyDescent="0.25">
      <c r="A3361">
        <v>17644</v>
      </c>
      <c r="B3361">
        <v>106</v>
      </c>
      <c r="C3361" s="1" t="str">
        <f>IF(Tabela8[[#This Row],[SETOR]]="","",IF(Tabela8[[#This Row],[SETOR]]&lt;200,"GV 10",IF(Tabela8[[#This Row],[SETOR]]&lt;300,"GV 20",IF(Tabela8[[#This Row],[SETOR]]&lt;400,"GV 30","S/GV"))))</f>
        <v>GV 10</v>
      </c>
      <c r="E3361" t="s">
        <v>123</v>
      </c>
      <c r="G3361" t="str">
        <f>_xlfn.CONCAT(Tabela9[[#This Row],[Coluna1]],Tabela9[[#This Row],[Coluna2]])</f>
        <v>20-Rota</v>
      </c>
    </row>
    <row r="3362" spans="1:7" x14ac:dyDescent="0.25">
      <c r="A3362">
        <v>17647</v>
      </c>
      <c r="B3362">
        <v>308</v>
      </c>
      <c r="C3362" s="1" t="str">
        <f>IF(Tabela8[[#This Row],[SETOR]]="","",IF(Tabela8[[#This Row],[SETOR]]&lt;200,"GV 10",IF(Tabela8[[#This Row],[SETOR]]&lt;300,"GV 20",IF(Tabela8[[#This Row],[SETOR]]&lt;400,"GV 30","S/GV"))))</f>
        <v>GV 30</v>
      </c>
      <c r="E3362" t="s">
        <v>128</v>
      </c>
      <c r="F3362" t="s">
        <v>129</v>
      </c>
      <c r="G3362" t="str">
        <f>_xlfn.CONCAT(Tabela9[[#This Row],[Coluna1]],Tabela9[[#This Row],[Coluna2]])</f>
        <v>15-AS(1-4)</v>
      </c>
    </row>
    <row r="3363" spans="1:7" x14ac:dyDescent="0.25">
      <c r="A3363">
        <v>17648</v>
      </c>
      <c r="B3363">
        <v>101</v>
      </c>
      <c r="C3363" s="1" t="str">
        <f>IF(Tabela8[[#This Row],[SETOR]]="","",IF(Tabela8[[#This Row],[SETOR]]&lt;200,"GV 10",IF(Tabela8[[#This Row],[SETOR]]&lt;300,"GV 20",IF(Tabela8[[#This Row],[SETOR]]&lt;400,"GV 30","S/GV"))))</f>
        <v>GV 10</v>
      </c>
      <c r="E3363" t="s">
        <v>123</v>
      </c>
      <c r="G3363" t="str">
        <f>_xlfn.CONCAT(Tabela9[[#This Row],[Coluna1]],Tabela9[[#This Row],[Coluna2]])</f>
        <v>20-Rota</v>
      </c>
    </row>
    <row r="3364" spans="1:7" x14ac:dyDescent="0.25">
      <c r="A3364">
        <v>17649</v>
      </c>
      <c r="B3364">
        <v>204</v>
      </c>
      <c r="C3364" s="1" t="str">
        <f>IF(Tabela8[[#This Row],[SETOR]]="","",IF(Tabela8[[#This Row],[SETOR]]&lt;200,"GV 10",IF(Tabela8[[#This Row],[SETOR]]&lt;300,"GV 20",IF(Tabela8[[#This Row],[SETOR]]&lt;400,"GV 30","S/GV"))))</f>
        <v>GV 20</v>
      </c>
      <c r="E3364" t="s">
        <v>123</v>
      </c>
      <c r="G3364" t="str">
        <f>_xlfn.CONCAT(Tabela9[[#This Row],[Coluna1]],Tabela9[[#This Row],[Coluna2]])</f>
        <v>20-Rota</v>
      </c>
    </row>
    <row r="3365" spans="1:7" x14ac:dyDescent="0.25">
      <c r="A3365">
        <v>17652</v>
      </c>
      <c r="B3365">
        <v>305</v>
      </c>
      <c r="C3365" s="1" t="str">
        <f>IF(Tabela8[[#This Row],[SETOR]]="","",IF(Tabela8[[#This Row],[SETOR]]&lt;200,"GV 10",IF(Tabela8[[#This Row],[SETOR]]&lt;300,"GV 20",IF(Tabela8[[#This Row],[SETOR]]&lt;400,"GV 30","S/GV"))))</f>
        <v>GV 30</v>
      </c>
      <c r="E3365" t="s">
        <v>123</v>
      </c>
      <c r="G3365" t="str">
        <f>_xlfn.CONCAT(Tabela9[[#This Row],[Coluna1]],Tabela9[[#This Row],[Coluna2]])</f>
        <v>20-Rota</v>
      </c>
    </row>
    <row r="3366" spans="1:7" x14ac:dyDescent="0.25">
      <c r="A3366">
        <v>17655</v>
      </c>
      <c r="B3366">
        <v>207</v>
      </c>
      <c r="C3366" s="1" t="str">
        <f>IF(Tabela8[[#This Row],[SETOR]]="","",IF(Tabela8[[#This Row],[SETOR]]&lt;200,"GV 10",IF(Tabela8[[#This Row],[SETOR]]&lt;300,"GV 20",IF(Tabela8[[#This Row],[SETOR]]&lt;400,"GV 30","S/GV"))))</f>
        <v>GV 20</v>
      </c>
      <c r="E3366" t="s">
        <v>130</v>
      </c>
      <c r="G3366" t="str">
        <f>_xlfn.CONCAT(Tabela9[[#This Row],[Coluna1]],Tabela9[[#This Row],[Coluna2]])</f>
        <v>21-SUB</v>
      </c>
    </row>
    <row r="3367" spans="1:7" x14ac:dyDescent="0.25">
      <c r="A3367">
        <v>17657</v>
      </c>
      <c r="B3367">
        <v>201</v>
      </c>
      <c r="C3367" s="1" t="str">
        <f>IF(Tabela8[[#This Row],[SETOR]]="","",IF(Tabela8[[#This Row],[SETOR]]&lt;200,"GV 10",IF(Tabela8[[#This Row],[SETOR]]&lt;300,"GV 20",IF(Tabela8[[#This Row],[SETOR]]&lt;400,"GV 30","S/GV"))))</f>
        <v>GV 20</v>
      </c>
      <c r="E3367" t="s">
        <v>123</v>
      </c>
      <c r="G3367" t="str">
        <f>_xlfn.CONCAT(Tabela9[[#This Row],[Coluna1]],Tabela9[[#This Row],[Coluna2]])</f>
        <v>20-Rota</v>
      </c>
    </row>
    <row r="3368" spans="1:7" x14ac:dyDescent="0.25">
      <c r="A3368">
        <v>17660</v>
      </c>
      <c r="B3368">
        <v>304</v>
      </c>
      <c r="C3368" s="1" t="str">
        <f>IF(Tabela8[[#This Row],[SETOR]]="","",IF(Tabela8[[#This Row],[SETOR]]&lt;200,"GV 10",IF(Tabela8[[#This Row],[SETOR]]&lt;300,"GV 20",IF(Tabela8[[#This Row],[SETOR]]&lt;400,"GV 30","S/GV"))))</f>
        <v>GV 30</v>
      </c>
      <c r="E3368" t="s">
        <v>123</v>
      </c>
      <c r="G3368" t="str">
        <f>_xlfn.CONCAT(Tabela9[[#This Row],[Coluna1]],Tabela9[[#This Row],[Coluna2]])</f>
        <v>20-Rota</v>
      </c>
    </row>
    <row r="3369" spans="1:7" x14ac:dyDescent="0.25">
      <c r="A3369">
        <v>17661</v>
      </c>
      <c r="B3369">
        <v>107</v>
      </c>
      <c r="C3369" s="1" t="str">
        <f>IF(Tabela8[[#This Row],[SETOR]]="","",IF(Tabela8[[#This Row],[SETOR]]&lt;200,"GV 10",IF(Tabela8[[#This Row],[SETOR]]&lt;300,"GV 20",IF(Tabela8[[#This Row],[SETOR]]&lt;400,"GV 30","S/GV"))))</f>
        <v>GV 10</v>
      </c>
      <c r="E3369" t="s">
        <v>130</v>
      </c>
      <c r="G3369" t="str">
        <f>_xlfn.CONCAT(Tabela9[[#This Row],[Coluna1]],Tabela9[[#This Row],[Coluna2]])</f>
        <v>21-SUB</v>
      </c>
    </row>
    <row r="3370" spans="1:7" x14ac:dyDescent="0.25">
      <c r="A3370">
        <v>17663</v>
      </c>
      <c r="B3370">
        <v>102</v>
      </c>
      <c r="C3370" s="1" t="str">
        <f>IF(Tabela8[[#This Row],[SETOR]]="","",IF(Tabela8[[#This Row],[SETOR]]&lt;200,"GV 10",IF(Tabela8[[#This Row],[SETOR]]&lt;300,"GV 20",IF(Tabela8[[#This Row],[SETOR]]&lt;400,"GV 30","S/GV"))))</f>
        <v>GV 10</v>
      </c>
      <c r="E3370" t="s">
        <v>123</v>
      </c>
      <c r="G3370" t="str">
        <f>_xlfn.CONCAT(Tabela9[[#This Row],[Coluna1]],Tabela9[[#This Row],[Coluna2]])</f>
        <v>20-Rota</v>
      </c>
    </row>
    <row r="3371" spans="1:7" x14ac:dyDescent="0.25">
      <c r="A3371">
        <v>17671</v>
      </c>
      <c r="B3371">
        <v>301</v>
      </c>
      <c r="C3371" s="1" t="str">
        <f>IF(Tabela8[[#This Row],[SETOR]]="","",IF(Tabela8[[#This Row],[SETOR]]&lt;200,"GV 10",IF(Tabela8[[#This Row],[SETOR]]&lt;300,"GV 20",IF(Tabela8[[#This Row],[SETOR]]&lt;400,"GV 30","S/GV"))))</f>
        <v>GV 30</v>
      </c>
      <c r="E3371" t="s">
        <v>123</v>
      </c>
      <c r="G3371" t="str">
        <f>_xlfn.CONCAT(Tabela9[[#This Row],[Coluna1]],Tabela9[[#This Row],[Coluna2]])</f>
        <v>20-Rota</v>
      </c>
    </row>
    <row r="3372" spans="1:7" x14ac:dyDescent="0.25">
      <c r="A3372">
        <v>17672</v>
      </c>
      <c r="B3372">
        <v>307</v>
      </c>
      <c r="C3372" s="1" t="str">
        <f>IF(Tabela8[[#This Row],[SETOR]]="","",IF(Tabela8[[#This Row],[SETOR]]&lt;200,"GV 10",IF(Tabela8[[#This Row],[SETOR]]&lt;300,"GV 20",IF(Tabela8[[#This Row],[SETOR]]&lt;400,"GV 30","S/GV"))))</f>
        <v>GV 30</v>
      </c>
      <c r="E3372" t="s">
        <v>130</v>
      </c>
      <c r="G3372" t="str">
        <f>_xlfn.CONCAT(Tabela9[[#This Row],[Coluna1]],Tabela9[[#This Row],[Coluna2]])</f>
        <v>21-SUB</v>
      </c>
    </row>
    <row r="3373" spans="1:7" x14ac:dyDescent="0.25">
      <c r="A3373">
        <v>17674</v>
      </c>
      <c r="B3373">
        <v>201</v>
      </c>
      <c r="C3373" s="1" t="str">
        <f>IF(Tabela8[[#This Row],[SETOR]]="","",IF(Tabela8[[#This Row],[SETOR]]&lt;200,"GV 10",IF(Tabela8[[#This Row],[SETOR]]&lt;300,"GV 20",IF(Tabela8[[#This Row],[SETOR]]&lt;400,"GV 30","S/GV"))))</f>
        <v>GV 20</v>
      </c>
      <c r="E3373" t="s">
        <v>123</v>
      </c>
      <c r="G3373" t="str">
        <f>_xlfn.CONCAT(Tabela9[[#This Row],[Coluna1]],Tabela9[[#This Row],[Coluna2]])</f>
        <v>20-Rota</v>
      </c>
    </row>
    <row r="3374" spans="1:7" x14ac:dyDescent="0.25">
      <c r="A3374">
        <v>17675</v>
      </c>
      <c r="B3374">
        <v>109</v>
      </c>
      <c r="C3374" s="1" t="str">
        <f>IF(Tabela8[[#This Row],[SETOR]]="","",IF(Tabela8[[#This Row],[SETOR]]&lt;200,"GV 10",IF(Tabela8[[#This Row],[SETOR]]&lt;300,"GV 20",IF(Tabela8[[#This Row],[SETOR]]&lt;400,"GV 30","S/GV"))))</f>
        <v>GV 10</v>
      </c>
      <c r="E3374" t="s">
        <v>130</v>
      </c>
      <c r="G3374" t="str">
        <f>_xlfn.CONCAT(Tabela9[[#This Row],[Coluna1]],Tabela9[[#This Row],[Coluna2]])</f>
        <v>21-SUB</v>
      </c>
    </row>
    <row r="3375" spans="1:7" x14ac:dyDescent="0.25">
      <c r="A3375">
        <v>17676</v>
      </c>
      <c r="B3375">
        <v>206</v>
      </c>
      <c r="C3375" s="1" t="str">
        <f>IF(Tabela8[[#This Row],[SETOR]]="","",IF(Tabela8[[#This Row],[SETOR]]&lt;200,"GV 10",IF(Tabela8[[#This Row],[SETOR]]&lt;300,"GV 20",IF(Tabela8[[#This Row],[SETOR]]&lt;400,"GV 30","S/GV"))))</f>
        <v>GV 20</v>
      </c>
      <c r="E3375" t="s">
        <v>123</v>
      </c>
      <c r="G3375" t="str">
        <f>_xlfn.CONCAT(Tabela9[[#This Row],[Coluna1]],Tabela9[[#This Row],[Coluna2]])</f>
        <v>20-Rota</v>
      </c>
    </row>
    <row r="3376" spans="1:7" x14ac:dyDescent="0.25">
      <c r="A3376">
        <v>17677</v>
      </c>
      <c r="B3376">
        <v>301</v>
      </c>
      <c r="C3376" s="1" t="str">
        <f>IF(Tabela8[[#This Row],[SETOR]]="","",IF(Tabela8[[#This Row],[SETOR]]&lt;200,"GV 10",IF(Tabela8[[#This Row],[SETOR]]&lt;300,"GV 20",IF(Tabela8[[#This Row],[SETOR]]&lt;400,"GV 30","S/GV"))))</f>
        <v>GV 30</v>
      </c>
      <c r="E3376" t="s">
        <v>123</v>
      </c>
      <c r="G3376" t="str">
        <f>_xlfn.CONCAT(Tabela9[[#This Row],[Coluna1]],Tabela9[[#This Row],[Coluna2]])</f>
        <v>20-Rota</v>
      </c>
    </row>
    <row r="3377" spans="1:7" x14ac:dyDescent="0.25">
      <c r="A3377">
        <v>17678</v>
      </c>
      <c r="B3377">
        <v>201</v>
      </c>
      <c r="C3377" s="1" t="str">
        <f>IF(Tabela8[[#This Row],[SETOR]]="","",IF(Tabela8[[#This Row],[SETOR]]&lt;200,"GV 10",IF(Tabela8[[#This Row],[SETOR]]&lt;300,"GV 20",IF(Tabela8[[#This Row],[SETOR]]&lt;400,"GV 30","S/GV"))))</f>
        <v>GV 20</v>
      </c>
      <c r="E3377" t="s">
        <v>123</v>
      </c>
      <c r="G3377" t="str">
        <f>_xlfn.CONCAT(Tabela9[[#This Row],[Coluna1]],Tabela9[[#This Row],[Coluna2]])</f>
        <v>20-Rota</v>
      </c>
    </row>
    <row r="3378" spans="1:7" x14ac:dyDescent="0.25">
      <c r="A3378">
        <v>17679</v>
      </c>
      <c r="B3378">
        <v>205</v>
      </c>
      <c r="C3378" s="1" t="str">
        <f>IF(Tabela8[[#This Row],[SETOR]]="","",IF(Tabela8[[#This Row],[SETOR]]&lt;200,"GV 10",IF(Tabela8[[#This Row],[SETOR]]&lt;300,"GV 20",IF(Tabela8[[#This Row],[SETOR]]&lt;400,"GV 30","S/GV"))))</f>
        <v>GV 20</v>
      </c>
      <c r="E3378" t="s">
        <v>130</v>
      </c>
      <c r="G3378" t="str">
        <f>_xlfn.CONCAT(Tabela9[[#This Row],[Coluna1]],Tabela9[[#This Row],[Coluna2]])</f>
        <v>21-SUB</v>
      </c>
    </row>
    <row r="3379" spans="1:7" x14ac:dyDescent="0.25">
      <c r="A3379">
        <v>17682</v>
      </c>
      <c r="B3379">
        <v>916</v>
      </c>
      <c r="C3379" s="1" t="str">
        <f>IF(Tabela8[[#This Row],[SETOR]]="","",IF(Tabela8[[#This Row],[SETOR]]&lt;200,"GV 10",IF(Tabela8[[#This Row],[SETOR]]&lt;300,"GV 20",IF(Tabela8[[#This Row],[SETOR]]&lt;400,"GV 30","S/GV"))))</f>
        <v>S/GV</v>
      </c>
      <c r="G3379" t="str">
        <f>_xlfn.CONCAT(Tabela9[[#This Row],[Coluna1]],Tabela9[[#This Row],[Coluna2]])</f>
        <v/>
      </c>
    </row>
    <row r="3380" spans="1:7" x14ac:dyDescent="0.25">
      <c r="A3380">
        <v>17683</v>
      </c>
      <c r="B3380">
        <v>305</v>
      </c>
      <c r="C3380" s="1" t="str">
        <f>IF(Tabela8[[#This Row],[SETOR]]="","",IF(Tabela8[[#This Row],[SETOR]]&lt;200,"GV 10",IF(Tabela8[[#This Row],[SETOR]]&lt;300,"GV 20",IF(Tabela8[[#This Row],[SETOR]]&lt;400,"GV 30","S/GV"))))</f>
        <v>GV 30</v>
      </c>
      <c r="E3380" t="s">
        <v>123</v>
      </c>
      <c r="G3380" t="str">
        <f>_xlfn.CONCAT(Tabela9[[#This Row],[Coluna1]],Tabela9[[#This Row],[Coluna2]])</f>
        <v>20-Rota</v>
      </c>
    </row>
    <row r="3381" spans="1:7" x14ac:dyDescent="0.25">
      <c r="A3381">
        <v>17685</v>
      </c>
      <c r="B3381">
        <v>206</v>
      </c>
      <c r="C3381" s="1" t="str">
        <f>IF(Tabela8[[#This Row],[SETOR]]="","",IF(Tabela8[[#This Row],[SETOR]]&lt;200,"GV 10",IF(Tabela8[[#This Row],[SETOR]]&lt;300,"GV 20",IF(Tabela8[[#This Row],[SETOR]]&lt;400,"GV 30","S/GV"))))</f>
        <v>GV 20</v>
      </c>
      <c r="E3381" t="s">
        <v>125</v>
      </c>
      <c r="G3381" t="str">
        <f>_xlfn.CONCAT(Tabela9[[#This Row],[Coluna1]],Tabela9[[#This Row],[Coluna2]])</f>
        <v>18-TRAD</v>
      </c>
    </row>
    <row r="3382" spans="1:7" x14ac:dyDescent="0.25">
      <c r="A3382">
        <v>17687</v>
      </c>
      <c r="B3382">
        <v>104</v>
      </c>
      <c r="C3382" s="1" t="str">
        <f>IF(Tabela8[[#This Row],[SETOR]]="","",IF(Tabela8[[#This Row],[SETOR]]&lt;200,"GV 10",IF(Tabela8[[#This Row],[SETOR]]&lt;300,"GV 20",IF(Tabela8[[#This Row],[SETOR]]&lt;400,"GV 30","S/GV"))))</f>
        <v>GV 10</v>
      </c>
      <c r="E3382" t="s">
        <v>123</v>
      </c>
      <c r="G3382" t="str">
        <f>_xlfn.CONCAT(Tabela9[[#This Row],[Coluna1]],Tabela9[[#This Row],[Coluna2]])</f>
        <v>20-Rota</v>
      </c>
    </row>
    <row r="3383" spans="1:7" x14ac:dyDescent="0.25">
      <c r="A3383">
        <v>17689</v>
      </c>
      <c r="B3383">
        <v>302</v>
      </c>
      <c r="C3383" s="1" t="str">
        <f>IF(Tabela8[[#This Row],[SETOR]]="","",IF(Tabela8[[#This Row],[SETOR]]&lt;200,"GV 10",IF(Tabela8[[#This Row],[SETOR]]&lt;300,"GV 20",IF(Tabela8[[#This Row],[SETOR]]&lt;400,"GV 30","S/GV"))))</f>
        <v>GV 30</v>
      </c>
      <c r="E3383" t="s">
        <v>123</v>
      </c>
      <c r="G3383" t="str">
        <f>_xlfn.CONCAT(Tabela9[[#This Row],[Coluna1]],Tabela9[[#This Row],[Coluna2]])</f>
        <v>20-Rota</v>
      </c>
    </row>
    <row r="3384" spans="1:7" x14ac:dyDescent="0.25">
      <c r="A3384">
        <v>17693</v>
      </c>
      <c r="B3384">
        <v>207</v>
      </c>
      <c r="C3384" s="1" t="str">
        <f>IF(Tabela8[[#This Row],[SETOR]]="","",IF(Tabela8[[#This Row],[SETOR]]&lt;200,"GV 10",IF(Tabela8[[#This Row],[SETOR]]&lt;300,"GV 20",IF(Tabela8[[#This Row],[SETOR]]&lt;400,"GV 30","S/GV"))))</f>
        <v>GV 20</v>
      </c>
      <c r="E3384" t="s">
        <v>130</v>
      </c>
      <c r="G3384" t="str">
        <f>_xlfn.CONCAT(Tabela9[[#This Row],[Coluna1]],Tabela9[[#This Row],[Coluna2]])</f>
        <v>21-SUB</v>
      </c>
    </row>
    <row r="3385" spans="1:7" x14ac:dyDescent="0.25">
      <c r="A3385">
        <v>17694</v>
      </c>
      <c r="B3385">
        <v>202</v>
      </c>
      <c r="C3385" s="1" t="str">
        <f>IF(Tabela8[[#This Row],[SETOR]]="","",IF(Tabela8[[#This Row],[SETOR]]&lt;200,"GV 10",IF(Tabela8[[#This Row],[SETOR]]&lt;300,"GV 20",IF(Tabela8[[#This Row],[SETOR]]&lt;400,"GV 30","S/GV"))))</f>
        <v>GV 20</v>
      </c>
      <c r="E3385" t="s">
        <v>124</v>
      </c>
      <c r="G3385" t="str">
        <f>_xlfn.CONCAT(Tabela9[[#This Row],[Coluna1]],Tabela9[[#This Row],[Coluna2]])</f>
        <v>19-VIP</v>
      </c>
    </row>
    <row r="3386" spans="1:7" x14ac:dyDescent="0.25">
      <c r="A3386">
        <v>17695</v>
      </c>
      <c r="B3386">
        <v>101</v>
      </c>
      <c r="C3386" s="1" t="str">
        <f>IF(Tabela8[[#This Row],[SETOR]]="","",IF(Tabela8[[#This Row],[SETOR]]&lt;200,"GV 10",IF(Tabela8[[#This Row],[SETOR]]&lt;300,"GV 20",IF(Tabela8[[#This Row],[SETOR]]&lt;400,"GV 30","S/GV"))))</f>
        <v>GV 10</v>
      </c>
      <c r="E3386" t="s">
        <v>123</v>
      </c>
      <c r="G3386" t="str">
        <f>_xlfn.CONCAT(Tabela9[[#This Row],[Coluna1]],Tabela9[[#This Row],[Coluna2]])</f>
        <v>20-Rota</v>
      </c>
    </row>
    <row r="3387" spans="1:7" x14ac:dyDescent="0.25">
      <c r="A3387">
        <v>17696</v>
      </c>
      <c r="B3387">
        <v>308</v>
      </c>
      <c r="C3387" s="1" t="str">
        <f>IF(Tabela8[[#This Row],[SETOR]]="","",IF(Tabela8[[#This Row],[SETOR]]&lt;200,"GV 10",IF(Tabela8[[#This Row],[SETOR]]&lt;300,"GV 20",IF(Tabela8[[#This Row],[SETOR]]&lt;400,"GV 30","S/GV"))))</f>
        <v>GV 30</v>
      </c>
      <c r="E3387" t="s">
        <v>128</v>
      </c>
      <c r="F3387" t="s">
        <v>129</v>
      </c>
      <c r="G3387" t="str">
        <f>_xlfn.CONCAT(Tabela9[[#This Row],[Coluna1]],Tabela9[[#This Row],[Coluna2]])</f>
        <v>15-AS(1-4)</v>
      </c>
    </row>
    <row r="3388" spans="1:7" x14ac:dyDescent="0.25">
      <c r="A3388">
        <v>17697</v>
      </c>
      <c r="B3388">
        <v>202</v>
      </c>
      <c r="C3388" s="1" t="str">
        <f>IF(Tabela8[[#This Row],[SETOR]]="","",IF(Tabela8[[#This Row],[SETOR]]&lt;200,"GV 10",IF(Tabela8[[#This Row],[SETOR]]&lt;300,"GV 20",IF(Tabela8[[#This Row],[SETOR]]&lt;400,"GV 30","S/GV"))))</f>
        <v>GV 20</v>
      </c>
      <c r="E3388" t="s">
        <v>123</v>
      </c>
      <c r="G3388" t="str">
        <f>_xlfn.CONCAT(Tabela9[[#This Row],[Coluna1]],Tabela9[[#This Row],[Coluna2]])</f>
        <v>20-Rota</v>
      </c>
    </row>
    <row r="3389" spans="1:7" x14ac:dyDescent="0.25">
      <c r="A3389">
        <v>17705</v>
      </c>
      <c r="B3389">
        <v>106</v>
      </c>
      <c r="C3389" s="1" t="str">
        <f>IF(Tabela8[[#This Row],[SETOR]]="","",IF(Tabela8[[#This Row],[SETOR]]&lt;200,"GV 10",IF(Tabela8[[#This Row],[SETOR]]&lt;300,"GV 20",IF(Tabela8[[#This Row],[SETOR]]&lt;400,"GV 30","S/GV"))))</f>
        <v>GV 10</v>
      </c>
      <c r="E3389" t="s">
        <v>123</v>
      </c>
      <c r="G3389" t="str">
        <f>_xlfn.CONCAT(Tabela9[[#This Row],[Coluna1]],Tabela9[[#This Row],[Coluna2]])</f>
        <v>20-Rota</v>
      </c>
    </row>
    <row r="3390" spans="1:7" x14ac:dyDescent="0.25">
      <c r="A3390">
        <v>17712</v>
      </c>
      <c r="B3390">
        <v>916</v>
      </c>
      <c r="C3390" s="1" t="str">
        <f>IF(Tabela8[[#This Row],[SETOR]]="","",IF(Tabela8[[#This Row],[SETOR]]&lt;200,"GV 10",IF(Tabela8[[#This Row],[SETOR]]&lt;300,"GV 20",IF(Tabela8[[#This Row],[SETOR]]&lt;400,"GV 30","S/GV"))))</f>
        <v>S/GV</v>
      </c>
      <c r="G3390" t="str">
        <f>_xlfn.CONCAT(Tabela9[[#This Row],[Coluna1]],Tabela9[[#This Row],[Coluna2]])</f>
        <v/>
      </c>
    </row>
    <row r="3391" spans="1:7" x14ac:dyDescent="0.25">
      <c r="A3391">
        <v>17721</v>
      </c>
      <c r="B3391">
        <v>106</v>
      </c>
      <c r="C3391" s="1" t="str">
        <f>IF(Tabela8[[#This Row],[SETOR]]="","",IF(Tabela8[[#This Row],[SETOR]]&lt;200,"GV 10",IF(Tabela8[[#This Row],[SETOR]]&lt;300,"GV 20",IF(Tabela8[[#This Row],[SETOR]]&lt;400,"GV 30","S/GV"))))</f>
        <v>GV 10</v>
      </c>
      <c r="E3391" t="s">
        <v>123</v>
      </c>
      <c r="G3391" t="str">
        <f>_xlfn.CONCAT(Tabela9[[#This Row],[Coluna1]],Tabela9[[#This Row],[Coluna2]])</f>
        <v>20-Rota</v>
      </c>
    </row>
    <row r="3392" spans="1:7" x14ac:dyDescent="0.25">
      <c r="A3392">
        <v>17723</v>
      </c>
      <c r="B3392">
        <v>206</v>
      </c>
      <c r="C3392" s="1" t="str">
        <f>IF(Tabela8[[#This Row],[SETOR]]="","",IF(Tabela8[[#This Row],[SETOR]]&lt;200,"GV 10",IF(Tabela8[[#This Row],[SETOR]]&lt;300,"GV 20",IF(Tabela8[[#This Row],[SETOR]]&lt;400,"GV 30","S/GV"))))</f>
        <v>GV 20</v>
      </c>
      <c r="E3392" t="s">
        <v>123</v>
      </c>
      <c r="G3392" t="str">
        <f>_xlfn.CONCAT(Tabela9[[#This Row],[Coluna1]],Tabela9[[#This Row],[Coluna2]])</f>
        <v>20-Rota</v>
      </c>
    </row>
    <row r="3393" spans="1:7" x14ac:dyDescent="0.25">
      <c r="A3393">
        <v>17725</v>
      </c>
      <c r="B3393">
        <v>201</v>
      </c>
      <c r="C3393" s="1" t="str">
        <f>IF(Tabela8[[#This Row],[SETOR]]="","",IF(Tabela8[[#This Row],[SETOR]]&lt;200,"GV 10",IF(Tabela8[[#This Row],[SETOR]]&lt;300,"GV 20",IF(Tabela8[[#This Row],[SETOR]]&lt;400,"GV 30","S/GV"))))</f>
        <v>GV 20</v>
      </c>
      <c r="E3393" t="s">
        <v>123</v>
      </c>
      <c r="G3393" t="str">
        <f>_xlfn.CONCAT(Tabela9[[#This Row],[Coluna1]],Tabela9[[#This Row],[Coluna2]])</f>
        <v>20-Rota</v>
      </c>
    </row>
    <row r="3394" spans="1:7" x14ac:dyDescent="0.25">
      <c r="A3394">
        <v>17726</v>
      </c>
      <c r="B3394">
        <v>208</v>
      </c>
      <c r="C3394" s="1" t="str">
        <f>IF(Tabela8[[#This Row],[SETOR]]="","",IF(Tabela8[[#This Row],[SETOR]]&lt;200,"GV 10",IF(Tabela8[[#This Row],[SETOR]]&lt;300,"GV 20",IF(Tabela8[[#This Row],[SETOR]]&lt;400,"GV 30","S/GV"))))</f>
        <v>GV 20</v>
      </c>
      <c r="E3394" t="s">
        <v>130</v>
      </c>
      <c r="G3394" t="str">
        <f>_xlfn.CONCAT(Tabela9[[#This Row],[Coluna1]],Tabela9[[#This Row],[Coluna2]])</f>
        <v>21-SUB</v>
      </c>
    </row>
    <row r="3395" spans="1:7" x14ac:dyDescent="0.25">
      <c r="A3395">
        <v>17730</v>
      </c>
      <c r="B3395">
        <v>108</v>
      </c>
      <c r="C3395" s="1" t="str">
        <f>IF(Tabela8[[#This Row],[SETOR]]="","",IF(Tabela8[[#This Row],[SETOR]]&lt;200,"GV 10",IF(Tabela8[[#This Row],[SETOR]]&lt;300,"GV 20",IF(Tabela8[[#This Row],[SETOR]]&lt;400,"GV 30","S/GV"))))</f>
        <v>GV 10</v>
      </c>
      <c r="E3395" t="s">
        <v>128</v>
      </c>
      <c r="F3395" t="s">
        <v>129</v>
      </c>
      <c r="G3395" t="str">
        <f>_xlfn.CONCAT(Tabela9[[#This Row],[Coluna1]],Tabela9[[#This Row],[Coluna2]])</f>
        <v>15-AS(1-4)</v>
      </c>
    </row>
    <row r="3396" spans="1:7" x14ac:dyDescent="0.25">
      <c r="A3396">
        <v>17731</v>
      </c>
      <c r="B3396">
        <v>303</v>
      </c>
      <c r="C3396" s="1" t="str">
        <f>IF(Tabela8[[#This Row],[SETOR]]="","",IF(Tabela8[[#This Row],[SETOR]]&lt;200,"GV 10",IF(Tabela8[[#This Row],[SETOR]]&lt;300,"GV 20",IF(Tabela8[[#This Row],[SETOR]]&lt;400,"GV 30","S/GV"))))</f>
        <v>GV 30</v>
      </c>
      <c r="E3396" t="s">
        <v>123</v>
      </c>
      <c r="G3396" t="str">
        <f>_xlfn.CONCAT(Tabela9[[#This Row],[Coluna1]],Tabela9[[#This Row],[Coluna2]])</f>
        <v>20-Rota</v>
      </c>
    </row>
    <row r="3397" spans="1:7" x14ac:dyDescent="0.25">
      <c r="A3397">
        <v>17732</v>
      </c>
      <c r="B3397">
        <v>201</v>
      </c>
      <c r="C3397" s="1" t="str">
        <f>IF(Tabela8[[#This Row],[SETOR]]="","",IF(Tabela8[[#This Row],[SETOR]]&lt;200,"GV 10",IF(Tabela8[[#This Row],[SETOR]]&lt;300,"GV 20",IF(Tabela8[[#This Row],[SETOR]]&lt;400,"GV 30","S/GV"))))</f>
        <v>GV 20</v>
      </c>
      <c r="E3397" t="s">
        <v>123</v>
      </c>
      <c r="G3397" t="str">
        <f>_xlfn.CONCAT(Tabela9[[#This Row],[Coluna1]],Tabela9[[#This Row],[Coluna2]])</f>
        <v>20-Rota</v>
      </c>
    </row>
    <row r="3398" spans="1:7" x14ac:dyDescent="0.25">
      <c r="A3398">
        <v>17733</v>
      </c>
      <c r="B3398">
        <v>204</v>
      </c>
      <c r="C3398" s="1" t="str">
        <f>IF(Tabela8[[#This Row],[SETOR]]="","",IF(Tabela8[[#This Row],[SETOR]]&lt;200,"GV 10",IF(Tabela8[[#This Row],[SETOR]]&lt;300,"GV 20",IF(Tabela8[[#This Row],[SETOR]]&lt;400,"GV 30","S/GV"))))</f>
        <v>GV 20</v>
      </c>
      <c r="E3398" t="s">
        <v>123</v>
      </c>
      <c r="G3398" t="str">
        <f>_xlfn.CONCAT(Tabela9[[#This Row],[Coluna1]],Tabela9[[#This Row],[Coluna2]])</f>
        <v>20-Rota</v>
      </c>
    </row>
    <row r="3399" spans="1:7" x14ac:dyDescent="0.25">
      <c r="A3399">
        <v>17735</v>
      </c>
      <c r="B3399">
        <v>203</v>
      </c>
      <c r="C3399" s="1" t="str">
        <f>IF(Tabela8[[#This Row],[SETOR]]="","",IF(Tabela8[[#This Row],[SETOR]]&lt;200,"GV 10",IF(Tabela8[[#This Row],[SETOR]]&lt;300,"GV 20",IF(Tabela8[[#This Row],[SETOR]]&lt;400,"GV 30","S/GV"))))</f>
        <v>GV 20</v>
      </c>
      <c r="E3399" t="s">
        <v>123</v>
      </c>
      <c r="G3399" t="str">
        <f>_xlfn.CONCAT(Tabela9[[#This Row],[Coluna1]],Tabela9[[#This Row],[Coluna2]])</f>
        <v>20-Rota</v>
      </c>
    </row>
    <row r="3400" spans="1:7" x14ac:dyDescent="0.25">
      <c r="A3400">
        <v>17736</v>
      </c>
      <c r="B3400">
        <v>107</v>
      </c>
      <c r="C3400" s="1" t="str">
        <f>IF(Tabela8[[#This Row],[SETOR]]="","",IF(Tabela8[[#This Row],[SETOR]]&lt;200,"GV 10",IF(Tabela8[[#This Row],[SETOR]]&lt;300,"GV 20",IF(Tabela8[[#This Row],[SETOR]]&lt;400,"GV 30","S/GV"))))</f>
        <v>GV 10</v>
      </c>
      <c r="E3400" t="s">
        <v>125</v>
      </c>
      <c r="G3400" t="str">
        <f>_xlfn.CONCAT(Tabela9[[#This Row],[Coluna1]],Tabela9[[#This Row],[Coluna2]])</f>
        <v>18-TRAD</v>
      </c>
    </row>
    <row r="3401" spans="1:7" x14ac:dyDescent="0.25">
      <c r="A3401">
        <v>17737</v>
      </c>
      <c r="B3401">
        <v>102</v>
      </c>
      <c r="C3401" s="1" t="str">
        <f>IF(Tabela8[[#This Row],[SETOR]]="","",IF(Tabela8[[#This Row],[SETOR]]&lt;200,"GV 10",IF(Tabela8[[#This Row],[SETOR]]&lt;300,"GV 20",IF(Tabela8[[#This Row],[SETOR]]&lt;400,"GV 30","S/GV"))))</f>
        <v>GV 10</v>
      </c>
      <c r="E3401" t="s">
        <v>123</v>
      </c>
      <c r="G3401" t="str">
        <f>_xlfn.CONCAT(Tabela9[[#This Row],[Coluna1]],Tabela9[[#This Row],[Coluna2]])</f>
        <v>20-Rota</v>
      </c>
    </row>
    <row r="3402" spans="1:7" x14ac:dyDescent="0.25">
      <c r="A3402">
        <v>17738</v>
      </c>
      <c r="B3402">
        <v>202</v>
      </c>
      <c r="C3402" s="1" t="str">
        <f>IF(Tabela8[[#This Row],[SETOR]]="","",IF(Tabela8[[#This Row],[SETOR]]&lt;200,"GV 10",IF(Tabela8[[#This Row],[SETOR]]&lt;300,"GV 20",IF(Tabela8[[#This Row],[SETOR]]&lt;400,"GV 30","S/GV"))))</f>
        <v>GV 20</v>
      </c>
      <c r="E3402" t="s">
        <v>123</v>
      </c>
      <c r="G3402" t="str">
        <f>_xlfn.CONCAT(Tabela9[[#This Row],[Coluna1]],Tabela9[[#This Row],[Coluna2]])</f>
        <v>20-Rota</v>
      </c>
    </row>
    <row r="3403" spans="1:7" x14ac:dyDescent="0.25">
      <c r="A3403">
        <v>17742</v>
      </c>
      <c r="B3403">
        <v>205</v>
      </c>
      <c r="C3403" s="1" t="str">
        <f>IF(Tabela8[[#This Row],[SETOR]]="","",IF(Tabela8[[#This Row],[SETOR]]&lt;200,"GV 10",IF(Tabela8[[#This Row],[SETOR]]&lt;300,"GV 20",IF(Tabela8[[#This Row],[SETOR]]&lt;400,"GV 30","S/GV"))))</f>
        <v>GV 20</v>
      </c>
      <c r="E3403" t="s">
        <v>123</v>
      </c>
      <c r="G3403" t="str">
        <f>_xlfn.CONCAT(Tabela9[[#This Row],[Coluna1]],Tabela9[[#This Row],[Coluna2]])</f>
        <v>20-Rota</v>
      </c>
    </row>
    <row r="3404" spans="1:7" x14ac:dyDescent="0.25">
      <c r="A3404">
        <v>17744</v>
      </c>
      <c r="B3404">
        <v>109</v>
      </c>
      <c r="C3404" s="1" t="str">
        <f>IF(Tabela8[[#This Row],[SETOR]]="","",IF(Tabela8[[#This Row],[SETOR]]&lt;200,"GV 10",IF(Tabela8[[#This Row],[SETOR]]&lt;300,"GV 20",IF(Tabela8[[#This Row],[SETOR]]&lt;400,"GV 30","S/GV"))))</f>
        <v>GV 10</v>
      </c>
      <c r="E3404" t="s">
        <v>123</v>
      </c>
      <c r="G3404" t="str">
        <f>_xlfn.CONCAT(Tabela9[[#This Row],[Coluna1]],Tabela9[[#This Row],[Coluna2]])</f>
        <v>20-Rota</v>
      </c>
    </row>
    <row r="3405" spans="1:7" x14ac:dyDescent="0.25">
      <c r="A3405">
        <v>17746</v>
      </c>
      <c r="B3405">
        <v>109</v>
      </c>
      <c r="C3405" s="1" t="str">
        <f>IF(Tabela8[[#This Row],[SETOR]]="","",IF(Tabela8[[#This Row],[SETOR]]&lt;200,"GV 10",IF(Tabela8[[#This Row],[SETOR]]&lt;300,"GV 20",IF(Tabela8[[#This Row],[SETOR]]&lt;400,"GV 30","S/GV"))))</f>
        <v>GV 10</v>
      </c>
      <c r="E3405" t="s">
        <v>123</v>
      </c>
      <c r="G3405" t="str">
        <f>_xlfn.CONCAT(Tabela9[[#This Row],[Coluna1]],Tabela9[[#This Row],[Coluna2]])</f>
        <v>20-Rota</v>
      </c>
    </row>
    <row r="3406" spans="1:7" x14ac:dyDescent="0.25">
      <c r="A3406">
        <v>17748</v>
      </c>
      <c r="B3406">
        <v>109</v>
      </c>
      <c r="C3406" s="1" t="str">
        <f>IF(Tabela8[[#This Row],[SETOR]]="","",IF(Tabela8[[#This Row],[SETOR]]&lt;200,"GV 10",IF(Tabela8[[#This Row],[SETOR]]&lt;300,"GV 20",IF(Tabela8[[#This Row],[SETOR]]&lt;400,"GV 30","S/GV"))))</f>
        <v>GV 10</v>
      </c>
      <c r="E3406" t="s">
        <v>123</v>
      </c>
      <c r="G3406" t="str">
        <f>_xlfn.CONCAT(Tabela9[[#This Row],[Coluna1]],Tabela9[[#This Row],[Coluna2]])</f>
        <v>20-Rota</v>
      </c>
    </row>
    <row r="3407" spans="1:7" x14ac:dyDescent="0.25">
      <c r="A3407">
        <v>17749</v>
      </c>
      <c r="B3407">
        <v>109</v>
      </c>
      <c r="C3407" s="1" t="str">
        <f>IF(Tabela8[[#This Row],[SETOR]]="","",IF(Tabela8[[#This Row],[SETOR]]&lt;200,"GV 10",IF(Tabela8[[#This Row],[SETOR]]&lt;300,"GV 20",IF(Tabela8[[#This Row],[SETOR]]&lt;400,"GV 30","S/GV"))))</f>
        <v>GV 10</v>
      </c>
      <c r="E3407" t="s">
        <v>123</v>
      </c>
      <c r="G3407" t="str">
        <f>_xlfn.CONCAT(Tabela9[[#This Row],[Coluna1]],Tabela9[[#This Row],[Coluna2]])</f>
        <v>20-Rota</v>
      </c>
    </row>
    <row r="3408" spans="1:7" x14ac:dyDescent="0.25">
      <c r="A3408">
        <v>17751</v>
      </c>
      <c r="B3408">
        <v>206</v>
      </c>
      <c r="C3408" s="1" t="str">
        <f>IF(Tabela8[[#This Row],[SETOR]]="","",IF(Tabela8[[#This Row],[SETOR]]&lt;200,"GV 10",IF(Tabela8[[#This Row],[SETOR]]&lt;300,"GV 20",IF(Tabela8[[#This Row],[SETOR]]&lt;400,"GV 30","S/GV"))))</f>
        <v>GV 20</v>
      </c>
      <c r="E3408" t="s">
        <v>123</v>
      </c>
      <c r="G3408" t="str">
        <f>_xlfn.CONCAT(Tabela9[[#This Row],[Coluna1]],Tabela9[[#This Row],[Coluna2]])</f>
        <v>20-Rota</v>
      </c>
    </row>
    <row r="3409" spans="1:7" x14ac:dyDescent="0.25">
      <c r="A3409">
        <v>17752</v>
      </c>
      <c r="B3409">
        <v>107</v>
      </c>
      <c r="C3409" s="1" t="str">
        <f>IF(Tabela8[[#This Row],[SETOR]]="","",IF(Tabela8[[#This Row],[SETOR]]&lt;200,"GV 10",IF(Tabela8[[#This Row],[SETOR]]&lt;300,"GV 20",IF(Tabela8[[#This Row],[SETOR]]&lt;400,"GV 30","S/GV"))))</f>
        <v>GV 10</v>
      </c>
      <c r="E3409" t="s">
        <v>130</v>
      </c>
      <c r="G3409" t="str">
        <f>_xlfn.CONCAT(Tabela9[[#This Row],[Coluna1]],Tabela9[[#This Row],[Coluna2]])</f>
        <v>21-SUB</v>
      </c>
    </row>
    <row r="3410" spans="1:7" x14ac:dyDescent="0.25">
      <c r="A3410">
        <v>17754</v>
      </c>
      <c r="B3410">
        <v>206</v>
      </c>
      <c r="C3410" s="1" t="str">
        <f>IF(Tabela8[[#This Row],[SETOR]]="","",IF(Tabela8[[#This Row],[SETOR]]&lt;200,"GV 10",IF(Tabela8[[#This Row],[SETOR]]&lt;300,"GV 20",IF(Tabela8[[#This Row],[SETOR]]&lt;400,"GV 30","S/GV"))))</f>
        <v>GV 20</v>
      </c>
      <c r="E3410" t="s">
        <v>125</v>
      </c>
      <c r="G3410" t="str">
        <f>_xlfn.CONCAT(Tabela9[[#This Row],[Coluna1]],Tabela9[[#This Row],[Coluna2]])</f>
        <v>18-TRAD</v>
      </c>
    </row>
    <row r="3411" spans="1:7" x14ac:dyDescent="0.25">
      <c r="A3411">
        <v>17755</v>
      </c>
      <c r="B3411">
        <v>207</v>
      </c>
      <c r="C3411" s="1" t="str">
        <f>IF(Tabela8[[#This Row],[SETOR]]="","",IF(Tabela8[[#This Row],[SETOR]]&lt;200,"GV 10",IF(Tabela8[[#This Row],[SETOR]]&lt;300,"GV 20",IF(Tabela8[[#This Row],[SETOR]]&lt;400,"GV 30","S/GV"))))</f>
        <v>GV 20</v>
      </c>
      <c r="E3411" t="s">
        <v>125</v>
      </c>
      <c r="G3411" t="str">
        <f>_xlfn.CONCAT(Tabela9[[#This Row],[Coluna1]],Tabela9[[#This Row],[Coluna2]])</f>
        <v>18-TRAD</v>
      </c>
    </row>
    <row r="3412" spans="1:7" x14ac:dyDescent="0.25">
      <c r="A3412">
        <v>17758</v>
      </c>
      <c r="B3412">
        <v>301</v>
      </c>
      <c r="C3412" s="1" t="str">
        <f>IF(Tabela8[[#This Row],[SETOR]]="","",IF(Tabela8[[#This Row],[SETOR]]&lt;200,"GV 10",IF(Tabela8[[#This Row],[SETOR]]&lt;300,"GV 20",IF(Tabela8[[#This Row],[SETOR]]&lt;400,"GV 30","S/GV"))))</f>
        <v>GV 30</v>
      </c>
      <c r="E3412" t="s">
        <v>123</v>
      </c>
      <c r="G3412" t="str">
        <f>_xlfn.CONCAT(Tabela9[[#This Row],[Coluna1]],Tabela9[[#This Row],[Coluna2]])</f>
        <v>20-Rota</v>
      </c>
    </row>
    <row r="3413" spans="1:7" x14ac:dyDescent="0.25">
      <c r="A3413">
        <v>17759</v>
      </c>
      <c r="B3413">
        <v>101</v>
      </c>
      <c r="C3413" s="1" t="str">
        <f>IF(Tabela8[[#This Row],[SETOR]]="","",IF(Tabela8[[#This Row],[SETOR]]&lt;200,"GV 10",IF(Tabela8[[#This Row],[SETOR]]&lt;300,"GV 20",IF(Tabela8[[#This Row],[SETOR]]&lt;400,"GV 30","S/GV"))))</f>
        <v>GV 10</v>
      </c>
      <c r="E3413" t="s">
        <v>123</v>
      </c>
      <c r="G3413" t="str">
        <f>_xlfn.CONCAT(Tabela9[[#This Row],[Coluna1]],Tabela9[[#This Row],[Coluna2]])</f>
        <v>20-Rota</v>
      </c>
    </row>
    <row r="3414" spans="1:7" x14ac:dyDescent="0.25">
      <c r="A3414">
        <v>17760</v>
      </c>
      <c r="B3414">
        <v>305</v>
      </c>
      <c r="C3414" s="1" t="str">
        <f>IF(Tabela8[[#This Row],[SETOR]]="","",IF(Tabela8[[#This Row],[SETOR]]&lt;200,"GV 10",IF(Tabela8[[#This Row],[SETOR]]&lt;300,"GV 20",IF(Tabela8[[#This Row],[SETOR]]&lt;400,"GV 30","S/GV"))))</f>
        <v>GV 30</v>
      </c>
      <c r="E3414" t="s">
        <v>123</v>
      </c>
      <c r="G3414" t="str">
        <f>_xlfn.CONCAT(Tabela9[[#This Row],[Coluna1]],Tabela9[[#This Row],[Coluna2]])</f>
        <v>20-Rota</v>
      </c>
    </row>
    <row r="3415" spans="1:7" x14ac:dyDescent="0.25">
      <c r="A3415">
        <v>17761</v>
      </c>
      <c r="B3415">
        <v>305</v>
      </c>
      <c r="C3415" s="1" t="str">
        <f>IF(Tabela8[[#This Row],[SETOR]]="","",IF(Tabela8[[#This Row],[SETOR]]&lt;200,"GV 10",IF(Tabela8[[#This Row],[SETOR]]&lt;300,"GV 20",IF(Tabela8[[#This Row],[SETOR]]&lt;400,"GV 30","S/GV"))))</f>
        <v>GV 30</v>
      </c>
      <c r="E3415" t="s">
        <v>123</v>
      </c>
      <c r="G3415" t="str">
        <f>_xlfn.CONCAT(Tabela9[[#This Row],[Coluna1]],Tabela9[[#This Row],[Coluna2]])</f>
        <v>20-Rota</v>
      </c>
    </row>
    <row r="3416" spans="1:7" x14ac:dyDescent="0.25">
      <c r="A3416">
        <v>17762</v>
      </c>
      <c r="B3416">
        <v>101</v>
      </c>
      <c r="C3416" s="1" t="str">
        <f>IF(Tabela8[[#This Row],[SETOR]]="","",IF(Tabela8[[#This Row],[SETOR]]&lt;200,"GV 10",IF(Tabela8[[#This Row],[SETOR]]&lt;300,"GV 20",IF(Tabela8[[#This Row],[SETOR]]&lt;400,"GV 30","S/GV"))))</f>
        <v>GV 10</v>
      </c>
      <c r="E3416" t="s">
        <v>123</v>
      </c>
      <c r="G3416" t="str">
        <f>_xlfn.CONCAT(Tabela9[[#This Row],[Coluna1]],Tabela9[[#This Row],[Coluna2]])</f>
        <v>20-Rota</v>
      </c>
    </row>
    <row r="3417" spans="1:7" x14ac:dyDescent="0.25">
      <c r="A3417">
        <v>17763</v>
      </c>
      <c r="B3417">
        <v>105</v>
      </c>
      <c r="C3417" s="1" t="str">
        <f>IF(Tabela8[[#This Row],[SETOR]]="","",IF(Tabela8[[#This Row],[SETOR]]&lt;200,"GV 10",IF(Tabela8[[#This Row],[SETOR]]&lt;300,"GV 20",IF(Tabela8[[#This Row],[SETOR]]&lt;400,"GV 30","S/GV"))))</f>
        <v>GV 10</v>
      </c>
      <c r="E3417" t="s">
        <v>123</v>
      </c>
      <c r="G3417" t="str">
        <f>_xlfn.CONCAT(Tabela9[[#This Row],[Coluna1]],Tabela9[[#This Row],[Coluna2]])</f>
        <v>20-Rota</v>
      </c>
    </row>
    <row r="3418" spans="1:7" x14ac:dyDescent="0.25">
      <c r="A3418">
        <v>17764</v>
      </c>
      <c r="B3418">
        <v>102</v>
      </c>
      <c r="C3418" s="1" t="str">
        <f>IF(Tabela8[[#This Row],[SETOR]]="","",IF(Tabela8[[#This Row],[SETOR]]&lt;200,"GV 10",IF(Tabela8[[#This Row],[SETOR]]&lt;300,"GV 20",IF(Tabela8[[#This Row],[SETOR]]&lt;400,"GV 30","S/GV"))))</f>
        <v>GV 10</v>
      </c>
      <c r="E3418" t="s">
        <v>123</v>
      </c>
      <c r="G3418" t="str">
        <f>_xlfn.CONCAT(Tabela9[[#This Row],[Coluna1]],Tabela9[[#This Row],[Coluna2]])</f>
        <v>20-Rota</v>
      </c>
    </row>
    <row r="3419" spans="1:7" x14ac:dyDescent="0.25">
      <c r="A3419">
        <v>17766</v>
      </c>
      <c r="B3419">
        <v>207</v>
      </c>
      <c r="C3419" s="1" t="str">
        <f>IF(Tabela8[[#This Row],[SETOR]]="","",IF(Tabela8[[#This Row],[SETOR]]&lt;200,"GV 10",IF(Tabela8[[#This Row],[SETOR]]&lt;300,"GV 20",IF(Tabela8[[#This Row],[SETOR]]&lt;400,"GV 30","S/GV"))))</f>
        <v>GV 20</v>
      </c>
      <c r="E3419" t="s">
        <v>130</v>
      </c>
      <c r="G3419" t="str">
        <f>_xlfn.CONCAT(Tabela9[[#This Row],[Coluna1]],Tabela9[[#This Row],[Coluna2]])</f>
        <v>21-SUB</v>
      </c>
    </row>
    <row r="3420" spans="1:7" x14ac:dyDescent="0.25">
      <c r="A3420">
        <v>17767</v>
      </c>
      <c r="B3420">
        <v>101</v>
      </c>
      <c r="C3420" s="1" t="str">
        <f>IF(Tabela8[[#This Row],[SETOR]]="","",IF(Tabela8[[#This Row],[SETOR]]&lt;200,"GV 10",IF(Tabela8[[#This Row],[SETOR]]&lt;300,"GV 20",IF(Tabela8[[#This Row],[SETOR]]&lt;400,"GV 30","S/GV"))))</f>
        <v>GV 10</v>
      </c>
      <c r="E3420" t="s">
        <v>124</v>
      </c>
      <c r="G3420" t="str">
        <f>_xlfn.CONCAT(Tabela9[[#This Row],[Coluna1]],Tabela9[[#This Row],[Coluna2]])</f>
        <v>19-VIP</v>
      </c>
    </row>
    <row r="3421" spans="1:7" x14ac:dyDescent="0.25">
      <c r="A3421">
        <v>17768</v>
      </c>
      <c r="B3421">
        <v>101</v>
      </c>
      <c r="C3421" s="1" t="str">
        <f>IF(Tabela8[[#This Row],[SETOR]]="","",IF(Tabela8[[#This Row],[SETOR]]&lt;200,"GV 10",IF(Tabela8[[#This Row],[SETOR]]&lt;300,"GV 20",IF(Tabela8[[#This Row],[SETOR]]&lt;400,"GV 30","S/GV"))))</f>
        <v>GV 10</v>
      </c>
      <c r="E3421" t="s">
        <v>123</v>
      </c>
      <c r="G3421" t="str">
        <f>_xlfn.CONCAT(Tabela9[[#This Row],[Coluna1]],Tabela9[[#This Row],[Coluna2]])</f>
        <v>20-Rota</v>
      </c>
    </row>
    <row r="3422" spans="1:7" x14ac:dyDescent="0.25">
      <c r="A3422">
        <v>17770</v>
      </c>
      <c r="B3422">
        <v>101</v>
      </c>
      <c r="C3422" s="1" t="str">
        <f>IF(Tabela8[[#This Row],[SETOR]]="","",IF(Tabela8[[#This Row],[SETOR]]&lt;200,"GV 10",IF(Tabela8[[#This Row],[SETOR]]&lt;300,"GV 20",IF(Tabela8[[#This Row],[SETOR]]&lt;400,"GV 30","S/GV"))))</f>
        <v>GV 10</v>
      </c>
      <c r="E3422" t="s">
        <v>123</v>
      </c>
      <c r="G3422" t="str">
        <f>_xlfn.CONCAT(Tabela9[[#This Row],[Coluna1]],Tabela9[[#This Row],[Coluna2]])</f>
        <v>20-Rota</v>
      </c>
    </row>
    <row r="3423" spans="1:7" x14ac:dyDescent="0.25">
      <c r="A3423">
        <v>17771</v>
      </c>
      <c r="B3423">
        <v>103</v>
      </c>
      <c r="C3423" s="1" t="str">
        <f>IF(Tabela8[[#This Row],[SETOR]]="","",IF(Tabela8[[#This Row],[SETOR]]&lt;200,"GV 10",IF(Tabela8[[#This Row],[SETOR]]&lt;300,"GV 20",IF(Tabela8[[#This Row],[SETOR]]&lt;400,"GV 30","S/GV"))))</f>
        <v>GV 10</v>
      </c>
      <c r="E3423" t="s">
        <v>123</v>
      </c>
      <c r="G3423" t="str">
        <f>_xlfn.CONCAT(Tabela9[[#This Row],[Coluna1]],Tabela9[[#This Row],[Coluna2]])</f>
        <v>20-Rota</v>
      </c>
    </row>
    <row r="3424" spans="1:7" x14ac:dyDescent="0.25">
      <c r="A3424">
        <v>17774</v>
      </c>
      <c r="B3424">
        <v>305</v>
      </c>
      <c r="C3424" s="1" t="str">
        <f>IF(Tabela8[[#This Row],[SETOR]]="","",IF(Tabela8[[#This Row],[SETOR]]&lt;200,"GV 10",IF(Tabela8[[#This Row],[SETOR]]&lt;300,"GV 20",IF(Tabela8[[#This Row],[SETOR]]&lt;400,"GV 30","S/GV"))))</f>
        <v>GV 30</v>
      </c>
      <c r="E3424" t="s">
        <v>123</v>
      </c>
      <c r="G3424" t="str">
        <f>_xlfn.CONCAT(Tabela9[[#This Row],[Coluna1]],Tabela9[[#This Row],[Coluna2]])</f>
        <v>20-Rota</v>
      </c>
    </row>
    <row r="3425" spans="1:7" x14ac:dyDescent="0.25">
      <c r="A3425">
        <v>17775</v>
      </c>
      <c r="B3425">
        <v>203</v>
      </c>
      <c r="C3425" s="1" t="str">
        <f>IF(Tabela8[[#This Row],[SETOR]]="","",IF(Tabela8[[#This Row],[SETOR]]&lt;200,"GV 10",IF(Tabela8[[#This Row],[SETOR]]&lt;300,"GV 20",IF(Tabela8[[#This Row],[SETOR]]&lt;400,"GV 30","S/GV"))))</f>
        <v>GV 20</v>
      </c>
      <c r="E3425" t="s">
        <v>123</v>
      </c>
      <c r="G3425" t="str">
        <f>_xlfn.CONCAT(Tabela9[[#This Row],[Coluna1]],Tabela9[[#This Row],[Coluna2]])</f>
        <v>20-Rota</v>
      </c>
    </row>
    <row r="3426" spans="1:7" x14ac:dyDescent="0.25">
      <c r="A3426">
        <v>17777</v>
      </c>
      <c r="B3426">
        <v>104</v>
      </c>
      <c r="C3426" s="1" t="str">
        <f>IF(Tabela8[[#This Row],[SETOR]]="","",IF(Tabela8[[#This Row],[SETOR]]&lt;200,"GV 10",IF(Tabela8[[#This Row],[SETOR]]&lt;300,"GV 20",IF(Tabela8[[#This Row],[SETOR]]&lt;400,"GV 30","S/GV"))))</f>
        <v>GV 10</v>
      </c>
      <c r="E3426" t="s">
        <v>123</v>
      </c>
      <c r="G3426" t="str">
        <f>_xlfn.CONCAT(Tabela9[[#This Row],[Coluna1]],Tabela9[[#This Row],[Coluna2]])</f>
        <v>20-Rota</v>
      </c>
    </row>
    <row r="3427" spans="1:7" x14ac:dyDescent="0.25">
      <c r="A3427">
        <v>17778</v>
      </c>
      <c r="B3427">
        <v>307</v>
      </c>
      <c r="C3427" s="1" t="str">
        <f>IF(Tabela8[[#This Row],[SETOR]]="","",IF(Tabela8[[#This Row],[SETOR]]&lt;200,"GV 10",IF(Tabela8[[#This Row],[SETOR]]&lt;300,"GV 20",IF(Tabela8[[#This Row],[SETOR]]&lt;400,"GV 30","S/GV"))))</f>
        <v>GV 30</v>
      </c>
      <c r="E3427" t="s">
        <v>130</v>
      </c>
      <c r="G3427" t="str">
        <f>_xlfn.CONCAT(Tabela9[[#This Row],[Coluna1]],Tabela9[[#This Row],[Coluna2]])</f>
        <v>21-SUB</v>
      </c>
    </row>
    <row r="3428" spans="1:7" x14ac:dyDescent="0.25">
      <c r="A3428">
        <v>17779</v>
      </c>
      <c r="B3428">
        <v>206</v>
      </c>
      <c r="C3428" s="1" t="str">
        <f>IF(Tabela8[[#This Row],[SETOR]]="","",IF(Tabela8[[#This Row],[SETOR]]&lt;200,"GV 10",IF(Tabela8[[#This Row],[SETOR]]&lt;300,"GV 20",IF(Tabela8[[#This Row],[SETOR]]&lt;400,"GV 30","S/GV"))))</f>
        <v>GV 20</v>
      </c>
      <c r="E3428" t="s">
        <v>125</v>
      </c>
      <c r="G3428" t="str">
        <f>_xlfn.CONCAT(Tabela9[[#This Row],[Coluna1]],Tabela9[[#This Row],[Coluna2]])</f>
        <v>18-TRAD</v>
      </c>
    </row>
    <row r="3429" spans="1:7" x14ac:dyDescent="0.25">
      <c r="A3429">
        <v>17780</v>
      </c>
      <c r="B3429">
        <v>203</v>
      </c>
      <c r="C3429" s="1" t="str">
        <f>IF(Tabela8[[#This Row],[SETOR]]="","",IF(Tabela8[[#This Row],[SETOR]]&lt;200,"GV 10",IF(Tabela8[[#This Row],[SETOR]]&lt;300,"GV 20",IF(Tabela8[[#This Row],[SETOR]]&lt;400,"GV 30","S/GV"))))</f>
        <v>GV 20</v>
      </c>
      <c r="E3429" t="s">
        <v>130</v>
      </c>
      <c r="G3429" t="str">
        <f>_xlfn.CONCAT(Tabela9[[#This Row],[Coluna1]],Tabela9[[#This Row],[Coluna2]])</f>
        <v>21-SUB</v>
      </c>
    </row>
    <row r="3430" spans="1:7" x14ac:dyDescent="0.25">
      <c r="A3430">
        <v>17783</v>
      </c>
      <c r="B3430">
        <v>109</v>
      </c>
      <c r="C3430" s="1" t="str">
        <f>IF(Tabela8[[#This Row],[SETOR]]="","",IF(Tabela8[[#This Row],[SETOR]]&lt;200,"GV 10",IF(Tabela8[[#This Row],[SETOR]]&lt;300,"GV 20",IF(Tabela8[[#This Row],[SETOR]]&lt;400,"GV 30","S/GV"))))</f>
        <v>GV 10</v>
      </c>
      <c r="E3430" t="s">
        <v>123</v>
      </c>
      <c r="G3430" t="str">
        <f>_xlfn.CONCAT(Tabela9[[#This Row],[Coluna1]],Tabela9[[#This Row],[Coluna2]])</f>
        <v>20-Rota</v>
      </c>
    </row>
    <row r="3431" spans="1:7" x14ac:dyDescent="0.25">
      <c r="A3431">
        <v>17784</v>
      </c>
      <c r="B3431">
        <v>302</v>
      </c>
      <c r="C3431" s="1" t="str">
        <f>IF(Tabela8[[#This Row],[SETOR]]="","",IF(Tabela8[[#This Row],[SETOR]]&lt;200,"GV 10",IF(Tabela8[[#This Row],[SETOR]]&lt;300,"GV 20",IF(Tabela8[[#This Row],[SETOR]]&lt;400,"GV 30","S/GV"))))</f>
        <v>GV 30</v>
      </c>
      <c r="E3431" t="s">
        <v>123</v>
      </c>
      <c r="G3431" t="str">
        <f>_xlfn.CONCAT(Tabela9[[#This Row],[Coluna1]],Tabela9[[#This Row],[Coluna2]])</f>
        <v>20-Rota</v>
      </c>
    </row>
    <row r="3432" spans="1:7" x14ac:dyDescent="0.25">
      <c r="A3432">
        <v>17785</v>
      </c>
      <c r="B3432">
        <v>105</v>
      </c>
      <c r="C3432" s="1" t="str">
        <f>IF(Tabela8[[#This Row],[SETOR]]="","",IF(Tabela8[[#This Row],[SETOR]]&lt;200,"GV 10",IF(Tabela8[[#This Row],[SETOR]]&lt;300,"GV 20",IF(Tabela8[[#This Row],[SETOR]]&lt;400,"GV 30","S/GV"))))</f>
        <v>GV 10</v>
      </c>
      <c r="E3432" t="s">
        <v>123</v>
      </c>
      <c r="G3432" t="str">
        <f>_xlfn.CONCAT(Tabela9[[#This Row],[Coluna1]],Tabela9[[#This Row],[Coluna2]])</f>
        <v>20-Rota</v>
      </c>
    </row>
    <row r="3433" spans="1:7" x14ac:dyDescent="0.25">
      <c r="A3433">
        <v>17787</v>
      </c>
      <c r="B3433">
        <v>204</v>
      </c>
      <c r="C3433" s="1" t="str">
        <f>IF(Tabela8[[#This Row],[SETOR]]="","",IF(Tabela8[[#This Row],[SETOR]]&lt;200,"GV 10",IF(Tabela8[[#This Row],[SETOR]]&lt;300,"GV 20",IF(Tabela8[[#This Row],[SETOR]]&lt;400,"GV 30","S/GV"))))</f>
        <v>GV 20</v>
      </c>
      <c r="E3433" t="s">
        <v>123</v>
      </c>
      <c r="G3433" t="str">
        <f>_xlfn.CONCAT(Tabela9[[#This Row],[Coluna1]],Tabela9[[#This Row],[Coluna2]])</f>
        <v>20-Rota</v>
      </c>
    </row>
    <row r="3434" spans="1:7" x14ac:dyDescent="0.25">
      <c r="A3434">
        <v>17791</v>
      </c>
      <c r="B3434">
        <v>301</v>
      </c>
      <c r="C3434" s="1" t="str">
        <f>IF(Tabela8[[#This Row],[SETOR]]="","",IF(Tabela8[[#This Row],[SETOR]]&lt;200,"GV 10",IF(Tabela8[[#This Row],[SETOR]]&lt;300,"GV 20",IF(Tabela8[[#This Row],[SETOR]]&lt;400,"GV 30","S/GV"))))</f>
        <v>GV 30</v>
      </c>
      <c r="E3434" t="s">
        <v>125</v>
      </c>
      <c r="G3434" t="str">
        <f>_xlfn.CONCAT(Tabela9[[#This Row],[Coluna1]],Tabela9[[#This Row],[Coluna2]])</f>
        <v>18-TRAD</v>
      </c>
    </row>
    <row r="3435" spans="1:7" x14ac:dyDescent="0.25">
      <c r="A3435">
        <v>17792</v>
      </c>
      <c r="B3435">
        <v>304</v>
      </c>
      <c r="C3435" s="1" t="str">
        <f>IF(Tabela8[[#This Row],[SETOR]]="","",IF(Tabela8[[#This Row],[SETOR]]&lt;200,"GV 10",IF(Tabela8[[#This Row],[SETOR]]&lt;300,"GV 20",IF(Tabela8[[#This Row],[SETOR]]&lt;400,"GV 30","S/GV"))))</f>
        <v>GV 30</v>
      </c>
      <c r="E3435" t="s">
        <v>123</v>
      </c>
      <c r="G3435" t="str">
        <f>_xlfn.CONCAT(Tabela9[[#This Row],[Coluna1]],Tabela9[[#This Row],[Coluna2]])</f>
        <v>20-Rota</v>
      </c>
    </row>
    <row r="3436" spans="1:7" x14ac:dyDescent="0.25">
      <c r="A3436">
        <v>17793</v>
      </c>
      <c r="B3436">
        <v>305</v>
      </c>
      <c r="C3436" s="1" t="str">
        <f>IF(Tabela8[[#This Row],[SETOR]]="","",IF(Tabela8[[#This Row],[SETOR]]&lt;200,"GV 10",IF(Tabela8[[#This Row],[SETOR]]&lt;300,"GV 20",IF(Tabela8[[#This Row],[SETOR]]&lt;400,"GV 30","S/GV"))))</f>
        <v>GV 30</v>
      </c>
      <c r="E3436" t="s">
        <v>123</v>
      </c>
      <c r="G3436" t="str">
        <f>_xlfn.CONCAT(Tabela9[[#This Row],[Coluna1]],Tabela9[[#This Row],[Coluna2]])</f>
        <v>20-Rota</v>
      </c>
    </row>
    <row r="3437" spans="1:7" x14ac:dyDescent="0.25">
      <c r="A3437">
        <v>17794</v>
      </c>
      <c r="B3437">
        <v>306</v>
      </c>
      <c r="C3437" s="1" t="str">
        <f>IF(Tabela8[[#This Row],[SETOR]]="","",IF(Tabela8[[#This Row],[SETOR]]&lt;200,"GV 10",IF(Tabela8[[#This Row],[SETOR]]&lt;300,"GV 20",IF(Tabela8[[#This Row],[SETOR]]&lt;400,"GV 30","S/GV"))))</f>
        <v>GV 30</v>
      </c>
      <c r="E3437" t="s">
        <v>125</v>
      </c>
      <c r="G3437" t="str">
        <f>_xlfn.CONCAT(Tabela9[[#This Row],[Coluna1]],Tabela9[[#This Row],[Coluna2]])</f>
        <v>18-TRAD</v>
      </c>
    </row>
    <row r="3438" spans="1:7" x14ac:dyDescent="0.25">
      <c r="A3438">
        <v>17795</v>
      </c>
      <c r="B3438">
        <v>104</v>
      </c>
      <c r="C3438" s="1" t="str">
        <f>IF(Tabela8[[#This Row],[SETOR]]="","",IF(Tabela8[[#This Row],[SETOR]]&lt;200,"GV 10",IF(Tabela8[[#This Row],[SETOR]]&lt;300,"GV 20",IF(Tabela8[[#This Row],[SETOR]]&lt;400,"GV 30","S/GV"))))</f>
        <v>GV 10</v>
      </c>
      <c r="E3438" t="s">
        <v>123</v>
      </c>
      <c r="G3438" t="str">
        <f>_xlfn.CONCAT(Tabela9[[#This Row],[Coluna1]],Tabela9[[#This Row],[Coluna2]])</f>
        <v>20-Rota</v>
      </c>
    </row>
    <row r="3439" spans="1:7" x14ac:dyDescent="0.25">
      <c r="A3439">
        <v>17796</v>
      </c>
      <c r="B3439">
        <v>104</v>
      </c>
      <c r="C3439" s="1" t="str">
        <f>IF(Tabela8[[#This Row],[SETOR]]="","",IF(Tabela8[[#This Row],[SETOR]]&lt;200,"GV 10",IF(Tabela8[[#This Row],[SETOR]]&lt;300,"GV 20",IF(Tabela8[[#This Row],[SETOR]]&lt;400,"GV 30","S/GV"))))</f>
        <v>GV 10</v>
      </c>
      <c r="E3439" t="s">
        <v>123</v>
      </c>
      <c r="G3439" t="str">
        <f>_xlfn.CONCAT(Tabela9[[#This Row],[Coluna1]],Tabela9[[#This Row],[Coluna2]])</f>
        <v>20-Rota</v>
      </c>
    </row>
    <row r="3440" spans="1:7" x14ac:dyDescent="0.25">
      <c r="A3440">
        <v>17797</v>
      </c>
      <c r="B3440">
        <v>907</v>
      </c>
      <c r="C3440" s="1" t="str">
        <f>IF(Tabela8[[#This Row],[SETOR]]="","",IF(Tabela8[[#This Row],[SETOR]]&lt;200,"GV 10",IF(Tabela8[[#This Row],[SETOR]]&lt;300,"GV 20",IF(Tabela8[[#This Row],[SETOR]]&lt;400,"GV 30","S/GV"))))</f>
        <v>S/GV</v>
      </c>
      <c r="G3440" t="str">
        <f>_xlfn.CONCAT(Tabela9[[#This Row],[Coluna1]],Tabela9[[#This Row],[Coluna2]])</f>
        <v/>
      </c>
    </row>
    <row r="3441" spans="1:7" x14ac:dyDescent="0.25">
      <c r="A3441">
        <v>17801</v>
      </c>
      <c r="B3441">
        <v>104</v>
      </c>
      <c r="C3441" s="1" t="str">
        <f>IF(Tabela8[[#This Row],[SETOR]]="","",IF(Tabela8[[#This Row],[SETOR]]&lt;200,"GV 10",IF(Tabela8[[#This Row],[SETOR]]&lt;300,"GV 20",IF(Tabela8[[#This Row],[SETOR]]&lt;400,"GV 30","S/GV"))))</f>
        <v>GV 10</v>
      </c>
      <c r="E3441" t="s">
        <v>123</v>
      </c>
      <c r="G3441" t="str">
        <f>_xlfn.CONCAT(Tabela9[[#This Row],[Coluna1]],Tabela9[[#This Row],[Coluna2]])</f>
        <v>20-Rota</v>
      </c>
    </row>
    <row r="3442" spans="1:7" x14ac:dyDescent="0.25">
      <c r="A3442">
        <v>17803</v>
      </c>
      <c r="B3442">
        <v>103</v>
      </c>
      <c r="C3442" s="1" t="str">
        <f>IF(Tabela8[[#This Row],[SETOR]]="","",IF(Tabela8[[#This Row],[SETOR]]&lt;200,"GV 10",IF(Tabela8[[#This Row],[SETOR]]&lt;300,"GV 20",IF(Tabela8[[#This Row],[SETOR]]&lt;400,"GV 30","S/GV"))))</f>
        <v>GV 10</v>
      </c>
      <c r="E3442" t="s">
        <v>126</v>
      </c>
      <c r="F3442" t="s">
        <v>127</v>
      </c>
      <c r="G3442" t="str">
        <f>_xlfn.CONCAT(Tabela9[[#This Row],[Coluna1]],Tabela9[[#This Row],[Coluna2]])</f>
        <v>16-AS(5+)</v>
      </c>
    </row>
    <row r="3443" spans="1:7" x14ac:dyDescent="0.25">
      <c r="A3443">
        <v>17804</v>
      </c>
      <c r="B3443">
        <v>103</v>
      </c>
      <c r="C3443" s="1" t="str">
        <f>IF(Tabela8[[#This Row],[SETOR]]="","",IF(Tabela8[[#This Row],[SETOR]]&lt;200,"GV 10",IF(Tabela8[[#This Row],[SETOR]]&lt;300,"GV 20",IF(Tabela8[[#This Row],[SETOR]]&lt;400,"GV 30","S/GV"))))</f>
        <v>GV 10</v>
      </c>
      <c r="E3443" t="s">
        <v>123</v>
      </c>
      <c r="G3443" t="str">
        <f>_xlfn.CONCAT(Tabela9[[#This Row],[Coluna1]],Tabela9[[#This Row],[Coluna2]])</f>
        <v>20-Rota</v>
      </c>
    </row>
    <row r="3444" spans="1:7" x14ac:dyDescent="0.25">
      <c r="A3444">
        <v>17805</v>
      </c>
      <c r="B3444">
        <v>103</v>
      </c>
      <c r="C3444" s="1" t="str">
        <f>IF(Tabela8[[#This Row],[SETOR]]="","",IF(Tabela8[[#This Row],[SETOR]]&lt;200,"GV 10",IF(Tabela8[[#This Row],[SETOR]]&lt;300,"GV 20",IF(Tabela8[[#This Row],[SETOR]]&lt;400,"GV 30","S/GV"))))</f>
        <v>GV 10</v>
      </c>
      <c r="E3444" t="s">
        <v>123</v>
      </c>
      <c r="G3444" t="str">
        <f>_xlfn.CONCAT(Tabela9[[#This Row],[Coluna1]],Tabela9[[#This Row],[Coluna2]])</f>
        <v>20-Rota</v>
      </c>
    </row>
    <row r="3445" spans="1:7" x14ac:dyDescent="0.25">
      <c r="A3445">
        <v>17808</v>
      </c>
      <c r="B3445">
        <v>303</v>
      </c>
      <c r="C3445" s="1" t="str">
        <f>IF(Tabela8[[#This Row],[SETOR]]="","",IF(Tabela8[[#This Row],[SETOR]]&lt;200,"GV 10",IF(Tabela8[[#This Row],[SETOR]]&lt;300,"GV 20",IF(Tabela8[[#This Row],[SETOR]]&lt;400,"GV 30","S/GV"))))</f>
        <v>GV 30</v>
      </c>
      <c r="E3445" t="s">
        <v>123</v>
      </c>
      <c r="G3445" t="str">
        <f>_xlfn.CONCAT(Tabela9[[#This Row],[Coluna1]],Tabela9[[#This Row],[Coluna2]])</f>
        <v>20-Rota</v>
      </c>
    </row>
    <row r="3446" spans="1:7" x14ac:dyDescent="0.25">
      <c r="A3446">
        <v>17809</v>
      </c>
      <c r="B3446">
        <v>303</v>
      </c>
      <c r="C3446" s="1" t="str">
        <f>IF(Tabela8[[#This Row],[SETOR]]="","",IF(Tabela8[[#This Row],[SETOR]]&lt;200,"GV 10",IF(Tabela8[[#This Row],[SETOR]]&lt;300,"GV 20",IF(Tabela8[[#This Row],[SETOR]]&lt;400,"GV 30","S/GV"))))</f>
        <v>GV 30</v>
      </c>
      <c r="E3446" t="s">
        <v>123</v>
      </c>
      <c r="G3446" t="str">
        <f>_xlfn.CONCAT(Tabela9[[#This Row],[Coluna1]],Tabela9[[#This Row],[Coluna2]])</f>
        <v>20-Rota</v>
      </c>
    </row>
    <row r="3447" spans="1:7" x14ac:dyDescent="0.25">
      <c r="A3447">
        <v>17810</v>
      </c>
      <c r="B3447">
        <v>205</v>
      </c>
      <c r="C3447" s="1" t="str">
        <f>IF(Tabela8[[#This Row],[SETOR]]="","",IF(Tabela8[[#This Row],[SETOR]]&lt;200,"GV 10",IF(Tabela8[[#This Row],[SETOR]]&lt;300,"GV 20",IF(Tabela8[[#This Row],[SETOR]]&lt;400,"GV 30","S/GV"))))</f>
        <v>GV 20</v>
      </c>
      <c r="E3447" t="s">
        <v>123</v>
      </c>
      <c r="G3447" t="str">
        <f>_xlfn.CONCAT(Tabela9[[#This Row],[Coluna1]],Tabela9[[#This Row],[Coluna2]])</f>
        <v>20-Rota</v>
      </c>
    </row>
    <row r="3448" spans="1:7" x14ac:dyDescent="0.25">
      <c r="A3448">
        <v>17811</v>
      </c>
      <c r="B3448">
        <v>206</v>
      </c>
      <c r="C3448" s="1" t="str">
        <f>IF(Tabela8[[#This Row],[SETOR]]="","",IF(Tabela8[[#This Row],[SETOR]]&lt;200,"GV 10",IF(Tabela8[[#This Row],[SETOR]]&lt;300,"GV 20",IF(Tabela8[[#This Row],[SETOR]]&lt;400,"GV 30","S/GV"))))</f>
        <v>GV 20</v>
      </c>
      <c r="E3448" t="s">
        <v>123</v>
      </c>
      <c r="G3448" t="str">
        <f>_xlfn.CONCAT(Tabela9[[#This Row],[Coluna1]],Tabela9[[#This Row],[Coluna2]])</f>
        <v>20-Rota</v>
      </c>
    </row>
    <row r="3449" spans="1:7" x14ac:dyDescent="0.25">
      <c r="A3449">
        <v>17812</v>
      </c>
      <c r="B3449">
        <v>206</v>
      </c>
      <c r="C3449" s="1" t="str">
        <f>IF(Tabela8[[#This Row],[SETOR]]="","",IF(Tabela8[[#This Row],[SETOR]]&lt;200,"GV 10",IF(Tabela8[[#This Row],[SETOR]]&lt;300,"GV 20",IF(Tabela8[[#This Row],[SETOR]]&lt;400,"GV 30","S/GV"))))</f>
        <v>GV 20</v>
      </c>
      <c r="E3449" t="s">
        <v>123</v>
      </c>
      <c r="G3449" t="str">
        <f>_xlfn.CONCAT(Tabela9[[#This Row],[Coluna1]],Tabela9[[#This Row],[Coluna2]])</f>
        <v>20-Rota</v>
      </c>
    </row>
    <row r="3450" spans="1:7" x14ac:dyDescent="0.25">
      <c r="A3450">
        <v>17815</v>
      </c>
      <c r="B3450">
        <v>101</v>
      </c>
      <c r="C3450" s="1" t="str">
        <f>IF(Tabela8[[#This Row],[SETOR]]="","",IF(Tabela8[[#This Row],[SETOR]]&lt;200,"GV 10",IF(Tabela8[[#This Row],[SETOR]]&lt;300,"GV 20",IF(Tabela8[[#This Row],[SETOR]]&lt;400,"GV 30","S/GV"))))</f>
        <v>GV 10</v>
      </c>
      <c r="E3450" t="s">
        <v>123</v>
      </c>
      <c r="G3450" t="str">
        <f>_xlfn.CONCAT(Tabela9[[#This Row],[Coluna1]],Tabela9[[#This Row],[Coluna2]])</f>
        <v>20-Rota</v>
      </c>
    </row>
    <row r="3451" spans="1:7" x14ac:dyDescent="0.25">
      <c r="A3451">
        <v>17817</v>
      </c>
      <c r="B3451">
        <v>207</v>
      </c>
      <c r="C3451" s="1" t="str">
        <f>IF(Tabela8[[#This Row],[SETOR]]="","",IF(Tabela8[[#This Row],[SETOR]]&lt;200,"GV 10",IF(Tabela8[[#This Row],[SETOR]]&lt;300,"GV 20",IF(Tabela8[[#This Row],[SETOR]]&lt;400,"GV 30","S/GV"))))</f>
        <v>GV 20</v>
      </c>
      <c r="E3451" t="s">
        <v>125</v>
      </c>
      <c r="G3451" t="str">
        <f>_xlfn.CONCAT(Tabela9[[#This Row],[Coluna1]],Tabela9[[#This Row],[Coluna2]])</f>
        <v>18-TRAD</v>
      </c>
    </row>
    <row r="3452" spans="1:7" x14ac:dyDescent="0.25">
      <c r="A3452">
        <v>17826</v>
      </c>
      <c r="B3452">
        <v>101</v>
      </c>
      <c r="C3452" s="1" t="str">
        <f>IF(Tabela8[[#This Row],[SETOR]]="","",IF(Tabela8[[#This Row],[SETOR]]&lt;200,"GV 10",IF(Tabela8[[#This Row],[SETOR]]&lt;300,"GV 20",IF(Tabela8[[#This Row],[SETOR]]&lt;400,"GV 30","S/GV"))))</f>
        <v>GV 10</v>
      </c>
      <c r="E3452" t="s">
        <v>123</v>
      </c>
      <c r="G3452" t="str">
        <f>_xlfn.CONCAT(Tabela9[[#This Row],[Coluna1]],Tabela9[[#This Row],[Coluna2]])</f>
        <v>20-Rota</v>
      </c>
    </row>
    <row r="3453" spans="1:7" x14ac:dyDescent="0.25">
      <c r="A3453">
        <v>17828</v>
      </c>
      <c r="B3453">
        <v>103</v>
      </c>
      <c r="C3453" s="1" t="str">
        <f>IF(Tabela8[[#This Row],[SETOR]]="","",IF(Tabela8[[#This Row],[SETOR]]&lt;200,"GV 10",IF(Tabela8[[#This Row],[SETOR]]&lt;300,"GV 20",IF(Tabela8[[#This Row],[SETOR]]&lt;400,"GV 30","S/GV"))))</f>
        <v>GV 10</v>
      </c>
      <c r="E3453" t="s">
        <v>125</v>
      </c>
      <c r="G3453" t="str">
        <f>_xlfn.CONCAT(Tabela9[[#This Row],[Coluna1]],Tabela9[[#This Row],[Coluna2]])</f>
        <v>18-TRAD</v>
      </c>
    </row>
    <row r="3454" spans="1:7" x14ac:dyDescent="0.25">
      <c r="A3454">
        <v>17829</v>
      </c>
      <c r="B3454">
        <v>303</v>
      </c>
      <c r="C3454" s="1" t="str">
        <f>IF(Tabela8[[#This Row],[SETOR]]="","",IF(Tabela8[[#This Row],[SETOR]]&lt;200,"GV 10",IF(Tabela8[[#This Row],[SETOR]]&lt;300,"GV 20",IF(Tabela8[[#This Row],[SETOR]]&lt;400,"GV 30","S/GV"))))</f>
        <v>GV 30</v>
      </c>
      <c r="E3454" t="s">
        <v>123</v>
      </c>
      <c r="G3454" t="str">
        <f>_xlfn.CONCAT(Tabela9[[#This Row],[Coluna1]],Tabela9[[#This Row],[Coluna2]])</f>
        <v>20-Rota</v>
      </c>
    </row>
    <row r="3455" spans="1:7" x14ac:dyDescent="0.25">
      <c r="A3455">
        <v>17831</v>
      </c>
      <c r="B3455">
        <v>103</v>
      </c>
      <c r="C3455" s="1" t="str">
        <f>IF(Tabela8[[#This Row],[SETOR]]="","",IF(Tabela8[[#This Row],[SETOR]]&lt;200,"GV 10",IF(Tabela8[[#This Row],[SETOR]]&lt;300,"GV 20",IF(Tabela8[[#This Row],[SETOR]]&lt;400,"GV 30","S/GV"))))</f>
        <v>GV 10</v>
      </c>
      <c r="E3455" t="s">
        <v>123</v>
      </c>
      <c r="G3455" t="str">
        <f>_xlfn.CONCAT(Tabela9[[#This Row],[Coluna1]],Tabela9[[#This Row],[Coluna2]])</f>
        <v>20-Rota</v>
      </c>
    </row>
    <row r="3456" spans="1:7" x14ac:dyDescent="0.25">
      <c r="A3456">
        <v>17837</v>
      </c>
      <c r="B3456">
        <v>103</v>
      </c>
      <c r="C3456" s="1" t="str">
        <f>IF(Tabela8[[#This Row],[SETOR]]="","",IF(Tabela8[[#This Row],[SETOR]]&lt;200,"GV 10",IF(Tabela8[[#This Row],[SETOR]]&lt;300,"GV 20",IF(Tabela8[[#This Row],[SETOR]]&lt;400,"GV 30","S/GV"))))</f>
        <v>GV 10</v>
      </c>
      <c r="E3456" t="s">
        <v>123</v>
      </c>
      <c r="G3456" t="str">
        <f>_xlfn.CONCAT(Tabela9[[#This Row],[Coluna1]],Tabela9[[#This Row],[Coluna2]])</f>
        <v>20-Rota</v>
      </c>
    </row>
    <row r="3457" spans="1:7" x14ac:dyDescent="0.25">
      <c r="A3457">
        <v>17838</v>
      </c>
      <c r="B3457">
        <v>301</v>
      </c>
      <c r="C3457" s="1" t="str">
        <f>IF(Tabela8[[#This Row],[SETOR]]="","",IF(Tabela8[[#This Row],[SETOR]]&lt;200,"GV 10",IF(Tabela8[[#This Row],[SETOR]]&lt;300,"GV 20",IF(Tabela8[[#This Row],[SETOR]]&lt;400,"GV 30","S/GV"))))</f>
        <v>GV 30</v>
      </c>
      <c r="E3457" t="s">
        <v>123</v>
      </c>
      <c r="G3457" t="str">
        <f>_xlfn.CONCAT(Tabela9[[#This Row],[Coluna1]],Tabela9[[#This Row],[Coluna2]])</f>
        <v>20-Rota</v>
      </c>
    </row>
    <row r="3458" spans="1:7" x14ac:dyDescent="0.25">
      <c r="A3458">
        <v>17840</v>
      </c>
      <c r="B3458">
        <v>206</v>
      </c>
      <c r="C3458" s="1" t="str">
        <f>IF(Tabela8[[#This Row],[SETOR]]="","",IF(Tabela8[[#This Row],[SETOR]]&lt;200,"GV 10",IF(Tabela8[[#This Row],[SETOR]]&lt;300,"GV 20",IF(Tabela8[[#This Row],[SETOR]]&lt;400,"GV 30","S/GV"))))</f>
        <v>GV 20</v>
      </c>
      <c r="E3458" t="s">
        <v>123</v>
      </c>
      <c r="G3458" t="str">
        <f>_xlfn.CONCAT(Tabela9[[#This Row],[Coluna1]],Tabela9[[#This Row],[Coluna2]])</f>
        <v>20-Rota</v>
      </c>
    </row>
    <row r="3459" spans="1:7" x14ac:dyDescent="0.25">
      <c r="A3459">
        <v>17841</v>
      </c>
      <c r="B3459">
        <v>204</v>
      </c>
      <c r="C3459" s="1" t="str">
        <f>IF(Tabela8[[#This Row],[SETOR]]="","",IF(Tabela8[[#This Row],[SETOR]]&lt;200,"GV 10",IF(Tabela8[[#This Row],[SETOR]]&lt;300,"GV 20",IF(Tabela8[[#This Row],[SETOR]]&lt;400,"GV 30","S/GV"))))</f>
        <v>GV 20</v>
      </c>
      <c r="E3459" t="s">
        <v>123</v>
      </c>
      <c r="G3459" t="str">
        <f>_xlfn.CONCAT(Tabela9[[#This Row],[Coluna1]],Tabela9[[#This Row],[Coluna2]])</f>
        <v>20-Rota</v>
      </c>
    </row>
    <row r="3460" spans="1:7" x14ac:dyDescent="0.25">
      <c r="A3460">
        <v>17842</v>
      </c>
      <c r="B3460">
        <v>203</v>
      </c>
      <c r="C3460" s="1" t="str">
        <f>IF(Tabela8[[#This Row],[SETOR]]="","",IF(Tabela8[[#This Row],[SETOR]]&lt;200,"GV 10",IF(Tabela8[[#This Row],[SETOR]]&lt;300,"GV 20",IF(Tabela8[[#This Row],[SETOR]]&lt;400,"GV 30","S/GV"))))</f>
        <v>GV 20</v>
      </c>
      <c r="E3460" t="s">
        <v>123</v>
      </c>
      <c r="G3460" t="str">
        <f>_xlfn.CONCAT(Tabela9[[#This Row],[Coluna1]],Tabela9[[#This Row],[Coluna2]])</f>
        <v>20-Rota</v>
      </c>
    </row>
    <row r="3461" spans="1:7" x14ac:dyDescent="0.25">
      <c r="A3461">
        <v>17844</v>
      </c>
      <c r="B3461">
        <v>304</v>
      </c>
      <c r="C3461" s="1" t="str">
        <f>IF(Tabela8[[#This Row],[SETOR]]="","",IF(Tabela8[[#This Row],[SETOR]]&lt;200,"GV 10",IF(Tabela8[[#This Row],[SETOR]]&lt;300,"GV 20",IF(Tabela8[[#This Row],[SETOR]]&lt;400,"GV 30","S/GV"))))</f>
        <v>GV 30</v>
      </c>
      <c r="E3461" t="s">
        <v>123</v>
      </c>
      <c r="G3461" t="str">
        <f>_xlfn.CONCAT(Tabela9[[#This Row],[Coluna1]],Tabela9[[#This Row],[Coluna2]])</f>
        <v>20-Rota</v>
      </c>
    </row>
    <row r="3462" spans="1:7" x14ac:dyDescent="0.25">
      <c r="A3462">
        <v>17846</v>
      </c>
      <c r="B3462">
        <v>916</v>
      </c>
      <c r="C3462" s="1" t="str">
        <f>IF(Tabela8[[#This Row],[SETOR]]="","",IF(Tabela8[[#This Row],[SETOR]]&lt;200,"GV 10",IF(Tabela8[[#This Row],[SETOR]]&lt;300,"GV 20",IF(Tabela8[[#This Row],[SETOR]]&lt;400,"GV 30","S/GV"))))</f>
        <v>S/GV</v>
      </c>
      <c r="G3462" t="str">
        <f>_xlfn.CONCAT(Tabela9[[#This Row],[Coluna1]],Tabela9[[#This Row],[Coluna2]])</f>
        <v/>
      </c>
    </row>
    <row r="3463" spans="1:7" x14ac:dyDescent="0.25">
      <c r="A3463">
        <v>17847</v>
      </c>
      <c r="B3463">
        <v>207</v>
      </c>
      <c r="C3463" s="1" t="str">
        <f>IF(Tabela8[[#This Row],[SETOR]]="","",IF(Tabela8[[#This Row],[SETOR]]&lt;200,"GV 10",IF(Tabela8[[#This Row],[SETOR]]&lt;300,"GV 20",IF(Tabela8[[#This Row],[SETOR]]&lt;400,"GV 30","S/GV"))))</f>
        <v>GV 20</v>
      </c>
      <c r="E3463" t="s">
        <v>130</v>
      </c>
      <c r="G3463" t="str">
        <f>_xlfn.CONCAT(Tabela9[[#This Row],[Coluna1]],Tabela9[[#This Row],[Coluna2]])</f>
        <v>21-SUB</v>
      </c>
    </row>
    <row r="3464" spans="1:7" x14ac:dyDescent="0.25">
      <c r="A3464">
        <v>17851</v>
      </c>
      <c r="B3464">
        <v>907</v>
      </c>
      <c r="C3464" s="1" t="str">
        <f>IF(Tabela8[[#This Row],[SETOR]]="","",IF(Tabela8[[#This Row],[SETOR]]&lt;200,"GV 10",IF(Tabela8[[#This Row],[SETOR]]&lt;300,"GV 20",IF(Tabela8[[#This Row],[SETOR]]&lt;400,"GV 30","S/GV"))))</f>
        <v>S/GV</v>
      </c>
      <c r="G3464" t="str">
        <f>_xlfn.CONCAT(Tabela9[[#This Row],[Coluna1]],Tabela9[[#This Row],[Coluna2]])</f>
        <v/>
      </c>
    </row>
    <row r="3465" spans="1:7" x14ac:dyDescent="0.25">
      <c r="A3465">
        <v>17852</v>
      </c>
      <c r="B3465">
        <v>303</v>
      </c>
      <c r="C3465" s="1" t="str">
        <f>IF(Tabela8[[#This Row],[SETOR]]="","",IF(Tabela8[[#This Row],[SETOR]]&lt;200,"GV 10",IF(Tabela8[[#This Row],[SETOR]]&lt;300,"GV 20",IF(Tabela8[[#This Row],[SETOR]]&lt;400,"GV 30","S/GV"))))</f>
        <v>GV 30</v>
      </c>
      <c r="E3465" t="s">
        <v>123</v>
      </c>
      <c r="G3465" t="str">
        <f>_xlfn.CONCAT(Tabela9[[#This Row],[Coluna1]],Tabela9[[#This Row],[Coluna2]])</f>
        <v>20-Rota</v>
      </c>
    </row>
    <row r="3466" spans="1:7" x14ac:dyDescent="0.25">
      <c r="A3466">
        <v>17854</v>
      </c>
      <c r="B3466">
        <v>202</v>
      </c>
      <c r="C3466" s="1" t="str">
        <f>IF(Tabela8[[#This Row],[SETOR]]="","",IF(Tabela8[[#This Row],[SETOR]]&lt;200,"GV 10",IF(Tabela8[[#This Row],[SETOR]]&lt;300,"GV 20",IF(Tabela8[[#This Row],[SETOR]]&lt;400,"GV 30","S/GV"))))</f>
        <v>GV 20</v>
      </c>
      <c r="E3466" t="s">
        <v>123</v>
      </c>
      <c r="G3466" t="str">
        <f>_xlfn.CONCAT(Tabela9[[#This Row],[Coluna1]],Tabela9[[#This Row],[Coluna2]])</f>
        <v>20-Rota</v>
      </c>
    </row>
    <row r="3467" spans="1:7" x14ac:dyDescent="0.25">
      <c r="A3467">
        <v>17857</v>
      </c>
      <c r="B3467">
        <v>301</v>
      </c>
      <c r="C3467" s="1" t="str">
        <f>IF(Tabela8[[#This Row],[SETOR]]="","",IF(Tabela8[[#This Row],[SETOR]]&lt;200,"GV 10",IF(Tabela8[[#This Row],[SETOR]]&lt;300,"GV 20",IF(Tabela8[[#This Row],[SETOR]]&lt;400,"GV 30","S/GV"))))</f>
        <v>GV 30</v>
      </c>
      <c r="E3467" t="s">
        <v>123</v>
      </c>
      <c r="G3467" t="str">
        <f>_xlfn.CONCAT(Tabela9[[#This Row],[Coluna1]],Tabela9[[#This Row],[Coluna2]])</f>
        <v>20-Rota</v>
      </c>
    </row>
    <row r="3468" spans="1:7" x14ac:dyDescent="0.25">
      <c r="A3468">
        <v>17858</v>
      </c>
      <c r="B3468">
        <v>102</v>
      </c>
      <c r="C3468" s="1" t="str">
        <f>IF(Tabela8[[#This Row],[SETOR]]="","",IF(Tabela8[[#This Row],[SETOR]]&lt;200,"GV 10",IF(Tabela8[[#This Row],[SETOR]]&lt;300,"GV 20",IF(Tabela8[[#This Row],[SETOR]]&lt;400,"GV 30","S/GV"))))</f>
        <v>GV 10</v>
      </c>
      <c r="E3468" t="s">
        <v>123</v>
      </c>
      <c r="G3468" t="str">
        <f>_xlfn.CONCAT(Tabela9[[#This Row],[Coluna1]],Tabela9[[#This Row],[Coluna2]])</f>
        <v>20-Rota</v>
      </c>
    </row>
    <row r="3469" spans="1:7" x14ac:dyDescent="0.25">
      <c r="A3469">
        <v>17859</v>
      </c>
      <c r="B3469">
        <v>105</v>
      </c>
      <c r="C3469" s="1" t="str">
        <f>IF(Tabela8[[#This Row],[SETOR]]="","",IF(Tabela8[[#This Row],[SETOR]]&lt;200,"GV 10",IF(Tabela8[[#This Row],[SETOR]]&lt;300,"GV 20",IF(Tabela8[[#This Row],[SETOR]]&lt;400,"GV 30","S/GV"))))</f>
        <v>GV 10</v>
      </c>
      <c r="E3469" t="s">
        <v>123</v>
      </c>
      <c r="G3469" t="str">
        <f>_xlfn.CONCAT(Tabela9[[#This Row],[Coluna1]],Tabela9[[#This Row],[Coluna2]])</f>
        <v>20-Rota</v>
      </c>
    </row>
    <row r="3470" spans="1:7" x14ac:dyDescent="0.25">
      <c r="A3470">
        <v>17860</v>
      </c>
      <c r="B3470">
        <v>103</v>
      </c>
      <c r="C3470" s="1" t="str">
        <f>IF(Tabela8[[#This Row],[SETOR]]="","",IF(Tabela8[[#This Row],[SETOR]]&lt;200,"GV 10",IF(Tabela8[[#This Row],[SETOR]]&lt;300,"GV 20",IF(Tabela8[[#This Row],[SETOR]]&lt;400,"GV 30","S/GV"))))</f>
        <v>GV 10</v>
      </c>
      <c r="E3470" t="s">
        <v>123</v>
      </c>
      <c r="G3470" t="str">
        <f>_xlfn.CONCAT(Tabela9[[#This Row],[Coluna1]],Tabela9[[#This Row],[Coluna2]])</f>
        <v>20-Rota</v>
      </c>
    </row>
    <row r="3471" spans="1:7" x14ac:dyDescent="0.25">
      <c r="A3471">
        <v>17862</v>
      </c>
      <c r="B3471">
        <v>207</v>
      </c>
      <c r="C3471" s="1" t="str">
        <f>IF(Tabela8[[#This Row],[SETOR]]="","",IF(Tabela8[[#This Row],[SETOR]]&lt;200,"GV 10",IF(Tabela8[[#This Row],[SETOR]]&lt;300,"GV 20",IF(Tabela8[[#This Row],[SETOR]]&lt;400,"GV 30","S/GV"))))</f>
        <v>GV 20</v>
      </c>
      <c r="E3471" t="s">
        <v>130</v>
      </c>
      <c r="G3471" t="str">
        <f>_xlfn.CONCAT(Tabela9[[#This Row],[Coluna1]],Tabela9[[#This Row],[Coluna2]])</f>
        <v>21-SUB</v>
      </c>
    </row>
    <row r="3472" spans="1:7" x14ac:dyDescent="0.25">
      <c r="A3472">
        <v>17865</v>
      </c>
      <c r="B3472">
        <v>304</v>
      </c>
      <c r="C3472" s="1" t="str">
        <f>IF(Tabela8[[#This Row],[SETOR]]="","",IF(Tabela8[[#This Row],[SETOR]]&lt;200,"GV 10",IF(Tabela8[[#This Row],[SETOR]]&lt;300,"GV 20",IF(Tabela8[[#This Row],[SETOR]]&lt;400,"GV 30","S/GV"))))</f>
        <v>GV 30</v>
      </c>
      <c r="E3472" t="s">
        <v>123</v>
      </c>
      <c r="G3472" t="str">
        <f>_xlfn.CONCAT(Tabela9[[#This Row],[Coluna1]],Tabela9[[#This Row],[Coluna2]])</f>
        <v>20-Rota</v>
      </c>
    </row>
    <row r="3473" spans="1:7" x14ac:dyDescent="0.25">
      <c r="A3473">
        <v>17867</v>
      </c>
      <c r="B3473">
        <v>109</v>
      </c>
      <c r="C3473" s="1" t="str">
        <f>IF(Tabela8[[#This Row],[SETOR]]="","",IF(Tabela8[[#This Row],[SETOR]]&lt;200,"GV 10",IF(Tabela8[[#This Row],[SETOR]]&lt;300,"GV 20",IF(Tabela8[[#This Row],[SETOR]]&lt;400,"GV 30","S/GV"))))</f>
        <v>GV 10</v>
      </c>
      <c r="E3473" t="s">
        <v>123</v>
      </c>
      <c r="G3473" t="str">
        <f>_xlfn.CONCAT(Tabela9[[#This Row],[Coluna1]],Tabela9[[#This Row],[Coluna2]])</f>
        <v>20-Rota</v>
      </c>
    </row>
    <row r="3474" spans="1:7" x14ac:dyDescent="0.25">
      <c r="A3474">
        <v>17868</v>
      </c>
      <c r="B3474">
        <v>102</v>
      </c>
      <c r="C3474" s="1" t="str">
        <f>IF(Tabela8[[#This Row],[SETOR]]="","",IF(Tabela8[[#This Row],[SETOR]]&lt;200,"GV 10",IF(Tabela8[[#This Row],[SETOR]]&lt;300,"GV 20",IF(Tabela8[[#This Row],[SETOR]]&lt;400,"GV 30","S/GV"))))</f>
        <v>GV 10</v>
      </c>
      <c r="E3474" t="s">
        <v>123</v>
      </c>
      <c r="G3474" t="str">
        <f>_xlfn.CONCAT(Tabela9[[#This Row],[Coluna1]],Tabela9[[#This Row],[Coluna2]])</f>
        <v>20-Rota</v>
      </c>
    </row>
    <row r="3475" spans="1:7" x14ac:dyDescent="0.25">
      <c r="A3475">
        <v>17870</v>
      </c>
      <c r="B3475">
        <v>304</v>
      </c>
      <c r="C3475" s="1" t="str">
        <f>IF(Tabela8[[#This Row],[SETOR]]="","",IF(Tabela8[[#This Row],[SETOR]]&lt;200,"GV 10",IF(Tabela8[[#This Row],[SETOR]]&lt;300,"GV 20",IF(Tabela8[[#This Row],[SETOR]]&lt;400,"GV 30","S/GV"))))</f>
        <v>GV 30</v>
      </c>
      <c r="E3475" t="s">
        <v>123</v>
      </c>
      <c r="G3475" t="str">
        <f>_xlfn.CONCAT(Tabela9[[#This Row],[Coluna1]],Tabela9[[#This Row],[Coluna2]])</f>
        <v>20-Rota</v>
      </c>
    </row>
    <row r="3476" spans="1:7" x14ac:dyDescent="0.25">
      <c r="A3476">
        <v>17871</v>
      </c>
      <c r="B3476">
        <v>201</v>
      </c>
      <c r="C3476" s="1" t="str">
        <f>IF(Tabela8[[#This Row],[SETOR]]="","",IF(Tabela8[[#This Row],[SETOR]]&lt;200,"GV 10",IF(Tabela8[[#This Row],[SETOR]]&lt;300,"GV 20",IF(Tabela8[[#This Row],[SETOR]]&lt;400,"GV 30","S/GV"))))</f>
        <v>GV 20</v>
      </c>
      <c r="E3476" t="s">
        <v>123</v>
      </c>
      <c r="G3476" t="str">
        <f>_xlfn.CONCAT(Tabela9[[#This Row],[Coluna1]],Tabela9[[#This Row],[Coluna2]])</f>
        <v>20-Rota</v>
      </c>
    </row>
    <row r="3477" spans="1:7" x14ac:dyDescent="0.25">
      <c r="A3477">
        <v>17872</v>
      </c>
      <c r="B3477">
        <v>307</v>
      </c>
      <c r="C3477" s="1" t="str">
        <f>IF(Tabela8[[#This Row],[SETOR]]="","",IF(Tabela8[[#This Row],[SETOR]]&lt;200,"GV 10",IF(Tabela8[[#This Row],[SETOR]]&lt;300,"GV 20",IF(Tabela8[[#This Row],[SETOR]]&lt;400,"GV 30","S/GV"))))</f>
        <v>GV 30</v>
      </c>
      <c r="E3477" t="s">
        <v>130</v>
      </c>
      <c r="G3477" t="str">
        <f>_xlfn.CONCAT(Tabela9[[#This Row],[Coluna1]],Tabela9[[#This Row],[Coluna2]])</f>
        <v>21-SUB</v>
      </c>
    </row>
    <row r="3478" spans="1:7" x14ac:dyDescent="0.25">
      <c r="A3478">
        <v>17873</v>
      </c>
      <c r="B3478">
        <v>305</v>
      </c>
      <c r="C3478" s="1" t="str">
        <f>IF(Tabela8[[#This Row],[SETOR]]="","",IF(Tabela8[[#This Row],[SETOR]]&lt;200,"GV 10",IF(Tabela8[[#This Row],[SETOR]]&lt;300,"GV 20",IF(Tabela8[[#This Row],[SETOR]]&lt;400,"GV 30","S/GV"))))</f>
        <v>GV 30</v>
      </c>
      <c r="E3478" t="s">
        <v>123</v>
      </c>
      <c r="G3478" t="str">
        <f>_xlfn.CONCAT(Tabela9[[#This Row],[Coluna1]],Tabela9[[#This Row],[Coluna2]])</f>
        <v>20-Rota</v>
      </c>
    </row>
    <row r="3479" spans="1:7" x14ac:dyDescent="0.25">
      <c r="A3479">
        <v>17875</v>
      </c>
      <c r="B3479">
        <v>204</v>
      </c>
      <c r="C3479" s="1" t="str">
        <f>IF(Tabela8[[#This Row],[SETOR]]="","",IF(Tabela8[[#This Row],[SETOR]]&lt;200,"GV 10",IF(Tabela8[[#This Row],[SETOR]]&lt;300,"GV 20",IF(Tabela8[[#This Row],[SETOR]]&lt;400,"GV 30","S/GV"))))</f>
        <v>GV 20</v>
      </c>
      <c r="E3479" t="s">
        <v>123</v>
      </c>
      <c r="G3479" t="str">
        <f>_xlfn.CONCAT(Tabela9[[#This Row],[Coluna1]],Tabela9[[#This Row],[Coluna2]])</f>
        <v>20-Rota</v>
      </c>
    </row>
    <row r="3480" spans="1:7" x14ac:dyDescent="0.25">
      <c r="A3480">
        <v>17880</v>
      </c>
      <c r="B3480">
        <v>207</v>
      </c>
      <c r="C3480" s="1" t="str">
        <f>IF(Tabela8[[#This Row],[SETOR]]="","",IF(Tabela8[[#This Row],[SETOR]]&lt;200,"GV 10",IF(Tabela8[[#This Row],[SETOR]]&lt;300,"GV 20",IF(Tabela8[[#This Row],[SETOR]]&lt;400,"GV 30","S/GV"))))</f>
        <v>GV 20</v>
      </c>
      <c r="E3480" t="s">
        <v>125</v>
      </c>
      <c r="G3480" t="str">
        <f>_xlfn.CONCAT(Tabela9[[#This Row],[Coluna1]],Tabela9[[#This Row],[Coluna2]])</f>
        <v>18-TRAD</v>
      </c>
    </row>
    <row r="3481" spans="1:7" x14ac:dyDescent="0.25">
      <c r="A3481">
        <v>17881</v>
      </c>
      <c r="B3481">
        <v>204</v>
      </c>
      <c r="C3481" s="1" t="str">
        <f>IF(Tabela8[[#This Row],[SETOR]]="","",IF(Tabela8[[#This Row],[SETOR]]&lt;200,"GV 10",IF(Tabela8[[#This Row],[SETOR]]&lt;300,"GV 20",IF(Tabela8[[#This Row],[SETOR]]&lt;400,"GV 30","S/GV"))))</f>
        <v>GV 20</v>
      </c>
      <c r="E3481" t="s">
        <v>123</v>
      </c>
      <c r="G3481" t="str">
        <f>_xlfn.CONCAT(Tabela9[[#This Row],[Coluna1]],Tabela9[[#This Row],[Coluna2]])</f>
        <v>20-Rota</v>
      </c>
    </row>
    <row r="3482" spans="1:7" x14ac:dyDescent="0.25">
      <c r="A3482">
        <v>17882</v>
      </c>
      <c r="B3482">
        <v>109</v>
      </c>
      <c r="C3482" s="1" t="str">
        <f>IF(Tabela8[[#This Row],[SETOR]]="","",IF(Tabela8[[#This Row],[SETOR]]&lt;200,"GV 10",IF(Tabela8[[#This Row],[SETOR]]&lt;300,"GV 20",IF(Tabela8[[#This Row],[SETOR]]&lt;400,"GV 30","S/GV"))))</f>
        <v>GV 10</v>
      </c>
      <c r="E3482" t="s">
        <v>123</v>
      </c>
      <c r="G3482" t="str">
        <f>_xlfn.CONCAT(Tabela9[[#This Row],[Coluna1]],Tabela9[[#This Row],[Coluna2]])</f>
        <v>20-Rota</v>
      </c>
    </row>
    <row r="3483" spans="1:7" x14ac:dyDescent="0.25">
      <c r="A3483">
        <v>17883</v>
      </c>
      <c r="B3483">
        <v>205</v>
      </c>
      <c r="C3483" s="1" t="str">
        <f>IF(Tabela8[[#This Row],[SETOR]]="","",IF(Tabela8[[#This Row],[SETOR]]&lt;200,"GV 10",IF(Tabela8[[#This Row],[SETOR]]&lt;300,"GV 20",IF(Tabela8[[#This Row],[SETOR]]&lt;400,"GV 30","S/GV"))))</f>
        <v>GV 20</v>
      </c>
      <c r="E3483" t="s">
        <v>123</v>
      </c>
      <c r="G3483" t="str">
        <f>_xlfn.CONCAT(Tabela9[[#This Row],[Coluna1]],Tabela9[[#This Row],[Coluna2]])</f>
        <v>20-Rota</v>
      </c>
    </row>
    <row r="3484" spans="1:7" x14ac:dyDescent="0.25">
      <c r="A3484">
        <v>17884</v>
      </c>
      <c r="B3484">
        <v>303</v>
      </c>
      <c r="C3484" s="1" t="str">
        <f>IF(Tabela8[[#This Row],[SETOR]]="","",IF(Tabela8[[#This Row],[SETOR]]&lt;200,"GV 10",IF(Tabela8[[#This Row],[SETOR]]&lt;300,"GV 20",IF(Tabela8[[#This Row],[SETOR]]&lt;400,"GV 30","S/GV"))))</f>
        <v>GV 30</v>
      </c>
      <c r="E3484" t="s">
        <v>123</v>
      </c>
      <c r="G3484" t="str">
        <f>_xlfn.CONCAT(Tabela9[[#This Row],[Coluna1]],Tabela9[[#This Row],[Coluna2]])</f>
        <v>20-Rota</v>
      </c>
    </row>
    <row r="3485" spans="1:7" x14ac:dyDescent="0.25">
      <c r="A3485">
        <v>17886</v>
      </c>
      <c r="B3485">
        <v>301</v>
      </c>
      <c r="C3485" s="1" t="str">
        <f>IF(Tabela8[[#This Row],[SETOR]]="","",IF(Tabela8[[#This Row],[SETOR]]&lt;200,"GV 10",IF(Tabela8[[#This Row],[SETOR]]&lt;300,"GV 20",IF(Tabela8[[#This Row],[SETOR]]&lt;400,"GV 30","S/GV"))))</f>
        <v>GV 30</v>
      </c>
      <c r="E3485" t="s">
        <v>123</v>
      </c>
      <c r="G3485" t="str">
        <f>_xlfn.CONCAT(Tabela9[[#This Row],[Coluna1]],Tabela9[[#This Row],[Coluna2]])</f>
        <v>20-Rota</v>
      </c>
    </row>
    <row r="3486" spans="1:7" x14ac:dyDescent="0.25">
      <c r="A3486">
        <v>17887</v>
      </c>
      <c r="B3486">
        <v>205</v>
      </c>
      <c r="C3486" s="1" t="str">
        <f>IF(Tabela8[[#This Row],[SETOR]]="","",IF(Tabela8[[#This Row],[SETOR]]&lt;200,"GV 10",IF(Tabela8[[#This Row],[SETOR]]&lt;300,"GV 20",IF(Tabela8[[#This Row],[SETOR]]&lt;400,"GV 30","S/GV"))))</f>
        <v>GV 20</v>
      </c>
      <c r="E3486" t="s">
        <v>123</v>
      </c>
      <c r="G3486" t="str">
        <f>_xlfn.CONCAT(Tabela9[[#This Row],[Coluna1]],Tabela9[[#This Row],[Coluna2]])</f>
        <v>20-Rota</v>
      </c>
    </row>
    <row r="3487" spans="1:7" x14ac:dyDescent="0.25">
      <c r="A3487">
        <v>17888</v>
      </c>
      <c r="B3487">
        <v>106</v>
      </c>
      <c r="C3487" s="1" t="str">
        <f>IF(Tabela8[[#This Row],[SETOR]]="","",IF(Tabela8[[#This Row],[SETOR]]&lt;200,"GV 10",IF(Tabela8[[#This Row],[SETOR]]&lt;300,"GV 20",IF(Tabela8[[#This Row],[SETOR]]&lt;400,"GV 30","S/GV"))))</f>
        <v>GV 10</v>
      </c>
      <c r="E3487" t="s">
        <v>123</v>
      </c>
      <c r="G3487" t="str">
        <f>_xlfn.CONCAT(Tabela9[[#This Row],[Coluna1]],Tabela9[[#This Row],[Coluna2]])</f>
        <v>20-Rota</v>
      </c>
    </row>
    <row r="3488" spans="1:7" x14ac:dyDescent="0.25">
      <c r="A3488">
        <v>17894</v>
      </c>
      <c r="B3488">
        <v>105</v>
      </c>
      <c r="C3488" s="1" t="str">
        <f>IF(Tabela8[[#This Row],[SETOR]]="","",IF(Tabela8[[#This Row],[SETOR]]&lt;200,"GV 10",IF(Tabela8[[#This Row],[SETOR]]&lt;300,"GV 20",IF(Tabela8[[#This Row],[SETOR]]&lt;400,"GV 30","S/GV"))))</f>
        <v>GV 10</v>
      </c>
      <c r="E3488" t="s">
        <v>123</v>
      </c>
      <c r="G3488" t="str">
        <f>_xlfn.CONCAT(Tabela9[[#This Row],[Coluna1]],Tabela9[[#This Row],[Coluna2]])</f>
        <v>20-Rota</v>
      </c>
    </row>
    <row r="3489" spans="1:7" x14ac:dyDescent="0.25">
      <c r="A3489">
        <v>17895</v>
      </c>
      <c r="B3489">
        <v>205</v>
      </c>
      <c r="C3489" s="1" t="str">
        <f>IF(Tabela8[[#This Row],[SETOR]]="","",IF(Tabela8[[#This Row],[SETOR]]&lt;200,"GV 10",IF(Tabela8[[#This Row],[SETOR]]&lt;300,"GV 20",IF(Tabela8[[#This Row],[SETOR]]&lt;400,"GV 30","S/GV"))))</f>
        <v>GV 20</v>
      </c>
      <c r="E3489" t="s">
        <v>130</v>
      </c>
      <c r="G3489" t="str">
        <f>_xlfn.CONCAT(Tabela9[[#This Row],[Coluna1]],Tabela9[[#This Row],[Coluna2]])</f>
        <v>21-SUB</v>
      </c>
    </row>
    <row r="3490" spans="1:7" x14ac:dyDescent="0.25">
      <c r="A3490">
        <v>17897</v>
      </c>
      <c r="B3490">
        <v>301</v>
      </c>
      <c r="C3490" s="1" t="str">
        <f>IF(Tabela8[[#This Row],[SETOR]]="","",IF(Tabela8[[#This Row],[SETOR]]&lt;200,"GV 10",IF(Tabela8[[#This Row],[SETOR]]&lt;300,"GV 20",IF(Tabela8[[#This Row],[SETOR]]&lt;400,"GV 30","S/GV"))))</f>
        <v>GV 30</v>
      </c>
      <c r="E3490" t="s">
        <v>123</v>
      </c>
      <c r="G3490" t="str">
        <f>_xlfn.CONCAT(Tabela9[[#This Row],[Coluna1]],Tabela9[[#This Row],[Coluna2]])</f>
        <v>20-Rota</v>
      </c>
    </row>
    <row r="3491" spans="1:7" x14ac:dyDescent="0.25">
      <c r="A3491">
        <v>17898</v>
      </c>
      <c r="B3491">
        <v>106</v>
      </c>
      <c r="C3491" s="1" t="str">
        <f>IF(Tabela8[[#This Row],[SETOR]]="","",IF(Tabela8[[#This Row],[SETOR]]&lt;200,"GV 10",IF(Tabela8[[#This Row],[SETOR]]&lt;300,"GV 20",IF(Tabela8[[#This Row],[SETOR]]&lt;400,"GV 30","S/GV"))))</f>
        <v>GV 10</v>
      </c>
      <c r="E3491" t="s">
        <v>123</v>
      </c>
      <c r="G3491" t="str">
        <f>_xlfn.CONCAT(Tabela9[[#This Row],[Coluna1]],Tabela9[[#This Row],[Coluna2]])</f>
        <v>20-Rota</v>
      </c>
    </row>
    <row r="3492" spans="1:7" x14ac:dyDescent="0.25">
      <c r="A3492">
        <v>17900</v>
      </c>
      <c r="B3492">
        <v>102</v>
      </c>
      <c r="C3492" s="1" t="str">
        <f>IF(Tabela8[[#This Row],[SETOR]]="","",IF(Tabela8[[#This Row],[SETOR]]&lt;200,"GV 10",IF(Tabela8[[#This Row],[SETOR]]&lt;300,"GV 20",IF(Tabela8[[#This Row],[SETOR]]&lt;400,"GV 30","S/GV"))))</f>
        <v>GV 10</v>
      </c>
      <c r="E3492" t="s">
        <v>123</v>
      </c>
      <c r="G3492" t="str">
        <f>_xlfn.CONCAT(Tabela9[[#This Row],[Coluna1]],Tabela9[[#This Row],[Coluna2]])</f>
        <v>20-Rota</v>
      </c>
    </row>
    <row r="3493" spans="1:7" x14ac:dyDescent="0.25">
      <c r="A3493">
        <v>17905</v>
      </c>
      <c r="B3493">
        <v>202</v>
      </c>
      <c r="C3493" s="1" t="str">
        <f>IF(Tabela8[[#This Row],[SETOR]]="","",IF(Tabela8[[#This Row],[SETOR]]&lt;200,"GV 10",IF(Tabela8[[#This Row],[SETOR]]&lt;300,"GV 20",IF(Tabela8[[#This Row],[SETOR]]&lt;400,"GV 30","S/GV"))))</f>
        <v>GV 20</v>
      </c>
      <c r="E3493" t="s">
        <v>123</v>
      </c>
      <c r="G3493" t="str">
        <f>_xlfn.CONCAT(Tabela9[[#This Row],[Coluna1]],Tabela9[[#This Row],[Coluna2]])</f>
        <v>20-Rota</v>
      </c>
    </row>
    <row r="3494" spans="1:7" x14ac:dyDescent="0.25">
      <c r="A3494">
        <v>17906</v>
      </c>
      <c r="B3494">
        <v>302</v>
      </c>
      <c r="C3494" s="1" t="str">
        <f>IF(Tabela8[[#This Row],[SETOR]]="","",IF(Tabela8[[#This Row],[SETOR]]&lt;200,"GV 10",IF(Tabela8[[#This Row],[SETOR]]&lt;300,"GV 20",IF(Tabela8[[#This Row],[SETOR]]&lt;400,"GV 30","S/GV"))))</f>
        <v>GV 30</v>
      </c>
      <c r="E3494" t="s">
        <v>123</v>
      </c>
      <c r="G3494" t="str">
        <f>_xlfn.CONCAT(Tabela9[[#This Row],[Coluna1]],Tabela9[[#This Row],[Coluna2]])</f>
        <v>20-Rota</v>
      </c>
    </row>
    <row r="3495" spans="1:7" x14ac:dyDescent="0.25">
      <c r="A3495">
        <v>17907</v>
      </c>
      <c r="B3495">
        <v>102</v>
      </c>
      <c r="C3495" s="1" t="str">
        <f>IF(Tabela8[[#This Row],[SETOR]]="","",IF(Tabela8[[#This Row],[SETOR]]&lt;200,"GV 10",IF(Tabela8[[#This Row],[SETOR]]&lt;300,"GV 20",IF(Tabela8[[#This Row],[SETOR]]&lt;400,"GV 30","S/GV"))))</f>
        <v>GV 10</v>
      </c>
      <c r="E3495" t="s">
        <v>123</v>
      </c>
      <c r="G3495" t="str">
        <f>_xlfn.CONCAT(Tabela9[[#This Row],[Coluna1]],Tabela9[[#This Row],[Coluna2]])</f>
        <v>20-Rota</v>
      </c>
    </row>
    <row r="3496" spans="1:7" x14ac:dyDescent="0.25">
      <c r="A3496">
        <v>17910</v>
      </c>
      <c r="B3496">
        <v>204</v>
      </c>
      <c r="C3496" s="1" t="str">
        <f>IF(Tabela8[[#This Row],[SETOR]]="","",IF(Tabela8[[#This Row],[SETOR]]&lt;200,"GV 10",IF(Tabela8[[#This Row],[SETOR]]&lt;300,"GV 20",IF(Tabela8[[#This Row],[SETOR]]&lt;400,"GV 30","S/GV"))))</f>
        <v>GV 20</v>
      </c>
      <c r="E3496" t="s">
        <v>123</v>
      </c>
      <c r="G3496" t="str">
        <f>_xlfn.CONCAT(Tabela9[[#This Row],[Coluna1]],Tabela9[[#This Row],[Coluna2]])</f>
        <v>20-Rota</v>
      </c>
    </row>
    <row r="3497" spans="1:7" x14ac:dyDescent="0.25">
      <c r="A3497">
        <v>17912</v>
      </c>
      <c r="B3497">
        <v>102</v>
      </c>
      <c r="C3497" s="1" t="str">
        <f>IF(Tabela8[[#This Row],[SETOR]]="","",IF(Tabela8[[#This Row],[SETOR]]&lt;200,"GV 10",IF(Tabela8[[#This Row],[SETOR]]&lt;300,"GV 20",IF(Tabela8[[#This Row],[SETOR]]&lt;400,"GV 30","S/GV"))))</f>
        <v>GV 10</v>
      </c>
      <c r="E3497" t="s">
        <v>123</v>
      </c>
      <c r="G3497" t="str">
        <f>_xlfn.CONCAT(Tabela9[[#This Row],[Coluna1]],Tabela9[[#This Row],[Coluna2]])</f>
        <v>20-Rota</v>
      </c>
    </row>
    <row r="3498" spans="1:7" x14ac:dyDescent="0.25">
      <c r="A3498">
        <v>17914</v>
      </c>
      <c r="B3498">
        <v>103</v>
      </c>
      <c r="C3498" s="1" t="str">
        <f>IF(Tabela8[[#This Row],[SETOR]]="","",IF(Tabela8[[#This Row],[SETOR]]&lt;200,"GV 10",IF(Tabela8[[#This Row],[SETOR]]&lt;300,"GV 20",IF(Tabela8[[#This Row],[SETOR]]&lt;400,"GV 30","S/GV"))))</f>
        <v>GV 10</v>
      </c>
      <c r="E3498" t="s">
        <v>123</v>
      </c>
      <c r="G3498" t="str">
        <f>_xlfn.CONCAT(Tabela9[[#This Row],[Coluna1]],Tabela9[[#This Row],[Coluna2]])</f>
        <v>20-Rota</v>
      </c>
    </row>
    <row r="3499" spans="1:7" x14ac:dyDescent="0.25">
      <c r="A3499">
        <v>17916</v>
      </c>
      <c r="B3499">
        <v>103</v>
      </c>
      <c r="C3499" s="1" t="str">
        <f>IF(Tabela8[[#This Row],[SETOR]]="","",IF(Tabela8[[#This Row],[SETOR]]&lt;200,"GV 10",IF(Tabela8[[#This Row],[SETOR]]&lt;300,"GV 20",IF(Tabela8[[#This Row],[SETOR]]&lt;400,"GV 30","S/GV"))))</f>
        <v>GV 10</v>
      </c>
      <c r="E3499" t="s">
        <v>123</v>
      </c>
      <c r="G3499" t="str">
        <f>_xlfn.CONCAT(Tabela9[[#This Row],[Coluna1]],Tabela9[[#This Row],[Coluna2]])</f>
        <v>20-Rota</v>
      </c>
    </row>
    <row r="3500" spans="1:7" x14ac:dyDescent="0.25">
      <c r="A3500">
        <v>17917</v>
      </c>
      <c r="B3500">
        <v>202</v>
      </c>
      <c r="C3500" s="1" t="str">
        <f>IF(Tabela8[[#This Row],[SETOR]]="","",IF(Tabela8[[#This Row],[SETOR]]&lt;200,"GV 10",IF(Tabela8[[#This Row],[SETOR]]&lt;300,"GV 20",IF(Tabela8[[#This Row],[SETOR]]&lt;400,"GV 30","S/GV"))))</f>
        <v>GV 20</v>
      </c>
      <c r="E3500" t="s">
        <v>123</v>
      </c>
      <c r="G3500" t="str">
        <f>_xlfn.CONCAT(Tabela9[[#This Row],[Coluna1]],Tabela9[[#This Row],[Coluna2]])</f>
        <v>20-Rota</v>
      </c>
    </row>
    <row r="3501" spans="1:7" x14ac:dyDescent="0.25">
      <c r="A3501">
        <v>17919</v>
      </c>
      <c r="B3501">
        <v>109</v>
      </c>
      <c r="C3501" s="1" t="str">
        <f>IF(Tabela8[[#This Row],[SETOR]]="","",IF(Tabela8[[#This Row],[SETOR]]&lt;200,"GV 10",IF(Tabela8[[#This Row],[SETOR]]&lt;300,"GV 20",IF(Tabela8[[#This Row],[SETOR]]&lt;400,"GV 30","S/GV"))))</f>
        <v>GV 10</v>
      </c>
      <c r="E3501" t="s">
        <v>125</v>
      </c>
      <c r="G3501" t="str">
        <f>_xlfn.CONCAT(Tabela9[[#This Row],[Coluna1]],Tabela9[[#This Row],[Coluna2]])</f>
        <v>18-TRAD</v>
      </c>
    </row>
    <row r="3502" spans="1:7" x14ac:dyDescent="0.25">
      <c r="A3502">
        <v>17921</v>
      </c>
      <c r="B3502">
        <v>204</v>
      </c>
      <c r="C3502" s="1" t="str">
        <f>IF(Tabela8[[#This Row],[SETOR]]="","",IF(Tabela8[[#This Row],[SETOR]]&lt;200,"GV 10",IF(Tabela8[[#This Row],[SETOR]]&lt;300,"GV 20",IF(Tabela8[[#This Row],[SETOR]]&lt;400,"GV 30","S/GV"))))</f>
        <v>GV 20</v>
      </c>
      <c r="E3502" t="s">
        <v>123</v>
      </c>
      <c r="G3502" t="str">
        <f>_xlfn.CONCAT(Tabela9[[#This Row],[Coluna1]],Tabela9[[#This Row],[Coluna2]])</f>
        <v>20-Rota</v>
      </c>
    </row>
    <row r="3503" spans="1:7" x14ac:dyDescent="0.25">
      <c r="A3503">
        <v>17922</v>
      </c>
      <c r="B3503">
        <v>202</v>
      </c>
      <c r="C3503" s="1" t="str">
        <f>IF(Tabela8[[#This Row],[SETOR]]="","",IF(Tabela8[[#This Row],[SETOR]]&lt;200,"GV 10",IF(Tabela8[[#This Row],[SETOR]]&lt;300,"GV 20",IF(Tabela8[[#This Row],[SETOR]]&lt;400,"GV 30","S/GV"))))</f>
        <v>GV 20</v>
      </c>
      <c r="E3503" t="s">
        <v>130</v>
      </c>
      <c r="G3503" t="str">
        <f>_xlfn.CONCAT(Tabela9[[#This Row],[Coluna1]],Tabela9[[#This Row],[Coluna2]])</f>
        <v>21-SUB</v>
      </c>
    </row>
    <row r="3504" spans="1:7" x14ac:dyDescent="0.25">
      <c r="A3504">
        <v>17923</v>
      </c>
      <c r="B3504">
        <v>105</v>
      </c>
      <c r="C3504" s="1" t="str">
        <f>IF(Tabela8[[#This Row],[SETOR]]="","",IF(Tabela8[[#This Row],[SETOR]]&lt;200,"GV 10",IF(Tabela8[[#This Row],[SETOR]]&lt;300,"GV 20",IF(Tabela8[[#This Row],[SETOR]]&lt;400,"GV 30","S/GV"))))</f>
        <v>GV 10</v>
      </c>
      <c r="E3504" t="s">
        <v>123</v>
      </c>
      <c r="G3504" t="str">
        <f>_xlfn.CONCAT(Tabela9[[#This Row],[Coluna1]],Tabela9[[#This Row],[Coluna2]])</f>
        <v>20-Rota</v>
      </c>
    </row>
    <row r="3505" spans="1:7" x14ac:dyDescent="0.25">
      <c r="A3505">
        <v>17924</v>
      </c>
      <c r="B3505">
        <v>907</v>
      </c>
      <c r="C3505" s="1" t="str">
        <f>IF(Tabela8[[#This Row],[SETOR]]="","",IF(Tabela8[[#This Row],[SETOR]]&lt;200,"GV 10",IF(Tabela8[[#This Row],[SETOR]]&lt;300,"GV 20",IF(Tabela8[[#This Row],[SETOR]]&lt;400,"GV 30","S/GV"))))</f>
        <v>S/GV</v>
      </c>
      <c r="G3505" t="str">
        <f>_xlfn.CONCAT(Tabela9[[#This Row],[Coluna1]],Tabela9[[#This Row],[Coluna2]])</f>
        <v/>
      </c>
    </row>
    <row r="3506" spans="1:7" x14ac:dyDescent="0.25">
      <c r="A3506">
        <v>17927</v>
      </c>
      <c r="B3506">
        <v>107</v>
      </c>
      <c r="C3506" s="1" t="str">
        <f>IF(Tabela8[[#This Row],[SETOR]]="","",IF(Tabela8[[#This Row],[SETOR]]&lt;200,"GV 10",IF(Tabela8[[#This Row],[SETOR]]&lt;300,"GV 20",IF(Tabela8[[#This Row],[SETOR]]&lt;400,"GV 30","S/GV"))))</f>
        <v>GV 10</v>
      </c>
      <c r="E3506" t="s">
        <v>125</v>
      </c>
      <c r="G3506" t="str">
        <f>_xlfn.CONCAT(Tabela9[[#This Row],[Coluna1]],Tabela9[[#This Row],[Coluna2]])</f>
        <v>18-TRAD</v>
      </c>
    </row>
    <row r="3507" spans="1:7" x14ac:dyDescent="0.25">
      <c r="A3507">
        <v>17928</v>
      </c>
      <c r="B3507">
        <v>205</v>
      </c>
      <c r="C3507" s="1" t="str">
        <f>IF(Tabela8[[#This Row],[SETOR]]="","",IF(Tabela8[[#This Row],[SETOR]]&lt;200,"GV 10",IF(Tabela8[[#This Row],[SETOR]]&lt;300,"GV 20",IF(Tabela8[[#This Row],[SETOR]]&lt;400,"GV 30","S/GV"))))</f>
        <v>GV 20</v>
      </c>
      <c r="E3507" t="s">
        <v>123</v>
      </c>
      <c r="G3507" t="str">
        <f>_xlfn.CONCAT(Tabela9[[#This Row],[Coluna1]],Tabela9[[#This Row],[Coluna2]])</f>
        <v>20-Rota</v>
      </c>
    </row>
    <row r="3508" spans="1:7" x14ac:dyDescent="0.25">
      <c r="A3508">
        <v>17929</v>
      </c>
      <c r="B3508">
        <v>205</v>
      </c>
      <c r="C3508" s="1" t="str">
        <f>IF(Tabela8[[#This Row],[SETOR]]="","",IF(Tabela8[[#This Row],[SETOR]]&lt;200,"GV 10",IF(Tabela8[[#This Row],[SETOR]]&lt;300,"GV 20",IF(Tabela8[[#This Row],[SETOR]]&lt;400,"GV 30","S/GV"))))</f>
        <v>GV 20</v>
      </c>
      <c r="E3508" t="s">
        <v>123</v>
      </c>
      <c r="G3508" t="str">
        <f>_xlfn.CONCAT(Tabela9[[#This Row],[Coluna1]],Tabela9[[#This Row],[Coluna2]])</f>
        <v>20-Rota</v>
      </c>
    </row>
    <row r="3509" spans="1:7" x14ac:dyDescent="0.25">
      <c r="A3509">
        <v>17931</v>
      </c>
      <c r="B3509">
        <v>205</v>
      </c>
      <c r="C3509" s="1" t="str">
        <f>IF(Tabela8[[#This Row],[SETOR]]="","",IF(Tabela8[[#This Row],[SETOR]]&lt;200,"GV 10",IF(Tabela8[[#This Row],[SETOR]]&lt;300,"GV 20",IF(Tabela8[[#This Row],[SETOR]]&lt;400,"GV 30","S/GV"))))</f>
        <v>GV 20</v>
      </c>
      <c r="E3509" t="s">
        <v>123</v>
      </c>
      <c r="G3509" t="str">
        <f>_xlfn.CONCAT(Tabela9[[#This Row],[Coluna1]],Tabela9[[#This Row],[Coluna2]])</f>
        <v>20-Rota</v>
      </c>
    </row>
    <row r="3510" spans="1:7" x14ac:dyDescent="0.25">
      <c r="A3510">
        <v>17933</v>
      </c>
      <c r="B3510">
        <v>204</v>
      </c>
      <c r="C3510" s="1" t="str">
        <f>IF(Tabela8[[#This Row],[SETOR]]="","",IF(Tabela8[[#This Row],[SETOR]]&lt;200,"GV 10",IF(Tabela8[[#This Row],[SETOR]]&lt;300,"GV 20",IF(Tabela8[[#This Row],[SETOR]]&lt;400,"GV 30","S/GV"))))</f>
        <v>GV 20</v>
      </c>
      <c r="E3510" t="s">
        <v>123</v>
      </c>
      <c r="G3510" t="str">
        <f>_xlfn.CONCAT(Tabela9[[#This Row],[Coluna1]],Tabela9[[#This Row],[Coluna2]])</f>
        <v>20-Rota</v>
      </c>
    </row>
    <row r="3511" spans="1:7" x14ac:dyDescent="0.25">
      <c r="A3511">
        <v>17934</v>
      </c>
      <c r="B3511">
        <v>205</v>
      </c>
      <c r="C3511" s="1" t="str">
        <f>IF(Tabela8[[#This Row],[SETOR]]="","",IF(Tabela8[[#This Row],[SETOR]]&lt;200,"GV 10",IF(Tabela8[[#This Row],[SETOR]]&lt;300,"GV 20",IF(Tabela8[[#This Row],[SETOR]]&lt;400,"GV 30","S/GV"))))</f>
        <v>GV 20</v>
      </c>
      <c r="E3511" t="s">
        <v>123</v>
      </c>
      <c r="G3511" t="str">
        <f>_xlfn.CONCAT(Tabela9[[#This Row],[Coluna1]],Tabela9[[#This Row],[Coluna2]])</f>
        <v>20-Rota</v>
      </c>
    </row>
    <row r="3512" spans="1:7" x14ac:dyDescent="0.25">
      <c r="A3512">
        <v>17935</v>
      </c>
      <c r="B3512">
        <v>916</v>
      </c>
      <c r="C3512" s="1" t="str">
        <f>IF(Tabela8[[#This Row],[SETOR]]="","",IF(Tabela8[[#This Row],[SETOR]]&lt;200,"GV 10",IF(Tabela8[[#This Row],[SETOR]]&lt;300,"GV 20",IF(Tabela8[[#This Row],[SETOR]]&lt;400,"GV 30","S/GV"))))</f>
        <v>S/GV</v>
      </c>
      <c r="G3512" t="str">
        <f>_xlfn.CONCAT(Tabela9[[#This Row],[Coluna1]],Tabela9[[#This Row],[Coluna2]])</f>
        <v/>
      </c>
    </row>
    <row r="3513" spans="1:7" x14ac:dyDescent="0.25">
      <c r="A3513">
        <v>17936</v>
      </c>
      <c r="B3513">
        <v>102</v>
      </c>
      <c r="C3513" s="1" t="str">
        <f>IF(Tabela8[[#This Row],[SETOR]]="","",IF(Tabela8[[#This Row],[SETOR]]&lt;200,"GV 10",IF(Tabela8[[#This Row],[SETOR]]&lt;300,"GV 20",IF(Tabela8[[#This Row],[SETOR]]&lt;400,"GV 30","S/GV"))))</f>
        <v>GV 10</v>
      </c>
      <c r="E3513" t="s">
        <v>123</v>
      </c>
      <c r="G3513" t="str">
        <f>_xlfn.CONCAT(Tabela9[[#This Row],[Coluna1]],Tabela9[[#This Row],[Coluna2]])</f>
        <v>20-Rota</v>
      </c>
    </row>
    <row r="3514" spans="1:7" x14ac:dyDescent="0.25">
      <c r="A3514">
        <v>17938</v>
      </c>
      <c r="B3514">
        <v>206</v>
      </c>
      <c r="C3514" s="1" t="str">
        <f>IF(Tabela8[[#This Row],[SETOR]]="","",IF(Tabela8[[#This Row],[SETOR]]&lt;200,"GV 10",IF(Tabela8[[#This Row],[SETOR]]&lt;300,"GV 20",IF(Tabela8[[#This Row],[SETOR]]&lt;400,"GV 30","S/GV"))))</f>
        <v>GV 20</v>
      </c>
      <c r="E3514" t="s">
        <v>123</v>
      </c>
      <c r="G3514" t="str">
        <f>_xlfn.CONCAT(Tabela9[[#This Row],[Coluna1]],Tabela9[[#This Row],[Coluna2]])</f>
        <v>20-Rota</v>
      </c>
    </row>
    <row r="3515" spans="1:7" x14ac:dyDescent="0.25">
      <c r="A3515">
        <v>17940</v>
      </c>
      <c r="B3515">
        <v>302</v>
      </c>
      <c r="C3515" s="1" t="str">
        <f>IF(Tabela8[[#This Row],[SETOR]]="","",IF(Tabela8[[#This Row],[SETOR]]&lt;200,"GV 10",IF(Tabela8[[#This Row],[SETOR]]&lt;300,"GV 20",IF(Tabela8[[#This Row],[SETOR]]&lt;400,"GV 30","S/GV"))))</f>
        <v>GV 30</v>
      </c>
      <c r="E3515" t="s">
        <v>123</v>
      </c>
      <c r="G3515" t="str">
        <f>_xlfn.CONCAT(Tabela9[[#This Row],[Coluna1]],Tabela9[[#This Row],[Coluna2]])</f>
        <v>20-Rota</v>
      </c>
    </row>
    <row r="3516" spans="1:7" x14ac:dyDescent="0.25">
      <c r="A3516">
        <v>17941</v>
      </c>
      <c r="B3516">
        <v>302</v>
      </c>
      <c r="C3516" s="1" t="str">
        <f>IF(Tabela8[[#This Row],[SETOR]]="","",IF(Tabela8[[#This Row],[SETOR]]&lt;200,"GV 10",IF(Tabela8[[#This Row],[SETOR]]&lt;300,"GV 20",IF(Tabela8[[#This Row],[SETOR]]&lt;400,"GV 30","S/GV"))))</f>
        <v>GV 30</v>
      </c>
      <c r="E3516" t="s">
        <v>123</v>
      </c>
      <c r="G3516" t="str">
        <f>_xlfn.CONCAT(Tabela9[[#This Row],[Coluna1]],Tabela9[[#This Row],[Coluna2]])</f>
        <v>20-Rota</v>
      </c>
    </row>
    <row r="3517" spans="1:7" x14ac:dyDescent="0.25">
      <c r="A3517">
        <v>17943</v>
      </c>
      <c r="B3517">
        <v>104</v>
      </c>
      <c r="C3517" s="1" t="str">
        <f>IF(Tabela8[[#This Row],[SETOR]]="","",IF(Tabela8[[#This Row],[SETOR]]&lt;200,"GV 10",IF(Tabela8[[#This Row],[SETOR]]&lt;300,"GV 20",IF(Tabela8[[#This Row],[SETOR]]&lt;400,"GV 30","S/GV"))))</f>
        <v>GV 10</v>
      </c>
      <c r="E3517" t="s">
        <v>123</v>
      </c>
      <c r="G3517" t="str">
        <f>_xlfn.CONCAT(Tabela9[[#This Row],[Coluna1]],Tabela9[[#This Row],[Coluna2]])</f>
        <v>20-Rota</v>
      </c>
    </row>
    <row r="3518" spans="1:7" x14ac:dyDescent="0.25">
      <c r="A3518">
        <v>17946</v>
      </c>
      <c r="B3518">
        <v>303</v>
      </c>
      <c r="C3518" s="1" t="str">
        <f>IF(Tabela8[[#This Row],[SETOR]]="","",IF(Tabela8[[#This Row],[SETOR]]&lt;200,"GV 10",IF(Tabela8[[#This Row],[SETOR]]&lt;300,"GV 20",IF(Tabela8[[#This Row],[SETOR]]&lt;400,"GV 30","S/GV"))))</f>
        <v>GV 30</v>
      </c>
      <c r="E3518" t="s">
        <v>123</v>
      </c>
      <c r="G3518" t="str">
        <f>_xlfn.CONCAT(Tabela9[[#This Row],[Coluna1]],Tabela9[[#This Row],[Coluna2]])</f>
        <v>20-Rota</v>
      </c>
    </row>
    <row r="3519" spans="1:7" x14ac:dyDescent="0.25">
      <c r="A3519">
        <v>17947</v>
      </c>
      <c r="B3519">
        <v>108</v>
      </c>
      <c r="C3519" s="1" t="str">
        <f>IF(Tabela8[[#This Row],[SETOR]]="","",IF(Tabela8[[#This Row],[SETOR]]&lt;200,"GV 10",IF(Tabela8[[#This Row],[SETOR]]&lt;300,"GV 20",IF(Tabela8[[#This Row],[SETOR]]&lt;400,"GV 30","S/GV"))))</f>
        <v>GV 10</v>
      </c>
      <c r="E3519" t="s">
        <v>128</v>
      </c>
      <c r="F3519" t="s">
        <v>129</v>
      </c>
      <c r="G3519" t="str">
        <f>_xlfn.CONCAT(Tabela9[[#This Row],[Coluna1]],Tabela9[[#This Row],[Coluna2]])</f>
        <v>15-AS(1-4)</v>
      </c>
    </row>
    <row r="3520" spans="1:7" x14ac:dyDescent="0.25">
      <c r="A3520">
        <v>17949</v>
      </c>
      <c r="B3520">
        <v>202</v>
      </c>
      <c r="C3520" s="1" t="str">
        <f>IF(Tabela8[[#This Row],[SETOR]]="","",IF(Tabela8[[#This Row],[SETOR]]&lt;200,"GV 10",IF(Tabela8[[#This Row],[SETOR]]&lt;300,"GV 20",IF(Tabela8[[#This Row],[SETOR]]&lt;400,"GV 30","S/GV"))))</f>
        <v>GV 20</v>
      </c>
      <c r="E3520" t="s">
        <v>123</v>
      </c>
      <c r="G3520" t="str">
        <f>_xlfn.CONCAT(Tabela9[[#This Row],[Coluna1]],Tabela9[[#This Row],[Coluna2]])</f>
        <v>20-Rota</v>
      </c>
    </row>
    <row r="3521" spans="1:7" x14ac:dyDescent="0.25">
      <c r="A3521">
        <v>17951</v>
      </c>
      <c r="B3521">
        <v>301</v>
      </c>
      <c r="C3521" s="1" t="str">
        <f>IF(Tabela8[[#This Row],[SETOR]]="","",IF(Tabela8[[#This Row],[SETOR]]&lt;200,"GV 10",IF(Tabela8[[#This Row],[SETOR]]&lt;300,"GV 20",IF(Tabela8[[#This Row],[SETOR]]&lt;400,"GV 30","S/GV"))))</f>
        <v>GV 30</v>
      </c>
      <c r="E3521" t="s">
        <v>123</v>
      </c>
      <c r="G3521" t="str">
        <f>_xlfn.CONCAT(Tabela9[[#This Row],[Coluna1]],Tabela9[[#This Row],[Coluna2]])</f>
        <v>20-Rota</v>
      </c>
    </row>
    <row r="3522" spans="1:7" x14ac:dyDescent="0.25">
      <c r="A3522">
        <v>17952</v>
      </c>
      <c r="B3522">
        <v>302</v>
      </c>
      <c r="C3522" s="1" t="str">
        <f>IF(Tabela8[[#This Row],[SETOR]]="","",IF(Tabela8[[#This Row],[SETOR]]&lt;200,"GV 10",IF(Tabela8[[#This Row],[SETOR]]&lt;300,"GV 20",IF(Tabela8[[#This Row],[SETOR]]&lt;400,"GV 30","S/GV"))))</f>
        <v>GV 30</v>
      </c>
      <c r="E3522" t="s">
        <v>123</v>
      </c>
      <c r="G3522" t="str">
        <f>_xlfn.CONCAT(Tabela9[[#This Row],[Coluna1]],Tabela9[[#This Row],[Coluna2]])</f>
        <v>20-Rota</v>
      </c>
    </row>
    <row r="3523" spans="1:7" x14ac:dyDescent="0.25">
      <c r="A3523">
        <v>17953</v>
      </c>
      <c r="B3523">
        <v>202</v>
      </c>
      <c r="C3523" s="1" t="str">
        <f>IF(Tabela8[[#This Row],[SETOR]]="","",IF(Tabela8[[#This Row],[SETOR]]&lt;200,"GV 10",IF(Tabela8[[#This Row],[SETOR]]&lt;300,"GV 20",IF(Tabela8[[#This Row],[SETOR]]&lt;400,"GV 30","S/GV"))))</f>
        <v>GV 20</v>
      </c>
      <c r="E3523" t="s">
        <v>123</v>
      </c>
      <c r="G3523" t="str">
        <f>_xlfn.CONCAT(Tabela9[[#This Row],[Coluna1]],Tabela9[[#This Row],[Coluna2]])</f>
        <v>20-Rota</v>
      </c>
    </row>
    <row r="3524" spans="1:7" x14ac:dyDescent="0.25">
      <c r="A3524">
        <v>17954</v>
      </c>
      <c r="B3524">
        <v>101</v>
      </c>
      <c r="C3524" s="1" t="str">
        <f>IF(Tabela8[[#This Row],[SETOR]]="","",IF(Tabela8[[#This Row],[SETOR]]&lt;200,"GV 10",IF(Tabela8[[#This Row],[SETOR]]&lt;300,"GV 20",IF(Tabela8[[#This Row],[SETOR]]&lt;400,"GV 30","S/GV"))))</f>
        <v>GV 10</v>
      </c>
      <c r="E3524" t="s">
        <v>123</v>
      </c>
      <c r="G3524" t="str">
        <f>_xlfn.CONCAT(Tabela9[[#This Row],[Coluna1]],Tabela9[[#This Row],[Coluna2]])</f>
        <v>20-Rota</v>
      </c>
    </row>
    <row r="3525" spans="1:7" x14ac:dyDescent="0.25">
      <c r="A3525">
        <v>17956</v>
      </c>
      <c r="B3525">
        <v>302</v>
      </c>
      <c r="C3525" s="1" t="str">
        <f>IF(Tabela8[[#This Row],[SETOR]]="","",IF(Tabela8[[#This Row],[SETOR]]&lt;200,"GV 10",IF(Tabela8[[#This Row],[SETOR]]&lt;300,"GV 20",IF(Tabela8[[#This Row],[SETOR]]&lt;400,"GV 30","S/GV"))))</f>
        <v>GV 30</v>
      </c>
      <c r="E3525" t="s">
        <v>123</v>
      </c>
      <c r="G3525" t="str">
        <f>_xlfn.CONCAT(Tabela9[[#This Row],[Coluna1]],Tabela9[[#This Row],[Coluna2]])</f>
        <v>20-Rota</v>
      </c>
    </row>
    <row r="3526" spans="1:7" x14ac:dyDescent="0.25">
      <c r="A3526">
        <v>17957</v>
      </c>
      <c r="B3526">
        <v>205</v>
      </c>
      <c r="C3526" s="1" t="str">
        <f>IF(Tabela8[[#This Row],[SETOR]]="","",IF(Tabela8[[#This Row],[SETOR]]&lt;200,"GV 10",IF(Tabela8[[#This Row],[SETOR]]&lt;300,"GV 20",IF(Tabela8[[#This Row],[SETOR]]&lt;400,"GV 30","S/GV"))))</f>
        <v>GV 20</v>
      </c>
      <c r="E3526" t="s">
        <v>123</v>
      </c>
      <c r="G3526" t="str">
        <f>_xlfn.CONCAT(Tabela9[[#This Row],[Coluna1]],Tabela9[[#This Row],[Coluna2]])</f>
        <v>20-Rota</v>
      </c>
    </row>
    <row r="3527" spans="1:7" x14ac:dyDescent="0.25">
      <c r="A3527">
        <v>17958</v>
      </c>
      <c r="B3527">
        <v>204</v>
      </c>
      <c r="C3527" s="1" t="str">
        <f>IF(Tabela8[[#This Row],[SETOR]]="","",IF(Tabela8[[#This Row],[SETOR]]&lt;200,"GV 10",IF(Tabela8[[#This Row],[SETOR]]&lt;300,"GV 20",IF(Tabela8[[#This Row],[SETOR]]&lt;400,"GV 30","S/GV"))))</f>
        <v>GV 20</v>
      </c>
      <c r="E3527" t="s">
        <v>123</v>
      </c>
      <c r="G3527" t="str">
        <f>_xlfn.CONCAT(Tabela9[[#This Row],[Coluna1]],Tabela9[[#This Row],[Coluna2]])</f>
        <v>20-Rota</v>
      </c>
    </row>
    <row r="3528" spans="1:7" x14ac:dyDescent="0.25">
      <c r="A3528">
        <v>17960</v>
      </c>
      <c r="B3528">
        <v>206</v>
      </c>
      <c r="C3528" s="1" t="str">
        <f>IF(Tabela8[[#This Row],[SETOR]]="","",IF(Tabela8[[#This Row],[SETOR]]&lt;200,"GV 10",IF(Tabela8[[#This Row],[SETOR]]&lt;300,"GV 20",IF(Tabela8[[#This Row],[SETOR]]&lt;400,"GV 30","S/GV"))))</f>
        <v>GV 20</v>
      </c>
      <c r="E3528" t="s">
        <v>123</v>
      </c>
      <c r="G3528" t="str">
        <f>_xlfn.CONCAT(Tabela9[[#This Row],[Coluna1]],Tabela9[[#This Row],[Coluna2]])</f>
        <v>20-Rota</v>
      </c>
    </row>
    <row r="3529" spans="1:7" x14ac:dyDescent="0.25">
      <c r="A3529">
        <v>17961</v>
      </c>
      <c r="B3529">
        <v>107</v>
      </c>
      <c r="C3529" s="1" t="str">
        <f>IF(Tabela8[[#This Row],[SETOR]]="","",IF(Tabela8[[#This Row],[SETOR]]&lt;200,"GV 10",IF(Tabela8[[#This Row],[SETOR]]&lt;300,"GV 20",IF(Tabela8[[#This Row],[SETOR]]&lt;400,"GV 30","S/GV"))))</f>
        <v>GV 10</v>
      </c>
      <c r="E3529" t="s">
        <v>130</v>
      </c>
      <c r="G3529" t="str">
        <f>_xlfn.CONCAT(Tabela9[[#This Row],[Coluna1]],Tabela9[[#This Row],[Coluna2]])</f>
        <v>21-SUB</v>
      </c>
    </row>
    <row r="3530" spans="1:7" x14ac:dyDescent="0.25">
      <c r="A3530">
        <v>17962</v>
      </c>
      <c r="B3530">
        <v>105</v>
      </c>
      <c r="C3530" s="1" t="str">
        <f>IF(Tabela8[[#This Row],[SETOR]]="","",IF(Tabela8[[#This Row],[SETOR]]&lt;200,"GV 10",IF(Tabela8[[#This Row],[SETOR]]&lt;300,"GV 20",IF(Tabela8[[#This Row],[SETOR]]&lt;400,"GV 30","S/GV"))))</f>
        <v>GV 10</v>
      </c>
      <c r="E3530" t="s">
        <v>123</v>
      </c>
      <c r="G3530" t="str">
        <f>_xlfn.CONCAT(Tabela9[[#This Row],[Coluna1]],Tabela9[[#This Row],[Coluna2]])</f>
        <v>20-Rota</v>
      </c>
    </row>
    <row r="3531" spans="1:7" x14ac:dyDescent="0.25">
      <c r="A3531">
        <v>17963</v>
      </c>
      <c r="B3531">
        <v>206</v>
      </c>
      <c r="C3531" s="1" t="str">
        <f>IF(Tabela8[[#This Row],[SETOR]]="","",IF(Tabela8[[#This Row],[SETOR]]&lt;200,"GV 10",IF(Tabela8[[#This Row],[SETOR]]&lt;300,"GV 20",IF(Tabela8[[#This Row],[SETOR]]&lt;400,"GV 30","S/GV"))))</f>
        <v>GV 20</v>
      </c>
      <c r="E3531" t="s">
        <v>123</v>
      </c>
      <c r="G3531" t="str">
        <f>_xlfn.CONCAT(Tabela9[[#This Row],[Coluna1]],Tabela9[[#This Row],[Coluna2]])</f>
        <v>20-Rota</v>
      </c>
    </row>
    <row r="3532" spans="1:7" x14ac:dyDescent="0.25">
      <c r="A3532">
        <v>17964</v>
      </c>
      <c r="B3532">
        <v>201</v>
      </c>
      <c r="C3532" s="1" t="str">
        <f>IF(Tabela8[[#This Row],[SETOR]]="","",IF(Tabela8[[#This Row],[SETOR]]&lt;200,"GV 10",IF(Tabela8[[#This Row],[SETOR]]&lt;300,"GV 20",IF(Tabela8[[#This Row],[SETOR]]&lt;400,"GV 30","S/GV"))))</f>
        <v>GV 20</v>
      </c>
      <c r="E3532" t="s">
        <v>123</v>
      </c>
      <c r="G3532" t="str">
        <f>_xlfn.CONCAT(Tabela9[[#This Row],[Coluna1]],Tabela9[[#This Row],[Coluna2]])</f>
        <v>20-Rota</v>
      </c>
    </row>
    <row r="3533" spans="1:7" x14ac:dyDescent="0.25">
      <c r="A3533">
        <v>17965</v>
      </c>
      <c r="B3533">
        <v>208</v>
      </c>
      <c r="C3533" s="1" t="str">
        <f>IF(Tabela8[[#This Row],[SETOR]]="","",IF(Tabela8[[#This Row],[SETOR]]&lt;200,"GV 10",IF(Tabela8[[#This Row],[SETOR]]&lt;300,"GV 20",IF(Tabela8[[#This Row],[SETOR]]&lt;400,"GV 30","S/GV"))))</f>
        <v>GV 20</v>
      </c>
      <c r="E3533" t="s">
        <v>128</v>
      </c>
      <c r="F3533" t="s">
        <v>129</v>
      </c>
      <c r="G3533" t="str">
        <f>_xlfn.CONCAT(Tabela9[[#This Row],[Coluna1]],Tabela9[[#This Row],[Coluna2]])</f>
        <v>15-AS(1-4)</v>
      </c>
    </row>
    <row r="3534" spans="1:7" x14ac:dyDescent="0.25">
      <c r="A3534">
        <v>17966</v>
      </c>
      <c r="B3534">
        <v>207</v>
      </c>
      <c r="C3534" s="1" t="str">
        <f>IF(Tabela8[[#This Row],[SETOR]]="","",IF(Tabela8[[#This Row],[SETOR]]&lt;200,"GV 10",IF(Tabela8[[#This Row],[SETOR]]&lt;300,"GV 20",IF(Tabela8[[#This Row],[SETOR]]&lt;400,"GV 30","S/GV"))))</f>
        <v>GV 20</v>
      </c>
      <c r="E3534" t="s">
        <v>123</v>
      </c>
      <c r="G3534" t="str">
        <f>_xlfn.CONCAT(Tabela9[[#This Row],[Coluna1]],Tabela9[[#This Row],[Coluna2]])</f>
        <v>20-Rota</v>
      </c>
    </row>
    <row r="3535" spans="1:7" x14ac:dyDescent="0.25">
      <c r="A3535">
        <v>17967</v>
      </c>
      <c r="B3535">
        <v>207</v>
      </c>
      <c r="C3535" s="1" t="str">
        <f>IF(Tabela8[[#This Row],[SETOR]]="","",IF(Tabela8[[#This Row],[SETOR]]&lt;200,"GV 10",IF(Tabela8[[#This Row],[SETOR]]&lt;300,"GV 20",IF(Tabela8[[#This Row],[SETOR]]&lt;400,"GV 30","S/GV"))))</f>
        <v>GV 20</v>
      </c>
      <c r="E3535" t="s">
        <v>123</v>
      </c>
      <c r="G3535" t="str">
        <f>_xlfn.CONCAT(Tabela9[[#This Row],[Coluna1]],Tabela9[[#This Row],[Coluna2]])</f>
        <v>20-Rota</v>
      </c>
    </row>
    <row r="3536" spans="1:7" x14ac:dyDescent="0.25">
      <c r="A3536">
        <v>17968</v>
      </c>
      <c r="B3536">
        <v>305</v>
      </c>
      <c r="C3536" s="1" t="str">
        <f>IF(Tabela8[[#This Row],[SETOR]]="","",IF(Tabela8[[#This Row],[SETOR]]&lt;200,"GV 10",IF(Tabela8[[#This Row],[SETOR]]&lt;300,"GV 20",IF(Tabela8[[#This Row],[SETOR]]&lt;400,"GV 30","S/GV"))))</f>
        <v>GV 30</v>
      </c>
      <c r="E3536" t="s">
        <v>123</v>
      </c>
      <c r="G3536" t="str">
        <f>_xlfn.CONCAT(Tabela9[[#This Row],[Coluna1]],Tabela9[[#This Row],[Coluna2]])</f>
        <v>20-Rota</v>
      </c>
    </row>
    <row r="3537" spans="1:7" x14ac:dyDescent="0.25">
      <c r="A3537">
        <v>17969</v>
      </c>
      <c r="B3537">
        <v>301</v>
      </c>
      <c r="C3537" s="1" t="str">
        <f>IF(Tabela8[[#This Row],[SETOR]]="","",IF(Tabela8[[#This Row],[SETOR]]&lt;200,"GV 10",IF(Tabela8[[#This Row],[SETOR]]&lt;300,"GV 20",IF(Tabela8[[#This Row],[SETOR]]&lt;400,"GV 30","S/GV"))))</f>
        <v>GV 30</v>
      </c>
      <c r="E3537" t="s">
        <v>123</v>
      </c>
      <c r="G3537" t="str">
        <f>_xlfn.CONCAT(Tabela9[[#This Row],[Coluna1]],Tabela9[[#This Row],[Coluna2]])</f>
        <v>20-Rota</v>
      </c>
    </row>
    <row r="3538" spans="1:7" x14ac:dyDescent="0.25">
      <c r="A3538">
        <v>17971</v>
      </c>
      <c r="B3538">
        <v>205</v>
      </c>
      <c r="C3538" s="1" t="str">
        <f>IF(Tabela8[[#This Row],[SETOR]]="","",IF(Tabela8[[#This Row],[SETOR]]&lt;200,"GV 10",IF(Tabela8[[#This Row],[SETOR]]&lt;300,"GV 20",IF(Tabela8[[#This Row],[SETOR]]&lt;400,"GV 30","S/GV"))))</f>
        <v>GV 20</v>
      </c>
      <c r="E3538" t="s">
        <v>123</v>
      </c>
      <c r="G3538" t="str">
        <f>_xlfn.CONCAT(Tabela9[[#This Row],[Coluna1]],Tabela9[[#This Row],[Coluna2]])</f>
        <v>20-Rota</v>
      </c>
    </row>
    <row r="3539" spans="1:7" x14ac:dyDescent="0.25">
      <c r="A3539">
        <v>17972</v>
      </c>
      <c r="B3539">
        <v>207</v>
      </c>
      <c r="C3539" s="1" t="str">
        <f>IF(Tabela8[[#This Row],[SETOR]]="","",IF(Tabela8[[#This Row],[SETOR]]&lt;200,"GV 10",IF(Tabela8[[#This Row],[SETOR]]&lt;300,"GV 20",IF(Tabela8[[#This Row],[SETOR]]&lt;400,"GV 30","S/GV"))))</f>
        <v>GV 20</v>
      </c>
      <c r="E3539" t="s">
        <v>123</v>
      </c>
      <c r="G3539" t="str">
        <f>_xlfn.CONCAT(Tabela9[[#This Row],[Coluna1]],Tabela9[[#This Row],[Coluna2]])</f>
        <v>20-Rota</v>
      </c>
    </row>
    <row r="3540" spans="1:7" x14ac:dyDescent="0.25">
      <c r="A3540">
        <v>17973</v>
      </c>
      <c r="B3540">
        <v>104</v>
      </c>
      <c r="C3540" s="1" t="str">
        <f>IF(Tabela8[[#This Row],[SETOR]]="","",IF(Tabela8[[#This Row],[SETOR]]&lt;200,"GV 10",IF(Tabela8[[#This Row],[SETOR]]&lt;300,"GV 20",IF(Tabela8[[#This Row],[SETOR]]&lt;400,"GV 30","S/GV"))))</f>
        <v>GV 10</v>
      </c>
      <c r="E3540" t="s">
        <v>123</v>
      </c>
      <c r="G3540" t="str">
        <f>_xlfn.CONCAT(Tabela9[[#This Row],[Coluna1]],Tabela9[[#This Row],[Coluna2]])</f>
        <v>20-Rota</v>
      </c>
    </row>
    <row r="3541" spans="1:7" x14ac:dyDescent="0.25">
      <c r="A3541">
        <v>17976</v>
      </c>
      <c r="B3541">
        <v>206</v>
      </c>
      <c r="C3541" s="1" t="str">
        <f>IF(Tabela8[[#This Row],[SETOR]]="","",IF(Tabela8[[#This Row],[SETOR]]&lt;200,"GV 10",IF(Tabela8[[#This Row],[SETOR]]&lt;300,"GV 20",IF(Tabela8[[#This Row],[SETOR]]&lt;400,"GV 30","S/GV"))))</f>
        <v>GV 20</v>
      </c>
      <c r="E3541" t="s">
        <v>123</v>
      </c>
      <c r="G3541" t="str">
        <f>_xlfn.CONCAT(Tabela9[[#This Row],[Coluna1]],Tabela9[[#This Row],[Coluna2]])</f>
        <v>20-Rota</v>
      </c>
    </row>
    <row r="3542" spans="1:7" x14ac:dyDescent="0.25">
      <c r="A3542">
        <v>17978</v>
      </c>
      <c r="B3542">
        <v>303</v>
      </c>
      <c r="C3542" s="1" t="str">
        <f>IF(Tabela8[[#This Row],[SETOR]]="","",IF(Tabela8[[#This Row],[SETOR]]&lt;200,"GV 10",IF(Tabela8[[#This Row],[SETOR]]&lt;300,"GV 20",IF(Tabela8[[#This Row],[SETOR]]&lt;400,"GV 30","S/GV"))))</f>
        <v>GV 30</v>
      </c>
      <c r="E3542" t="s">
        <v>123</v>
      </c>
      <c r="G3542" t="str">
        <f>_xlfn.CONCAT(Tabela9[[#This Row],[Coluna1]],Tabela9[[#This Row],[Coluna2]])</f>
        <v>20-Rota</v>
      </c>
    </row>
    <row r="3543" spans="1:7" x14ac:dyDescent="0.25">
      <c r="A3543">
        <v>17979</v>
      </c>
      <c r="B3543">
        <v>303</v>
      </c>
      <c r="C3543" s="1" t="str">
        <f>IF(Tabela8[[#This Row],[SETOR]]="","",IF(Tabela8[[#This Row],[SETOR]]&lt;200,"GV 10",IF(Tabela8[[#This Row],[SETOR]]&lt;300,"GV 20",IF(Tabela8[[#This Row],[SETOR]]&lt;400,"GV 30","S/GV"))))</f>
        <v>GV 30</v>
      </c>
      <c r="E3543" t="s">
        <v>123</v>
      </c>
      <c r="G3543" t="str">
        <f>_xlfn.CONCAT(Tabela9[[#This Row],[Coluna1]],Tabela9[[#This Row],[Coluna2]])</f>
        <v>20-Rota</v>
      </c>
    </row>
    <row r="3544" spans="1:7" x14ac:dyDescent="0.25">
      <c r="A3544">
        <v>17982</v>
      </c>
      <c r="B3544">
        <v>916</v>
      </c>
      <c r="C3544" s="1" t="str">
        <f>IF(Tabela8[[#This Row],[SETOR]]="","",IF(Tabela8[[#This Row],[SETOR]]&lt;200,"GV 10",IF(Tabela8[[#This Row],[SETOR]]&lt;300,"GV 20",IF(Tabela8[[#This Row],[SETOR]]&lt;400,"GV 30","S/GV"))))</f>
        <v>S/GV</v>
      </c>
      <c r="G3544" t="str">
        <f>_xlfn.CONCAT(Tabela9[[#This Row],[Coluna1]],Tabela9[[#This Row],[Coluna2]])</f>
        <v/>
      </c>
    </row>
    <row r="3545" spans="1:7" x14ac:dyDescent="0.25">
      <c r="A3545">
        <v>17983</v>
      </c>
      <c r="B3545">
        <v>916</v>
      </c>
      <c r="C3545" s="1" t="str">
        <f>IF(Tabela8[[#This Row],[SETOR]]="","",IF(Tabela8[[#This Row],[SETOR]]&lt;200,"GV 10",IF(Tabela8[[#This Row],[SETOR]]&lt;300,"GV 20",IF(Tabela8[[#This Row],[SETOR]]&lt;400,"GV 30","S/GV"))))</f>
        <v>S/GV</v>
      </c>
      <c r="G3545" t="str">
        <f>_xlfn.CONCAT(Tabela9[[#This Row],[Coluna1]],Tabela9[[#This Row],[Coluna2]])</f>
        <v/>
      </c>
    </row>
    <row r="3546" spans="1:7" x14ac:dyDescent="0.25">
      <c r="A3546">
        <v>17984</v>
      </c>
      <c r="B3546">
        <v>204</v>
      </c>
      <c r="C3546" s="1" t="str">
        <f>IF(Tabela8[[#This Row],[SETOR]]="","",IF(Tabela8[[#This Row],[SETOR]]&lt;200,"GV 10",IF(Tabela8[[#This Row],[SETOR]]&lt;300,"GV 20",IF(Tabela8[[#This Row],[SETOR]]&lt;400,"GV 30","S/GV"))))</f>
        <v>GV 20</v>
      </c>
      <c r="E3546" t="s">
        <v>123</v>
      </c>
      <c r="G3546" t="str">
        <f>_xlfn.CONCAT(Tabela9[[#This Row],[Coluna1]],Tabela9[[#This Row],[Coluna2]])</f>
        <v>20-Rota</v>
      </c>
    </row>
    <row r="3547" spans="1:7" x14ac:dyDescent="0.25">
      <c r="A3547">
        <v>17986</v>
      </c>
      <c r="B3547">
        <v>205</v>
      </c>
      <c r="C3547" s="1" t="str">
        <f>IF(Tabela8[[#This Row],[SETOR]]="","",IF(Tabela8[[#This Row],[SETOR]]&lt;200,"GV 10",IF(Tabela8[[#This Row],[SETOR]]&lt;300,"GV 20",IF(Tabela8[[#This Row],[SETOR]]&lt;400,"GV 30","S/GV"))))</f>
        <v>GV 20</v>
      </c>
      <c r="E3547" t="s">
        <v>123</v>
      </c>
      <c r="G3547" t="str">
        <f>_xlfn.CONCAT(Tabela9[[#This Row],[Coluna1]],Tabela9[[#This Row],[Coluna2]])</f>
        <v>20-Rota</v>
      </c>
    </row>
    <row r="3548" spans="1:7" x14ac:dyDescent="0.25">
      <c r="A3548">
        <v>17989</v>
      </c>
      <c r="B3548">
        <v>107</v>
      </c>
      <c r="C3548" s="1" t="str">
        <f>IF(Tabela8[[#This Row],[SETOR]]="","",IF(Tabela8[[#This Row],[SETOR]]&lt;200,"GV 10",IF(Tabela8[[#This Row],[SETOR]]&lt;300,"GV 20",IF(Tabela8[[#This Row],[SETOR]]&lt;400,"GV 30","S/GV"))))</f>
        <v>GV 10</v>
      </c>
      <c r="E3548" t="s">
        <v>123</v>
      </c>
      <c r="G3548" t="str">
        <f>_xlfn.CONCAT(Tabela9[[#This Row],[Coluna1]],Tabela9[[#This Row],[Coluna2]])</f>
        <v>20-Rota</v>
      </c>
    </row>
    <row r="3549" spans="1:7" x14ac:dyDescent="0.25">
      <c r="A3549">
        <v>17990</v>
      </c>
      <c r="B3549">
        <v>305</v>
      </c>
      <c r="C3549" s="1" t="str">
        <f>IF(Tabela8[[#This Row],[SETOR]]="","",IF(Tabela8[[#This Row],[SETOR]]&lt;200,"GV 10",IF(Tabela8[[#This Row],[SETOR]]&lt;300,"GV 20",IF(Tabela8[[#This Row],[SETOR]]&lt;400,"GV 30","S/GV"))))</f>
        <v>GV 30</v>
      </c>
      <c r="E3549" t="s">
        <v>123</v>
      </c>
      <c r="G3549" t="str">
        <f>_xlfn.CONCAT(Tabela9[[#This Row],[Coluna1]],Tabela9[[#This Row],[Coluna2]])</f>
        <v>20-Rota</v>
      </c>
    </row>
    <row r="3550" spans="1:7" x14ac:dyDescent="0.25">
      <c r="A3550">
        <v>17992</v>
      </c>
      <c r="B3550">
        <v>206</v>
      </c>
      <c r="C3550" s="1" t="str">
        <f>IF(Tabela8[[#This Row],[SETOR]]="","",IF(Tabela8[[#This Row],[SETOR]]&lt;200,"GV 10",IF(Tabela8[[#This Row],[SETOR]]&lt;300,"GV 20",IF(Tabela8[[#This Row],[SETOR]]&lt;400,"GV 30","S/GV"))))</f>
        <v>GV 20</v>
      </c>
      <c r="E3550" t="s">
        <v>123</v>
      </c>
      <c r="G3550" t="str">
        <f>_xlfn.CONCAT(Tabela9[[#This Row],[Coluna1]],Tabela9[[#This Row],[Coluna2]])</f>
        <v>20-Rota</v>
      </c>
    </row>
    <row r="3551" spans="1:7" x14ac:dyDescent="0.25">
      <c r="A3551">
        <v>17993</v>
      </c>
      <c r="B3551">
        <v>302</v>
      </c>
      <c r="C3551" s="1" t="str">
        <f>IF(Tabela8[[#This Row],[SETOR]]="","",IF(Tabela8[[#This Row],[SETOR]]&lt;200,"GV 10",IF(Tabela8[[#This Row],[SETOR]]&lt;300,"GV 20",IF(Tabela8[[#This Row],[SETOR]]&lt;400,"GV 30","S/GV"))))</f>
        <v>GV 30</v>
      </c>
      <c r="E3551" t="s">
        <v>123</v>
      </c>
      <c r="G3551" t="str">
        <f>_xlfn.CONCAT(Tabela9[[#This Row],[Coluna1]],Tabela9[[#This Row],[Coluna2]])</f>
        <v>20-Rota</v>
      </c>
    </row>
    <row r="3552" spans="1:7" x14ac:dyDescent="0.25">
      <c r="A3552">
        <v>17995</v>
      </c>
      <c r="B3552">
        <v>301</v>
      </c>
      <c r="C3552" s="1" t="str">
        <f>IF(Tabela8[[#This Row],[SETOR]]="","",IF(Tabela8[[#This Row],[SETOR]]&lt;200,"GV 10",IF(Tabela8[[#This Row],[SETOR]]&lt;300,"GV 20",IF(Tabela8[[#This Row],[SETOR]]&lt;400,"GV 30","S/GV"))))</f>
        <v>GV 30</v>
      </c>
      <c r="E3552" t="s">
        <v>123</v>
      </c>
      <c r="G3552" t="str">
        <f>_xlfn.CONCAT(Tabela9[[#This Row],[Coluna1]],Tabela9[[#This Row],[Coluna2]])</f>
        <v>20-Rota</v>
      </c>
    </row>
    <row r="3553" spans="1:7" x14ac:dyDescent="0.25">
      <c r="A3553">
        <v>17998</v>
      </c>
      <c r="B3553">
        <v>206</v>
      </c>
      <c r="C3553" s="1" t="str">
        <f>IF(Tabela8[[#This Row],[SETOR]]="","",IF(Tabela8[[#This Row],[SETOR]]&lt;200,"GV 10",IF(Tabela8[[#This Row],[SETOR]]&lt;300,"GV 20",IF(Tabela8[[#This Row],[SETOR]]&lt;400,"GV 30","S/GV"))))</f>
        <v>GV 20</v>
      </c>
      <c r="E3553" t="s">
        <v>123</v>
      </c>
      <c r="G3553" t="str">
        <f>_xlfn.CONCAT(Tabela9[[#This Row],[Coluna1]],Tabela9[[#This Row],[Coluna2]])</f>
        <v>20-Rota</v>
      </c>
    </row>
    <row r="3554" spans="1:7" x14ac:dyDescent="0.25">
      <c r="A3554">
        <v>18002</v>
      </c>
      <c r="B3554">
        <v>305</v>
      </c>
      <c r="C3554" s="1" t="str">
        <f>IF(Tabela8[[#This Row],[SETOR]]="","",IF(Tabela8[[#This Row],[SETOR]]&lt;200,"GV 10",IF(Tabela8[[#This Row],[SETOR]]&lt;300,"GV 20",IF(Tabela8[[#This Row],[SETOR]]&lt;400,"GV 30","S/GV"))))</f>
        <v>GV 30</v>
      </c>
      <c r="E3554" t="s">
        <v>123</v>
      </c>
      <c r="G3554" t="str">
        <f>_xlfn.CONCAT(Tabela9[[#This Row],[Coluna1]],Tabela9[[#This Row],[Coluna2]])</f>
        <v>20-Rota</v>
      </c>
    </row>
    <row r="3555" spans="1:7" x14ac:dyDescent="0.25">
      <c r="A3555">
        <v>18004</v>
      </c>
      <c r="B3555">
        <v>204</v>
      </c>
      <c r="C3555" s="1" t="str">
        <f>IF(Tabela8[[#This Row],[SETOR]]="","",IF(Tabela8[[#This Row],[SETOR]]&lt;200,"GV 10",IF(Tabela8[[#This Row],[SETOR]]&lt;300,"GV 20",IF(Tabela8[[#This Row],[SETOR]]&lt;400,"GV 30","S/GV"))))</f>
        <v>GV 20</v>
      </c>
      <c r="E3555" t="s">
        <v>125</v>
      </c>
      <c r="G3555" t="str">
        <f>_xlfn.CONCAT(Tabela9[[#This Row],[Coluna1]],Tabela9[[#This Row],[Coluna2]])</f>
        <v>18-TRAD</v>
      </c>
    </row>
    <row r="3556" spans="1:7" x14ac:dyDescent="0.25">
      <c r="A3556">
        <v>18006</v>
      </c>
      <c r="B3556">
        <v>102</v>
      </c>
      <c r="C3556" s="1" t="str">
        <f>IF(Tabela8[[#This Row],[SETOR]]="","",IF(Tabela8[[#This Row],[SETOR]]&lt;200,"GV 10",IF(Tabela8[[#This Row],[SETOR]]&lt;300,"GV 20",IF(Tabela8[[#This Row],[SETOR]]&lt;400,"GV 30","S/GV"))))</f>
        <v>GV 10</v>
      </c>
      <c r="E3556" t="s">
        <v>123</v>
      </c>
      <c r="G3556" t="str">
        <f>_xlfn.CONCAT(Tabela9[[#This Row],[Coluna1]],Tabela9[[#This Row],[Coluna2]])</f>
        <v>20-Rota</v>
      </c>
    </row>
    <row r="3557" spans="1:7" x14ac:dyDescent="0.25">
      <c r="A3557">
        <v>18007</v>
      </c>
      <c r="B3557">
        <v>104</v>
      </c>
      <c r="C3557" s="1" t="str">
        <f>IF(Tabela8[[#This Row],[SETOR]]="","",IF(Tabela8[[#This Row],[SETOR]]&lt;200,"GV 10",IF(Tabela8[[#This Row],[SETOR]]&lt;300,"GV 20",IF(Tabela8[[#This Row],[SETOR]]&lt;400,"GV 30","S/GV"))))</f>
        <v>GV 10</v>
      </c>
      <c r="E3557" t="s">
        <v>123</v>
      </c>
      <c r="G3557" t="str">
        <f>_xlfn.CONCAT(Tabela9[[#This Row],[Coluna1]],Tabela9[[#This Row],[Coluna2]])</f>
        <v>20-Rota</v>
      </c>
    </row>
    <row r="3558" spans="1:7" x14ac:dyDescent="0.25">
      <c r="A3558">
        <v>18009</v>
      </c>
      <c r="B3558">
        <v>205</v>
      </c>
      <c r="C3558" s="1" t="str">
        <f>IF(Tabela8[[#This Row],[SETOR]]="","",IF(Tabela8[[#This Row],[SETOR]]&lt;200,"GV 10",IF(Tabela8[[#This Row],[SETOR]]&lt;300,"GV 20",IF(Tabela8[[#This Row],[SETOR]]&lt;400,"GV 30","S/GV"))))</f>
        <v>GV 20</v>
      </c>
      <c r="E3558" t="s">
        <v>123</v>
      </c>
      <c r="G3558" t="str">
        <f>_xlfn.CONCAT(Tabela9[[#This Row],[Coluna1]],Tabela9[[#This Row],[Coluna2]])</f>
        <v>20-Rota</v>
      </c>
    </row>
    <row r="3559" spans="1:7" x14ac:dyDescent="0.25">
      <c r="A3559">
        <v>18010</v>
      </c>
      <c r="B3559">
        <v>202</v>
      </c>
      <c r="C3559" s="1" t="str">
        <f>IF(Tabela8[[#This Row],[SETOR]]="","",IF(Tabela8[[#This Row],[SETOR]]&lt;200,"GV 10",IF(Tabela8[[#This Row],[SETOR]]&lt;300,"GV 20",IF(Tabela8[[#This Row],[SETOR]]&lt;400,"GV 30","S/GV"))))</f>
        <v>GV 20</v>
      </c>
      <c r="E3559" t="s">
        <v>123</v>
      </c>
      <c r="G3559" t="str">
        <f>_xlfn.CONCAT(Tabela9[[#This Row],[Coluna1]],Tabela9[[#This Row],[Coluna2]])</f>
        <v>20-Rota</v>
      </c>
    </row>
    <row r="3560" spans="1:7" x14ac:dyDescent="0.25">
      <c r="A3560">
        <v>18011</v>
      </c>
      <c r="B3560">
        <v>103</v>
      </c>
      <c r="C3560" s="1" t="str">
        <f>IF(Tabela8[[#This Row],[SETOR]]="","",IF(Tabela8[[#This Row],[SETOR]]&lt;200,"GV 10",IF(Tabela8[[#This Row],[SETOR]]&lt;300,"GV 20",IF(Tabela8[[#This Row],[SETOR]]&lt;400,"GV 30","S/GV"))))</f>
        <v>GV 10</v>
      </c>
      <c r="E3560" t="s">
        <v>125</v>
      </c>
      <c r="G3560" t="str">
        <f>_xlfn.CONCAT(Tabela9[[#This Row],[Coluna1]],Tabela9[[#This Row],[Coluna2]])</f>
        <v>18-TRAD</v>
      </c>
    </row>
    <row r="3561" spans="1:7" x14ac:dyDescent="0.25">
      <c r="A3561">
        <v>18012</v>
      </c>
      <c r="B3561">
        <v>307</v>
      </c>
      <c r="C3561" s="1" t="str">
        <f>IF(Tabela8[[#This Row],[SETOR]]="","",IF(Tabela8[[#This Row],[SETOR]]&lt;200,"GV 10",IF(Tabela8[[#This Row],[SETOR]]&lt;300,"GV 20",IF(Tabela8[[#This Row],[SETOR]]&lt;400,"GV 30","S/GV"))))</f>
        <v>GV 30</v>
      </c>
      <c r="E3561" t="s">
        <v>130</v>
      </c>
      <c r="G3561" t="str">
        <f>_xlfn.CONCAT(Tabela9[[#This Row],[Coluna1]],Tabela9[[#This Row],[Coluna2]])</f>
        <v>21-SUB</v>
      </c>
    </row>
    <row r="3562" spans="1:7" x14ac:dyDescent="0.25">
      <c r="A3562">
        <v>18013</v>
      </c>
      <c r="B3562">
        <v>302</v>
      </c>
      <c r="C3562" s="1" t="str">
        <f>IF(Tabela8[[#This Row],[SETOR]]="","",IF(Tabela8[[#This Row],[SETOR]]&lt;200,"GV 10",IF(Tabela8[[#This Row],[SETOR]]&lt;300,"GV 20",IF(Tabela8[[#This Row],[SETOR]]&lt;400,"GV 30","S/GV"))))</f>
        <v>GV 30</v>
      </c>
      <c r="E3562" t="s">
        <v>123</v>
      </c>
      <c r="G3562" t="str">
        <f>_xlfn.CONCAT(Tabela9[[#This Row],[Coluna1]],Tabela9[[#This Row],[Coluna2]])</f>
        <v>20-Rota</v>
      </c>
    </row>
    <row r="3563" spans="1:7" x14ac:dyDescent="0.25">
      <c r="A3563">
        <v>18015</v>
      </c>
      <c r="B3563">
        <v>301</v>
      </c>
      <c r="C3563" s="1" t="str">
        <f>IF(Tabela8[[#This Row],[SETOR]]="","",IF(Tabela8[[#This Row],[SETOR]]&lt;200,"GV 10",IF(Tabela8[[#This Row],[SETOR]]&lt;300,"GV 20",IF(Tabela8[[#This Row],[SETOR]]&lt;400,"GV 30","S/GV"))))</f>
        <v>GV 30</v>
      </c>
      <c r="E3563" t="s">
        <v>123</v>
      </c>
      <c r="G3563" t="str">
        <f>_xlfn.CONCAT(Tabela9[[#This Row],[Coluna1]],Tabela9[[#This Row],[Coluna2]])</f>
        <v>20-Rota</v>
      </c>
    </row>
    <row r="3564" spans="1:7" x14ac:dyDescent="0.25">
      <c r="A3564">
        <v>18016</v>
      </c>
      <c r="B3564">
        <v>104</v>
      </c>
      <c r="C3564" s="1" t="str">
        <f>IF(Tabela8[[#This Row],[SETOR]]="","",IF(Tabela8[[#This Row],[SETOR]]&lt;200,"GV 10",IF(Tabela8[[#This Row],[SETOR]]&lt;300,"GV 20",IF(Tabela8[[#This Row],[SETOR]]&lt;400,"GV 30","S/GV"))))</f>
        <v>GV 10</v>
      </c>
      <c r="E3564" t="s">
        <v>123</v>
      </c>
      <c r="G3564" t="str">
        <f>_xlfn.CONCAT(Tabela9[[#This Row],[Coluna1]],Tabela9[[#This Row],[Coluna2]])</f>
        <v>20-Rota</v>
      </c>
    </row>
    <row r="3565" spans="1:7" x14ac:dyDescent="0.25">
      <c r="A3565">
        <v>18017</v>
      </c>
      <c r="B3565">
        <v>103</v>
      </c>
      <c r="C3565" s="1" t="str">
        <f>IF(Tabela8[[#This Row],[SETOR]]="","",IF(Tabela8[[#This Row],[SETOR]]&lt;200,"GV 10",IF(Tabela8[[#This Row],[SETOR]]&lt;300,"GV 20",IF(Tabela8[[#This Row],[SETOR]]&lt;400,"GV 30","S/GV"))))</f>
        <v>GV 10</v>
      </c>
      <c r="E3565" t="s">
        <v>123</v>
      </c>
      <c r="G3565" t="str">
        <f>_xlfn.CONCAT(Tabela9[[#This Row],[Coluna1]],Tabela9[[#This Row],[Coluna2]])</f>
        <v>20-Rota</v>
      </c>
    </row>
    <row r="3566" spans="1:7" x14ac:dyDescent="0.25">
      <c r="A3566">
        <v>18018</v>
      </c>
      <c r="B3566">
        <v>206</v>
      </c>
      <c r="C3566" s="1" t="str">
        <f>IF(Tabela8[[#This Row],[SETOR]]="","",IF(Tabela8[[#This Row],[SETOR]]&lt;200,"GV 10",IF(Tabela8[[#This Row],[SETOR]]&lt;300,"GV 20",IF(Tabela8[[#This Row],[SETOR]]&lt;400,"GV 30","S/GV"))))</f>
        <v>GV 20</v>
      </c>
      <c r="E3566" t="s">
        <v>128</v>
      </c>
      <c r="F3566" t="s">
        <v>129</v>
      </c>
      <c r="G3566" t="str">
        <f>_xlfn.CONCAT(Tabela9[[#This Row],[Coluna1]],Tabela9[[#This Row],[Coluna2]])</f>
        <v>15-AS(1-4)</v>
      </c>
    </row>
    <row r="3567" spans="1:7" x14ac:dyDescent="0.25">
      <c r="A3567">
        <v>18020</v>
      </c>
      <c r="B3567">
        <v>203</v>
      </c>
      <c r="C3567" s="1" t="str">
        <f>IF(Tabela8[[#This Row],[SETOR]]="","",IF(Tabela8[[#This Row],[SETOR]]&lt;200,"GV 10",IF(Tabela8[[#This Row],[SETOR]]&lt;300,"GV 20",IF(Tabela8[[#This Row],[SETOR]]&lt;400,"GV 30","S/GV"))))</f>
        <v>GV 20</v>
      </c>
      <c r="E3567" t="s">
        <v>123</v>
      </c>
      <c r="G3567" t="str">
        <f>_xlfn.CONCAT(Tabela9[[#This Row],[Coluna1]],Tabela9[[#This Row],[Coluna2]])</f>
        <v>20-Rota</v>
      </c>
    </row>
    <row r="3568" spans="1:7" x14ac:dyDescent="0.25">
      <c r="A3568">
        <v>18021</v>
      </c>
      <c r="B3568">
        <v>302</v>
      </c>
      <c r="C3568" s="1" t="str">
        <f>IF(Tabela8[[#This Row],[SETOR]]="","",IF(Tabela8[[#This Row],[SETOR]]&lt;200,"GV 10",IF(Tabela8[[#This Row],[SETOR]]&lt;300,"GV 20",IF(Tabela8[[#This Row],[SETOR]]&lt;400,"GV 30","S/GV"))))</f>
        <v>GV 30</v>
      </c>
      <c r="E3568" t="s">
        <v>123</v>
      </c>
      <c r="G3568" t="str">
        <f>_xlfn.CONCAT(Tabela9[[#This Row],[Coluna1]],Tabela9[[#This Row],[Coluna2]])</f>
        <v>20-Rota</v>
      </c>
    </row>
    <row r="3569" spans="1:7" x14ac:dyDescent="0.25">
      <c r="A3569">
        <v>18022</v>
      </c>
      <c r="B3569">
        <v>302</v>
      </c>
      <c r="C3569" s="1" t="str">
        <f>IF(Tabela8[[#This Row],[SETOR]]="","",IF(Tabela8[[#This Row],[SETOR]]&lt;200,"GV 10",IF(Tabela8[[#This Row],[SETOR]]&lt;300,"GV 20",IF(Tabela8[[#This Row],[SETOR]]&lt;400,"GV 30","S/GV"))))</f>
        <v>GV 30</v>
      </c>
      <c r="E3569" t="s">
        <v>123</v>
      </c>
      <c r="G3569" t="str">
        <f>_xlfn.CONCAT(Tabela9[[#This Row],[Coluna1]],Tabela9[[#This Row],[Coluna2]])</f>
        <v>20-Rota</v>
      </c>
    </row>
    <row r="3570" spans="1:7" x14ac:dyDescent="0.25">
      <c r="A3570">
        <v>18024</v>
      </c>
      <c r="B3570">
        <v>307</v>
      </c>
      <c r="C3570" s="1" t="str">
        <f>IF(Tabela8[[#This Row],[SETOR]]="","",IF(Tabela8[[#This Row],[SETOR]]&lt;200,"GV 10",IF(Tabela8[[#This Row],[SETOR]]&lt;300,"GV 20",IF(Tabela8[[#This Row],[SETOR]]&lt;400,"GV 30","S/GV"))))</f>
        <v>GV 30</v>
      </c>
      <c r="E3570" t="s">
        <v>130</v>
      </c>
      <c r="G3570" t="str">
        <f>_xlfn.CONCAT(Tabela9[[#This Row],[Coluna1]],Tabela9[[#This Row],[Coluna2]])</f>
        <v>21-SUB</v>
      </c>
    </row>
    <row r="3571" spans="1:7" x14ac:dyDescent="0.25">
      <c r="A3571">
        <v>18025</v>
      </c>
      <c r="B3571">
        <v>907</v>
      </c>
      <c r="C3571" s="1" t="str">
        <f>IF(Tabela8[[#This Row],[SETOR]]="","",IF(Tabela8[[#This Row],[SETOR]]&lt;200,"GV 10",IF(Tabela8[[#This Row],[SETOR]]&lt;300,"GV 20",IF(Tabela8[[#This Row],[SETOR]]&lt;400,"GV 30","S/GV"))))</f>
        <v>S/GV</v>
      </c>
      <c r="G3571" t="str">
        <f>_xlfn.CONCAT(Tabela9[[#This Row],[Coluna1]],Tabela9[[#This Row],[Coluna2]])</f>
        <v/>
      </c>
    </row>
    <row r="3572" spans="1:7" x14ac:dyDescent="0.25">
      <c r="A3572">
        <v>18027</v>
      </c>
      <c r="B3572">
        <v>302</v>
      </c>
      <c r="C3572" s="1" t="str">
        <f>IF(Tabela8[[#This Row],[SETOR]]="","",IF(Tabela8[[#This Row],[SETOR]]&lt;200,"GV 10",IF(Tabela8[[#This Row],[SETOR]]&lt;300,"GV 20",IF(Tabela8[[#This Row],[SETOR]]&lt;400,"GV 30","S/GV"))))</f>
        <v>GV 30</v>
      </c>
      <c r="E3572" t="s">
        <v>123</v>
      </c>
      <c r="G3572" t="str">
        <f>_xlfn.CONCAT(Tabela9[[#This Row],[Coluna1]],Tabela9[[#This Row],[Coluna2]])</f>
        <v>20-Rota</v>
      </c>
    </row>
    <row r="3573" spans="1:7" x14ac:dyDescent="0.25">
      <c r="A3573">
        <v>18028</v>
      </c>
      <c r="B3573">
        <v>201</v>
      </c>
      <c r="C3573" s="1" t="str">
        <f>IF(Tabela8[[#This Row],[SETOR]]="","",IF(Tabela8[[#This Row],[SETOR]]&lt;200,"GV 10",IF(Tabela8[[#This Row],[SETOR]]&lt;300,"GV 20",IF(Tabela8[[#This Row],[SETOR]]&lt;400,"GV 30","S/GV"))))</f>
        <v>GV 20</v>
      </c>
      <c r="E3573" t="s">
        <v>125</v>
      </c>
      <c r="G3573" t="str">
        <f>_xlfn.CONCAT(Tabela9[[#This Row],[Coluna1]],Tabela9[[#This Row],[Coluna2]])</f>
        <v>18-TRAD</v>
      </c>
    </row>
    <row r="3574" spans="1:7" x14ac:dyDescent="0.25">
      <c r="A3574">
        <v>18031</v>
      </c>
      <c r="B3574">
        <v>302</v>
      </c>
      <c r="C3574" s="1" t="str">
        <f>IF(Tabela8[[#This Row],[SETOR]]="","",IF(Tabela8[[#This Row],[SETOR]]&lt;200,"GV 10",IF(Tabela8[[#This Row],[SETOR]]&lt;300,"GV 20",IF(Tabela8[[#This Row],[SETOR]]&lt;400,"GV 30","S/GV"))))</f>
        <v>GV 30</v>
      </c>
      <c r="E3574" t="s">
        <v>123</v>
      </c>
      <c r="G3574" t="str">
        <f>_xlfn.CONCAT(Tabela9[[#This Row],[Coluna1]],Tabela9[[#This Row],[Coluna2]])</f>
        <v>20-Rota</v>
      </c>
    </row>
    <row r="3575" spans="1:7" x14ac:dyDescent="0.25">
      <c r="A3575">
        <v>18032</v>
      </c>
      <c r="B3575">
        <v>204</v>
      </c>
      <c r="C3575" s="1" t="str">
        <f>IF(Tabela8[[#This Row],[SETOR]]="","",IF(Tabela8[[#This Row],[SETOR]]&lt;200,"GV 10",IF(Tabela8[[#This Row],[SETOR]]&lt;300,"GV 20",IF(Tabela8[[#This Row],[SETOR]]&lt;400,"GV 30","S/GV"))))</f>
        <v>GV 20</v>
      </c>
      <c r="E3575" t="s">
        <v>123</v>
      </c>
      <c r="G3575" t="str">
        <f>_xlfn.CONCAT(Tabela9[[#This Row],[Coluna1]],Tabela9[[#This Row],[Coluna2]])</f>
        <v>20-Rota</v>
      </c>
    </row>
    <row r="3576" spans="1:7" x14ac:dyDescent="0.25">
      <c r="A3576">
        <v>18033</v>
      </c>
      <c r="B3576">
        <v>107</v>
      </c>
      <c r="C3576" s="1" t="str">
        <f>IF(Tabela8[[#This Row],[SETOR]]="","",IF(Tabela8[[#This Row],[SETOR]]&lt;200,"GV 10",IF(Tabela8[[#This Row],[SETOR]]&lt;300,"GV 20",IF(Tabela8[[#This Row],[SETOR]]&lt;400,"GV 30","S/GV"))))</f>
        <v>GV 10</v>
      </c>
      <c r="E3576" t="s">
        <v>125</v>
      </c>
      <c r="G3576" t="str">
        <f>_xlfn.CONCAT(Tabela9[[#This Row],[Coluna1]],Tabela9[[#This Row],[Coluna2]])</f>
        <v>18-TRAD</v>
      </c>
    </row>
    <row r="3577" spans="1:7" x14ac:dyDescent="0.25">
      <c r="A3577">
        <v>18035</v>
      </c>
      <c r="B3577">
        <v>307</v>
      </c>
      <c r="C3577" s="1" t="str">
        <f>IF(Tabela8[[#This Row],[SETOR]]="","",IF(Tabela8[[#This Row],[SETOR]]&lt;200,"GV 10",IF(Tabela8[[#This Row],[SETOR]]&lt;300,"GV 20",IF(Tabela8[[#This Row],[SETOR]]&lt;400,"GV 30","S/GV"))))</f>
        <v>GV 30</v>
      </c>
      <c r="E3577" t="s">
        <v>130</v>
      </c>
      <c r="G3577" t="str">
        <f>_xlfn.CONCAT(Tabela9[[#This Row],[Coluna1]],Tabela9[[#This Row],[Coluna2]])</f>
        <v>21-SUB</v>
      </c>
    </row>
    <row r="3578" spans="1:7" x14ac:dyDescent="0.25">
      <c r="A3578">
        <v>18036</v>
      </c>
      <c r="B3578">
        <v>206</v>
      </c>
      <c r="C3578" s="1" t="str">
        <f>IF(Tabela8[[#This Row],[SETOR]]="","",IF(Tabela8[[#This Row],[SETOR]]&lt;200,"GV 10",IF(Tabela8[[#This Row],[SETOR]]&lt;300,"GV 20",IF(Tabela8[[#This Row],[SETOR]]&lt;400,"GV 30","S/GV"))))</f>
        <v>GV 20</v>
      </c>
      <c r="E3578" t="s">
        <v>123</v>
      </c>
      <c r="G3578" t="str">
        <f>_xlfn.CONCAT(Tabela9[[#This Row],[Coluna1]],Tabela9[[#This Row],[Coluna2]])</f>
        <v>20-Rota</v>
      </c>
    </row>
    <row r="3579" spans="1:7" x14ac:dyDescent="0.25">
      <c r="A3579">
        <v>18037</v>
      </c>
      <c r="B3579">
        <v>308</v>
      </c>
      <c r="C3579" s="1" t="str">
        <f>IF(Tabela8[[#This Row],[SETOR]]="","",IF(Tabela8[[#This Row],[SETOR]]&lt;200,"GV 10",IF(Tabela8[[#This Row],[SETOR]]&lt;300,"GV 20",IF(Tabela8[[#This Row],[SETOR]]&lt;400,"GV 30","S/GV"))))</f>
        <v>GV 30</v>
      </c>
      <c r="E3579" t="s">
        <v>128</v>
      </c>
      <c r="F3579" t="s">
        <v>129</v>
      </c>
      <c r="G3579" t="str">
        <f>_xlfn.CONCAT(Tabela9[[#This Row],[Coluna1]],Tabela9[[#This Row],[Coluna2]])</f>
        <v>15-AS(1-4)</v>
      </c>
    </row>
    <row r="3580" spans="1:7" x14ac:dyDescent="0.25">
      <c r="A3580">
        <v>18038</v>
      </c>
      <c r="B3580">
        <v>308</v>
      </c>
      <c r="C3580" s="1" t="str">
        <f>IF(Tabela8[[#This Row],[SETOR]]="","",IF(Tabela8[[#This Row],[SETOR]]&lt;200,"GV 10",IF(Tabela8[[#This Row],[SETOR]]&lt;300,"GV 20",IF(Tabela8[[#This Row],[SETOR]]&lt;400,"GV 30","S/GV"))))</f>
        <v>GV 30</v>
      </c>
      <c r="E3580" t="s">
        <v>128</v>
      </c>
      <c r="F3580" t="s">
        <v>129</v>
      </c>
      <c r="G3580" t="str">
        <f>_xlfn.CONCAT(Tabela9[[#This Row],[Coluna1]],Tabela9[[#This Row],[Coluna2]])</f>
        <v>15-AS(1-4)</v>
      </c>
    </row>
    <row r="3581" spans="1:7" x14ac:dyDescent="0.25">
      <c r="A3581">
        <v>18039</v>
      </c>
      <c r="B3581">
        <v>304</v>
      </c>
      <c r="C3581" s="1" t="str">
        <f>IF(Tabela8[[#This Row],[SETOR]]="","",IF(Tabela8[[#This Row],[SETOR]]&lt;200,"GV 10",IF(Tabela8[[#This Row],[SETOR]]&lt;300,"GV 20",IF(Tabela8[[#This Row],[SETOR]]&lt;400,"GV 30","S/GV"))))</f>
        <v>GV 30</v>
      </c>
      <c r="E3581" t="s">
        <v>123</v>
      </c>
      <c r="G3581" t="str">
        <f>_xlfn.CONCAT(Tabela9[[#This Row],[Coluna1]],Tabela9[[#This Row],[Coluna2]])</f>
        <v>20-Rota</v>
      </c>
    </row>
    <row r="3582" spans="1:7" x14ac:dyDescent="0.25">
      <c r="A3582">
        <v>18040</v>
      </c>
      <c r="B3582">
        <v>304</v>
      </c>
      <c r="C3582" s="1" t="str">
        <f>IF(Tabela8[[#This Row],[SETOR]]="","",IF(Tabela8[[#This Row],[SETOR]]&lt;200,"GV 10",IF(Tabela8[[#This Row],[SETOR]]&lt;300,"GV 20",IF(Tabela8[[#This Row],[SETOR]]&lt;400,"GV 30","S/GV"))))</f>
        <v>GV 30</v>
      </c>
      <c r="E3582" t="s">
        <v>123</v>
      </c>
      <c r="G3582" t="str">
        <f>_xlfn.CONCAT(Tabela9[[#This Row],[Coluna1]],Tabela9[[#This Row],[Coluna2]])</f>
        <v>20-Rota</v>
      </c>
    </row>
    <row r="3583" spans="1:7" x14ac:dyDescent="0.25">
      <c r="A3583">
        <v>18041</v>
      </c>
      <c r="B3583">
        <v>307</v>
      </c>
      <c r="C3583" s="1" t="str">
        <f>IF(Tabela8[[#This Row],[SETOR]]="","",IF(Tabela8[[#This Row],[SETOR]]&lt;200,"GV 10",IF(Tabela8[[#This Row],[SETOR]]&lt;300,"GV 20",IF(Tabela8[[#This Row],[SETOR]]&lt;400,"GV 30","S/GV"))))</f>
        <v>GV 30</v>
      </c>
      <c r="E3583" t="s">
        <v>130</v>
      </c>
      <c r="G3583" t="str">
        <f>_xlfn.CONCAT(Tabela9[[#This Row],[Coluna1]],Tabela9[[#This Row],[Coluna2]])</f>
        <v>21-SUB</v>
      </c>
    </row>
    <row r="3584" spans="1:7" x14ac:dyDescent="0.25">
      <c r="A3584">
        <v>18043</v>
      </c>
      <c r="B3584">
        <v>907</v>
      </c>
      <c r="C3584" s="1" t="str">
        <f>IF(Tabela8[[#This Row],[SETOR]]="","",IF(Tabela8[[#This Row],[SETOR]]&lt;200,"GV 10",IF(Tabela8[[#This Row],[SETOR]]&lt;300,"GV 20",IF(Tabela8[[#This Row],[SETOR]]&lt;400,"GV 30","S/GV"))))</f>
        <v>S/GV</v>
      </c>
      <c r="G3584" t="str">
        <f>_xlfn.CONCAT(Tabela9[[#This Row],[Coluna1]],Tabela9[[#This Row],[Coluna2]])</f>
        <v/>
      </c>
    </row>
    <row r="3585" spans="1:7" x14ac:dyDescent="0.25">
      <c r="A3585">
        <v>18044</v>
      </c>
      <c r="B3585">
        <v>205</v>
      </c>
      <c r="C3585" s="1" t="str">
        <f>IF(Tabela8[[#This Row],[SETOR]]="","",IF(Tabela8[[#This Row],[SETOR]]&lt;200,"GV 10",IF(Tabela8[[#This Row],[SETOR]]&lt;300,"GV 20",IF(Tabela8[[#This Row],[SETOR]]&lt;400,"GV 30","S/GV"))))</f>
        <v>GV 20</v>
      </c>
      <c r="E3585" t="s">
        <v>123</v>
      </c>
      <c r="G3585" t="str">
        <f>_xlfn.CONCAT(Tabela9[[#This Row],[Coluna1]],Tabela9[[#This Row],[Coluna2]])</f>
        <v>20-Rota</v>
      </c>
    </row>
    <row r="3586" spans="1:7" x14ac:dyDescent="0.25">
      <c r="A3586">
        <v>18046</v>
      </c>
      <c r="B3586">
        <v>303</v>
      </c>
      <c r="C3586" s="1" t="str">
        <f>IF(Tabela8[[#This Row],[SETOR]]="","",IF(Tabela8[[#This Row],[SETOR]]&lt;200,"GV 10",IF(Tabela8[[#This Row],[SETOR]]&lt;300,"GV 20",IF(Tabela8[[#This Row],[SETOR]]&lt;400,"GV 30","S/GV"))))</f>
        <v>GV 30</v>
      </c>
      <c r="E3586" t="s">
        <v>123</v>
      </c>
      <c r="G3586" t="str">
        <f>_xlfn.CONCAT(Tabela9[[#This Row],[Coluna1]],Tabela9[[#This Row],[Coluna2]])</f>
        <v>20-Rota</v>
      </c>
    </row>
    <row r="3587" spans="1:7" x14ac:dyDescent="0.25">
      <c r="A3587">
        <v>18047</v>
      </c>
      <c r="B3587">
        <v>207</v>
      </c>
      <c r="C3587" s="1" t="str">
        <f>IF(Tabela8[[#This Row],[SETOR]]="","",IF(Tabela8[[#This Row],[SETOR]]&lt;200,"GV 10",IF(Tabela8[[#This Row],[SETOR]]&lt;300,"GV 20",IF(Tabela8[[#This Row],[SETOR]]&lt;400,"GV 30","S/GV"))))</f>
        <v>GV 20</v>
      </c>
      <c r="E3587" t="s">
        <v>130</v>
      </c>
      <c r="G3587" t="str">
        <f>_xlfn.CONCAT(Tabela9[[#This Row],[Coluna1]],Tabela9[[#This Row],[Coluna2]])</f>
        <v>21-SUB</v>
      </c>
    </row>
    <row r="3588" spans="1:7" x14ac:dyDescent="0.25">
      <c r="A3588">
        <v>18049</v>
      </c>
      <c r="B3588">
        <v>916</v>
      </c>
      <c r="C3588" s="1" t="str">
        <f>IF(Tabela8[[#This Row],[SETOR]]="","",IF(Tabela8[[#This Row],[SETOR]]&lt;200,"GV 10",IF(Tabela8[[#This Row],[SETOR]]&lt;300,"GV 20",IF(Tabela8[[#This Row],[SETOR]]&lt;400,"GV 30","S/GV"))))</f>
        <v>S/GV</v>
      </c>
      <c r="G3588" t="str">
        <f>_xlfn.CONCAT(Tabela9[[#This Row],[Coluna1]],Tabela9[[#This Row],[Coluna2]])</f>
        <v/>
      </c>
    </row>
    <row r="3589" spans="1:7" x14ac:dyDescent="0.25">
      <c r="A3589">
        <v>18050</v>
      </c>
      <c r="B3589">
        <v>304</v>
      </c>
      <c r="C3589" s="1" t="str">
        <f>IF(Tabela8[[#This Row],[SETOR]]="","",IF(Tabela8[[#This Row],[SETOR]]&lt;200,"GV 10",IF(Tabela8[[#This Row],[SETOR]]&lt;300,"GV 20",IF(Tabela8[[#This Row],[SETOR]]&lt;400,"GV 30","S/GV"))))</f>
        <v>GV 30</v>
      </c>
      <c r="E3589" t="s">
        <v>123</v>
      </c>
      <c r="G3589" t="str">
        <f>_xlfn.CONCAT(Tabela9[[#This Row],[Coluna1]],Tabela9[[#This Row],[Coluna2]])</f>
        <v>20-Rota</v>
      </c>
    </row>
    <row r="3590" spans="1:7" x14ac:dyDescent="0.25">
      <c r="A3590">
        <v>18052</v>
      </c>
      <c r="B3590">
        <v>306</v>
      </c>
      <c r="C3590" s="1" t="str">
        <f>IF(Tabela8[[#This Row],[SETOR]]="","",IF(Tabela8[[#This Row],[SETOR]]&lt;200,"GV 10",IF(Tabela8[[#This Row],[SETOR]]&lt;300,"GV 20",IF(Tabela8[[#This Row],[SETOR]]&lt;400,"GV 30","S/GV"))))</f>
        <v>GV 30</v>
      </c>
      <c r="E3590" t="s">
        <v>125</v>
      </c>
      <c r="G3590" t="str">
        <f>_xlfn.CONCAT(Tabela9[[#This Row],[Coluna1]],Tabela9[[#This Row],[Coluna2]])</f>
        <v>18-TRAD</v>
      </c>
    </row>
    <row r="3591" spans="1:7" x14ac:dyDescent="0.25">
      <c r="A3591">
        <v>18054</v>
      </c>
      <c r="B3591">
        <v>104</v>
      </c>
      <c r="C3591" s="1" t="str">
        <f>IF(Tabela8[[#This Row],[SETOR]]="","",IF(Tabela8[[#This Row],[SETOR]]&lt;200,"GV 10",IF(Tabela8[[#This Row],[SETOR]]&lt;300,"GV 20",IF(Tabela8[[#This Row],[SETOR]]&lt;400,"GV 30","S/GV"))))</f>
        <v>GV 10</v>
      </c>
      <c r="E3591" t="s">
        <v>123</v>
      </c>
      <c r="G3591" t="str">
        <f>_xlfn.CONCAT(Tabela9[[#This Row],[Coluna1]],Tabela9[[#This Row],[Coluna2]])</f>
        <v>20-Rota</v>
      </c>
    </row>
    <row r="3592" spans="1:7" x14ac:dyDescent="0.25">
      <c r="A3592">
        <v>18055</v>
      </c>
      <c r="B3592">
        <v>907</v>
      </c>
      <c r="C3592" s="1" t="str">
        <f>IF(Tabela8[[#This Row],[SETOR]]="","",IF(Tabela8[[#This Row],[SETOR]]&lt;200,"GV 10",IF(Tabela8[[#This Row],[SETOR]]&lt;300,"GV 20",IF(Tabela8[[#This Row],[SETOR]]&lt;400,"GV 30","S/GV"))))</f>
        <v>S/GV</v>
      </c>
      <c r="G3592" t="str">
        <f>_xlfn.CONCAT(Tabela9[[#This Row],[Coluna1]],Tabela9[[#This Row],[Coluna2]])</f>
        <v/>
      </c>
    </row>
    <row r="3593" spans="1:7" x14ac:dyDescent="0.25">
      <c r="A3593">
        <v>18056</v>
      </c>
      <c r="B3593">
        <v>207</v>
      </c>
      <c r="C3593" s="1" t="str">
        <f>IF(Tabela8[[#This Row],[SETOR]]="","",IF(Tabela8[[#This Row],[SETOR]]&lt;200,"GV 10",IF(Tabela8[[#This Row],[SETOR]]&lt;300,"GV 20",IF(Tabela8[[#This Row],[SETOR]]&lt;400,"GV 30","S/GV"))))</f>
        <v>GV 20</v>
      </c>
      <c r="E3593" t="s">
        <v>130</v>
      </c>
      <c r="G3593" t="str">
        <f>_xlfn.CONCAT(Tabela9[[#This Row],[Coluna1]],Tabela9[[#This Row],[Coluna2]])</f>
        <v>21-SUB</v>
      </c>
    </row>
    <row r="3594" spans="1:7" x14ac:dyDescent="0.25">
      <c r="A3594">
        <v>18058</v>
      </c>
      <c r="B3594">
        <v>305</v>
      </c>
      <c r="C3594" s="1" t="str">
        <f>IF(Tabela8[[#This Row],[SETOR]]="","",IF(Tabela8[[#This Row],[SETOR]]&lt;200,"GV 10",IF(Tabela8[[#This Row],[SETOR]]&lt;300,"GV 20",IF(Tabela8[[#This Row],[SETOR]]&lt;400,"GV 30","S/GV"))))</f>
        <v>GV 30</v>
      </c>
      <c r="E3594" t="s">
        <v>123</v>
      </c>
      <c r="G3594" t="str">
        <f>_xlfn.CONCAT(Tabela9[[#This Row],[Coluna1]],Tabela9[[#This Row],[Coluna2]])</f>
        <v>20-Rota</v>
      </c>
    </row>
    <row r="3595" spans="1:7" x14ac:dyDescent="0.25">
      <c r="A3595">
        <v>18059</v>
      </c>
      <c r="B3595">
        <v>305</v>
      </c>
      <c r="C3595" s="1" t="str">
        <f>IF(Tabela8[[#This Row],[SETOR]]="","",IF(Tabela8[[#This Row],[SETOR]]&lt;200,"GV 10",IF(Tabela8[[#This Row],[SETOR]]&lt;300,"GV 20",IF(Tabela8[[#This Row],[SETOR]]&lt;400,"GV 30","S/GV"))))</f>
        <v>GV 30</v>
      </c>
      <c r="E3595" t="s">
        <v>123</v>
      </c>
      <c r="G3595" t="str">
        <f>_xlfn.CONCAT(Tabela9[[#This Row],[Coluna1]],Tabela9[[#This Row],[Coluna2]])</f>
        <v>20-Rota</v>
      </c>
    </row>
    <row r="3596" spans="1:7" x14ac:dyDescent="0.25">
      <c r="A3596">
        <v>18060</v>
      </c>
      <c r="B3596">
        <v>301</v>
      </c>
      <c r="C3596" s="1" t="str">
        <f>IF(Tabela8[[#This Row],[SETOR]]="","",IF(Tabela8[[#This Row],[SETOR]]&lt;200,"GV 10",IF(Tabela8[[#This Row],[SETOR]]&lt;300,"GV 20",IF(Tabela8[[#This Row],[SETOR]]&lt;400,"GV 30","S/GV"))))</f>
        <v>GV 30</v>
      </c>
      <c r="E3596" t="s">
        <v>123</v>
      </c>
      <c r="G3596" t="str">
        <f>_xlfn.CONCAT(Tabela9[[#This Row],[Coluna1]],Tabela9[[#This Row],[Coluna2]])</f>
        <v>20-Rota</v>
      </c>
    </row>
    <row r="3597" spans="1:7" x14ac:dyDescent="0.25">
      <c r="A3597">
        <v>18061</v>
      </c>
      <c r="B3597">
        <v>203</v>
      </c>
      <c r="C3597" s="1" t="str">
        <f>IF(Tabela8[[#This Row],[SETOR]]="","",IF(Tabela8[[#This Row],[SETOR]]&lt;200,"GV 10",IF(Tabela8[[#This Row],[SETOR]]&lt;300,"GV 20",IF(Tabela8[[#This Row],[SETOR]]&lt;400,"GV 30","S/GV"))))</f>
        <v>GV 20</v>
      </c>
      <c r="E3597" t="s">
        <v>123</v>
      </c>
      <c r="G3597" t="str">
        <f>_xlfn.CONCAT(Tabela9[[#This Row],[Coluna1]],Tabela9[[#This Row],[Coluna2]])</f>
        <v>20-Rota</v>
      </c>
    </row>
    <row r="3598" spans="1:7" x14ac:dyDescent="0.25">
      <c r="A3598">
        <v>18062</v>
      </c>
      <c r="B3598">
        <v>207</v>
      </c>
      <c r="C3598" s="1" t="str">
        <f>IF(Tabela8[[#This Row],[SETOR]]="","",IF(Tabela8[[#This Row],[SETOR]]&lt;200,"GV 10",IF(Tabela8[[#This Row],[SETOR]]&lt;300,"GV 20",IF(Tabela8[[#This Row],[SETOR]]&lt;400,"GV 30","S/GV"))))</f>
        <v>GV 20</v>
      </c>
      <c r="E3598" t="s">
        <v>125</v>
      </c>
      <c r="G3598" t="str">
        <f>_xlfn.CONCAT(Tabela9[[#This Row],[Coluna1]],Tabela9[[#This Row],[Coluna2]])</f>
        <v>18-TRAD</v>
      </c>
    </row>
    <row r="3599" spans="1:7" x14ac:dyDescent="0.25">
      <c r="A3599">
        <v>18063</v>
      </c>
      <c r="B3599">
        <v>203</v>
      </c>
      <c r="C3599" s="1" t="str">
        <f>IF(Tabela8[[#This Row],[SETOR]]="","",IF(Tabela8[[#This Row],[SETOR]]&lt;200,"GV 10",IF(Tabela8[[#This Row],[SETOR]]&lt;300,"GV 20",IF(Tabela8[[#This Row],[SETOR]]&lt;400,"GV 30","S/GV"))))</f>
        <v>GV 20</v>
      </c>
      <c r="E3599" t="s">
        <v>123</v>
      </c>
      <c r="G3599" t="str">
        <f>_xlfn.CONCAT(Tabela9[[#This Row],[Coluna1]],Tabela9[[#This Row],[Coluna2]])</f>
        <v>20-Rota</v>
      </c>
    </row>
    <row r="3600" spans="1:7" x14ac:dyDescent="0.25">
      <c r="A3600">
        <v>18064</v>
      </c>
      <c r="B3600">
        <v>206</v>
      </c>
      <c r="C3600" s="1" t="str">
        <f>IF(Tabela8[[#This Row],[SETOR]]="","",IF(Tabela8[[#This Row],[SETOR]]&lt;200,"GV 10",IF(Tabela8[[#This Row],[SETOR]]&lt;300,"GV 20",IF(Tabela8[[#This Row],[SETOR]]&lt;400,"GV 30","S/GV"))))</f>
        <v>GV 20</v>
      </c>
      <c r="E3600" t="s">
        <v>130</v>
      </c>
      <c r="G3600" t="str">
        <f>_xlfn.CONCAT(Tabela9[[#This Row],[Coluna1]],Tabela9[[#This Row],[Coluna2]])</f>
        <v>21-SUB</v>
      </c>
    </row>
    <row r="3601" spans="1:7" x14ac:dyDescent="0.25">
      <c r="A3601">
        <v>18065</v>
      </c>
      <c r="B3601">
        <v>302</v>
      </c>
      <c r="C3601" s="1" t="str">
        <f>IF(Tabela8[[#This Row],[SETOR]]="","",IF(Tabela8[[#This Row],[SETOR]]&lt;200,"GV 10",IF(Tabela8[[#This Row],[SETOR]]&lt;300,"GV 20",IF(Tabela8[[#This Row],[SETOR]]&lt;400,"GV 30","S/GV"))))</f>
        <v>GV 30</v>
      </c>
      <c r="E3601" t="s">
        <v>123</v>
      </c>
      <c r="G3601" t="str">
        <f>_xlfn.CONCAT(Tabela9[[#This Row],[Coluna1]],Tabela9[[#This Row],[Coluna2]])</f>
        <v>20-Rota</v>
      </c>
    </row>
    <row r="3602" spans="1:7" x14ac:dyDescent="0.25">
      <c r="A3602">
        <v>18067</v>
      </c>
      <c r="B3602">
        <v>204</v>
      </c>
      <c r="C3602" s="1" t="str">
        <f>IF(Tabela8[[#This Row],[SETOR]]="","",IF(Tabela8[[#This Row],[SETOR]]&lt;200,"GV 10",IF(Tabela8[[#This Row],[SETOR]]&lt;300,"GV 20",IF(Tabela8[[#This Row],[SETOR]]&lt;400,"GV 30","S/GV"))))</f>
        <v>GV 20</v>
      </c>
      <c r="E3602" t="s">
        <v>123</v>
      </c>
      <c r="G3602" t="str">
        <f>_xlfn.CONCAT(Tabela9[[#This Row],[Coluna1]],Tabela9[[#This Row],[Coluna2]])</f>
        <v>20-Rota</v>
      </c>
    </row>
    <row r="3603" spans="1:7" x14ac:dyDescent="0.25">
      <c r="A3603">
        <v>18068</v>
      </c>
      <c r="B3603">
        <v>104</v>
      </c>
      <c r="C3603" s="1" t="str">
        <f>IF(Tabela8[[#This Row],[SETOR]]="","",IF(Tabela8[[#This Row],[SETOR]]&lt;200,"GV 10",IF(Tabela8[[#This Row],[SETOR]]&lt;300,"GV 20",IF(Tabela8[[#This Row],[SETOR]]&lt;400,"GV 30","S/GV"))))</f>
        <v>GV 10</v>
      </c>
      <c r="E3603" t="s">
        <v>123</v>
      </c>
      <c r="G3603" t="str">
        <f>_xlfn.CONCAT(Tabela9[[#This Row],[Coluna1]],Tabela9[[#This Row],[Coluna2]])</f>
        <v>20-Rota</v>
      </c>
    </row>
    <row r="3604" spans="1:7" x14ac:dyDescent="0.25">
      <c r="A3604">
        <v>18069</v>
      </c>
      <c r="B3604">
        <v>103</v>
      </c>
      <c r="C3604" s="1" t="str">
        <f>IF(Tabela8[[#This Row],[SETOR]]="","",IF(Tabela8[[#This Row],[SETOR]]&lt;200,"GV 10",IF(Tabela8[[#This Row],[SETOR]]&lt;300,"GV 20",IF(Tabela8[[#This Row],[SETOR]]&lt;400,"GV 30","S/GV"))))</f>
        <v>GV 10</v>
      </c>
      <c r="E3604" t="s">
        <v>123</v>
      </c>
      <c r="G3604" t="str">
        <f>_xlfn.CONCAT(Tabela9[[#This Row],[Coluna1]],Tabela9[[#This Row],[Coluna2]])</f>
        <v>20-Rota</v>
      </c>
    </row>
    <row r="3605" spans="1:7" x14ac:dyDescent="0.25">
      <c r="A3605">
        <v>18070</v>
      </c>
      <c r="B3605">
        <v>106</v>
      </c>
      <c r="C3605" s="1" t="str">
        <f>IF(Tabela8[[#This Row],[SETOR]]="","",IF(Tabela8[[#This Row],[SETOR]]&lt;200,"GV 10",IF(Tabela8[[#This Row],[SETOR]]&lt;300,"GV 20",IF(Tabela8[[#This Row],[SETOR]]&lt;400,"GV 30","S/GV"))))</f>
        <v>GV 10</v>
      </c>
      <c r="E3605" t="s">
        <v>123</v>
      </c>
      <c r="G3605" t="str">
        <f>_xlfn.CONCAT(Tabela9[[#This Row],[Coluna1]],Tabela9[[#This Row],[Coluna2]])</f>
        <v>20-Rota</v>
      </c>
    </row>
    <row r="3606" spans="1:7" x14ac:dyDescent="0.25">
      <c r="A3606">
        <v>18071</v>
      </c>
      <c r="B3606">
        <v>201</v>
      </c>
      <c r="C3606" s="1" t="str">
        <f>IF(Tabela8[[#This Row],[SETOR]]="","",IF(Tabela8[[#This Row],[SETOR]]&lt;200,"GV 10",IF(Tabela8[[#This Row],[SETOR]]&lt;300,"GV 20",IF(Tabela8[[#This Row],[SETOR]]&lt;400,"GV 30","S/GV"))))</f>
        <v>GV 20</v>
      </c>
      <c r="E3606" t="s">
        <v>123</v>
      </c>
      <c r="G3606" t="str">
        <f>_xlfn.CONCAT(Tabela9[[#This Row],[Coluna1]],Tabela9[[#This Row],[Coluna2]])</f>
        <v>20-Rota</v>
      </c>
    </row>
    <row r="3607" spans="1:7" x14ac:dyDescent="0.25">
      <c r="A3607">
        <v>18073</v>
      </c>
      <c r="B3607">
        <v>302</v>
      </c>
      <c r="C3607" s="1" t="str">
        <f>IF(Tabela8[[#This Row],[SETOR]]="","",IF(Tabela8[[#This Row],[SETOR]]&lt;200,"GV 10",IF(Tabela8[[#This Row],[SETOR]]&lt;300,"GV 20",IF(Tabela8[[#This Row],[SETOR]]&lt;400,"GV 30","S/GV"))))</f>
        <v>GV 30</v>
      </c>
      <c r="E3607" t="s">
        <v>123</v>
      </c>
      <c r="G3607" t="str">
        <f>_xlfn.CONCAT(Tabela9[[#This Row],[Coluna1]],Tabela9[[#This Row],[Coluna2]])</f>
        <v>20-Rota</v>
      </c>
    </row>
    <row r="3608" spans="1:7" x14ac:dyDescent="0.25">
      <c r="A3608">
        <v>18076</v>
      </c>
      <c r="B3608">
        <v>109</v>
      </c>
      <c r="C3608" s="1" t="str">
        <f>IF(Tabela8[[#This Row],[SETOR]]="","",IF(Tabela8[[#This Row],[SETOR]]&lt;200,"GV 10",IF(Tabela8[[#This Row],[SETOR]]&lt;300,"GV 20",IF(Tabela8[[#This Row],[SETOR]]&lt;400,"GV 30","S/GV"))))</f>
        <v>GV 10</v>
      </c>
      <c r="E3608" t="s">
        <v>125</v>
      </c>
      <c r="G3608" t="str">
        <f>_xlfn.CONCAT(Tabela9[[#This Row],[Coluna1]],Tabela9[[#This Row],[Coluna2]])</f>
        <v>18-TRAD</v>
      </c>
    </row>
    <row r="3609" spans="1:7" x14ac:dyDescent="0.25">
      <c r="A3609">
        <v>18077</v>
      </c>
      <c r="B3609">
        <v>205</v>
      </c>
      <c r="C3609" s="1" t="str">
        <f>IF(Tabela8[[#This Row],[SETOR]]="","",IF(Tabela8[[#This Row],[SETOR]]&lt;200,"GV 10",IF(Tabela8[[#This Row],[SETOR]]&lt;300,"GV 20",IF(Tabela8[[#This Row],[SETOR]]&lt;400,"GV 30","S/GV"))))</f>
        <v>GV 20</v>
      </c>
      <c r="E3609" t="s">
        <v>123</v>
      </c>
      <c r="G3609" t="str">
        <f>_xlfn.CONCAT(Tabela9[[#This Row],[Coluna1]],Tabela9[[#This Row],[Coluna2]])</f>
        <v>20-Rota</v>
      </c>
    </row>
    <row r="3610" spans="1:7" x14ac:dyDescent="0.25">
      <c r="A3610">
        <v>18079</v>
      </c>
      <c r="B3610">
        <v>302</v>
      </c>
      <c r="C3610" s="1" t="str">
        <f>IF(Tabela8[[#This Row],[SETOR]]="","",IF(Tabela8[[#This Row],[SETOR]]&lt;200,"GV 10",IF(Tabela8[[#This Row],[SETOR]]&lt;300,"GV 20",IF(Tabela8[[#This Row],[SETOR]]&lt;400,"GV 30","S/GV"))))</f>
        <v>GV 30</v>
      </c>
      <c r="E3610" t="s">
        <v>123</v>
      </c>
      <c r="G3610" t="str">
        <f>_xlfn.CONCAT(Tabela9[[#This Row],[Coluna1]],Tabela9[[#This Row],[Coluna2]])</f>
        <v>20-Rota</v>
      </c>
    </row>
    <row r="3611" spans="1:7" x14ac:dyDescent="0.25">
      <c r="A3611">
        <v>18081</v>
      </c>
      <c r="B3611">
        <v>302</v>
      </c>
      <c r="C3611" s="1" t="str">
        <f>IF(Tabela8[[#This Row],[SETOR]]="","",IF(Tabela8[[#This Row],[SETOR]]&lt;200,"GV 10",IF(Tabela8[[#This Row],[SETOR]]&lt;300,"GV 20",IF(Tabela8[[#This Row],[SETOR]]&lt;400,"GV 30","S/GV"))))</f>
        <v>GV 30</v>
      </c>
      <c r="E3611" t="s">
        <v>123</v>
      </c>
      <c r="G3611" t="str">
        <f>_xlfn.CONCAT(Tabela9[[#This Row],[Coluna1]],Tabela9[[#This Row],[Coluna2]])</f>
        <v>20-Rota</v>
      </c>
    </row>
    <row r="3612" spans="1:7" x14ac:dyDescent="0.25">
      <c r="A3612">
        <v>18082</v>
      </c>
      <c r="B3612">
        <v>916</v>
      </c>
      <c r="C3612" s="1" t="str">
        <f>IF(Tabela8[[#This Row],[SETOR]]="","",IF(Tabela8[[#This Row],[SETOR]]&lt;200,"GV 10",IF(Tabela8[[#This Row],[SETOR]]&lt;300,"GV 20",IF(Tabela8[[#This Row],[SETOR]]&lt;400,"GV 30","S/GV"))))</f>
        <v>S/GV</v>
      </c>
      <c r="G3612" t="str">
        <f>_xlfn.CONCAT(Tabela9[[#This Row],[Coluna1]],Tabela9[[#This Row],[Coluna2]])</f>
        <v/>
      </c>
    </row>
    <row r="3613" spans="1:7" x14ac:dyDescent="0.25">
      <c r="A3613">
        <v>18083</v>
      </c>
      <c r="B3613">
        <v>304</v>
      </c>
      <c r="C3613" s="1" t="str">
        <f>IF(Tabela8[[#This Row],[SETOR]]="","",IF(Tabela8[[#This Row],[SETOR]]&lt;200,"GV 10",IF(Tabela8[[#This Row],[SETOR]]&lt;300,"GV 20",IF(Tabela8[[#This Row],[SETOR]]&lt;400,"GV 30","S/GV"))))</f>
        <v>GV 30</v>
      </c>
      <c r="E3613" t="s">
        <v>123</v>
      </c>
      <c r="G3613" t="str">
        <f>_xlfn.CONCAT(Tabela9[[#This Row],[Coluna1]],Tabela9[[#This Row],[Coluna2]])</f>
        <v>20-Rota</v>
      </c>
    </row>
    <row r="3614" spans="1:7" x14ac:dyDescent="0.25">
      <c r="A3614">
        <v>18085</v>
      </c>
      <c r="B3614">
        <v>202</v>
      </c>
      <c r="C3614" s="1" t="str">
        <f>IF(Tabela8[[#This Row],[SETOR]]="","",IF(Tabela8[[#This Row],[SETOR]]&lt;200,"GV 10",IF(Tabela8[[#This Row],[SETOR]]&lt;300,"GV 20",IF(Tabela8[[#This Row],[SETOR]]&lt;400,"GV 30","S/GV"))))</f>
        <v>GV 20</v>
      </c>
      <c r="E3614" t="s">
        <v>123</v>
      </c>
      <c r="G3614" t="str">
        <f>_xlfn.CONCAT(Tabela9[[#This Row],[Coluna1]],Tabela9[[#This Row],[Coluna2]])</f>
        <v>20-Rota</v>
      </c>
    </row>
    <row r="3615" spans="1:7" x14ac:dyDescent="0.25">
      <c r="A3615">
        <v>18086</v>
      </c>
      <c r="B3615">
        <v>202</v>
      </c>
      <c r="C3615" s="1" t="str">
        <f>IF(Tabela8[[#This Row],[SETOR]]="","",IF(Tabela8[[#This Row],[SETOR]]&lt;200,"GV 10",IF(Tabela8[[#This Row],[SETOR]]&lt;300,"GV 20",IF(Tabela8[[#This Row],[SETOR]]&lt;400,"GV 30","S/GV"))))</f>
        <v>GV 20</v>
      </c>
      <c r="E3615" t="s">
        <v>123</v>
      </c>
      <c r="G3615" t="str">
        <f>_xlfn.CONCAT(Tabela9[[#This Row],[Coluna1]],Tabela9[[#This Row],[Coluna2]])</f>
        <v>20-Rota</v>
      </c>
    </row>
    <row r="3616" spans="1:7" x14ac:dyDescent="0.25">
      <c r="A3616">
        <v>18087</v>
      </c>
      <c r="B3616">
        <v>106</v>
      </c>
      <c r="C3616" s="1" t="str">
        <f>IF(Tabela8[[#This Row],[SETOR]]="","",IF(Tabela8[[#This Row],[SETOR]]&lt;200,"GV 10",IF(Tabela8[[#This Row],[SETOR]]&lt;300,"GV 20",IF(Tabela8[[#This Row],[SETOR]]&lt;400,"GV 30","S/GV"))))</f>
        <v>GV 10</v>
      </c>
      <c r="E3616" t="s">
        <v>123</v>
      </c>
      <c r="G3616" t="str">
        <f>_xlfn.CONCAT(Tabela9[[#This Row],[Coluna1]],Tabela9[[#This Row],[Coluna2]])</f>
        <v>20-Rota</v>
      </c>
    </row>
    <row r="3617" spans="1:7" x14ac:dyDescent="0.25">
      <c r="A3617">
        <v>18088</v>
      </c>
      <c r="B3617">
        <v>106</v>
      </c>
      <c r="C3617" s="1" t="str">
        <f>IF(Tabela8[[#This Row],[SETOR]]="","",IF(Tabela8[[#This Row],[SETOR]]&lt;200,"GV 10",IF(Tabela8[[#This Row],[SETOR]]&lt;300,"GV 20",IF(Tabela8[[#This Row],[SETOR]]&lt;400,"GV 30","S/GV"))))</f>
        <v>GV 10</v>
      </c>
      <c r="E3617" t="s">
        <v>125</v>
      </c>
      <c r="G3617" t="str">
        <f>_xlfn.CONCAT(Tabela9[[#This Row],[Coluna1]],Tabela9[[#This Row],[Coluna2]])</f>
        <v>18-TRAD</v>
      </c>
    </row>
    <row r="3618" spans="1:7" x14ac:dyDescent="0.25">
      <c r="A3618">
        <v>18090</v>
      </c>
      <c r="B3618">
        <v>207</v>
      </c>
      <c r="C3618" s="1" t="str">
        <f>IF(Tabela8[[#This Row],[SETOR]]="","",IF(Tabela8[[#This Row],[SETOR]]&lt;200,"GV 10",IF(Tabela8[[#This Row],[SETOR]]&lt;300,"GV 20",IF(Tabela8[[#This Row],[SETOR]]&lt;400,"GV 30","S/GV"))))</f>
        <v>GV 20</v>
      </c>
      <c r="E3618" t="s">
        <v>130</v>
      </c>
      <c r="G3618" t="str">
        <f>_xlfn.CONCAT(Tabela9[[#This Row],[Coluna1]],Tabela9[[#This Row],[Coluna2]])</f>
        <v>21-SUB</v>
      </c>
    </row>
    <row r="3619" spans="1:7" x14ac:dyDescent="0.25">
      <c r="A3619">
        <v>18092</v>
      </c>
      <c r="B3619">
        <v>104</v>
      </c>
      <c r="C3619" s="1" t="str">
        <f>IF(Tabela8[[#This Row],[SETOR]]="","",IF(Tabela8[[#This Row],[SETOR]]&lt;200,"GV 10",IF(Tabela8[[#This Row],[SETOR]]&lt;300,"GV 20",IF(Tabela8[[#This Row],[SETOR]]&lt;400,"GV 30","S/GV"))))</f>
        <v>GV 10</v>
      </c>
      <c r="E3619" t="s">
        <v>123</v>
      </c>
      <c r="G3619" t="str">
        <f>_xlfn.CONCAT(Tabela9[[#This Row],[Coluna1]],Tabela9[[#This Row],[Coluna2]])</f>
        <v>20-Rota</v>
      </c>
    </row>
    <row r="3620" spans="1:7" x14ac:dyDescent="0.25">
      <c r="A3620">
        <v>18093</v>
      </c>
      <c r="B3620">
        <v>104</v>
      </c>
      <c r="C3620" s="1" t="str">
        <f>IF(Tabela8[[#This Row],[SETOR]]="","",IF(Tabela8[[#This Row],[SETOR]]&lt;200,"GV 10",IF(Tabela8[[#This Row],[SETOR]]&lt;300,"GV 20",IF(Tabela8[[#This Row],[SETOR]]&lt;400,"GV 30","S/GV"))))</f>
        <v>GV 10</v>
      </c>
      <c r="E3620" t="s">
        <v>123</v>
      </c>
      <c r="G3620" t="str">
        <f>_xlfn.CONCAT(Tabela9[[#This Row],[Coluna1]],Tabela9[[#This Row],[Coluna2]])</f>
        <v>20-Rota</v>
      </c>
    </row>
    <row r="3621" spans="1:7" x14ac:dyDescent="0.25">
      <c r="A3621">
        <v>18094</v>
      </c>
      <c r="B3621">
        <v>103</v>
      </c>
      <c r="C3621" s="1" t="str">
        <f>IF(Tabela8[[#This Row],[SETOR]]="","",IF(Tabela8[[#This Row],[SETOR]]&lt;200,"GV 10",IF(Tabela8[[#This Row],[SETOR]]&lt;300,"GV 20",IF(Tabela8[[#This Row],[SETOR]]&lt;400,"GV 30","S/GV"))))</f>
        <v>GV 10</v>
      </c>
      <c r="E3621" t="s">
        <v>123</v>
      </c>
      <c r="G3621" t="str">
        <f>_xlfn.CONCAT(Tabela9[[#This Row],[Coluna1]],Tabela9[[#This Row],[Coluna2]])</f>
        <v>20-Rota</v>
      </c>
    </row>
    <row r="3622" spans="1:7" x14ac:dyDescent="0.25">
      <c r="A3622">
        <v>18095</v>
      </c>
      <c r="B3622">
        <v>301</v>
      </c>
      <c r="C3622" s="1" t="str">
        <f>IF(Tabela8[[#This Row],[SETOR]]="","",IF(Tabela8[[#This Row],[SETOR]]&lt;200,"GV 10",IF(Tabela8[[#This Row],[SETOR]]&lt;300,"GV 20",IF(Tabela8[[#This Row],[SETOR]]&lt;400,"GV 30","S/GV"))))</f>
        <v>GV 30</v>
      </c>
      <c r="E3622" t="s">
        <v>123</v>
      </c>
      <c r="G3622" t="str">
        <f>_xlfn.CONCAT(Tabela9[[#This Row],[Coluna1]],Tabela9[[#This Row],[Coluna2]])</f>
        <v>20-Rota</v>
      </c>
    </row>
    <row r="3623" spans="1:7" x14ac:dyDescent="0.25">
      <c r="A3623">
        <v>18100</v>
      </c>
      <c r="B3623">
        <v>306</v>
      </c>
      <c r="C3623" s="1" t="str">
        <f>IF(Tabela8[[#This Row],[SETOR]]="","",IF(Tabela8[[#This Row],[SETOR]]&lt;200,"GV 10",IF(Tabela8[[#This Row],[SETOR]]&lt;300,"GV 20",IF(Tabela8[[#This Row],[SETOR]]&lt;400,"GV 30","S/GV"))))</f>
        <v>GV 30</v>
      </c>
      <c r="E3623" t="s">
        <v>125</v>
      </c>
      <c r="G3623" t="str">
        <f>_xlfn.CONCAT(Tabela9[[#This Row],[Coluna1]],Tabela9[[#This Row],[Coluna2]])</f>
        <v>18-TRAD</v>
      </c>
    </row>
    <row r="3624" spans="1:7" x14ac:dyDescent="0.25">
      <c r="A3624">
        <v>18101</v>
      </c>
      <c r="B3624">
        <v>106</v>
      </c>
      <c r="C3624" s="1" t="str">
        <f>IF(Tabela8[[#This Row],[SETOR]]="","",IF(Tabela8[[#This Row],[SETOR]]&lt;200,"GV 10",IF(Tabela8[[#This Row],[SETOR]]&lt;300,"GV 20",IF(Tabela8[[#This Row],[SETOR]]&lt;400,"GV 30","S/GV"))))</f>
        <v>GV 10</v>
      </c>
      <c r="E3624" t="s">
        <v>123</v>
      </c>
      <c r="G3624" t="str">
        <f>_xlfn.CONCAT(Tabela9[[#This Row],[Coluna1]],Tabela9[[#This Row],[Coluna2]])</f>
        <v>20-Rota</v>
      </c>
    </row>
    <row r="3625" spans="1:7" x14ac:dyDescent="0.25">
      <c r="A3625">
        <v>18102</v>
      </c>
      <c r="B3625">
        <v>101</v>
      </c>
      <c r="C3625" s="1" t="str">
        <f>IF(Tabela8[[#This Row],[SETOR]]="","",IF(Tabela8[[#This Row],[SETOR]]&lt;200,"GV 10",IF(Tabela8[[#This Row],[SETOR]]&lt;300,"GV 20",IF(Tabela8[[#This Row],[SETOR]]&lt;400,"GV 30","S/GV"))))</f>
        <v>GV 10</v>
      </c>
      <c r="E3625" t="s">
        <v>123</v>
      </c>
      <c r="G3625" t="str">
        <f>_xlfn.CONCAT(Tabela9[[#This Row],[Coluna1]],Tabela9[[#This Row],[Coluna2]])</f>
        <v>20-Rota</v>
      </c>
    </row>
    <row r="3626" spans="1:7" x14ac:dyDescent="0.25">
      <c r="A3626">
        <v>18103</v>
      </c>
      <c r="B3626">
        <v>201</v>
      </c>
      <c r="C3626" s="1" t="str">
        <f>IF(Tabela8[[#This Row],[SETOR]]="","",IF(Tabela8[[#This Row],[SETOR]]&lt;200,"GV 10",IF(Tabela8[[#This Row],[SETOR]]&lt;300,"GV 20",IF(Tabela8[[#This Row],[SETOR]]&lt;400,"GV 30","S/GV"))))</f>
        <v>GV 20</v>
      </c>
      <c r="E3626" t="s">
        <v>124</v>
      </c>
      <c r="G3626" t="str">
        <f>_xlfn.CONCAT(Tabela9[[#This Row],[Coluna1]],Tabela9[[#This Row],[Coluna2]])</f>
        <v>19-VIP</v>
      </c>
    </row>
    <row r="3627" spans="1:7" x14ac:dyDescent="0.25">
      <c r="A3627">
        <v>18104</v>
      </c>
      <c r="B3627">
        <v>203</v>
      </c>
      <c r="C3627" s="1" t="str">
        <f>IF(Tabela8[[#This Row],[SETOR]]="","",IF(Tabela8[[#This Row],[SETOR]]&lt;200,"GV 10",IF(Tabela8[[#This Row],[SETOR]]&lt;300,"GV 20",IF(Tabela8[[#This Row],[SETOR]]&lt;400,"GV 30","S/GV"))))</f>
        <v>GV 20</v>
      </c>
      <c r="E3627" t="s">
        <v>123</v>
      </c>
      <c r="G3627" t="str">
        <f>_xlfn.CONCAT(Tabela9[[#This Row],[Coluna1]],Tabela9[[#This Row],[Coluna2]])</f>
        <v>20-Rota</v>
      </c>
    </row>
    <row r="3628" spans="1:7" x14ac:dyDescent="0.25">
      <c r="A3628">
        <v>18105</v>
      </c>
      <c r="B3628">
        <v>304</v>
      </c>
      <c r="C3628" s="1" t="str">
        <f>IF(Tabela8[[#This Row],[SETOR]]="","",IF(Tabela8[[#This Row],[SETOR]]&lt;200,"GV 10",IF(Tabela8[[#This Row],[SETOR]]&lt;300,"GV 20",IF(Tabela8[[#This Row],[SETOR]]&lt;400,"GV 30","S/GV"))))</f>
        <v>GV 30</v>
      </c>
      <c r="E3628" t="s">
        <v>123</v>
      </c>
      <c r="G3628" t="str">
        <f>_xlfn.CONCAT(Tabela9[[#This Row],[Coluna1]],Tabela9[[#This Row],[Coluna2]])</f>
        <v>20-Rota</v>
      </c>
    </row>
    <row r="3629" spans="1:7" x14ac:dyDescent="0.25">
      <c r="A3629">
        <v>18106</v>
      </c>
      <c r="B3629">
        <v>104</v>
      </c>
      <c r="C3629" s="1" t="str">
        <f>IF(Tabela8[[#This Row],[SETOR]]="","",IF(Tabela8[[#This Row],[SETOR]]&lt;200,"GV 10",IF(Tabela8[[#This Row],[SETOR]]&lt;300,"GV 20",IF(Tabela8[[#This Row],[SETOR]]&lt;400,"GV 30","S/GV"))))</f>
        <v>GV 10</v>
      </c>
      <c r="E3629" t="s">
        <v>123</v>
      </c>
      <c r="G3629" t="str">
        <f>_xlfn.CONCAT(Tabela9[[#This Row],[Coluna1]],Tabela9[[#This Row],[Coluna2]])</f>
        <v>20-Rota</v>
      </c>
    </row>
    <row r="3630" spans="1:7" x14ac:dyDescent="0.25">
      <c r="A3630">
        <v>18108</v>
      </c>
      <c r="B3630">
        <v>302</v>
      </c>
      <c r="C3630" s="1" t="str">
        <f>IF(Tabela8[[#This Row],[SETOR]]="","",IF(Tabela8[[#This Row],[SETOR]]&lt;200,"GV 10",IF(Tabela8[[#This Row],[SETOR]]&lt;300,"GV 20",IF(Tabela8[[#This Row],[SETOR]]&lt;400,"GV 30","S/GV"))))</f>
        <v>GV 30</v>
      </c>
      <c r="E3630" t="s">
        <v>123</v>
      </c>
      <c r="G3630" t="str">
        <f>_xlfn.CONCAT(Tabela9[[#This Row],[Coluna1]],Tabela9[[#This Row],[Coluna2]])</f>
        <v>20-Rota</v>
      </c>
    </row>
    <row r="3631" spans="1:7" x14ac:dyDescent="0.25">
      <c r="A3631">
        <v>18109</v>
      </c>
      <c r="B3631">
        <v>201</v>
      </c>
      <c r="C3631" s="1" t="str">
        <f>IF(Tabela8[[#This Row],[SETOR]]="","",IF(Tabela8[[#This Row],[SETOR]]&lt;200,"GV 10",IF(Tabela8[[#This Row],[SETOR]]&lt;300,"GV 20",IF(Tabela8[[#This Row],[SETOR]]&lt;400,"GV 30","S/GV"))))</f>
        <v>GV 20</v>
      </c>
      <c r="E3631" t="s">
        <v>123</v>
      </c>
      <c r="G3631" t="str">
        <f>_xlfn.CONCAT(Tabela9[[#This Row],[Coluna1]],Tabela9[[#This Row],[Coluna2]])</f>
        <v>20-Rota</v>
      </c>
    </row>
    <row r="3632" spans="1:7" x14ac:dyDescent="0.25">
      <c r="A3632">
        <v>18110</v>
      </c>
      <c r="B3632">
        <v>301</v>
      </c>
      <c r="C3632" s="1" t="str">
        <f>IF(Tabela8[[#This Row],[SETOR]]="","",IF(Tabela8[[#This Row],[SETOR]]&lt;200,"GV 10",IF(Tabela8[[#This Row],[SETOR]]&lt;300,"GV 20",IF(Tabela8[[#This Row],[SETOR]]&lt;400,"GV 30","S/GV"))))</f>
        <v>GV 30</v>
      </c>
      <c r="E3632" t="s">
        <v>123</v>
      </c>
      <c r="G3632" t="str">
        <f>_xlfn.CONCAT(Tabela9[[#This Row],[Coluna1]],Tabela9[[#This Row],[Coluna2]])</f>
        <v>20-Rota</v>
      </c>
    </row>
    <row r="3633" spans="1:7" x14ac:dyDescent="0.25">
      <c r="A3633">
        <v>18111</v>
      </c>
      <c r="B3633">
        <v>301</v>
      </c>
      <c r="C3633" s="1" t="str">
        <f>IF(Tabela8[[#This Row],[SETOR]]="","",IF(Tabela8[[#This Row],[SETOR]]&lt;200,"GV 10",IF(Tabela8[[#This Row],[SETOR]]&lt;300,"GV 20",IF(Tabela8[[#This Row],[SETOR]]&lt;400,"GV 30","S/GV"))))</f>
        <v>GV 30</v>
      </c>
      <c r="E3633" t="s">
        <v>123</v>
      </c>
      <c r="G3633" t="str">
        <f>_xlfn.CONCAT(Tabela9[[#This Row],[Coluna1]],Tabela9[[#This Row],[Coluna2]])</f>
        <v>20-Rota</v>
      </c>
    </row>
    <row r="3634" spans="1:7" x14ac:dyDescent="0.25">
      <c r="A3634">
        <v>18112</v>
      </c>
      <c r="B3634">
        <v>106</v>
      </c>
      <c r="C3634" s="1" t="str">
        <f>IF(Tabela8[[#This Row],[SETOR]]="","",IF(Tabela8[[#This Row],[SETOR]]&lt;200,"GV 10",IF(Tabela8[[#This Row],[SETOR]]&lt;300,"GV 20",IF(Tabela8[[#This Row],[SETOR]]&lt;400,"GV 30","S/GV"))))</f>
        <v>GV 10</v>
      </c>
      <c r="E3634" t="s">
        <v>130</v>
      </c>
      <c r="G3634" t="str">
        <f>_xlfn.CONCAT(Tabela9[[#This Row],[Coluna1]],Tabela9[[#This Row],[Coluna2]])</f>
        <v>21-SUB</v>
      </c>
    </row>
    <row r="3635" spans="1:7" x14ac:dyDescent="0.25">
      <c r="A3635">
        <v>18114</v>
      </c>
      <c r="B3635">
        <v>101</v>
      </c>
      <c r="C3635" s="1" t="str">
        <f>IF(Tabela8[[#This Row],[SETOR]]="","",IF(Tabela8[[#This Row],[SETOR]]&lt;200,"GV 10",IF(Tabela8[[#This Row],[SETOR]]&lt;300,"GV 20",IF(Tabela8[[#This Row],[SETOR]]&lt;400,"GV 30","S/GV"))))</f>
        <v>GV 10</v>
      </c>
      <c r="E3635" t="s">
        <v>123</v>
      </c>
      <c r="G3635" t="str">
        <f>_xlfn.CONCAT(Tabela9[[#This Row],[Coluna1]],Tabela9[[#This Row],[Coluna2]])</f>
        <v>20-Rota</v>
      </c>
    </row>
    <row r="3636" spans="1:7" x14ac:dyDescent="0.25">
      <c r="A3636">
        <v>18115</v>
      </c>
      <c r="B3636">
        <v>101</v>
      </c>
      <c r="C3636" s="1" t="str">
        <f>IF(Tabela8[[#This Row],[SETOR]]="","",IF(Tabela8[[#This Row],[SETOR]]&lt;200,"GV 10",IF(Tabela8[[#This Row],[SETOR]]&lt;300,"GV 20",IF(Tabela8[[#This Row],[SETOR]]&lt;400,"GV 30","S/GV"))))</f>
        <v>GV 10</v>
      </c>
      <c r="E3636" t="s">
        <v>123</v>
      </c>
      <c r="G3636" t="str">
        <f>_xlfn.CONCAT(Tabela9[[#This Row],[Coluna1]],Tabela9[[#This Row],[Coluna2]])</f>
        <v>20-Rota</v>
      </c>
    </row>
    <row r="3637" spans="1:7" x14ac:dyDescent="0.25">
      <c r="A3637">
        <v>18116</v>
      </c>
      <c r="B3637">
        <v>916</v>
      </c>
      <c r="C3637" s="1" t="str">
        <f>IF(Tabela8[[#This Row],[SETOR]]="","",IF(Tabela8[[#This Row],[SETOR]]&lt;200,"GV 10",IF(Tabela8[[#This Row],[SETOR]]&lt;300,"GV 20",IF(Tabela8[[#This Row],[SETOR]]&lt;400,"GV 30","S/GV"))))</f>
        <v>S/GV</v>
      </c>
      <c r="G3637" t="str">
        <f>_xlfn.CONCAT(Tabela9[[#This Row],[Coluna1]],Tabela9[[#This Row],[Coluna2]])</f>
        <v/>
      </c>
    </row>
    <row r="3638" spans="1:7" x14ac:dyDescent="0.25">
      <c r="A3638">
        <v>18117</v>
      </c>
      <c r="B3638">
        <v>916</v>
      </c>
      <c r="C3638" s="1" t="str">
        <f>IF(Tabela8[[#This Row],[SETOR]]="","",IF(Tabela8[[#This Row],[SETOR]]&lt;200,"GV 10",IF(Tabela8[[#This Row],[SETOR]]&lt;300,"GV 20",IF(Tabela8[[#This Row],[SETOR]]&lt;400,"GV 30","S/GV"))))</f>
        <v>S/GV</v>
      </c>
      <c r="G3638" t="str">
        <f>_xlfn.CONCAT(Tabela9[[#This Row],[Coluna1]],Tabela9[[#This Row],[Coluna2]])</f>
        <v/>
      </c>
    </row>
    <row r="3639" spans="1:7" x14ac:dyDescent="0.25">
      <c r="A3639">
        <v>18118</v>
      </c>
      <c r="B3639">
        <v>303</v>
      </c>
      <c r="C3639" s="1" t="str">
        <f>IF(Tabela8[[#This Row],[SETOR]]="","",IF(Tabela8[[#This Row],[SETOR]]&lt;200,"GV 10",IF(Tabela8[[#This Row],[SETOR]]&lt;300,"GV 20",IF(Tabela8[[#This Row],[SETOR]]&lt;400,"GV 30","S/GV"))))</f>
        <v>GV 30</v>
      </c>
      <c r="E3639" t="s">
        <v>123</v>
      </c>
      <c r="G3639" t="str">
        <f>_xlfn.CONCAT(Tabela9[[#This Row],[Coluna1]],Tabela9[[#This Row],[Coluna2]])</f>
        <v>20-Rota</v>
      </c>
    </row>
    <row r="3640" spans="1:7" x14ac:dyDescent="0.25">
      <c r="A3640">
        <v>18121</v>
      </c>
      <c r="B3640">
        <v>107</v>
      </c>
      <c r="C3640" s="1" t="str">
        <f>IF(Tabela8[[#This Row],[SETOR]]="","",IF(Tabela8[[#This Row],[SETOR]]&lt;200,"GV 10",IF(Tabela8[[#This Row],[SETOR]]&lt;300,"GV 20",IF(Tabela8[[#This Row],[SETOR]]&lt;400,"GV 30","S/GV"))))</f>
        <v>GV 10</v>
      </c>
      <c r="E3640" t="s">
        <v>123</v>
      </c>
      <c r="G3640" t="str">
        <f>_xlfn.CONCAT(Tabela9[[#This Row],[Coluna1]],Tabela9[[#This Row],[Coluna2]])</f>
        <v>20-Rota</v>
      </c>
    </row>
    <row r="3641" spans="1:7" x14ac:dyDescent="0.25">
      <c r="A3641">
        <v>18122</v>
      </c>
      <c r="B3641">
        <v>305</v>
      </c>
      <c r="C3641" s="1" t="str">
        <f>IF(Tabela8[[#This Row],[SETOR]]="","",IF(Tabela8[[#This Row],[SETOR]]&lt;200,"GV 10",IF(Tabela8[[#This Row],[SETOR]]&lt;300,"GV 20",IF(Tabela8[[#This Row],[SETOR]]&lt;400,"GV 30","S/GV"))))</f>
        <v>GV 30</v>
      </c>
      <c r="E3641" t="s">
        <v>123</v>
      </c>
      <c r="G3641" t="str">
        <f>_xlfn.CONCAT(Tabela9[[#This Row],[Coluna1]],Tabela9[[#This Row],[Coluna2]])</f>
        <v>20-Rota</v>
      </c>
    </row>
    <row r="3642" spans="1:7" x14ac:dyDescent="0.25">
      <c r="A3642">
        <v>18123</v>
      </c>
      <c r="B3642">
        <v>305</v>
      </c>
      <c r="C3642" s="1" t="str">
        <f>IF(Tabela8[[#This Row],[SETOR]]="","",IF(Tabela8[[#This Row],[SETOR]]&lt;200,"GV 10",IF(Tabela8[[#This Row],[SETOR]]&lt;300,"GV 20",IF(Tabela8[[#This Row],[SETOR]]&lt;400,"GV 30","S/GV"))))</f>
        <v>GV 30</v>
      </c>
      <c r="E3642" t="s">
        <v>123</v>
      </c>
      <c r="G3642" t="str">
        <f>_xlfn.CONCAT(Tabela9[[#This Row],[Coluna1]],Tabela9[[#This Row],[Coluna2]])</f>
        <v>20-Rota</v>
      </c>
    </row>
    <row r="3643" spans="1:7" x14ac:dyDescent="0.25">
      <c r="A3643">
        <v>18125</v>
      </c>
      <c r="B3643">
        <v>205</v>
      </c>
      <c r="C3643" s="1" t="str">
        <f>IF(Tabela8[[#This Row],[SETOR]]="","",IF(Tabela8[[#This Row],[SETOR]]&lt;200,"GV 10",IF(Tabela8[[#This Row],[SETOR]]&lt;300,"GV 20",IF(Tabela8[[#This Row],[SETOR]]&lt;400,"GV 30","S/GV"))))</f>
        <v>GV 20</v>
      </c>
      <c r="E3643" t="s">
        <v>123</v>
      </c>
      <c r="G3643" t="str">
        <f>_xlfn.CONCAT(Tabela9[[#This Row],[Coluna1]],Tabela9[[#This Row],[Coluna2]])</f>
        <v>20-Rota</v>
      </c>
    </row>
    <row r="3644" spans="1:7" x14ac:dyDescent="0.25">
      <c r="A3644">
        <v>18126</v>
      </c>
      <c r="B3644">
        <v>105</v>
      </c>
      <c r="C3644" s="1" t="str">
        <f>IF(Tabela8[[#This Row],[SETOR]]="","",IF(Tabela8[[#This Row],[SETOR]]&lt;200,"GV 10",IF(Tabela8[[#This Row],[SETOR]]&lt;300,"GV 20",IF(Tabela8[[#This Row],[SETOR]]&lt;400,"GV 30","S/GV"))))</f>
        <v>GV 10</v>
      </c>
      <c r="E3644" t="s">
        <v>123</v>
      </c>
      <c r="G3644" t="str">
        <f>_xlfn.CONCAT(Tabela9[[#This Row],[Coluna1]],Tabela9[[#This Row],[Coluna2]])</f>
        <v>20-Rota</v>
      </c>
    </row>
    <row r="3645" spans="1:7" x14ac:dyDescent="0.25">
      <c r="A3645">
        <v>18127</v>
      </c>
      <c r="B3645">
        <v>307</v>
      </c>
      <c r="C3645" s="1" t="str">
        <f>IF(Tabela8[[#This Row],[SETOR]]="","",IF(Tabela8[[#This Row],[SETOR]]&lt;200,"GV 10",IF(Tabela8[[#This Row],[SETOR]]&lt;300,"GV 20",IF(Tabela8[[#This Row],[SETOR]]&lt;400,"GV 30","S/GV"))))</f>
        <v>GV 30</v>
      </c>
      <c r="E3645" t="s">
        <v>130</v>
      </c>
      <c r="G3645" t="str">
        <f>_xlfn.CONCAT(Tabela9[[#This Row],[Coluna1]],Tabela9[[#This Row],[Coluna2]])</f>
        <v>21-SUB</v>
      </c>
    </row>
    <row r="3646" spans="1:7" x14ac:dyDescent="0.25">
      <c r="A3646">
        <v>18129</v>
      </c>
      <c r="B3646">
        <v>109</v>
      </c>
      <c r="C3646" s="1" t="str">
        <f>IF(Tabela8[[#This Row],[SETOR]]="","",IF(Tabela8[[#This Row],[SETOR]]&lt;200,"GV 10",IF(Tabela8[[#This Row],[SETOR]]&lt;300,"GV 20",IF(Tabela8[[#This Row],[SETOR]]&lt;400,"GV 30","S/GV"))))</f>
        <v>GV 10</v>
      </c>
      <c r="E3646" t="s">
        <v>125</v>
      </c>
      <c r="G3646" t="str">
        <f>_xlfn.CONCAT(Tabela9[[#This Row],[Coluna1]],Tabela9[[#This Row],[Coluna2]])</f>
        <v>18-TRAD</v>
      </c>
    </row>
    <row r="3647" spans="1:7" x14ac:dyDescent="0.25">
      <c r="A3647">
        <v>18130</v>
      </c>
      <c r="B3647">
        <v>109</v>
      </c>
      <c r="C3647" s="1" t="str">
        <f>IF(Tabela8[[#This Row],[SETOR]]="","",IF(Tabela8[[#This Row],[SETOR]]&lt;200,"GV 10",IF(Tabela8[[#This Row],[SETOR]]&lt;300,"GV 20",IF(Tabela8[[#This Row],[SETOR]]&lt;400,"GV 30","S/GV"))))</f>
        <v>GV 10</v>
      </c>
      <c r="E3647" t="s">
        <v>123</v>
      </c>
      <c r="G3647" t="str">
        <f>_xlfn.CONCAT(Tabela9[[#This Row],[Coluna1]],Tabela9[[#This Row],[Coluna2]])</f>
        <v>20-Rota</v>
      </c>
    </row>
    <row r="3648" spans="1:7" x14ac:dyDescent="0.25">
      <c r="A3648">
        <v>18134</v>
      </c>
      <c r="B3648">
        <v>916</v>
      </c>
      <c r="C3648" s="1" t="str">
        <f>IF(Tabela8[[#This Row],[SETOR]]="","",IF(Tabela8[[#This Row],[SETOR]]&lt;200,"GV 10",IF(Tabela8[[#This Row],[SETOR]]&lt;300,"GV 20",IF(Tabela8[[#This Row],[SETOR]]&lt;400,"GV 30","S/GV"))))</f>
        <v>S/GV</v>
      </c>
      <c r="G3648" t="str">
        <f>_xlfn.CONCAT(Tabela9[[#This Row],[Coluna1]],Tabela9[[#This Row],[Coluna2]])</f>
        <v/>
      </c>
    </row>
    <row r="3649" spans="1:7" x14ac:dyDescent="0.25">
      <c r="A3649">
        <v>18135</v>
      </c>
      <c r="B3649">
        <v>205</v>
      </c>
      <c r="C3649" s="1" t="str">
        <f>IF(Tabela8[[#This Row],[SETOR]]="","",IF(Tabela8[[#This Row],[SETOR]]&lt;200,"GV 10",IF(Tabela8[[#This Row],[SETOR]]&lt;300,"GV 20",IF(Tabela8[[#This Row],[SETOR]]&lt;400,"GV 30","S/GV"))))</f>
        <v>GV 20</v>
      </c>
      <c r="E3649" t="s">
        <v>123</v>
      </c>
      <c r="G3649" t="str">
        <f>_xlfn.CONCAT(Tabela9[[#This Row],[Coluna1]],Tabela9[[#This Row],[Coluna2]])</f>
        <v>20-Rota</v>
      </c>
    </row>
    <row r="3650" spans="1:7" x14ac:dyDescent="0.25">
      <c r="A3650">
        <v>18136</v>
      </c>
      <c r="B3650">
        <v>204</v>
      </c>
      <c r="C3650" s="1" t="str">
        <f>IF(Tabela8[[#This Row],[SETOR]]="","",IF(Tabela8[[#This Row],[SETOR]]&lt;200,"GV 10",IF(Tabela8[[#This Row],[SETOR]]&lt;300,"GV 20",IF(Tabela8[[#This Row],[SETOR]]&lt;400,"GV 30","S/GV"))))</f>
        <v>GV 20</v>
      </c>
      <c r="E3650" t="s">
        <v>123</v>
      </c>
      <c r="G3650" t="str">
        <f>_xlfn.CONCAT(Tabela9[[#This Row],[Coluna1]],Tabela9[[#This Row],[Coluna2]])</f>
        <v>20-Rota</v>
      </c>
    </row>
    <row r="3651" spans="1:7" x14ac:dyDescent="0.25">
      <c r="A3651">
        <v>18137</v>
      </c>
      <c r="B3651">
        <v>916</v>
      </c>
      <c r="C3651" s="1" t="str">
        <f>IF(Tabela8[[#This Row],[SETOR]]="","",IF(Tabela8[[#This Row],[SETOR]]&lt;200,"GV 10",IF(Tabela8[[#This Row],[SETOR]]&lt;300,"GV 20",IF(Tabela8[[#This Row],[SETOR]]&lt;400,"GV 30","S/GV"))))</f>
        <v>S/GV</v>
      </c>
      <c r="G3651" t="str">
        <f>_xlfn.CONCAT(Tabela9[[#This Row],[Coluna1]],Tabela9[[#This Row],[Coluna2]])</f>
        <v/>
      </c>
    </row>
    <row r="3652" spans="1:7" x14ac:dyDescent="0.25">
      <c r="A3652">
        <v>18138</v>
      </c>
      <c r="B3652">
        <v>916</v>
      </c>
      <c r="C3652" s="1" t="str">
        <f>IF(Tabela8[[#This Row],[SETOR]]="","",IF(Tabela8[[#This Row],[SETOR]]&lt;200,"GV 10",IF(Tabela8[[#This Row],[SETOR]]&lt;300,"GV 20",IF(Tabela8[[#This Row],[SETOR]]&lt;400,"GV 30","S/GV"))))</f>
        <v>S/GV</v>
      </c>
      <c r="G3652" t="str">
        <f>_xlfn.CONCAT(Tabela9[[#This Row],[Coluna1]],Tabela9[[#This Row],[Coluna2]])</f>
        <v/>
      </c>
    </row>
    <row r="3653" spans="1:7" x14ac:dyDescent="0.25">
      <c r="A3653">
        <v>18139</v>
      </c>
      <c r="B3653">
        <v>101</v>
      </c>
      <c r="C3653" s="1" t="str">
        <f>IF(Tabela8[[#This Row],[SETOR]]="","",IF(Tabela8[[#This Row],[SETOR]]&lt;200,"GV 10",IF(Tabela8[[#This Row],[SETOR]]&lt;300,"GV 20",IF(Tabela8[[#This Row],[SETOR]]&lt;400,"GV 30","S/GV"))))</f>
        <v>GV 10</v>
      </c>
      <c r="E3653" t="s">
        <v>123</v>
      </c>
      <c r="G3653" t="str">
        <f>_xlfn.CONCAT(Tabela9[[#This Row],[Coluna1]],Tabela9[[#This Row],[Coluna2]])</f>
        <v>20-Rota</v>
      </c>
    </row>
    <row r="3654" spans="1:7" x14ac:dyDescent="0.25">
      <c r="A3654">
        <v>18142</v>
      </c>
      <c r="B3654">
        <v>104</v>
      </c>
      <c r="C3654" s="1" t="str">
        <f>IF(Tabela8[[#This Row],[SETOR]]="","",IF(Tabela8[[#This Row],[SETOR]]&lt;200,"GV 10",IF(Tabela8[[#This Row],[SETOR]]&lt;300,"GV 20",IF(Tabela8[[#This Row],[SETOR]]&lt;400,"GV 30","S/GV"))))</f>
        <v>GV 10</v>
      </c>
      <c r="E3654" t="s">
        <v>123</v>
      </c>
      <c r="G3654" t="str">
        <f>_xlfn.CONCAT(Tabela9[[#This Row],[Coluna1]],Tabela9[[#This Row],[Coluna2]])</f>
        <v>20-Rota</v>
      </c>
    </row>
    <row r="3655" spans="1:7" x14ac:dyDescent="0.25">
      <c r="A3655">
        <v>18143</v>
      </c>
      <c r="B3655">
        <v>101</v>
      </c>
      <c r="C3655" s="1" t="str">
        <f>IF(Tabela8[[#This Row],[SETOR]]="","",IF(Tabela8[[#This Row],[SETOR]]&lt;200,"GV 10",IF(Tabela8[[#This Row],[SETOR]]&lt;300,"GV 20",IF(Tabela8[[#This Row],[SETOR]]&lt;400,"GV 30","S/GV"))))</f>
        <v>GV 10</v>
      </c>
      <c r="E3655" t="s">
        <v>123</v>
      </c>
      <c r="G3655" t="str">
        <f>_xlfn.CONCAT(Tabela9[[#This Row],[Coluna1]],Tabela9[[#This Row],[Coluna2]])</f>
        <v>20-Rota</v>
      </c>
    </row>
    <row r="3656" spans="1:7" x14ac:dyDescent="0.25">
      <c r="A3656">
        <v>18144</v>
      </c>
      <c r="B3656">
        <v>203</v>
      </c>
      <c r="C3656" s="1" t="str">
        <f>IF(Tabela8[[#This Row],[SETOR]]="","",IF(Tabela8[[#This Row],[SETOR]]&lt;200,"GV 10",IF(Tabela8[[#This Row],[SETOR]]&lt;300,"GV 20",IF(Tabela8[[#This Row],[SETOR]]&lt;400,"GV 30","S/GV"))))</f>
        <v>GV 20</v>
      </c>
      <c r="E3656" t="s">
        <v>123</v>
      </c>
      <c r="G3656" t="str">
        <f>_xlfn.CONCAT(Tabela9[[#This Row],[Coluna1]],Tabela9[[#This Row],[Coluna2]])</f>
        <v>20-Rota</v>
      </c>
    </row>
    <row r="3657" spans="1:7" x14ac:dyDescent="0.25">
      <c r="A3657">
        <v>18145</v>
      </c>
      <c r="B3657">
        <v>103</v>
      </c>
      <c r="C3657" s="1" t="str">
        <f>IF(Tabela8[[#This Row],[SETOR]]="","",IF(Tabela8[[#This Row],[SETOR]]&lt;200,"GV 10",IF(Tabela8[[#This Row],[SETOR]]&lt;300,"GV 20",IF(Tabela8[[#This Row],[SETOR]]&lt;400,"GV 30","S/GV"))))</f>
        <v>GV 10</v>
      </c>
      <c r="E3657" t="s">
        <v>123</v>
      </c>
      <c r="G3657" t="str">
        <f>_xlfn.CONCAT(Tabela9[[#This Row],[Coluna1]],Tabela9[[#This Row],[Coluna2]])</f>
        <v>20-Rota</v>
      </c>
    </row>
    <row r="3658" spans="1:7" x14ac:dyDescent="0.25">
      <c r="A3658">
        <v>18146</v>
      </c>
      <c r="B3658">
        <v>103</v>
      </c>
      <c r="C3658" s="1" t="str">
        <f>IF(Tabela8[[#This Row],[SETOR]]="","",IF(Tabela8[[#This Row],[SETOR]]&lt;200,"GV 10",IF(Tabela8[[#This Row],[SETOR]]&lt;300,"GV 20",IF(Tabela8[[#This Row],[SETOR]]&lt;400,"GV 30","S/GV"))))</f>
        <v>GV 10</v>
      </c>
      <c r="E3658" t="s">
        <v>123</v>
      </c>
      <c r="G3658" t="str">
        <f>_xlfn.CONCAT(Tabela9[[#This Row],[Coluna1]],Tabela9[[#This Row],[Coluna2]])</f>
        <v>20-Rota</v>
      </c>
    </row>
    <row r="3659" spans="1:7" x14ac:dyDescent="0.25">
      <c r="A3659">
        <v>18147</v>
      </c>
      <c r="B3659">
        <v>206</v>
      </c>
      <c r="C3659" s="1" t="str">
        <f>IF(Tabela8[[#This Row],[SETOR]]="","",IF(Tabela8[[#This Row],[SETOR]]&lt;200,"GV 10",IF(Tabela8[[#This Row],[SETOR]]&lt;300,"GV 20",IF(Tabela8[[#This Row],[SETOR]]&lt;400,"GV 30","S/GV"))))</f>
        <v>GV 20</v>
      </c>
      <c r="E3659" t="s">
        <v>123</v>
      </c>
      <c r="G3659" t="str">
        <f>_xlfn.CONCAT(Tabela9[[#This Row],[Coluna1]],Tabela9[[#This Row],[Coluna2]])</f>
        <v>20-Rota</v>
      </c>
    </row>
    <row r="3660" spans="1:7" x14ac:dyDescent="0.25">
      <c r="A3660">
        <v>18148</v>
      </c>
      <c r="B3660">
        <v>106</v>
      </c>
      <c r="C3660" s="1" t="str">
        <f>IF(Tabela8[[#This Row],[SETOR]]="","",IF(Tabela8[[#This Row],[SETOR]]&lt;200,"GV 10",IF(Tabela8[[#This Row],[SETOR]]&lt;300,"GV 20",IF(Tabela8[[#This Row],[SETOR]]&lt;400,"GV 30","S/GV"))))</f>
        <v>GV 10</v>
      </c>
      <c r="E3660" t="s">
        <v>123</v>
      </c>
      <c r="G3660" t="str">
        <f>_xlfn.CONCAT(Tabela9[[#This Row],[Coluna1]],Tabela9[[#This Row],[Coluna2]])</f>
        <v>20-Rota</v>
      </c>
    </row>
    <row r="3661" spans="1:7" x14ac:dyDescent="0.25">
      <c r="A3661">
        <v>18149</v>
      </c>
      <c r="B3661">
        <v>206</v>
      </c>
      <c r="C3661" s="1" t="str">
        <f>IF(Tabela8[[#This Row],[SETOR]]="","",IF(Tabela8[[#This Row],[SETOR]]&lt;200,"GV 10",IF(Tabela8[[#This Row],[SETOR]]&lt;300,"GV 20",IF(Tabela8[[#This Row],[SETOR]]&lt;400,"GV 30","S/GV"))))</f>
        <v>GV 20</v>
      </c>
      <c r="E3661" t="s">
        <v>123</v>
      </c>
      <c r="G3661" t="str">
        <f>_xlfn.CONCAT(Tabela9[[#This Row],[Coluna1]],Tabela9[[#This Row],[Coluna2]])</f>
        <v>20-Rota</v>
      </c>
    </row>
    <row r="3662" spans="1:7" x14ac:dyDescent="0.25">
      <c r="A3662">
        <v>18150</v>
      </c>
      <c r="B3662">
        <v>103</v>
      </c>
      <c r="C3662" s="1" t="str">
        <f>IF(Tabela8[[#This Row],[SETOR]]="","",IF(Tabela8[[#This Row],[SETOR]]&lt;200,"GV 10",IF(Tabela8[[#This Row],[SETOR]]&lt;300,"GV 20",IF(Tabela8[[#This Row],[SETOR]]&lt;400,"GV 30","S/GV"))))</f>
        <v>GV 10</v>
      </c>
      <c r="E3662" t="s">
        <v>123</v>
      </c>
      <c r="G3662" t="str">
        <f>_xlfn.CONCAT(Tabela9[[#This Row],[Coluna1]],Tabela9[[#This Row],[Coluna2]])</f>
        <v>20-Rota</v>
      </c>
    </row>
    <row r="3663" spans="1:7" x14ac:dyDescent="0.25">
      <c r="A3663">
        <v>18151</v>
      </c>
      <c r="B3663">
        <v>308</v>
      </c>
      <c r="C3663" s="1" t="str">
        <f>IF(Tabela8[[#This Row],[SETOR]]="","",IF(Tabela8[[#This Row],[SETOR]]&lt;200,"GV 10",IF(Tabela8[[#This Row],[SETOR]]&lt;300,"GV 20",IF(Tabela8[[#This Row],[SETOR]]&lt;400,"GV 30","S/GV"))))</f>
        <v>GV 30</v>
      </c>
      <c r="E3663" t="s">
        <v>128</v>
      </c>
      <c r="F3663" t="s">
        <v>129</v>
      </c>
      <c r="G3663" t="str">
        <f>_xlfn.CONCAT(Tabela9[[#This Row],[Coluna1]],Tabela9[[#This Row],[Coluna2]])</f>
        <v>15-AS(1-4)</v>
      </c>
    </row>
    <row r="3664" spans="1:7" x14ac:dyDescent="0.25">
      <c r="A3664">
        <v>18152</v>
      </c>
      <c r="B3664">
        <v>207</v>
      </c>
      <c r="C3664" s="1" t="str">
        <f>IF(Tabela8[[#This Row],[SETOR]]="","",IF(Tabela8[[#This Row],[SETOR]]&lt;200,"GV 10",IF(Tabela8[[#This Row],[SETOR]]&lt;300,"GV 20",IF(Tabela8[[#This Row],[SETOR]]&lt;400,"GV 30","S/GV"))))</f>
        <v>GV 20</v>
      </c>
      <c r="E3664" t="s">
        <v>130</v>
      </c>
      <c r="G3664" t="str">
        <f>_xlfn.CONCAT(Tabela9[[#This Row],[Coluna1]],Tabela9[[#This Row],[Coluna2]])</f>
        <v>21-SUB</v>
      </c>
    </row>
    <row r="3665" spans="1:7" x14ac:dyDescent="0.25">
      <c r="A3665">
        <v>18153</v>
      </c>
      <c r="B3665">
        <v>105</v>
      </c>
      <c r="C3665" s="1" t="str">
        <f>IF(Tabela8[[#This Row],[SETOR]]="","",IF(Tabela8[[#This Row],[SETOR]]&lt;200,"GV 10",IF(Tabela8[[#This Row],[SETOR]]&lt;300,"GV 20",IF(Tabela8[[#This Row],[SETOR]]&lt;400,"GV 30","S/GV"))))</f>
        <v>GV 10</v>
      </c>
      <c r="E3665" t="s">
        <v>123</v>
      </c>
      <c r="G3665" t="str">
        <f>_xlfn.CONCAT(Tabela9[[#This Row],[Coluna1]],Tabela9[[#This Row],[Coluna2]])</f>
        <v>20-Rota</v>
      </c>
    </row>
    <row r="3666" spans="1:7" x14ac:dyDescent="0.25">
      <c r="A3666">
        <v>18154</v>
      </c>
      <c r="B3666">
        <v>205</v>
      </c>
      <c r="C3666" s="1" t="str">
        <f>IF(Tabela8[[#This Row],[SETOR]]="","",IF(Tabela8[[#This Row],[SETOR]]&lt;200,"GV 10",IF(Tabela8[[#This Row],[SETOR]]&lt;300,"GV 20",IF(Tabela8[[#This Row],[SETOR]]&lt;400,"GV 30","S/GV"))))</f>
        <v>GV 20</v>
      </c>
      <c r="E3666" t="s">
        <v>128</v>
      </c>
      <c r="F3666" t="s">
        <v>129</v>
      </c>
      <c r="G3666" t="str">
        <f>_xlfn.CONCAT(Tabela9[[#This Row],[Coluna1]],Tabela9[[#This Row],[Coluna2]])</f>
        <v>15-AS(1-4)</v>
      </c>
    </row>
    <row r="3667" spans="1:7" x14ac:dyDescent="0.25">
      <c r="A3667">
        <v>18155</v>
      </c>
      <c r="B3667">
        <v>202</v>
      </c>
      <c r="C3667" s="1" t="str">
        <f>IF(Tabela8[[#This Row],[SETOR]]="","",IF(Tabela8[[#This Row],[SETOR]]&lt;200,"GV 10",IF(Tabela8[[#This Row],[SETOR]]&lt;300,"GV 20",IF(Tabela8[[#This Row],[SETOR]]&lt;400,"GV 30","S/GV"))))</f>
        <v>GV 20</v>
      </c>
      <c r="E3667" t="s">
        <v>123</v>
      </c>
      <c r="G3667" t="str">
        <f>_xlfn.CONCAT(Tabela9[[#This Row],[Coluna1]],Tabela9[[#This Row],[Coluna2]])</f>
        <v>20-Rota</v>
      </c>
    </row>
    <row r="3668" spans="1:7" x14ac:dyDescent="0.25">
      <c r="A3668">
        <v>18156</v>
      </c>
      <c r="B3668">
        <v>205</v>
      </c>
      <c r="C3668" s="1" t="str">
        <f>IF(Tabela8[[#This Row],[SETOR]]="","",IF(Tabela8[[#This Row],[SETOR]]&lt;200,"GV 10",IF(Tabela8[[#This Row],[SETOR]]&lt;300,"GV 20",IF(Tabela8[[#This Row],[SETOR]]&lt;400,"GV 30","S/GV"))))</f>
        <v>GV 20</v>
      </c>
      <c r="E3668" t="s">
        <v>123</v>
      </c>
      <c r="G3668" t="str">
        <f>_xlfn.CONCAT(Tabela9[[#This Row],[Coluna1]],Tabela9[[#This Row],[Coluna2]])</f>
        <v>20-Rota</v>
      </c>
    </row>
    <row r="3669" spans="1:7" x14ac:dyDescent="0.25">
      <c r="A3669">
        <v>18158</v>
      </c>
      <c r="B3669">
        <v>206</v>
      </c>
      <c r="C3669" s="1" t="str">
        <f>IF(Tabela8[[#This Row],[SETOR]]="","",IF(Tabela8[[#This Row],[SETOR]]&lt;200,"GV 10",IF(Tabela8[[#This Row],[SETOR]]&lt;300,"GV 20",IF(Tabela8[[#This Row],[SETOR]]&lt;400,"GV 30","S/GV"))))</f>
        <v>GV 20</v>
      </c>
      <c r="E3669" t="s">
        <v>123</v>
      </c>
      <c r="G3669" t="str">
        <f>_xlfn.CONCAT(Tabela9[[#This Row],[Coluna1]],Tabela9[[#This Row],[Coluna2]])</f>
        <v>20-Rota</v>
      </c>
    </row>
    <row r="3670" spans="1:7" x14ac:dyDescent="0.25">
      <c r="A3670">
        <v>18160</v>
      </c>
      <c r="B3670">
        <v>916</v>
      </c>
      <c r="C3670" s="1" t="str">
        <f>IF(Tabela8[[#This Row],[SETOR]]="","",IF(Tabela8[[#This Row],[SETOR]]&lt;200,"GV 10",IF(Tabela8[[#This Row],[SETOR]]&lt;300,"GV 20",IF(Tabela8[[#This Row],[SETOR]]&lt;400,"GV 30","S/GV"))))</f>
        <v>S/GV</v>
      </c>
      <c r="G3670" t="str">
        <f>_xlfn.CONCAT(Tabela9[[#This Row],[Coluna1]],Tabela9[[#This Row],[Coluna2]])</f>
        <v/>
      </c>
    </row>
    <row r="3671" spans="1:7" x14ac:dyDescent="0.25">
      <c r="A3671">
        <v>18164</v>
      </c>
      <c r="B3671">
        <v>202</v>
      </c>
      <c r="C3671" s="1" t="str">
        <f>IF(Tabela8[[#This Row],[SETOR]]="","",IF(Tabela8[[#This Row],[SETOR]]&lt;200,"GV 10",IF(Tabela8[[#This Row],[SETOR]]&lt;300,"GV 20",IF(Tabela8[[#This Row],[SETOR]]&lt;400,"GV 30","S/GV"))))</f>
        <v>GV 20</v>
      </c>
      <c r="E3671" t="s">
        <v>123</v>
      </c>
      <c r="G3671" t="str">
        <f>_xlfn.CONCAT(Tabela9[[#This Row],[Coluna1]],Tabela9[[#This Row],[Coluna2]])</f>
        <v>20-Rota</v>
      </c>
    </row>
    <row r="3672" spans="1:7" x14ac:dyDescent="0.25">
      <c r="A3672">
        <v>18165</v>
      </c>
      <c r="B3672">
        <v>206</v>
      </c>
      <c r="C3672" s="1" t="str">
        <f>IF(Tabela8[[#This Row],[SETOR]]="","",IF(Tabela8[[#This Row],[SETOR]]&lt;200,"GV 10",IF(Tabela8[[#This Row],[SETOR]]&lt;300,"GV 20",IF(Tabela8[[#This Row],[SETOR]]&lt;400,"GV 30","S/GV"))))</f>
        <v>GV 20</v>
      </c>
      <c r="E3672" t="s">
        <v>123</v>
      </c>
      <c r="G3672" t="str">
        <f>_xlfn.CONCAT(Tabela9[[#This Row],[Coluna1]],Tabela9[[#This Row],[Coluna2]])</f>
        <v>20-Rota</v>
      </c>
    </row>
    <row r="3673" spans="1:7" x14ac:dyDescent="0.25">
      <c r="A3673">
        <v>18166</v>
      </c>
      <c r="B3673">
        <v>207</v>
      </c>
      <c r="C3673" s="1" t="str">
        <f>IF(Tabela8[[#This Row],[SETOR]]="","",IF(Tabela8[[#This Row],[SETOR]]&lt;200,"GV 10",IF(Tabela8[[#This Row],[SETOR]]&lt;300,"GV 20",IF(Tabela8[[#This Row],[SETOR]]&lt;400,"GV 30","S/GV"))))</f>
        <v>GV 20</v>
      </c>
      <c r="E3673" t="s">
        <v>130</v>
      </c>
      <c r="G3673" t="str">
        <f>_xlfn.CONCAT(Tabela9[[#This Row],[Coluna1]],Tabela9[[#This Row],[Coluna2]])</f>
        <v>21-SUB</v>
      </c>
    </row>
    <row r="3674" spans="1:7" x14ac:dyDescent="0.25">
      <c r="A3674">
        <v>18167</v>
      </c>
      <c r="B3674">
        <v>201</v>
      </c>
      <c r="C3674" s="1" t="str">
        <f>IF(Tabela8[[#This Row],[SETOR]]="","",IF(Tabela8[[#This Row],[SETOR]]&lt;200,"GV 10",IF(Tabela8[[#This Row],[SETOR]]&lt;300,"GV 20",IF(Tabela8[[#This Row],[SETOR]]&lt;400,"GV 30","S/GV"))))</f>
        <v>GV 20</v>
      </c>
      <c r="E3674" t="s">
        <v>123</v>
      </c>
      <c r="G3674" t="str">
        <f>_xlfn.CONCAT(Tabela9[[#This Row],[Coluna1]],Tabela9[[#This Row],[Coluna2]])</f>
        <v>20-Rota</v>
      </c>
    </row>
    <row r="3675" spans="1:7" x14ac:dyDescent="0.25">
      <c r="A3675">
        <v>18169</v>
      </c>
      <c r="B3675">
        <v>301</v>
      </c>
      <c r="C3675" s="1" t="str">
        <f>IF(Tabela8[[#This Row],[SETOR]]="","",IF(Tabela8[[#This Row],[SETOR]]&lt;200,"GV 10",IF(Tabela8[[#This Row],[SETOR]]&lt;300,"GV 20",IF(Tabela8[[#This Row],[SETOR]]&lt;400,"GV 30","S/GV"))))</f>
        <v>GV 30</v>
      </c>
      <c r="E3675" t="s">
        <v>123</v>
      </c>
      <c r="G3675" t="str">
        <f>_xlfn.CONCAT(Tabela9[[#This Row],[Coluna1]],Tabela9[[#This Row],[Coluna2]])</f>
        <v>20-Rota</v>
      </c>
    </row>
    <row r="3676" spans="1:7" x14ac:dyDescent="0.25">
      <c r="A3676">
        <v>18170</v>
      </c>
      <c r="B3676">
        <v>206</v>
      </c>
      <c r="C3676" s="1" t="str">
        <f>IF(Tabela8[[#This Row],[SETOR]]="","",IF(Tabela8[[#This Row],[SETOR]]&lt;200,"GV 10",IF(Tabela8[[#This Row],[SETOR]]&lt;300,"GV 20",IF(Tabela8[[#This Row],[SETOR]]&lt;400,"GV 30","S/GV"))))</f>
        <v>GV 20</v>
      </c>
      <c r="E3676" t="s">
        <v>123</v>
      </c>
      <c r="G3676" t="str">
        <f>_xlfn.CONCAT(Tabela9[[#This Row],[Coluna1]],Tabela9[[#This Row],[Coluna2]])</f>
        <v>20-Rota</v>
      </c>
    </row>
    <row r="3677" spans="1:7" x14ac:dyDescent="0.25">
      <c r="A3677">
        <v>18171</v>
      </c>
      <c r="B3677">
        <v>305</v>
      </c>
      <c r="C3677" s="1" t="str">
        <f>IF(Tabela8[[#This Row],[SETOR]]="","",IF(Tabela8[[#This Row],[SETOR]]&lt;200,"GV 10",IF(Tabela8[[#This Row],[SETOR]]&lt;300,"GV 20",IF(Tabela8[[#This Row],[SETOR]]&lt;400,"GV 30","S/GV"))))</f>
        <v>GV 30</v>
      </c>
      <c r="E3677" t="s">
        <v>123</v>
      </c>
      <c r="G3677" t="str">
        <f>_xlfn.CONCAT(Tabela9[[#This Row],[Coluna1]],Tabela9[[#This Row],[Coluna2]])</f>
        <v>20-Rota</v>
      </c>
    </row>
    <row r="3678" spans="1:7" x14ac:dyDescent="0.25">
      <c r="A3678">
        <v>18173</v>
      </c>
      <c r="B3678">
        <v>103</v>
      </c>
      <c r="C3678" s="1" t="str">
        <f>IF(Tabela8[[#This Row],[SETOR]]="","",IF(Tabela8[[#This Row],[SETOR]]&lt;200,"GV 10",IF(Tabela8[[#This Row],[SETOR]]&lt;300,"GV 20",IF(Tabela8[[#This Row],[SETOR]]&lt;400,"GV 30","S/GV"))))</f>
        <v>GV 10</v>
      </c>
      <c r="E3678" t="s">
        <v>123</v>
      </c>
      <c r="G3678" t="str">
        <f>_xlfn.CONCAT(Tabela9[[#This Row],[Coluna1]],Tabela9[[#This Row],[Coluna2]])</f>
        <v>20-Rota</v>
      </c>
    </row>
    <row r="3679" spans="1:7" x14ac:dyDescent="0.25">
      <c r="A3679">
        <v>18174</v>
      </c>
      <c r="B3679">
        <v>103</v>
      </c>
      <c r="C3679" s="1" t="str">
        <f>IF(Tabela8[[#This Row],[SETOR]]="","",IF(Tabela8[[#This Row],[SETOR]]&lt;200,"GV 10",IF(Tabela8[[#This Row],[SETOR]]&lt;300,"GV 20",IF(Tabela8[[#This Row],[SETOR]]&lt;400,"GV 30","S/GV"))))</f>
        <v>GV 10</v>
      </c>
      <c r="E3679" t="s">
        <v>123</v>
      </c>
      <c r="G3679" t="str">
        <f>_xlfn.CONCAT(Tabela9[[#This Row],[Coluna1]],Tabela9[[#This Row],[Coluna2]])</f>
        <v>20-Rota</v>
      </c>
    </row>
    <row r="3680" spans="1:7" x14ac:dyDescent="0.25">
      <c r="A3680">
        <v>18178</v>
      </c>
      <c r="B3680">
        <v>302</v>
      </c>
      <c r="C3680" s="1" t="str">
        <f>IF(Tabela8[[#This Row],[SETOR]]="","",IF(Tabela8[[#This Row],[SETOR]]&lt;200,"GV 10",IF(Tabela8[[#This Row],[SETOR]]&lt;300,"GV 20",IF(Tabela8[[#This Row],[SETOR]]&lt;400,"GV 30","S/GV"))))</f>
        <v>GV 30</v>
      </c>
      <c r="E3680" t="s">
        <v>123</v>
      </c>
      <c r="G3680" t="str">
        <f>_xlfn.CONCAT(Tabela9[[#This Row],[Coluna1]],Tabela9[[#This Row],[Coluna2]])</f>
        <v>20-Rota</v>
      </c>
    </row>
    <row r="3681" spans="1:7" x14ac:dyDescent="0.25">
      <c r="A3681">
        <v>18179</v>
      </c>
      <c r="B3681">
        <v>304</v>
      </c>
      <c r="C3681" s="1" t="str">
        <f>IF(Tabela8[[#This Row],[SETOR]]="","",IF(Tabela8[[#This Row],[SETOR]]&lt;200,"GV 10",IF(Tabela8[[#This Row],[SETOR]]&lt;300,"GV 20",IF(Tabela8[[#This Row],[SETOR]]&lt;400,"GV 30","S/GV"))))</f>
        <v>GV 30</v>
      </c>
      <c r="E3681" t="s">
        <v>123</v>
      </c>
      <c r="G3681" t="str">
        <f>_xlfn.CONCAT(Tabela9[[#This Row],[Coluna1]],Tabela9[[#This Row],[Coluna2]])</f>
        <v>20-Rota</v>
      </c>
    </row>
    <row r="3682" spans="1:7" x14ac:dyDescent="0.25">
      <c r="A3682">
        <v>18182</v>
      </c>
      <c r="B3682">
        <v>304</v>
      </c>
      <c r="C3682" s="1" t="str">
        <f>IF(Tabela8[[#This Row],[SETOR]]="","",IF(Tabela8[[#This Row],[SETOR]]&lt;200,"GV 10",IF(Tabela8[[#This Row],[SETOR]]&lt;300,"GV 20",IF(Tabela8[[#This Row],[SETOR]]&lt;400,"GV 30","S/GV"))))</f>
        <v>GV 30</v>
      </c>
      <c r="E3682" t="s">
        <v>125</v>
      </c>
      <c r="G3682" t="str">
        <f>_xlfn.CONCAT(Tabela9[[#This Row],[Coluna1]],Tabela9[[#This Row],[Coluna2]])</f>
        <v>18-TRAD</v>
      </c>
    </row>
    <row r="3683" spans="1:7" x14ac:dyDescent="0.25">
      <c r="A3683">
        <v>18185</v>
      </c>
      <c r="B3683">
        <v>205</v>
      </c>
      <c r="C3683" s="1" t="str">
        <f>IF(Tabela8[[#This Row],[SETOR]]="","",IF(Tabela8[[#This Row],[SETOR]]&lt;200,"GV 10",IF(Tabela8[[#This Row],[SETOR]]&lt;300,"GV 20",IF(Tabela8[[#This Row],[SETOR]]&lt;400,"GV 30","S/GV"))))</f>
        <v>GV 20</v>
      </c>
      <c r="E3683" t="s">
        <v>123</v>
      </c>
      <c r="G3683" t="str">
        <f>_xlfn.CONCAT(Tabela9[[#This Row],[Coluna1]],Tabela9[[#This Row],[Coluna2]])</f>
        <v>20-Rota</v>
      </c>
    </row>
    <row r="3684" spans="1:7" x14ac:dyDescent="0.25">
      <c r="A3684">
        <v>18186</v>
      </c>
      <c r="B3684">
        <v>205</v>
      </c>
      <c r="C3684" s="1" t="str">
        <f>IF(Tabela8[[#This Row],[SETOR]]="","",IF(Tabela8[[#This Row],[SETOR]]&lt;200,"GV 10",IF(Tabela8[[#This Row],[SETOR]]&lt;300,"GV 20",IF(Tabela8[[#This Row],[SETOR]]&lt;400,"GV 30","S/GV"))))</f>
        <v>GV 20</v>
      </c>
      <c r="E3684" t="s">
        <v>123</v>
      </c>
      <c r="G3684" t="str">
        <f>_xlfn.CONCAT(Tabela9[[#This Row],[Coluna1]],Tabela9[[#This Row],[Coluna2]])</f>
        <v>20-Rota</v>
      </c>
    </row>
    <row r="3685" spans="1:7" x14ac:dyDescent="0.25">
      <c r="A3685">
        <v>18187</v>
      </c>
      <c r="B3685">
        <v>306</v>
      </c>
      <c r="C3685" s="1" t="str">
        <f>IF(Tabela8[[#This Row],[SETOR]]="","",IF(Tabela8[[#This Row],[SETOR]]&lt;200,"GV 10",IF(Tabela8[[#This Row],[SETOR]]&lt;300,"GV 20",IF(Tabela8[[#This Row],[SETOR]]&lt;400,"GV 30","S/GV"))))</f>
        <v>GV 30</v>
      </c>
      <c r="E3685" t="s">
        <v>125</v>
      </c>
      <c r="G3685" t="str">
        <f>_xlfn.CONCAT(Tabela9[[#This Row],[Coluna1]],Tabela9[[#This Row],[Coluna2]])</f>
        <v>18-TRAD</v>
      </c>
    </row>
    <row r="3686" spans="1:7" x14ac:dyDescent="0.25">
      <c r="A3686">
        <v>18188</v>
      </c>
      <c r="B3686">
        <v>304</v>
      </c>
      <c r="C3686" s="1" t="str">
        <f>IF(Tabela8[[#This Row],[SETOR]]="","",IF(Tabela8[[#This Row],[SETOR]]&lt;200,"GV 10",IF(Tabela8[[#This Row],[SETOR]]&lt;300,"GV 20",IF(Tabela8[[#This Row],[SETOR]]&lt;400,"GV 30","S/GV"))))</f>
        <v>GV 30</v>
      </c>
      <c r="E3686" t="s">
        <v>125</v>
      </c>
      <c r="G3686" t="str">
        <f>_xlfn.CONCAT(Tabela9[[#This Row],[Coluna1]],Tabela9[[#This Row],[Coluna2]])</f>
        <v>18-TRAD</v>
      </c>
    </row>
    <row r="3687" spans="1:7" x14ac:dyDescent="0.25">
      <c r="A3687">
        <v>18189</v>
      </c>
      <c r="B3687">
        <v>207</v>
      </c>
      <c r="C3687" s="1" t="str">
        <f>IF(Tabela8[[#This Row],[SETOR]]="","",IF(Tabela8[[#This Row],[SETOR]]&lt;200,"GV 10",IF(Tabela8[[#This Row],[SETOR]]&lt;300,"GV 20",IF(Tabela8[[#This Row],[SETOR]]&lt;400,"GV 30","S/GV"))))</f>
        <v>GV 20</v>
      </c>
      <c r="E3687" t="s">
        <v>130</v>
      </c>
      <c r="G3687" t="str">
        <f>_xlfn.CONCAT(Tabela9[[#This Row],[Coluna1]],Tabela9[[#This Row],[Coluna2]])</f>
        <v>21-SUB</v>
      </c>
    </row>
    <row r="3688" spans="1:7" x14ac:dyDescent="0.25">
      <c r="A3688">
        <v>18190</v>
      </c>
      <c r="B3688">
        <v>104</v>
      </c>
      <c r="C3688" s="1" t="str">
        <f>IF(Tabela8[[#This Row],[SETOR]]="","",IF(Tabela8[[#This Row],[SETOR]]&lt;200,"GV 10",IF(Tabela8[[#This Row],[SETOR]]&lt;300,"GV 20",IF(Tabela8[[#This Row],[SETOR]]&lt;400,"GV 30","S/GV"))))</f>
        <v>GV 10</v>
      </c>
      <c r="E3688" t="s">
        <v>123</v>
      </c>
      <c r="G3688" t="str">
        <f>_xlfn.CONCAT(Tabela9[[#This Row],[Coluna1]],Tabela9[[#This Row],[Coluna2]])</f>
        <v>20-Rota</v>
      </c>
    </row>
    <row r="3689" spans="1:7" x14ac:dyDescent="0.25">
      <c r="A3689">
        <v>18192</v>
      </c>
      <c r="B3689">
        <v>101</v>
      </c>
      <c r="C3689" s="1" t="str">
        <f>IF(Tabela8[[#This Row],[SETOR]]="","",IF(Tabela8[[#This Row],[SETOR]]&lt;200,"GV 10",IF(Tabela8[[#This Row],[SETOR]]&lt;300,"GV 20",IF(Tabela8[[#This Row],[SETOR]]&lt;400,"GV 30","S/GV"))))</f>
        <v>GV 10</v>
      </c>
      <c r="E3689" t="s">
        <v>125</v>
      </c>
      <c r="G3689" t="str">
        <f>_xlfn.CONCAT(Tabela9[[#This Row],[Coluna1]],Tabela9[[#This Row],[Coluna2]])</f>
        <v>18-TRAD</v>
      </c>
    </row>
    <row r="3690" spans="1:7" x14ac:dyDescent="0.25">
      <c r="A3690">
        <v>18194</v>
      </c>
      <c r="B3690">
        <v>201</v>
      </c>
      <c r="C3690" s="1" t="str">
        <f>IF(Tabela8[[#This Row],[SETOR]]="","",IF(Tabela8[[#This Row],[SETOR]]&lt;200,"GV 10",IF(Tabela8[[#This Row],[SETOR]]&lt;300,"GV 20",IF(Tabela8[[#This Row],[SETOR]]&lt;400,"GV 30","S/GV"))))</f>
        <v>GV 20</v>
      </c>
      <c r="E3690" t="s">
        <v>123</v>
      </c>
      <c r="G3690" t="str">
        <f>_xlfn.CONCAT(Tabela9[[#This Row],[Coluna1]],Tabela9[[#This Row],[Coluna2]])</f>
        <v>20-Rota</v>
      </c>
    </row>
    <row r="3691" spans="1:7" x14ac:dyDescent="0.25">
      <c r="A3691">
        <v>18196</v>
      </c>
      <c r="B3691">
        <v>107</v>
      </c>
      <c r="C3691" s="1" t="str">
        <f>IF(Tabela8[[#This Row],[SETOR]]="","",IF(Tabela8[[#This Row],[SETOR]]&lt;200,"GV 10",IF(Tabela8[[#This Row],[SETOR]]&lt;300,"GV 20",IF(Tabela8[[#This Row],[SETOR]]&lt;400,"GV 30","S/GV"))))</f>
        <v>GV 10</v>
      </c>
      <c r="E3691" t="s">
        <v>130</v>
      </c>
      <c r="G3691" t="str">
        <f>_xlfn.CONCAT(Tabela9[[#This Row],[Coluna1]],Tabela9[[#This Row],[Coluna2]])</f>
        <v>21-SUB</v>
      </c>
    </row>
    <row r="3692" spans="1:7" x14ac:dyDescent="0.25">
      <c r="A3692">
        <v>18197</v>
      </c>
      <c r="B3692">
        <v>106</v>
      </c>
      <c r="C3692" s="1" t="str">
        <f>IF(Tabela8[[#This Row],[SETOR]]="","",IF(Tabela8[[#This Row],[SETOR]]&lt;200,"GV 10",IF(Tabela8[[#This Row],[SETOR]]&lt;300,"GV 20",IF(Tabela8[[#This Row],[SETOR]]&lt;400,"GV 30","S/GV"))))</f>
        <v>GV 10</v>
      </c>
      <c r="E3692" t="s">
        <v>123</v>
      </c>
      <c r="G3692" t="str">
        <f>_xlfn.CONCAT(Tabela9[[#This Row],[Coluna1]],Tabela9[[#This Row],[Coluna2]])</f>
        <v>20-Rota</v>
      </c>
    </row>
    <row r="3693" spans="1:7" x14ac:dyDescent="0.25">
      <c r="A3693">
        <v>18198</v>
      </c>
      <c r="B3693">
        <v>302</v>
      </c>
      <c r="C3693" s="1" t="str">
        <f>IF(Tabela8[[#This Row],[SETOR]]="","",IF(Tabela8[[#This Row],[SETOR]]&lt;200,"GV 10",IF(Tabela8[[#This Row],[SETOR]]&lt;300,"GV 20",IF(Tabela8[[#This Row],[SETOR]]&lt;400,"GV 30","S/GV"))))</f>
        <v>GV 30</v>
      </c>
      <c r="E3693" t="s">
        <v>123</v>
      </c>
      <c r="G3693" t="str">
        <f>_xlfn.CONCAT(Tabela9[[#This Row],[Coluna1]],Tabela9[[#This Row],[Coluna2]])</f>
        <v>20-Rota</v>
      </c>
    </row>
    <row r="3694" spans="1:7" x14ac:dyDescent="0.25">
      <c r="A3694">
        <v>18199</v>
      </c>
      <c r="B3694">
        <v>916</v>
      </c>
      <c r="C3694" s="1" t="str">
        <f>IF(Tabela8[[#This Row],[SETOR]]="","",IF(Tabela8[[#This Row],[SETOR]]&lt;200,"GV 10",IF(Tabela8[[#This Row],[SETOR]]&lt;300,"GV 20",IF(Tabela8[[#This Row],[SETOR]]&lt;400,"GV 30","S/GV"))))</f>
        <v>S/GV</v>
      </c>
      <c r="G3694" t="str">
        <f>_xlfn.CONCAT(Tabela9[[#This Row],[Coluna1]],Tabela9[[#This Row],[Coluna2]])</f>
        <v/>
      </c>
    </row>
    <row r="3695" spans="1:7" x14ac:dyDescent="0.25">
      <c r="A3695">
        <v>18200</v>
      </c>
      <c r="B3695">
        <v>109</v>
      </c>
      <c r="C3695" s="1" t="str">
        <f>IF(Tabela8[[#This Row],[SETOR]]="","",IF(Tabela8[[#This Row],[SETOR]]&lt;200,"GV 10",IF(Tabela8[[#This Row],[SETOR]]&lt;300,"GV 20",IF(Tabela8[[#This Row],[SETOR]]&lt;400,"GV 30","S/GV"))))</f>
        <v>GV 10</v>
      </c>
      <c r="E3695" t="s">
        <v>123</v>
      </c>
      <c r="G3695" t="str">
        <f>_xlfn.CONCAT(Tabela9[[#This Row],[Coluna1]],Tabela9[[#This Row],[Coluna2]])</f>
        <v>20-Rota</v>
      </c>
    </row>
    <row r="3696" spans="1:7" x14ac:dyDescent="0.25">
      <c r="A3696">
        <v>18203</v>
      </c>
      <c r="B3696">
        <v>301</v>
      </c>
      <c r="C3696" s="1" t="str">
        <f>IF(Tabela8[[#This Row],[SETOR]]="","",IF(Tabela8[[#This Row],[SETOR]]&lt;200,"GV 10",IF(Tabela8[[#This Row],[SETOR]]&lt;300,"GV 20",IF(Tabela8[[#This Row],[SETOR]]&lt;400,"GV 30","S/GV"))))</f>
        <v>GV 30</v>
      </c>
      <c r="E3696" t="s">
        <v>123</v>
      </c>
      <c r="G3696" t="str">
        <f>_xlfn.CONCAT(Tabela9[[#This Row],[Coluna1]],Tabela9[[#This Row],[Coluna2]])</f>
        <v>20-Rota</v>
      </c>
    </row>
    <row r="3697" spans="1:7" x14ac:dyDescent="0.25">
      <c r="A3697">
        <v>18208</v>
      </c>
      <c r="B3697">
        <v>205</v>
      </c>
      <c r="C3697" s="1" t="str">
        <f>IF(Tabela8[[#This Row],[SETOR]]="","",IF(Tabela8[[#This Row],[SETOR]]&lt;200,"GV 10",IF(Tabela8[[#This Row],[SETOR]]&lt;300,"GV 20",IF(Tabela8[[#This Row],[SETOR]]&lt;400,"GV 30","S/GV"))))</f>
        <v>GV 20</v>
      </c>
      <c r="E3697" t="s">
        <v>123</v>
      </c>
      <c r="G3697" t="str">
        <f>_xlfn.CONCAT(Tabela9[[#This Row],[Coluna1]],Tabela9[[#This Row],[Coluna2]])</f>
        <v>20-Rota</v>
      </c>
    </row>
    <row r="3698" spans="1:7" x14ac:dyDescent="0.25">
      <c r="A3698">
        <v>18209</v>
      </c>
      <c r="B3698">
        <v>106</v>
      </c>
      <c r="C3698" s="1" t="str">
        <f>IF(Tabela8[[#This Row],[SETOR]]="","",IF(Tabela8[[#This Row],[SETOR]]&lt;200,"GV 10",IF(Tabela8[[#This Row],[SETOR]]&lt;300,"GV 20",IF(Tabela8[[#This Row],[SETOR]]&lt;400,"GV 30","S/GV"))))</f>
        <v>GV 10</v>
      </c>
      <c r="E3698" t="s">
        <v>125</v>
      </c>
      <c r="G3698" t="str">
        <f>_xlfn.CONCAT(Tabela9[[#This Row],[Coluna1]],Tabela9[[#This Row],[Coluna2]])</f>
        <v>18-TRAD</v>
      </c>
    </row>
    <row r="3699" spans="1:7" x14ac:dyDescent="0.25">
      <c r="A3699">
        <v>18211</v>
      </c>
      <c r="B3699">
        <v>302</v>
      </c>
      <c r="C3699" s="1" t="str">
        <f>IF(Tabela8[[#This Row],[SETOR]]="","",IF(Tabela8[[#This Row],[SETOR]]&lt;200,"GV 10",IF(Tabela8[[#This Row],[SETOR]]&lt;300,"GV 20",IF(Tabela8[[#This Row],[SETOR]]&lt;400,"GV 30","S/GV"))))</f>
        <v>GV 30</v>
      </c>
      <c r="E3699" t="s">
        <v>123</v>
      </c>
      <c r="G3699" t="str">
        <f>_xlfn.CONCAT(Tabela9[[#This Row],[Coluna1]],Tabela9[[#This Row],[Coluna2]])</f>
        <v>20-Rota</v>
      </c>
    </row>
    <row r="3700" spans="1:7" x14ac:dyDescent="0.25">
      <c r="A3700">
        <v>18212</v>
      </c>
      <c r="B3700">
        <v>207</v>
      </c>
      <c r="C3700" s="1" t="str">
        <f>IF(Tabela8[[#This Row],[SETOR]]="","",IF(Tabela8[[#This Row],[SETOR]]&lt;200,"GV 10",IF(Tabela8[[#This Row],[SETOR]]&lt;300,"GV 20",IF(Tabela8[[#This Row],[SETOR]]&lt;400,"GV 30","S/GV"))))</f>
        <v>GV 20</v>
      </c>
      <c r="E3700" t="s">
        <v>125</v>
      </c>
      <c r="G3700" t="str">
        <f>_xlfn.CONCAT(Tabela9[[#This Row],[Coluna1]],Tabela9[[#This Row],[Coluna2]])</f>
        <v>18-TRAD</v>
      </c>
    </row>
    <row r="3701" spans="1:7" x14ac:dyDescent="0.25">
      <c r="A3701">
        <v>18213</v>
      </c>
      <c r="B3701">
        <v>301</v>
      </c>
      <c r="C3701" s="1" t="str">
        <f>IF(Tabela8[[#This Row],[SETOR]]="","",IF(Tabela8[[#This Row],[SETOR]]&lt;200,"GV 10",IF(Tabela8[[#This Row],[SETOR]]&lt;300,"GV 20",IF(Tabela8[[#This Row],[SETOR]]&lt;400,"GV 30","S/GV"))))</f>
        <v>GV 30</v>
      </c>
      <c r="E3701" t="s">
        <v>123</v>
      </c>
      <c r="G3701" t="str">
        <f>_xlfn.CONCAT(Tabela9[[#This Row],[Coluna1]],Tabela9[[#This Row],[Coluna2]])</f>
        <v>20-Rota</v>
      </c>
    </row>
    <row r="3702" spans="1:7" x14ac:dyDescent="0.25">
      <c r="A3702">
        <v>18215</v>
      </c>
      <c r="B3702">
        <v>104</v>
      </c>
      <c r="C3702" s="1" t="str">
        <f>IF(Tabela8[[#This Row],[SETOR]]="","",IF(Tabela8[[#This Row],[SETOR]]&lt;200,"GV 10",IF(Tabela8[[#This Row],[SETOR]]&lt;300,"GV 20",IF(Tabela8[[#This Row],[SETOR]]&lt;400,"GV 30","S/GV"))))</f>
        <v>GV 10</v>
      </c>
      <c r="E3702" t="s">
        <v>123</v>
      </c>
      <c r="G3702" t="str">
        <f>_xlfn.CONCAT(Tabela9[[#This Row],[Coluna1]],Tabela9[[#This Row],[Coluna2]])</f>
        <v>20-Rota</v>
      </c>
    </row>
    <row r="3703" spans="1:7" x14ac:dyDescent="0.25">
      <c r="A3703">
        <v>18216</v>
      </c>
      <c r="B3703">
        <v>102</v>
      </c>
      <c r="C3703" s="1" t="str">
        <f>IF(Tabela8[[#This Row],[SETOR]]="","",IF(Tabela8[[#This Row],[SETOR]]&lt;200,"GV 10",IF(Tabela8[[#This Row],[SETOR]]&lt;300,"GV 20",IF(Tabela8[[#This Row],[SETOR]]&lt;400,"GV 30","S/GV"))))</f>
        <v>GV 10</v>
      </c>
      <c r="E3703" t="s">
        <v>133</v>
      </c>
      <c r="G3703" t="str">
        <f>_xlfn.CONCAT(Tabela9[[#This Row],[Coluna1]],Tabela9[[#This Row],[Coluna2]])</f>
        <v>35-OUTROS</v>
      </c>
    </row>
    <row r="3704" spans="1:7" x14ac:dyDescent="0.25">
      <c r="A3704">
        <v>18217</v>
      </c>
      <c r="B3704">
        <v>304</v>
      </c>
      <c r="C3704" s="1" t="str">
        <f>IF(Tabela8[[#This Row],[SETOR]]="","",IF(Tabela8[[#This Row],[SETOR]]&lt;200,"GV 10",IF(Tabela8[[#This Row],[SETOR]]&lt;300,"GV 20",IF(Tabela8[[#This Row],[SETOR]]&lt;400,"GV 30","S/GV"))))</f>
        <v>GV 30</v>
      </c>
      <c r="E3704" t="s">
        <v>123</v>
      </c>
      <c r="G3704" t="str">
        <f>_xlfn.CONCAT(Tabela9[[#This Row],[Coluna1]],Tabela9[[#This Row],[Coluna2]])</f>
        <v>20-Rota</v>
      </c>
    </row>
    <row r="3705" spans="1:7" x14ac:dyDescent="0.25">
      <c r="A3705">
        <v>18219</v>
      </c>
      <c r="B3705">
        <v>107</v>
      </c>
      <c r="C3705" s="1" t="str">
        <f>IF(Tabela8[[#This Row],[SETOR]]="","",IF(Tabela8[[#This Row],[SETOR]]&lt;200,"GV 10",IF(Tabela8[[#This Row],[SETOR]]&lt;300,"GV 20",IF(Tabela8[[#This Row],[SETOR]]&lt;400,"GV 30","S/GV"))))</f>
        <v>GV 10</v>
      </c>
      <c r="E3705" t="s">
        <v>130</v>
      </c>
      <c r="G3705" t="str">
        <f>_xlfn.CONCAT(Tabela9[[#This Row],[Coluna1]],Tabela9[[#This Row],[Coluna2]])</f>
        <v>21-SUB</v>
      </c>
    </row>
    <row r="3706" spans="1:7" x14ac:dyDescent="0.25">
      <c r="A3706">
        <v>18220</v>
      </c>
      <c r="B3706">
        <v>301</v>
      </c>
      <c r="C3706" s="1" t="str">
        <f>IF(Tabela8[[#This Row],[SETOR]]="","",IF(Tabela8[[#This Row],[SETOR]]&lt;200,"GV 10",IF(Tabela8[[#This Row],[SETOR]]&lt;300,"GV 20",IF(Tabela8[[#This Row],[SETOR]]&lt;400,"GV 30","S/GV"))))</f>
        <v>GV 30</v>
      </c>
      <c r="E3706" t="s">
        <v>123</v>
      </c>
      <c r="G3706" t="str">
        <f>_xlfn.CONCAT(Tabela9[[#This Row],[Coluna1]],Tabela9[[#This Row],[Coluna2]])</f>
        <v>20-Rota</v>
      </c>
    </row>
    <row r="3707" spans="1:7" x14ac:dyDescent="0.25">
      <c r="A3707">
        <v>18223</v>
      </c>
      <c r="B3707">
        <v>204</v>
      </c>
      <c r="C3707" s="1" t="str">
        <f>IF(Tabela8[[#This Row],[SETOR]]="","",IF(Tabela8[[#This Row],[SETOR]]&lt;200,"GV 10",IF(Tabela8[[#This Row],[SETOR]]&lt;300,"GV 20",IF(Tabela8[[#This Row],[SETOR]]&lt;400,"GV 30","S/GV"))))</f>
        <v>GV 20</v>
      </c>
      <c r="E3707" t="s">
        <v>125</v>
      </c>
      <c r="G3707" t="str">
        <f>_xlfn.CONCAT(Tabela9[[#This Row],[Coluna1]],Tabela9[[#This Row],[Coluna2]])</f>
        <v>18-TRAD</v>
      </c>
    </row>
    <row r="3708" spans="1:7" x14ac:dyDescent="0.25">
      <c r="A3708">
        <v>18224</v>
      </c>
      <c r="B3708">
        <v>207</v>
      </c>
      <c r="C3708" s="1" t="str">
        <f>IF(Tabela8[[#This Row],[SETOR]]="","",IF(Tabela8[[#This Row],[SETOR]]&lt;200,"GV 10",IF(Tabela8[[#This Row],[SETOR]]&lt;300,"GV 20",IF(Tabela8[[#This Row],[SETOR]]&lt;400,"GV 30","S/GV"))))</f>
        <v>GV 20</v>
      </c>
      <c r="E3708" t="s">
        <v>130</v>
      </c>
      <c r="G3708" t="str">
        <f>_xlfn.CONCAT(Tabela9[[#This Row],[Coluna1]],Tabela9[[#This Row],[Coluna2]])</f>
        <v>21-SUB</v>
      </c>
    </row>
    <row r="3709" spans="1:7" x14ac:dyDescent="0.25">
      <c r="A3709">
        <v>18225</v>
      </c>
      <c r="B3709">
        <v>304</v>
      </c>
      <c r="C3709" s="1" t="str">
        <f>IF(Tabela8[[#This Row],[SETOR]]="","",IF(Tabela8[[#This Row],[SETOR]]&lt;200,"GV 10",IF(Tabela8[[#This Row],[SETOR]]&lt;300,"GV 20",IF(Tabela8[[#This Row],[SETOR]]&lt;400,"GV 30","S/GV"))))</f>
        <v>GV 30</v>
      </c>
      <c r="E3709" t="s">
        <v>125</v>
      </c>
      <c r="G3709" t="str">
        <f>_xlfn.CONCAT(Tabela9[[#This Row],[Coluna1]],Tabela9[[#This Row],[Coluna2]])</f>
        <v>18-TRAD</v>
      </c>
    </row>
    <row r="3710" spans="1:7" x14ac:dyDescent="0.25">
      <c r="A3710">
        <v>18226</v>
      </c>
      <c r="B3710">
        <v>207</v>
      </c>
      <c r="C3710" s="1" t="str">
        <f>IF(Tabela8[[#This Row],[SETOR]]="","",IF(Tabela8[[#This Row],[SETOR]]&lt;200,"GV 10",IF(Tabela8[[#This Row],[SETOR]]&lt;300,"GV 20",IF(Tabela8[[#This Row],[SETOR]]&lt;400,"GV 30","S/GV"))))</f>
        <v>GV 20</v>
      </c>
      <c r="E3710" t="s">
        <v>125</v>
      </c>
      <c r="G3710" t="str">
        <f>_xlfn.CONCAT(Tabela9[[#This Row],[Coluna1]],Tabela9[[#This Row],[Coluna2]])</f>
        <v>18-TRAD</v>
      </c>
    </row>
    <row r="3711" spans="1:7" x14ac:dyDescent="0.25">
      <c r="A3711">
        <v>18230</v>
      </c>
      <c r="B3711">
        <v>907</v>
      </c>
      <c r="C3711" s="1" t="str">
        <f>IF(Tabela8[[#This Row],[SETOR]]="","",IF(Tabela8[[#This Row],[SETOR]]&lt;200,"GV 10",IF(Tabela8[[#This Row],[SETOR]]&lt;300,"GV 20",IF(Tabela8[[#This Row],[SETOR]]&lt;400,"GV 30","S/GV"))))</f>
        <v>S/GV</v>
      </c>
      <c r="G3711" t="str">
        <f>_xlfn.CONCAT(Tabela9[[#This Row],[Coluna1]],Tabela9[[#This Row],[Coluna2]])</f>
        <v/>
      </c>
    </row>
    <row r="3712" spans="1:7" x14ac:dyDescent="0.25">
      <c r="A3712">
        <v>18231</v>
      </c>
      <c r="B3712">
        <v>306</v>
      </c>
      <c r="C3712" s="1" t="str">
        <f>IF(Tabela8[[#This Row],[SETOR]]="","",IF(Tabela8[[#This Row],[SETOR]]&lt;200,"GV 10",IF(Tabela8[[#This Row],[SETOR]]&lt;300,"GV 20",IF(Tabela8[[#This Row],[SETOR]]&lt;400,"GV 30","S/GV"))))</f>
        <v>GV 30</v>
      </c>
      <c r="E3712" t="s">
        <v>125</v>
      </c>
      <c r="G3712" t="str">
        <f>_xlfn.CONCAT(Tabela9[[#This Row],[Coluna1]],Tabela9[[#This Row],[Coluna2]])</f>
        <v>18-TRAD</v>
      </c>
    </row>
    <row r="3713" spans="1:7" x14ac:dyDescent="0.25">
      <c r="A3713">
        <v>18234</v>
      </c>
      <c r="B3713">
        <v>101</v>
      </c>
      <c r="C3713" s="1" t="str">
        <f>IF(Tabela8[[#This Row],[SETOR]]="","",IF(Tabela8[[#This Row],[SETOR]]&lt;200,"GV 10",IF(Tabela8[[#This Row],[SETOR]]&lt;300,"GV 20",IF(Tabela8[[#This Row],[SETOR]]&lt;400,"GV 30","S/GV"))))</f>
        <v>GV 10</v>
      </c>
      <c r="E3713" t="s">
        <v>123</v>
      </c>
      <c r="G3713" t="str">
        <f>_xlfn.CONCAT(Tabela9[[#This Row],[Coluna1]],Tabela9[[#This Row],[Coluna2]])</f>
        <v>20-Rota</v>
      </c>
    </row>
    <row r="3714" spans="1:7" x14ac:dyDescent="0.25">
      <c r="A3714">
        <v>18235</v>
      </c>
      <c r="B3714">
        <v>916</v>
      </c>
      <c r="C3714" s="1" t="str">
        <f>IF(Tabela8[[#This Row],[SETOR]]="","",IF(Tabela8[[#This Row],[SETOR]]&lt;200,"GV 10",IF(Tabela8[[#This Row],[SETOR]]&lt;300,"GV 20",IF(Tabela8[[#This Row],[SETOR]]&lt;400,"GV 30","S/GV"))))</f>
        <v>S/GV</v>
      </c>
      <c r="G3714" t="str">
        <f>_xlfn.CONCAT(Tabela9[[#This Row],[Coluna1]],Tabela9[[#This Row],[Coluna2]])</f>
        <v/>
      </c>
    </row>
    <row r="3715" spans="1:7" x14ac:dyDescent="0.25">
      <c r="A3715">
        <v>18236</v>
      </c>
      <c r="B3715">
        <v>202</v>
      </c>
      <c r="C3715" s="1" t="str">
        <f>IF(Tabela8[[#This Row],[SETOR]]="","",IF(Tabela8[[#This Row],[SETOR]]&lt;200,"GV 10",IF(Tabela8[[#This Row],[SETOR]]&lt;300,"GV 20",IF(Tabela8[[#This Row],[SETOR]]&lt;400,"GV 30","S/GV"))))</f>
        <v>GV 20</v>
      </c>
      <c r="E3715" t="s">
        <v>123</v>
      </c>
      <c r="G3715" t="str">
        <f>_xlfn.CONCAT(Tabela9[[#This Row],[Coluna1]],Tabela9[[#This Row],[Coluna2]])</f>
        <v>20-Rota</v>
      </c>
    </row>
    <row r="3716" spans="1:7" x14ac:dyDescent="0.25">
      <c r="A3716">
        <v>18237</v>
      </c>
      <c r="B3716">
        <v>916</v>
      </c>
      <c r="C3716" s="1" t="str">
        <f>IF(Tabela8[[#This Row],[SETOR]]="","",IF(Tabela8[[#This Row],[SETOR]]&lt;200,"GV 10",IF(Tabela8[[#This Row],[SETOR]]&lt;300,"GV 20",IF(Tabela8[[#This Row],[SETOR]]&lt;400,"GV 30","S/GV"))))</f>
        <v>S/GV</v>
      </c>
      <c r="G3716" t="str">
        <f>_xlfn.CONCAT(Tabela9[[#This Row],[Coluna1]],Tabela9[[#This Row],[Coluna2]])</f>
        <v/>
      </c>
    </row>
    <row r="3717" spans="1:7" x14ac:dyDescent="0.25">
      <c r="A3717">
        <v>18240</v>
      </c>
      <c r="B3717">
        <v>104</v>
      </c>
      <c r="C3717" s="1" t="str">
        <f>IF(Tabela8[[#This Row],[SETOR]]="","",IF(Tabela8[[#This Row],[SETOR]]&lt;200,"GV 10",IF(Tabela8[[#This Row],[SETOR]]&lt;300,"GV 20",IF(Tabela8[[#This Row],[SETOR]]&lt;400,"GV 30","S/GV"))))</f>
        <v>GV 10</v>
      </c>
      <c r="E3717" t="s">
        <v>123</v>
      </c>
      <c r="G3717" t="str">
        <f>_xlfn.CONCAT(Tabela9[[#This Row],[Coluna1]],Tabela9[[#This Row],[Coluna2]])</f>
        <v>20-Rota</v>
      </c>
    </row>
    <row r="3718" spans="1:7" x14ac:dyDescent="0.25">
      <c r="A3718">
        <v>18241</v>
      </c>
      <c r="B3718">
        <v>305</v>
      </c>
      <c r="C3718" s="1" t="str">
        <f>IF(Tabela8[[#This Row],[SETOR]]="","",IF(Tabela8[[#This Row],[SETOR]]&lt;200,"GV 10",IF(Tabela8[[#This Row],[SETOR]]&lt;300,"GV 20",IF(Tabela8[[#This Row],[SETOR]]&lt;400,"GV 30","S/GV"))))</f>
        <v>GV 30</v>
      </c>
      <c r="E3718" t="s">
        <v>130</v>
      </c>
      <c r="G3718" t="str">
        <f>_xlfn.CONCAT(Tabela9[[#This Row],[Coluna1]],Tabela9[[#This Row],[Coluna2]])</f>
        <v>21-SUB</v>
      </c>
    </row>
    <row r="3719" spans="1:7" x14ac:dyDescent="0.25">
      <c r="A3719">
        <v>18242</v>
      </c>
      <c r="B3719">
        <v>205</v>
      </c>
      <c r="C3719" s="1" t="str">
        <f>IF(Tabela8[[#This Row],[SETOR]]="","",IF(Tabela8[[#This Row],[SETOR]]&lt;200,"GV 10",IF(Tabela8[[#This Row],[SETOR]]&lt;300,"GV 20",IF(Tabela8[[#This Row],[SETOR]]&lt;400,"GV 30","S/GV"))))</f>
        <v>GV 20</v>
      </c>
      <c r="E3719" t="s">
        <v>123</v>
      </c>
      <c r="G3719" t="str">
        <f>_xlfn.CONCAT(Tabela9[[#This Row],[Coluna1]],Tabela9[[#This Row],[Coluna2]])</f>
        <v>20-Rota</v>
      </c>
    </row>
    <row r="3720" spans="1:7" x14ac:dyDescent="0.25">
      <c r="A3720">
        <v>18247</v>
      </c>
      <c r="B3720">
        <v>304</v>
      </c>
      <c r="C3720" s="1" t="str">
        <f>IF(Tabela8[[#This Row],[SETOR]]="","",IF(Tabela8[[#This Row],[SETOR]]&lt;200,"GV 10",IF(Tabela8[[#This Row],[SETOR]]&lt;300,"GV 20",IF(Tabela8[[#This Row],[SETOR]]&lt;400,"GV 30","S/GV"))))</f>
        <v>GV 30</v>
      </c>
      <c r="E3720" t="s">
        <v>123</v>
      </c>
      <c r="G3720" t="str">
        <f>_xlfn.CONCAT(Tabela9[[#This Row],[Coluna1]],Tabela9[[#This Row],[Coluna2]])</f>
        <v>20-Rota</v>
      </c>
    </row>
    <row r="3721" spans="1:7" x14ac:dyDescent="0.25">
      <c r="A3721">
        <v>18249</v>
      </c>
      <c r="B3721">
        <v>205</v>
      </c>
      <c r="C3721" s="1" t="str">
        <f>IF(Tabela8[[#This Row],[SETOR]]="","",IF(Tabela8[[#This Row],[SETOR]]&lt;200,"GV 10",IF(Tabela8[[#This Row],[SETOR]]&lt;300,"GV 20",IF(Tabela8[[#This Row],[SETOR]]&lt;400,"GV 30","S/GV"))))</f>
        <v>GV 20</v>
      </c>
      <c r="E3721" t="s">
        <v>130</v>
      </c>
      <c r="G3721" t="str">
        <f>_xlfn.CONCAT(Tabela9[[#This Row],[Coluna1]],Tabela9[[#This Row],[Coluna2]])</f>
        <v>21-SUB</v>
      </c>
    </row>
    <row r="3722" spans="1:7" x14ac:dyDescent="0.25">
      <c r="A3722">
        <v>18250</v>
      </c>
      <c r="B3722">
        <v>305</v>
      </c>
      <c r="C3722" s="1" t="str">
        <f>IF(Tabela8[[#This Row],[SETOR]]="","",IF(Tabela8[[#This Row],[SETOR]]&lt;200,"GV 10",IF(Tabela8[[#This Row],[SETOR]]&lt;300,"GV 20",IF(Tabela8[[#This Row],[SETOR]]&lt;400,"GV 30","S/GV"))))</f>
        <v>GV 30</v>
      </c>
      <c r="E3722" t="s">
        <v>123</v>
      </c>
      <c r="G3722" t="str">
        <f>_xlfn.CONCAT(Tabela9[[#This Row],[Coluna1]],Tabela9[[#This Row],[Coluna2]])</f>
        <v>20-Rota</v>
      </c>
    </row>
    <row r="3723" spans="1:7" x14ac:dyDescent="0.25">
      <c r="A3723">
        <v>18252</v>
      </c>
      <c r="B3723">
        <v>304</v>
      </c>
      <c r="C3723" s="1" t="str">
        <f>IF(Tabela8[[#This Row],[SETOR]]="","",IF(Tabela8[[#This Row],[SETOR]]&lt;200,"GV 10",IF(Tabela8[[#This Row],[SETOR]]&lt;300,"GV 20",IF(Tabela8[[#This Row],[SETOR]]&lt;400,"GV 30","S/GV"))))</f>
        <v>GV 30</v>
      </c>
      <c r="E3723" t="s">
        <v>123</v>
      </c>
      <c r="G3723" t="str">
        <f>_xlfn.CONCAT(Tabela9[[#This Row],[Coluna1]],Tabela9[[#This Row],[Coluna2]])</f>
        <v>20-Rota</v>
      </c>
    </row>
    <row r="3724" spans="1:7" x14ac:dyDescent="0.25">
      <c r="A3724">
        <v>18255</v>
      </c>
      <c r="B3724">
        <v>206</v>
      </c>
      <c r="C3724" s="1" t="str">
        <f>IF(Tabela8[[#This Row],[SETOR]]="","",IF(Tabela8[[#This Row],[SETOR]]&lt;200,"GV 10",IF(Tabela8[[#This Row],[SETOR]]&lt;300,"GV 20",IF(Tabela8[[#This Row],[SETOR]]&lt;400,"GV 30","S/GV"))))</f>
        <v>GV 20</v>
      </c>
      <c r="E3724" t="s">
        <v>123</v>
      </c>
      <c r="G3724" t="str">
        <f>_xlfn.CONCAT(Tabela9[[#This Row],[Coluna1]],Tabela9[[#This Row],[Coluna2]])</f>
        <v>20-Rota</v>
      </c>
    </row>
    <row r="3725" spans="1:7" x14ac:dyDescent="0.25">
      <c r="A3725">
        <v>18256</v>
      </c>
      <c r="B3725">
        <v>204</v>
      </c>
      <c r="C3725" s="1" t="str">
        <f>IF(Tabela8[[#This Row],[SETOR]]="","",IF(Tabela8[[#This Row],[SETOR]]&lt;200,"GV 10",IF(Tabela8[[#This Row],[SETOR]]&lt;300,"GV 20",IF(Tabela8[[#This Row],[SETOR]]&lt;400,"GV 30","S/GV"))))</f>
        <v>GV 20</v>
      </c>
      <c r="E3725" t="s">
        <v>125</v>
      </c>
      <c r="G3725" t="str">
        <f>_xlfn.CONCAT(Tabela9[[#This Row],[Coluna1]],Tabela9[[#This Row],[Coluna2]])</f>
        <v>18-TRAD</v>
      </c>
    </row>
    <row r="3726" spans="1:7" x14ac:dyDescent="0.25">
      <c r="A3726">
        <v>18258</v>
      </c>
      <c r="B3726">
        <v>302</v>
      </c>
      <c r="C3726" s="1" t="str">
        <f>IF(Tabela8[[#This Row],[SETOR]]="","",IF(Tabela8[[#This Row],[SETOR]]&lt;200,"GV 10",IF(Tabela8[[#This Row],[SETOR]]&lt;300,"GV 20",IF(Tabela8[[#This Row],[SETOR]]&lt;400,"GV 30","S/GV"))))</f>
        <v>GV 30</v>
      </c>
      <c r="E3726" t="s">
        <v>123</v>
      </c>
      <c r="G3726" t="str">
        <f>_xlfn.CONCAT(Tabela9[[#This Row],[Coluna1]],Tabela9[[#This Row],[Coluna2]])</f>
        <v>20-Rota</v>
      </c>
    </row>
    <row r="3727" spans="1:7" x14ac:dyDescent="0.25">
      <c r="A3727">
        <v>18259</v>
      </c>
      <c r="B3727">
        <v>302</v>
      </c>
      <c r="C3727" s="1" t="str">
        <f>IF(Tabela8[[#This Row],[SETOR]]="","",IF(Tabela8[[#This Row],[SETOR]]&lt;200,"GV 10",IF(Tabela8[[#This Row],[SETOR]]&lt;300,"GV 20",IF(Tabela8[[#This Row],[SETOR]]&lt;400,"GV 30","S/GV"))))</f>
        <v>GV 30</v>
      </c>
      <c r="E3727" t="s">
        <v>123</v>
      </c>
      <c r="G3727" t="str">
        <f>_xlfn.CONCAT(Tabela9[[#This Row],[Coluna1]],Tabela9[[#This Row],[Coluna2]])</f>
        <v>20-Rota</v>
      </c>
    </row>
    <row r="3728" spans="1:7" x14ac:dyDescent="0.25">
      <c r="A3728">
        <v>18260</v>
      </c>
      <c r="B3728">
        <v>302</v>
      </c>
      <c r="C3728" s="1" t="str">
        <f>IF(Tabela8[[#This Row],[SETOR]]="","",IF(Tabela8[[#This Row],[SETOR]]&lt;200,"GV 10",IF(Tabela8[[#This Row],[SETOR]]&lt;300,"GV 20",IF(Tabela8[[#This Row],[SETOR]]&lt;400,"GV 30","S/GV"))))</f>
        <v>GV 30</v>
      </c>
      <c r="E3728" t="s">
        <v>123</v>
      </c>
      <c r="G3728" t="str">
        <f>_xlfn.CONCAT(Tabela9[[#This Row],[Coluna1]],Tabela9[[#This Row],[Coluna2]])</f>
        <v>20-Rota</v>
      </c>
    </row>
    <row r="3729" spans="1:7" x14ac:dyDescent="0.25">
      <c r="A3729">
        <v>18262</v>
      </c>
      <c r="B3729">
        <v>304</v>
      </c>
      <c r="C3729" s="1" t="str">
        <f>IF(Tabela8[[#This Row],[SETOR]]="","",IF(Tabela8[[#This Row],[SETOR]]&lt;200,"GV 10",IF(Tabela8[[#This Row],[SETOR]]&lt;300,"GV 20",IF(Tabela8[[#This Row],[SETOR]]&lt;400,"GV 30","S/GV"))))</f>
        <v>GV 30</v>
      </c>
      <c r="E3729" t="s">
        <v>123</v>
      </c>
      <c r="G3729" t="str">
        <f>_xlfn.CONCAT(Tabela9[[#This Row],[Coluna1]],Tabela9[[#This Row],[Coluna2]])</f>
        <v>20-Rota</v>
      </c>
    </row>
    <row r="3730" spans="1:7" x14ac:dyDescent="0.25">
      <c r="A3730">
        <v>18265</v>
      </c>
      <c r="B3730">
        <v>103</v>
      </c>
      <c r="C3730" s="1" t="str">
        <f>IF(Tabela8[[#This Row],[SETOR]]="","",IF(Tabela8[[#This Row],[SETOR]]&lt;200,"GV 10",IF(Tabela8[[#This Row],[SETOR]]&lt;300,"GV 20",IF(Tabela8[[#This Row],[SETOR]]&lt;400,"GV 30","S/GV"))))</f>
        <v>GV 10</v>
      </c>
      <c r="E3730" t="s">
        <v>123</v>
      </c>
      <c r="G3730" t="str">
        <f>_xlfn.CONCAT(Tabela9[[#This Row],[Coluna1]],Tabela9[[#This Row],[Coluna2]])</f>
        <v>20-Rota</v>
      </c>
    </row>
    <row r="3731" spans="1:7" x14ac:dyDescent="0.25">
      <c r="A3731">
        <v>18267</v>
      </c>
      <c r="B3731">
        <v>301</v>
      </c>
      <c r="C3731" s="1" t="str">
        <f>IF(Tabela8[[#This Row],[SETOR]]="","",IF(Tabela8[[#This Row],[SETOR]]&lt;200,"GV 10",IF(Tabela8[[#This Row],[SETOR]]&lt;300,"GV 20",IF(Tabela8[[#This Row],[SETOR]]&lt;400,"GV 30","S/GV"))))</f>
        <v>GV 30</v>
      </c>
      <c r="E3731" t="s">
        <v>123</v>
      </c>
      <c r="G3731" t="str">
        <f>_xlfn.CONCAT(Tabela9[[#This Row],[Coluna1]],Tabela9[[#This Row],[Coluna2]])</f>
        <v>20-Rota</v>
      </c>
    </row>
    <row r="3732" spans="1:7" x14ac:dyDescent="0.25">
      <c r="A3732">
        <v>18268</v>
      </c>
      <c r="B3732">
        <v>107</v>
      </c>
      <c r="C3732" s="1" t="str">
        <f>IF(Tabela8[[#This Row],[SETOR]]="","",IF(Tabela8[[#This Row],[SETOR]]&lt;200,"GV 10",IF(Tabela8[[#This Row],[SETOR]]&lt;300,"GV 20",IF(Tabela8[[#This Row],[SETOR]]&lt;400,"GV 30","S/GV"))))</f>
        <v>GV 10</v>
      </c>
      <c r="E3732" t="s">
        <v>130</v>
      </c>
      <c r="G3732" t="str">
        <f>_xlfn.CONCAT(Tabela9[[#This Row],[Coluna1]],Tabela9[[#This Row],[Coluna2]])</f>
        <v>21-SUB</v>
      </c>
    </row>
    <row r="3733" spans="1:7" x14ac:dyDescent="0.25">
      <c r="A3733">
        <v>18269</v>
      </c>
      <c r="B3733">
        <v>916</v>
      </c>
      <c r="C3733" s="1" t="str">
        <f>IF(Tabela8[[#This Row],[SETOR]]="","",IF(Tabela8[[#This Row],[SETOR]]&lt;200,"GV 10",IF(Tabela8[[#This Row],[SETOR]]&lt;300,"GV 20",IF(Tabela8[[#This Row],[SETOR]]&lt;400,"GV 30","S/GV"))))</f>
        <v>S/GV</v>
      </c>
      <c r="G3733" t="str">
        <f>_xlfn.CONCAT(Tabela9[[#This Row],[Coluna1]],Tabela9[[#This Row],[Coluna2]])</f>
        <v/>
      </c>
    </row>
    <row r="3734" spans="1:7" x14ac:dyDescent="0.25">
      <c r="A3734">
        <v>18270</v>
      </c>
      <c r="B3734">
        <v>305</v>
      </c>
      <c r="C3734" s="1" t="str">
        <f>IF(Tabela8[[#This Row],[SETOR]]="","",IF(Tabela8[[#This Row],[SETOR]]&lt;200,"GV 10",IF(Tabela8[[#This Row],[SETOR]]&lt;300,"GV 20",IF(Tabela8[[#This Row],[SETOR]]&lt;400,"GV 30","S/GV"))))</f>
        <v>GV 30</v>
      </c>
      <c r="E3734" t="s">
        <v>123</v>
      </c>
      <c r="G3734" t="str">
        <f>_xlfn.CONCAT(Tabela9[[#This Row],[Coluna1]],Tabela9[[#This Row],[Coluna2]])</f>
        <v>20-Rota</v>
      </c>
    </row>
    <row r="3735" spans="1:7" x14ac:dyDescent="0.25">
      <c r="A3735">
        <v>18271</v>
      </c>
      <c r="B3735">
        <v>104</v>
      </c>
      <c r="C3735" s="1" t="str">
        <f>IF(Tabela8[[#This Row],[SETOR]]="","",IF(Tabela8[[#This Row],[SETOR]]&lt;200,"GV 10",IF(Tabela8[[#This Row],[SETOR]]&lt;300,"GV 20",IF(Tabela8[[#This Row],[SETOR]]&lt;400,"GV 30","S/GV"))))</f>
        <v>GV 10</v>
      </c>
      <c r="E3735" t="s">
        <v>131</v>
      </c>
      <c r="F3735" t="s">
        <v>132</v>
      </c>
      <c r="G3735" t="str">
        <f>_xlfn.CONCAT(Tabela9[[#This Row],[Coluna1]],Tabela9[[#This Row],[Coluna2]])</f>
        <v>14-Lj.Conveniência</v>
      </c>
    </row>
    <row r="3736" spans="1:7" x14ac:dyDescent="0.25">
      <c r="A3736">
        <v>18272</v>
      </c>
      <c r="B3736">
        <v>102</v>
      </c>
      <c r="C3736" s="1" t="str">
        <f>IF(Tabela8[[#This Row],[SETOR]]="","",IF(Tabela8[[#This Row],[SETOR]]&lt;200,"GV 10",IF(Tabela8[[#This Row],[SETOR]]&lt;300,"GV 20",IF(Tabela8[[#This Row],[SETOR]]&lt;400,"GV 30","S/GV"))))</f>
        <v>GV 10</v>
      </c>
      <c r="E3736" t="s">
        <v>123</v>
      </c>
      <c r="G3736" t="str">
        <f>_xlfn.CONCAT(Tabela9[[#This Row],[Coluna1]],Tabela9[[#This Row],[Coluna2]])</f>
        <v>20-Rota</v>
      </c>
    </row>
    <row r="3737" spans="1:7" x14ac:dyDescent="0.25">
      <c r="A3737">
        <v>18273</v>
      </c>
      <c r="B3737">
        <v>101</v>
      </c>
      <c r="C3737" s="1" t="str">
        <f>IF(Tabela8[[#This Row],[SETOR]]="","",IF(Tabela8[[#This Row],[SETOR]]&lt;200,"GV 10",IF(Tabela8[[#This Row],[SETOR]]&lt;300,"GV 20",IF(Tabela8[[#This Row],[SETOR]]&lt;400,"GV 30","S/GV"))))</f>
        <v>GV 10</v>
      </c>
      <c r="E3737" t="s">
        <v>125</v>
      </c>
      <c r="G3737" t="str">
        <f>_xlfn.CONCAT(Tabela9[[#This Row],[Coluna1]],Tabela9[[#This Row],[Coluna2]])</f>
        <v>18-TRAD</v>
      </c>
    </row>
    <row r="3738" spans="1:7" x14ac:dyDescent="0.25">
      <c r="A3738">
        <v>18285</v>
      </c>
      <c r="B3738">
        <v>109</v>
      </c>
      <c r="C3738" s="1" t="str">
        <f>IF(Tabela8[[#This Row],[SETOR]]="","",IF(Tabela8[[#This Row],[SETOR]]&lt;200,"GV 10",IF(Tabela8[[#This Row],[SETOR]]&lt;300,"GV 20",IF(Tabela8[[#This Row],[SETOR]]&lt;400,"GV 30","S/GV"))))</f>
        <v>GV 10</v>
      </c>
      <c r="E3738" t="s">
        <v>123</v>
      </c>
      <c r="G3738" t="str">
        <f>_xlfn.CONCAT(Tabela9[[#This Row],[Coluna1]],Tabela9[[#This Row],[Coluna2]])</f>
        <v>20-Rota</v>
      </c>
    </row>
    <row r="3739" spans="1:7" x14ac:dyDescent="0.25">
      <c r="A3739">
        <v>18286</v>
      </c>
      <c r="B3739">
        <v>106</v>
      </c>
      <c r="C3739" s="1" t="str">
        <f>IF(Tabela8[[#This Row],[SETOR]]="","",IF(Tabela8[[#This Row],[SETOR]]&lt;200,"GV 10",IF(Tabela8[[#This Row],[SETOR]]&lt;300,"GV 20",IF(Tabela8[[#This Row],[SETOR]]&lt;400,"GV 30","S/GV"))))</f>
        <v>GV 10</v>
      </c>
      <c r="E3739" t="s">
        <v>130</v>
      </c>
      <c r="G3739" t="str">
        <f>_xlfn.CONCAT(Tabela9[[#This Row],[Coluna1]],Tabela9[[#This Row],[Coluna2]])</f>
        <v>21-SUB</v>
      </c>
    </row>
    <row r="3740" spans="1:7" x14ac:dyDescent="0.25">
      <c r="A3740">
        <v>18290</v>
      </c>
      <c r="B3740">
        <v>302</v>
      </c>
      <c r="C3740" s="1" t="str">
        <f>IF(Tabela8[[#This Row],[SETOR]]="","",IF(Tabela8[[#This Row],[SETOR]]&lt;200,"GV 10",IF(Tabela8[[#This Row],[SETOR]]&lt;300,"GV 20",IF(Tabela8[[#This Row],[SETOR]]&lt;400,"GV 30","S/GV"))))</f>
        <v>GV 30</v>
      </c>
      <c r="E3740" t="s">
        <v>123</v>
      </c>
      <c r="G3740" t="str">
        <f>_xlfn.CONCAT(Tabela9[[#This Row],[Coluna1]],Tabela9[[#This Row],[Coluna2]])</f>
        <v>20-Rota</v>
      </c>
    </row>
    <row r="3741" spans="1:7" x14ac:dyDescent="0.25">
      <c r="A3741">
        <v>18291</v>
      </c>
      <c r="B3741">
        <v>102</v>
      </c>
      <c r="C3741" s="1" t="str">
        <f>IF(Tabela8[[#This Row],[SETOR]]="","",IF(Tabela8[[#This Row],[SETOR]]&lt;200,"GV 10",IF(Tabela8[[#This Row],[SETOR]]&lt;300,"GV 20",IF(Tabela8[[#This Row],[SETOR]]&lt;400,"GV 30","S/GV"))))</f>
        <v>GV 10</v>
      </c>
      <c r="E3741" t="s">
        <v>125</v>
      </c>
      <c r="G3741" t="str">
        <f>_xlfn.CONCAT(Tabela9[[#This Row],[Coluna1]],Tabela9[[#This Row],[Coluna2]])</f>
        <v>18-TRAD</v>
      </c>
    </row>
    <row r="3742" spans="1:7" x14ac:dyDescent="0.25">
      <c r="A3742">
        <v>18292</v>
      </c>
      <c r="B3742">
        <v>916</v>
      </c>
      <c r="C3742" s="1" t="str">
        <f>IF(Tabela8[[#This Row],[SETOR]]="","",IF(Tabela8[[#This Row],[SETOR]]&lt;200,"GV 10",IF(Tabela8[[#This Row],[SETOR]]&lt;300,"GV 20",IF(Tabela8[[#This Row],[SETOR]]&lt;400,"GV 30","S/GV"))))</f>
        <v>S/GV</v>
      </c>
      <c r="G3742" t="str">
        <f>_xlfn.CONCAT(Tabela9[[#This Row],[Coluna1]],Tabela9[[#This Row],[Coluna2]])</f>
        <v/>
      </c>
    </row>
    <row r="3743" spans="1:7" x14ac:dyDescent="0.25">
      <c r="A3743">
        <v>18293</v>
      </c>
      <c r="B3743">
        <v>916</v>
      </c>
      <c r="C3743" s="1" t="str">
        <f>IF(Tabela8[[#This Row],[SETOR]]="","",IF(Tabela8[[#This Row],[SETOR]]&lt;200,"GV 10",IF(Tabela8[[#This Row],[SETOR]]&lt;300,"GV 20",IF(Tabela8[[#This Row],[SETOR]]&lt;400,"GV 30","S/GV"))))</f>
        <v>S/GV</v>
      </c>
      <c r="G3743" t="str">
        <f>_xlfn.CONCAT(Tabela9[[#This Row],[Coluna1]],Tabela9[[#This Row],[Coluna2]])</f>
        <v/>
      </c>
    </row>
    <row r="3744" spans="1:7" x14ac:dyDescent="0.25">
      <c r="A3744">
        <v>18294</v>
      </c>
      <c r="B3744">
        <v>103</v>
      </c>
      <c r="C3744" s="1" t="str">
        <f>IF(Tabela8[[#This Row],[SETOR]]="","",IF(Tabela8[[#This Row],[SETOR]]&lt;200,"GV 10",IF(Tabela8[[#This Row],[SETOR]]&lt;300,"GV 20",IF(Tabela8[[#This Row],[SETOR]]&lt;400,"GV 30","S/GV"))))</f>
        <v>GV 10</v>
      </c>
      <c r="E3744" t="s">
        <v>123</v>
      </c>
      <c r="G3744" t="str">
        <f>_xlfn.CONCAT(Tabela9[[#This Row],[Coluna1]],Tabela9[[#This Row],[Coluna2]])</f>
        <v>20-Rota</v>
      </c>
    </row>
    <row r="3745" spans="1:7" x14ac:dyDescent="0.25">
      <c r="A3745">
        <v>18295</v>
      </c>
      <c r="B3745">
        <v>205</v>
      </c>
      <c r="C3745" s="1" t="str">
        <f>IF(Tabela8[[#This Row],[SETOR]]="","",IF(Tabela8[[#This Row],[SETOR]]&lt;200,"GV 10",IF(Tabela8[[#This Row],[SETOR]]&lt;300,"GV 20",IF(Tabela8[[#This Row],[SETOR]]&lt;400,"GV 30","S/GV"))))</f>
        <v>GV 20</v>
      </c>
      <c r="E3745" t="s">
        <v>123</v>
      </c>
      <c r="G3745" t="str">
        <f>_xlfn.CONCAT(Tabela9[[#This Row],[Coluna1]],Tabela9[[#This Row],[Coluna2]])</f>
        <v>20-Rota</v>
      </c>
    </row>
    <row r="3746" spans="1:7" x14ac:dyDescent="0.25">
      <c r="A3746">
        <v>18299</v>
      </c>
      <c r="B3746">
        <v>207</v>
      </c>
      <c r="C3746" s="1" t="str">
        <f>IF(Tabela8[[#This Row],[SETOR]]="","",IF(Tabela8[[#This Row],[SETOR]]&lt;200,"GV 10",IF(Tabela8[[#This Row],[SETOR]]&lt;300,"GV 20",IF(Tabela8[[#This Row],[SETOR]]&lt;400,"GV 30","S/GV"))))</f>
        <v>GV 20</v>
      </c>
      <c r="E3746" t="s">
        <v>125</v>
      </c>
      <c r="G3746" t="str">
        <f>_xlfn.CONCAT(Tabela9[[#This Row],[Coluna1]],Tabela9[[#This Row],[Coluna2]])</f>
        <v>18-TRAD</v>
      </c>
    </row>
    <row r="3747" spans="1:7" x14ac:dyDescent="0.25">
      <c r="A3747">
        <v>18302</v>
      </c>
      <c r="B3747">
        <v>201</v>
      </c>
      <c r="C3747" s="1" t="str">
        <f>IF(Tabela8[[#This Row],[SETOR]]="","",IF(Tabela8[[#This Row],[SETOR]]&lt;200,"GV 10",IF(Tabela8[[#This Row],[SETOR]]&lt;300,"GV 20",IF(Tabela8[[#This Row],[SETOR]]&lt;400,"GV 30","S/GV"))))</f>
        <v>GV 20</v>
      </c>
      <c r="E3747" t="s">
        <v>125</v>
      </c>
      <c r="G3747" t="str">
        <f>_xlfn.CONCAT(Tabela9[[#This Row],[Coluna1]],Tabela9[[#This Row],[Coluna2]])</f>
        <v>18-TRAD</v>
      </c>
    </row>
    <row r="3748" spans="1:7" x14ac:dyDescent="0.25">
      <c r="A3748">
        <v>18306</v>
      </c>
      <c r="B3748">
        <v>204</v>
      </c>
      <c r="C3748" s="1" t="str">
        <f>IF(Tabela8[[#This Row],[SETOR]]="","",IF(Tabela8[[#This Row],[SETOR]]&lt;200,"GV 10",IF(Tabela8[[#This Row],[SETOR]]&lt;300,"GV 20",IF(Tabela8[[#This Row],[SETOR]]&lt;400,"GV 30","S/GV"))))</f>
        <v>GV 20</v>
      </c>
      <c r="E3748" t="s">
        <v>123</v>
      </c>
      <c r="G3748" t="str">
        <f>_xlfn.CONCAT(Tabela9[[#This Row],[Coluna1]],Tabela9[[#This Row],[Coluna2]])</f>
        <v>20-Rota</v>
      </c>
    </row>
    <row r="3749" spans="1:7" x14ac:dyDescent="0.25">
      <c r="A3749">
        <v>18307</v>
      </c>
      <c r="B3749">
        <v>206</v>
      </c>
      <c r="C3749" s="1" t="str">
        <f>IF(Tabela8[[#This Row],[SETOR]]="","",IF(Tabela8[[#This Row],[SETOR]]&lt;200,"GV 10",IF(Tabela8[[#This Row],[SETOR]]&lt;300,"GV 20",IF(Tabela8[[#This Row],[SETOR]]&lt;400,"GV 30","S/GV"))))</f>
        <v>GV 20</v>
      </c>
      <c r="E3749" t="s">
        <v>123</v>
      </c>
      <c r="G3749" t="str">
        <f>_xlfn.CONCAT(Tabela9[[#This Row],[Coluna1]],Tabela9[[#This Row],[Coluna2]])</f>
        <v>20-Rota</v>
      </c>
    </row>
    <row r="3750" spans="1:7" x14ac:dyDescent="0.25">
      <c r="A3750">
        <v>18313</v>
      </c>
      <c r="B3750">
        <v>303</v>
      </c>
      <c r="C3750" s="1" t="str">
        <f>IF(Tabela8[[#This Row],[SETOR]]="","",IF(Tabela8[[#This Row],[SETOR]]&lt;200,"GV 10",IF(Tabela8[[#This Row],[SETOR]]&lt;300,"GV 20",IF(Tabela8[[#This Row],[SETOR]]&lt;400,"GV 30","S/GV"))))</f>
        <v>GV 30</v>
      </c>
      <c r="E3750" t="s">
        <v>123</v>
      </c>
      <c r="G3750" t="str">
        <f>_xlfn.CONCAT(Tabela9[[#This Row],[Coluna1]],Tabela9[[#This Row],[Coluna2]])</f>
        <v>20-Rota</v>
      </c>
    </row>
    <row r="3751" spans="1:7" x14ac:dyDescent="0.25">
      <c r="A3751">
        <v>18334</v>
      </c>
      <c r="B3751">
        <v>302</v>
      </c>
      <c r="C3751" s="1" t="str">
        <f>IF(Tabela8[[#This Row],[SETOR]]="","",IF(Tabela8[[#This Row],[SETOR]]&lt;200,"GV 10",IF(Tabela8[[#This Row],[SETOR]]&lt;300,"GV 20",IF(Tabela8[[#This Row],[SETOR]]&lt;400,"GV 30","S/GV"))))</f>
        <v>GV 30</v>
      </c>
      <c r="E3751" t="s">
        <v>130</v>
      </c>
      <c r="G3751" t="str">
        <f>_xlfn.CONCAT(Tabela9[[#This Row],[Coluna1]],Tabela9[[#This Row],[Coluna2]])</f>
        <v>21-SUB</v>
      </c>
    </row>
    <row r="3752" spans="1:7" x14ac:dyDescent="0.25">
      <c r="A3752">
        <v>18337</v>
      </c>
      <c r="B3752">
        <v>301</v>
      </c>
      <c r="C3752" s="1" t="str">
        <f>IF(Tabela8[[#This Row],[SETOR]]="","",IF(Tabela8[[#This Row],[SETOR]]&lt;200,"GV 10",IF(Tabela8[[#This Row],[SETOR]]&lt;300,"GV 20",IF(Tabela8[[#This Row],[SETOR]]&lt;400,"GV 30","S/GV"))))</f>
        <v>GV 30</v>
      </c>
      <c r="E3752" t="s">
        <v>123</v>
      </c>
      <c r="G3752" t="str">
        <f>_xlfn.CONCAT(Tabela9[[#This Row],[Coluna1]],Tabela9[[#This Row],[Coluna2]])</f>
        <v>20-Rota</v>
      </c>
    </row>
    <row r="3753" spans="1:7" x14ac:dyDescent="0.25">
      <c r="A3753">
        <v>18338</v>
      </c>
      <c r="B3753">
        <v>303</v>
      </c>
      <c r="C3753" s="1" t="str">
        <f>IF(Tabela8[[#This Row],[SETOR]]="","",IF(Tabela8[[#This Row],[SETOR]]&lt;200,"GV 10",IF(Tabela8[[#This Row],[SETOR]]&lt;300,"GV 20",IF(Tabela8[[#This Row],[SETOR]]&lt;400,"GV 30","S/GV"))))</f>
        <v>GV 30</v>
      </c>
      <c r="E3753" t="s">
        <v>123</v>
      </c>
      <c r="G3753" t="str">
        <f>_xlfn.CONCAT(Tabela9[[#This Row],[Coluna1]],Tabela9[[#This Row],[Coluna2]])</f>
        <v>20-Rota</v>
      </c>
    </row>
    <row r="3754" spans="1:7" x14ac:dyDescent="0.25">
      <c r="A3754">
        <v>18339</v>
      </c>
      <c r="B3754">
        <v>106</v>
      </c>
      <c r="C3754" s="1" t="str">
        <f>IF(Tabela8[[#This Row],[SETOR]]="","",IF(Tabela8[[#This Row],[SETOR]]&lt;200,"GV 10",IF(Tabela8[[#This Row],[SETOR]]&lt;300,"GV 20",IF(Tabela8[[#This Row],[SETOR]]&lt;400,"GV 30","S/GV"))))</f>
        <v>GV 10</v>
      </c>
      <c r="E3754" t="s">
        <v>123</v>
      </c>
      <c r="G3754" t="str">
        <f>_xlfn.CONCAT(Tabela9[[#This Row],[Coluna1]],Tabela9[[#This Row],[Coluna2]])</f>
        <v>20-Rota</v>
      </c>
    </row>
    <row r="3755" spans="1:7" x14ac:dyDescent="0.25">
      <c r="A3755">
        <v>18341</v>
      </c>
      <c r="B3755">
        <v>103</v>
      </c>
      <c r="C3755" s="1" t="str">
        <f>IF(Tabela8[[#This Row],[SETOR]]="","",IF(Tabela8[[#This Row],[SETOR]]&lt;200,"GV 10",IF(Tabela8[[#This Row],[SETOR]]&lt;300,"GV 20",IF(Tabela8[[#This Row],[SETOR]]&lt;400,"GV 30","S/GV"))))</f>
        <v>GV 10</v>
      </c>
      <c r="E3755" t="s">
        <v>123</v>
      </c>
      <c r="G3755" t="str">
        <f>_xlfn.CONCAT(Tabela9[[#This Row],[Coluna1]],Tabela9[[#This Row],[Coluna2]])</f>
        <v>20-Rota</v>
      </c>
    </row>
    <row r="3756" spans="1:7" x14ac:dyDescent="0.25">
      <c r="A3756">
        <v>18342</v>
      </c>
      <c r="B3756">
        <v>103</v>
      </c>
      <c r="C3756" s="1" t="str">
        <f>IF(Tabela8[[#This Row],[SETOR]]="","",IF(Tabela8[[#This Row],[SETOR]]&lt;200,"GV 10",IF(Tabela8[[#This Row],[SETOR]]&lt;300,"GV 20",IF(Tabela8[[#This Row],[SETOR]]&lt;400,"GV 30","S/GV"))))</f>
        <v>GV 10</v>
      </c>
      <c r="E3756" t="s">
        <v>123</v>
      </c>
      <c r="G3756" t="str">
        <f>_xlfn.CONCAT(Tabela9[[#This Row],[Coluna1]],Tabela9[[#This Row],[Coluna2]])</f>
        <v>20-Rota</v>
      </c>
    </row>
    <row r="3757" spans="1:7" x14ac:dyDescent="0.25">
      <c r="A3757">
        <v>18343</v>
      </c>
      <c r="B3757">
        <v>103</v>
      </c>
      <c r="C3757" s="1" t="str">
        <f>IF(Tabela8[[#This Row],[SETOR]]="","",IF(Tabela8[[#This Row],[SETOR]]&lt;200,"GV 10",IF(Tabela8[[#This Row],[SETOR]]&lt;300,"GV 20",IF(Tabela8[[#This Row],[SETOR]]&lt;400,"GV 30","S/GV"))))</f>
        <v>GV 10</v>
      </c>
      <c r="E3757" t="s">
        <v>133</v>
      </c>
      <c r="G3757" t="str">
        <f>_xlfn.CONCAT(Tabela9[[#This Row],[Coluna1]],Tabela9[[#This Row],[Coluna2]])</f>
        <v>35-OUTROS</v>
      </c>
    </row>
    <row r="3758" spans="1:7" x14ac:dyDescent="0.25">
      <c r="A3758">
        <v>18347</v>
      </c>
      <c r="B3758">
        <v>109</v>
      </c>
      <c r="C3758" s="1" t="str">
        <f>IF(Tabela8[[#This Row],[SETOR]]="","",IF(Tabela8[[#This Row],[SETOR]]&lt;200,"GV 10",IF(Tabela8[[#This Row],[SETOR]]&lt;300,"GV 20",IF(Tabela8[[#This Row],[SETOR]]&lt;400,"GV 30","S/GV"))))</f>
        <v>GV 10</v>
      </c>
      <c r="E3758" t="s">
        <v>125</v>
      </c>
      <c r="G3758" t="str">
        <f>_xlfn.CONCAT(Tabela9[[#This Row],[Coluna1]],Tabela9[[#This Row],[Coluna2]])</f>
        <v>18-TRAD</v>
      </c>
    </row>
    <row r="3759" spans="1:7" x14ac:dyDescent="0.25">
      <c r="A3759">
        <v>18348</v>
      </c>
      <c r="B3759">
        <v>916</v>
      </c>
      <c r="C3759" s="1" t="str">
        <f>IF(Tabela8[[#This Row],[SETOR]]="","",IF(Tabela8[[#This Row],[SETOR]]&lt;200,"GV 10",IF(Tabela8[[#This Row],[SETOR]]&lt;300,"GV 20",IF(Tabela8[[#This Row],[SETOR]]&lt;400,"GV 30","S/GV"))))</f>
        <v>S/GV</v>
      </c>
      <c r="G3759" t="str">
        <f>_xlfn.CONCAT(Tabela9[[#This Row],[Coluna1]],Tabela9[[#This Row],[Coluna2]])</f>
        <v/>
      </c>
    </row>
    <row r="3760" spans="1:7" x14ac:dyDescent="0.25">
      <c r="A3760">
        <v>18349</v>
      </c>
      <c r="B3760">
        <v>202</v>
      </c>
      <c r="C3760" s="1" t="str">
        <f>IF(Tabela8[[#This Row],[SETOR]]="","",IF(Tabela8[[#This Row],[SETOR]]&lt;200,"GV 10",IF(Tabela8[[#This Row],[SETOR]]&lt;300,"GV 20",IF(Tabela8[[#This Row],[SETOR]]&lt;400,"GV 30","S/GV"))))</f>
        <v>GV 20</v>
      </c>
      <c r="E3760" t="s">
        <v>123</v>
      </c>
      <c r="G3760" t="str">
        <f>_xlfn.CONCAT(Tabela9[[#This Row],[Coluna1]],Tabela9[[#This Row],[Coluna2]])</f>
        <v>20-Rota</v>
      </c>
    </row>
    <row r="3761" spans="1:7" x14ac:dyDescent="0.25">
      <c r="A3761">
        <v>18350</v>
      </c>
      <c r="B3761">
        <v>105</v>
      </c>
      <c r="C3761" s="1" t="str">
        <f>IF(Tabela8[[#This Row],[SETOR]]="","",IF(Tabela8[[#This Row],[SETOR]]&lt;200,"GV 10",IF(Tabela8[[#This Row],[SETOR]]&lt;300,"GV 20",IF(Tabela8[[#This Row],[SETOR]]&lt;400,"GV 30","S/GV"))))</f>
        <v>GV 10</v>
      </c>
      <c r="E3761" t="s">
        <v>125</v>
      </c>
      <c r="G3761" t="str">
        <f>_xlfn.CONCAT(Tabela9[[#This Row],[Coluna1]],Tabela9[[#This Row],[Coluna2]])</f>
        <v>18-TRAD</v>
      </c>
    </row>
    <row r="3762" spans="1:7" x14ac:dyDescent="0.25">
      <c r="A3762">
        <v>18352</v>
      </c>
      <c r="B3762">
        <v>303</v>
      </c>
      <c r="C3762" s="1" t="str">
        <f>IF(Tabela8[[#This Row],[SETOR]]="","",IF(Tabela8[[#This Row],[SETOR]]&lt;200,"GV 10",IF(Tabela8[[#This Row],[SETOR]]&lt;300,"GV 20",IF(Tabela8[[#This Row],[SETOR]]&lt;400,"GV 30","S/GV"))))</f>
        <v>GV 30</v>
      </c>
      <c r="E3762" t="s">
        <v>123</v>
      </c>
      <c r="G3762" t="str">
        <f>_xlfn.CONCAT(Tabela9[[#This Row],[Coluna1]],Tabela9[[#This Row],[Coluna2]])</f>
        <v>20-Rota</v>
      </c>
    </row>
    <row r="3763" spans="1:7" x14ac:dyDescent="0.25">
      <c r="A3763">
        <v>18353</v>
      </c>
      <c r="B3763">
        <v>102</v>
      </c>
      <c r="C3763" s="1" t="str">
        <f>IF(Tabela8[[#This Row],[SETOR]]="","",IF(Tabela8[[#This Row],[SETOR]]&lt;200,"GV 10",IF(Tabela8[[#This Row],[SETOR]]&lt;300,"GV 20",IF(Tabela8[[#This Row],[SETOR]]&lt;400,"GV 30","S/GV"))))</f>
        <v>GV 10</v>
      </c>
      <c r="E3763" t="s">
        <v>123</v>
      </c>
      <c r="G3763" t="str">
        <f>_xlfn.CONCAT(Tabela9[[#This Row],[Coluna1]],Tabela9[[#This Row],[Coluna2]])</f>
        <v>20-Rota</v>
      </c>
    </row>
    <row r="3764" spans="1:7" x14ac:dyDescent="0.25">
      <c r="A3764">
        <v>18354</v>
      </c>
      <c r="B3764">
        <v>204</v>
      </c>
      <c r="C3764" s="1" t="str">
        <f>IF(Tabela8[[#This Row],[SETOR]]="","",IF(Tabela8[[#This Row],[SETOR]]&lt;200,"GV 10",IF(Tabela8[[#This Row],[SETOR]]&lt;300,"GV 20",IF(Tabela8[[#This Row],[SETOR]]&lt;400,"GV 30","S/GV"))))</f>
        <v>GV 20</v>
      </c>
      <c r="E3764" t="s">
        <v>123</v>
      </c>
      <c r="G3764" t="str">
        <f>_xlfn.CONCAT(Tabela9[[#This Row],[Coluna1]],Tabela9[[#This Row],[Coluna2]])</f>
        <v>20-Rota</v>
      </c>
    </row>
    <row r="3765" spans="1:7" x14ac:dyDescent="0.25">
      <c r="A3765">
        <v>18357</v>
      </c>
      <c r="B3765">
        <v>301</v>
      </c>
      <c r="C3765" s="1" t="str">
        <f>IF(Tabela8[[#This Row],[SETOR]]="","",IF(Tabela8[[#This Row],[SETOR]]&lt;200,"GV 10",IF(Tabela8[[#This Row],[SETOR]]&lt;300,"GV 20",IF(Tabela8[[#This Row],[SETOR]]&lt;400,"GV 30","S/GV"))))</f>
        <v>GV 30</v>
      </c>
      <c r="E3765" t="s">
        <v>123</v>
      </c>
      <c r="G3765" t="str">
        <f>_xlfn.CONCAT(Tabela9[[#This Row],[Coluna1]],Tabela9[[#This Row],[Coluna2]])</f>
        <v>20-Rota</v>
      </c>
    </row>
    <row r="3766" spans="1:7" x14ac:dyDescent="0.25">
      <c r="A3766">
        <v>18359</v>
      </c>
      <c r="B3766">
        <v>101</v>
      </c>
      <c r="C3766" s="1" t="str">
        <f>IF(Tabela8[[#This Row],[SETOR]]="","",IF(Tabela8[[#This Row],[SETOR]]&lt;200,"GV 10",IF(Tabela8[[#This Row],[SETOR]]&lt;300,"GV 20",IF(Tabela8[[#This Row],[SETOR]]&lt;400,"GV 30","S/GV"))))</f>
        <v>GV 10</v>
      </c>
      <c r="E3766" t="s">
        <v>131</v>
      </c>
      <c r="F3766" t="s">
        <v>132</v>
      </c>
      <c r="G3766" t="str">
        <f>_xlfn.CONCAT(Tabela9[[#This Row],[Coluna1]],Tabela9[[#This Row],[Coluna2]])</f>
        <v>14-Lj.Conveniência</v>
      </c>
    </row>
    <row r="3767" spans="1:7" x14ac:dyDescent="0.25">
      <c r="A3767">
        <v>18360</v>
      </c>
      <c r="B3767">
        <v>307</v>
      </c>
      <c r="C3767" s="1" t="str">
        <f>IF(Tabela8[[#This Row],[SETOR]]="","",IF(Tabela8[[#This Row],[SETOR]]&lt;200,"GV 10",IF(Tabela8[[#This Row],[SETOR]]&lt;300,"GV 20",IF(Tabela8[[#This Row],[SETOR]]&lt;400,"GV 30","S/GV"))))</f>
        <v>GV 30</v>
      </c>
      <c r="E3767" t="s">
        <v>128</v>
      </c>
      <c r="F3767" t="s">
        <v>129</v>
      </c>
      <c r="G3767" t="str">
        <f>_xlfn.CONCAT(Tabela9[[#This Row],[Coluna1]],Tabela9[[#This Row],[Coluna2]])</f>
        <v>15-AS(1-4)</v>
      </c>
    </row>
    <row r="3768" spans="1:7" x14ac:dyDescent="0.25">
      <c r="A3768">
        <v>18363</v>
      </c>
      <c r="B3768">
        <v>109</v>
      </c>
      <c r="C3768" s="1" t="str">
        <f>IF(Tabela8[[#This Row],[SETOR]]="","",IF(Tabela8[[#This Row],[SETOR]]&lt;200,"GV 10",IF(Tabela8[[#This Row],[SETOR]]&lt;300,"GV 20",IF(Tabela8[[#This Row],[SETOR]]&lt;400,"GV 30","S/GV"))))</f>
        <v>GV 10</v>
      </c>
      <c r="E3768" t="s">
        <v>123</v>
      </c>
      <c r="G3768" t="str">
        <f>_xlfn.CONCAT(Tabela9[[#This Row],[Coluna1]],Tabela9[[#This Row],[Coluna2]])</f>
        <v>20-Rota</v>
      </c>
    </row>
    <row r="3769" spans="1:7" x14ac:dyDescent="0.25">
      <c r="A3769">
        <v>18367</v>
      </c>
      <c r="B3769">
        <v>205</v>
      </c>
      <c r="C3769" s="1" t="str">
        <f>IF(Tabela8[[#This Row],[SETOR]]="","",IF(Tabela8[[#This Row],[SETOR]]&lt;200,"GV 10",IF(Tabela8[[#This Row],[SETOR]]&lt;300,"GV 20",IF(Tabela8[[#This Row],[SETOR]]&lt;400,"GV 30","S/GV"))))</f>
        <v>GV 20</v>
      </c>
      <c r="E3769" t="s">
        <v>123</v>
      </c>
      <c r="G3769" t="str">
        <f>_xlfn.CONCAT(Tabela9[[#This Row],[Coluna1]],Tabela9[[#This Row],[Coluna2]])</f>
        <v>20-Rota</v>
      </c>
    </row>
    <row r="3770" spans="1:7" x14ac:dyDescent="0.25">
      <c r="A3770">
        <v>18369</v>
      </c>
      <c r="B3770">
        <v>105</v>
      </c>
      <c r="C3770" s="1" t="str">
        <f>IF(Tabela8[[#This Row],[SETOR]]="","",IF(Tabela8[[#This Row],[SETOR]]&lt;200,"GV 10",IF(Tabela8[[#This Row],[SETOR]]&lt;300,"GV 20",IF(Tabela8[[#This Row],[SETOR]]&lt;400,"GV 30","S/GV"))))</f>
        <v>GV 10</v>
      </c>
      <c r="E3770" t="s">
        <v>123</v>
      </c>
      <c r="G3770" t="str">
        <f>_xlfn.CONCAT(Tabela9[[#This Row],[Coluna1]],Tabela9[[#This Row],[Coluna2]])</f>
        <v>20-Rota</v>
      </c>
    </row>
    <row r="3771" spans="1:7" x14ac:dyDescent="0.25">
      <c r="A3771">
        <v>18370</v>
      </c>
      <c r="B3771">
        <v>201</v>
      </c>
      <c r="C3771" s="1" t="str">
        <f>IF(Tabela8[[#This Row],[SETOR]]="","",IF(Tabela8[[#This Row],[SETOR]]&lt;200,"GV 10",IF(Tabela8[[#This Row],[SETOR]]&lt;300,"GV 20",IF(Tabela8[[#This Row],[SETOR]]&lt;400,"GV 30","S/GV"))))</f>
        <v>GV 20</v>
      </c>
      <c r="E3771" t="s">
        <v>123</v>
      </c>
      <c r="G3771" t="str">
        <f>_xlfn.CONCAT(Tabela9[[#This Row],[Coluna1]],Tabela9[[#This Row],[Coluna2]])</f>
        <v>20-Rota</v>
      </c>
    </row>
    <row r="3772" spans="1:7" x14ac:dyDescent="0.25">
      <c r="A3772">
        <v>18372</v>
      </c>
      <c r="B3772">
        <v>301</v>
      </c>
      <c r="C3772" s="1" t="str">
        <f>IF(Tabela8[[#This Row],[SETOR]]="","",IF(Tabela8[[#This Row],[SETOR]]&lt;200,"GV 10",IF(Tabela8[[#This Row],[SETOR]]&lt;300,"GV 20",IF(Tabela8[[#This Row],[SETOR]]&lt;400,"GV 30","S/GV"))))</f>
        <v>GV 30</v>
      </c>
      <c r="E3772" t="s">
        <v>123</v>
      </c>
      <c r="G3772" t="str">
        <f>_xlfn.CONCAT(Tabela9[[#This Row],[Coluna1]],Tabela9[[#This Row],[Coluna2]])</f>
        <v>20-Rota</v>
      </c>
    </row>
    <row r="3773" spans="1:7" x14ac:dyDescent="0.25">
      <c r="A3773">
        <v>18373</v>
      </c>
      <c r="B3773">
        <v>307</v>
      </c>
      <c r="C3773" s="1" t="str">
        <f>IF(Tabela8[[#This Row],[SETOR]]="","",IF(Tabela8[[#This Row],[SETOR]]&lt;200,"GV 10",IF(Tabela8[[#This Row],[SETOR]]&lt;300,"GV 20",IF(Tabela8[[#This Row],[SETOR]]&lt;400,"GV 30","S/GV"))))</f>
        <v>GV 30</v>
      </c>
      <c r="E3773" t="s">
        <v>130</v>
      </c>
      <c r="G3773" t="str">
        <f>_xlfn.CONCAT(Tabela9[[#This Row],[Coluna1]],Tabela9[[#This Row],[Coluna2]])</f>
        <v>21-SUB</v>
      </c>
    </row>
    <row r="3774" spans="1:7" x14ac:dyDescent="0.25">
      <c r="A3774">
        <v>18374</v>
      </c>
      <c r="B3774">
        <v>203</v>
      </c>
      <c r="C3774" s="1" t="str">
        <f>IF(Tabela8[[#This Row],[SETOR]]="","",IF(Tabela8[[#This Row],[SETOR]]&lt;200,"GV 10",IF(Tabela8[[#This Row],[SETOR]]&lt;300,"GV 20",IF(Tabela8[[#This Row],[SETOR]]&lt;400,"GV 30","S/GV"))))</f>
        <v>GV 20</v>
      </c>
      <c r="E3774" t="s">
        <v>123</v>
      </c>
      <c r="G3774" t="str">
        <f>_xlfn.CONCAT(Tabela9[[#This Row],[Coluna1]],Tabela9[[#This Row],[Coluna2]])</f>
        <v>20-Rota</v>
      </c>
    </row>
    <row r="3775" spans="1:7" x14ac:dyDescent="0.25">
      <c r="A3775">
        <v>18375</v>
      </c>
      <c r="B3775">
        <v>204</v>
      </c>
      <c r="C3775" s="1" t="str">
        <f>IF(Tabela8[[#This Row],[SETOR]]="","",IF(Tabela8[[#This Row],[SETOR]]&lt;200,"GV 10",IF(Tabela8[[#This Row],[SETOR]]&lt;300,"GV 20",IF(Tabela8[[#This Row],[SETOR]]&lt;400,"GV 30","S/GV"))))</f>
        <v>GV 20</v>
      </c>
      <c r="E3775" t="s">
        <v>123</v>
      </c>
      <c r="G3775" t="str">
        <f>_xlfn.CONCAT(Tabela9[[#This Row],[Coluna1]],Tabela9[[#This Row],[Coluna2]])</f>
        <v>20-Rota</v>
      </c>
    </row>
    <row r="3776" spans="1:7" x14ac:dyDescent="0.25">
      <c r="A3776">
        <v>18377</v>
      </c>
      <c r="B3776">
        <v>202</v>
      </c>
      <c r="C3776" s="1" t="str">
        <f>IF(Tabela8[[#This Row],[SETOR]]="","",IF(Tabela8[[#This Row],[SETOR]]&lt;200,"GV 10",IF(Tabela8[[#This Row],[SETOR]]&lt;300,"GV 20",IF(Tabela8[[#This Row],[SETOR]]&lt;400,"GV 30","S/GV"))))</f>
        <v>GV 20</v>
      </c>
      <c r="E3776" t="s">
        <v>123</v>
      </c>
      <c r="G3776" t="str">
        <f>_xlfn.CONCAT(Tabela9[[#This Row],[Coluna1]],Tabela9[[#This Row],[Coluna2]])</f>
        <v>20-Rota</v>
      </c>
    </row>
    <row r="3777" spans="1:7" x14ac:dyDescent="0.25">
      <c r="A3777">
        <v>18379</v>
      </c>
      <c r="B3777">
        <v>907</v>
      </c>
      <c r="C3777" s="1" t="str">
        <f>IF(Tabela8[[#This Row],[SETOR]]="","",IF(Tabela8[[#This Row],[SETOR]]&lt;200,"GV 10",IF(Tabela8[[#This Row],[SETOR]]&lt;300,"GV 20",IF(Tabela8[[#This Row],[SETOR]]&lt;400,"GV 30","S/GV"))))</f>
        <v>S/GV</v>
      </c>
      <c r="G3777" t="str">
        <f>_xlfn.CONCAT(Tabela9[[#This Row],[Coluna1]],Tabela9[[#This Row],[Coluna2]])</f>
        <v/>
      </c>
    </row>
    <row r="3778" spans="1:7" x14ac:dyDescent="0.25">
      <c r="A3778">
        <v>18380</v>
      </c>
      <c r="B3778">
        <v>203</v>
      </c>
      <c r="C3778" s="1" t="str">
        <f>IF(Tabela8[[#This Row],[SETOR]]="","",IF(Tabela8[[#This Row],[SETOR]]&lt;200,"GV 10",IF(Tabela8[[#This Row],[SETOR]]&lt;300,"GV 20",IF(Tabela8[[#This Row],[SETOR]]&lt;400,"GV 30","S/GV"))))</f>
        <v>GV 20</v>
      </c>
      <c r="E3778" t="s">
        <v>130</v>
      </c>
      <c r="G3778" t="str">
        <f>_xlfn.CONCAT(Tabela9[[#This Row],[Coluna1]],Tabela9[[#This Row],[Coluna2]])</f>
        <v>21-SUB</v>
      </c>
    </row>
    <row r="3779" spans="1:7" x14ac:dyDescent="0.25">
      <c r="A3779">
        <v>18382</v>
      </c>
      <c r="B3779">
        <v>303</v>
      </c>
      <c r="C3779" s="1" t="str">
        <f>IF(Tabela8[[#This Row],[SETOR]]="","",IF(Tabela8[[#This Row],[SETOR]]&lt;200,"GV 10",IF(Tabela8[[#This Row],[SETOR]]&lt;300,"GV 20",IF(Tabela8[[#This Row],[SETOR]]&lt;400,"GV 30","S/GV"))))</f>
        <v>GV 30</v>
      </c>
      <c r="E3779" t="s">
        <v>123</v>
      </c>
      <c r="G3779" t="str">
        <f>_xlfn.CONCAT(Tabela9[[#This Row],[Coluna1]],Tabela9[[#This Row],[Coluna2]])</f>
        <v>20-Rota</v>
      </c>
    </row>
    <row r="3780" spans="1:7" x14ac:dyDescent="0.25">
      <c r="A3780">
        <v>18383</v>
      </c>
      <c r="B3780">
        <v>107</v>
      </c>
      <c r="C3780" s="1" t="str">
        <f>IF(Tabela8[[#This Row],[SETOR]]="","",IF(Tabela8[[#This Row],[SETOR]]&lt;200,"GV 10",IF(Tabela8[[#This Row],[SETOR]]&lt;300,"GV 20",IF(Tabela8[[#This Row],[SETOR]]&lt;400,"GV 30","S/GV"))))</f>
        <v>GV 10</v>
      </c>
      <c r="E3780" t="s">
        <v>130</v>
      </c>
      <c r="G3780" t="str">
        <f>_xlfn.CONCAT(Tabela9[[#This Row],[Coluna1]],Tabela9[[#This Row],[Coluna2]])</f>
        <v>21-SUB</v>
      </c>
    </row>
    <row r="3781" spans="1:7" x14ac:dyDescent="0.25">
      <c r="A3781">
        <v>18385</v>
      </c>
      <c r="B3781">
        <v>303</v>
      </c>
      <c r="C3781" s="1" t="str">
        <f>IF(Tabela8[[#This Row],[SETOR]]="","",IF(Tabela8[[#This Row],[SETOR]]&lt;200,"GV 10",IF(Tabela8[[#This Row],[SETOR]]&lt;300,"GV 20",IF(Tabela8[[#This Row],[SETOR]]&lt;400,"GV 30","S/GV"))))</f>
        <v>GV 30</v>
      </c>
      <c r="E3781" t="s">
        <v>123</v>
      </c>
      <c r="G3781" t="str">
        <f>_xlfn.CONCAT(Tabela9[[#This Row],[Coluna1]],Tabela9[[#This Row],[Coluna2]])</f>
        <v>20-Rota</v>
      </c>
    </row>
    <row r="3782" spans="1:7" x14ac:dyDescent="0.25">
      <c r="A3782">
        <v>18387</v>
      </c>
      <c r="B3782">
        <v>205</v>
      </c>
      <c r="C3782" s="1" t="str">
        <f>IF(Tabela8[[#This Row],[SETOR]]="","",IF(Tabela8[[#This Row],[SETOR]]&lt;200,"GV 10",IF(Tabela8[[#This Row],[SETOR]]&lt;300,"GV 20",IF(Tabela8[[#This Row],[SETOR]]&lt;400,"GV 30","S/GV"))))</f>
        <v>GV 20</v>
      </c>
      <c r="E3782" t="s">
        <v>123</v>
      </c>
      <c r="G3782" t="str">
        <f>_xlfn.CONCAT(Tabela9[[#This Row],[Coluna1]],Tabela9[[#This Row],[Coluna2]])</f>
        <v>20-Rota</v>
      </c>
    </row>
    <row r="3783" spans="1:7" x14ac:dyDescent="0.25">
      <c r="A3783">
        <v>18388</v>
      </c>
      <c r="B3783">
        <v>109</v>
      </c>
      <c r="C3783" s="1" t="str">
        <f>IF(Tabela8[[#This Row],[SETOR]]="","",IF(Tabela8[[#This Row],[SETOR]]&lt;200,"GV 10",IF(Tabela8[[#This Row],[SETOR]]&lt;300,"GV 20",IF(Tabela8[[#This Row],[SETOR]]&lt;400,"GV 30","S/GV"))))</f>
        <v>GV 10</v>
      </c>
      <c r="E3783" t="s">
        <v>123</v>
      </c>
      <c r="G3783" t="str">
        <f>_xlfn.CONCAT(Tabela9[[#This Row],[Coluna1]],Tabela9[[#This Row],[Coluna2]])</f>
        <v>20-Rota</v>
      </c>
    </row>
    <row r="3784" spans="1:7" x14ac:dyDescent="0.25">
      <c r="A3784">
        <v>18389</v>
      </c>
      <c r="B3784">
        <v>204</v>
      </c>
      <c r="C3784" s="1" t="str">
        <f>IF(Tabela8[[#This Row],[SETOR]]="","",IF(Tabela8[[#This Row],[SETOR]]&lt;200,"GV 10",IF(Tabela8[[#This Row],[SETOR]]&lt;300,"GV 20",IF(Tabela8[[#This Row],[SETOR]]&lt;400,"GV 30","S/GV"))))</f>
        <v>GV 20</v>
      </c>
      <c r="E3784" t="s">
        <v>123</v>
      </c>
      <c r="G3784" t="str">
        <f>_xlfn.CONCAT(Tabela9[[#This Row],[Coluna1]],Tabela9[[#This Row],[Coluna2]])</f>
        <v>20-Rota</v>
      </c>
    </row>
    <row r="3785" spans="1:7" x14ac:dyDescent="0.25">
      <c r="A3785">
        <v>18390</v>
      </c>
      <c r="B3785">
        <v>204</v>
      </c>
      <c r="C3785" s="1" t="str">
        <f>IF(Tabela8[[#This Row],[SETOR]]="","",IF(Tabela8[[#This Row],[SETOR]]&lt;200,"GV 10",IF(Tabela8[[#This Row],[SETOR]]&lt;300,"GV 20",IF(Tabela8[[#This Row],[SETOR]]&lt;400,"GV 30","S/GV"))))</f>
        <v>GV 20</v>
      </c>
      <c r="E3785" t="s">
        <v>130</v>
      </c>
      <c r="G3785" t="str">
        <f>_xlfn.CONCAT(Tabela9[[#This Row],[Coluna1]],Tabela9[[#This Row],[Coluna2]])</f>
        <v>21-SUB</v>
      </c>
    </row>
    <row r="3786" spans="1:7" x14ac:dyDescent="0.25">
      <c r="A3786">
        <v>18394</v>
      </c>
      <c r="B3786">
        <v>202</v>
      </c>
      <c r="C3786" s="1" t="str">
        <f>IF(Tabela8[[#This Row],[SETOR]]="","",IF(Tabela8[[#This Row],[SETOR]]&lt;200,"GV 10",IF(Tabela8[[#This Row],[SETOR]]&lt;300,"GV 20",IF(Tabela8[[#This Row],[SETOR]]&lt;400,"GV 30","S/GV"))))</f>
        <v>GV 20</v>
      </c>
      <c r="E3786" t="s">
        <v>123</v>
      </c>
      <c r="G3786" t="str">
        <f>_xlfn.CONCAT(Tabela9[[#This Row],[Coluna1]],Tabela9[[#This Row],[Coluna2]])</f>
        <v>20-Rota</v>
      </c>
    </row>
    <row r="3787" spans="1:7" x14ac:dyDescent="0.25">
      <c r="A3787">
        <v>18395</v>
      </c>
      <c r="B3787">
        <v>106</v>
      </c>
      <c r="C3787" s="1" t="str">
        <f>IF(Tabela8[[#This Row],[SETOR]]="","",IF(Tabela8[[#This Row],[SETOR]]&lt;200,"GV 10",IF(Tabela8[[#This Row],[SETOR]]&lt;300,"GV 20",IF(Tabela8[[#This Row],[SETOR]]&lt;400,"GV 30","S/GV"))))</f>
        <v>GV 10</v>
      </c>
      <c r="E3787" t="s">
        <v>128</v>
      </c>
      <c r="F3787" t="s">
        <v>129</v>
      </c>
      <c r="G3787" t="str">
        <f>_xlfn.CONCAT(Tabela9[[#This Row],[Coluna1]],Tabela9[[#This Row],[Coluna2]])</f>
        <v>15-AS(1-4)</v>
      </c>
    </row>
    <row r="3788" spans="1:7" x14ac:dyDescent="0.25">
      <c r="A3788">
        <v>18396</v>
      </c>
      <c r="B3788">
        <v>305</v>
      </c>
      <c r="C3788" s="1" t="str">
        <f>IF(Tabela8[[#This Row],[SETOR]]="","",IF(Tabela8[[#This Row],[SETOR]]&lt;200,"GV 10",IF(Tabela8[[#This Row],[SETOR]]&lt;300,"GV 20",IF(Tabela8[[#This Row],[SETOR]]&lt;400,"GV 30","S/GV"))))</f>
        <v>GV 30</v>
      </c>
      <c r="E3788" t="s">
        <v>123</v>
      </c>
      <c r="G3788" t="str">
        <f>_xlfn.CONCAT(Tabela9[[#This Row],[Coluna1]],Tabela9[[#This Row],[Coluna2]])</f>
        <v>20-Rota</v>
      </c>
    </row>
    <row r="3789" spans="1:7" x14ac:dyDescent="0.25">
      <c r="A3789">
        <v>18397</v>
      </c>
      <c r="B3789">
        <v>201</v>
      </c>
      <c r="C3789" s="1" t="str">
        <f>IF(Tabela8[[#This Row],[SETOR]]="","",IF(Tabela8[[#This Row],[SETOR]]&lt;200,"GV 10",IF(Tabela8[[#This Row],[SETOR]]&lt;300,"GV 20",IF(Tabela8[[#This Row],[SETOR]]&lt;400,"GV 30","S/GV"))))</f>
        <v>GV 20</v>
      </c>
      <c r="E3789" t="s">
        <v>123</v>
      </c>
      <c r="G3789" t="str">
        <f>_xlfn.CONCAT(Tabela9[[#This Row],[Coluna1]],Tabela9[[#This Row],[Coluna2]])</f>
        <v>20-Rota</v>
      </c>
    </row>
    <row r="3790" spans="1:7" x14ac:dyDescent="0.25">
      <c r="A3790">
        <v>18399</v>
      </c>
      <c r="B3790">
        <v>916</v>
      </c>
      <c r="C3790" s="1" t="str">
        <f>IF(Tabela8[[#This Row],[SETOR]]="","",IF(Tabela8[[#This Row],[SETOR]]&lt;200,"GV 10",IF(Tabela8[[#This Row],[SETOR]]&lt;300,"GV 20",IF(Tabela8[[#This Row],[SETOR]]&lt;400,"GV 30","S/GV"))))</f>
        <v>S/GV</v>
      </c>
      <c r="G3790" t="str">
        <f>_xlfn.CONCAT(Tabela9[[#This Row],[Coluna1]],Tabela9[[#This Row],[Coluna2]])</f>
        <v/>
      </c>
    </row>
    <row r="3791" spans="1:7" x14ac:dyDescent="0.25">
      <c r="A3791">
        <v>18400</v>
      </c>
      <c r="B3791">
        <v>207</v>
      </c>
      <c r="C3791" s="1" t="str">
        <f>IF(Tabela8[[#This Row],[SETOR]]="","",IF(Tabela8[[#This Row],[SETOR]]&lt;200,"GV 10",IF(Tabela8[[#This Row],[SETOR]]&lt;300,"GV 20",IF(Tabela8[[#This Row],[SETOR]]&lt;400,"GV 30","S/GV"))))</f>
        <v>GV 20</v>
      </c>
      <c r="E3791" t="s">
        <v>130</v>
      </c>
      <c r="G3791" t="str">
        <f>_xlfn.CONCAT(Tabela9[[#This Row],[Coluna1]],Tabela9[[#This Row],[Coluna2]])</f>
        <v>21-SUB</v>
      </c>
    </row>
    <row r="3792" spans="1:7" x14ac:dyDescent="0.25">
      <c r="A3792">
        <v>18402</v>
      </c>
      <c r="B3792">
        <v>201</v>
      </c>
      <c r="C3792" s="1" t="str">
        <f>IF(Tabela8[[#This Row],[SETOR]]="","",IF(Tabela8[[#This Row],[SETOR]]&lt;200,"GV 10",IF(Tabela8[[#This Row],[SETOR]]&lt;300,"GV 20",IF(Tabela8[[#This Row],[SETOR]]&lt;400,"GV 30","S/GV"))))</f>
        <v>GV 20</v>
      </c>
      <c r="E3792" t="s">
        <v>123</v>
      </c>
      <c r="G3792" t="str">
        <f>_xlfn.CONCAT(Tabela9[[#This Row],[Coluna1]],Tabela9[[#This Row],[Coluna2]])</f>
        <v>20-Rota</v>
      </c>
    </row>
    <row r="3793" spans="1:7" x14ac:dyDescent="0.25">
      <c r="A3793">
        <v>18404</v>
      </c>
      <c r="B3793">
        <v>203</v>
      </c>
      <c r="C3793" s="1" t="str">
        <f>IF(Tabela8[[#This Row],[SETOR]]="","",IF(Tabela8[[#This Row],[SETOR]]&lt;200,"GV 10",IF(Tabela8[[#This Row],[SETOR]]&lt;300,"GV 20",IF(Tabela8[[#This Row],[SETOR]]&lt;400,"GV 30","S/GV"))))</f>
        <v>GV 20</v>
      </c>
      <c r="E3793" t="s">
        <v>123</v>
      </c>
      <c r="G3793" t="str">
        <f>_xlfn.CONCAT(Tabela9[[#This Row],[Coluna1]],Tabela9[[#This Row],[Coluna2]])</f>
        <v>20-Rota</v>
      </c>
    </row>
    <row r="3794" spans="1:7" x14ac:dyDescent="0.25">
      <c r="A3794">
        <v>18413</v>
      </c>
      <c r="B3794">
        <v>304</v>
      </c>
      <c r="C3794" s="1" t="str">
        <f>IF(Tabela8[[#This Row],[SETOR]]="","",IF(Tabela8[[#This Row],[SETOR]]&lt;200,"GV 10",IF(Tabela8[[#This Row],[SETOR]]&lt;300,"GV 20",IF(Tabela8[[#This Row],[SETOR]]&lt;400,"GV 30","S/GV"))))</f>
        <v>GV 30</v>
      </c>
      <c r="E3794" t="s">
        <v>123</v>
      </c>
      <c r="G3794" t="str">
        <f>_xlfn.CONCAT(Tabela9[[#This Row],[Coluna1]],Tabela9[[#This Row],[Coluna2]])</f>
        <v>20-Rota</v>
      </c>
    </row>
    <row r="3795" spans="1:7" x14ac:dyDescent="0.25">
      <c r="A3795">
        <v>18416</v>
      </c>
      <c r="B3795">
        <v>303</v>
      </c>
      <c r="C3795" s="1" t="str">
        <f>IF(Tabela8[[#This Row],[SETOR]]="","",IF(Tabela8[[#This Row],[SETOR]]&lt;200,"GV 10",IF(Tabela8[[#This Row],[SETOR]]&lt;300,"GV 20",IF(Tabela8[[#This Row],[SETOR]]&lt;400,"GV 30","S/GV"))))</f>
        <v>GV 30</v>
      </c>
      <c r="E3795" t="s">
        <v>123</v>
      </c>
      <c r="G3795" t="str">
        <f>_xlfn.CONCAT(Tabela9[[#This Row],[Coluna1]],Tabela9[[#This Row],[Coluna2]])</f>
        <v>20-Rota</v>
      </c>
    </row>
    <row r="3796" spans="1:7" x14ac:dyDescent="0.25">
      <c r="A3796">
        <v>18417</v>
      </c>
      <c r="B3796">
        <v>104</v>
      </c>
      <c r="C3796" s="1" t="str">
        <f>IF(Tabela8[[#This Row],[SETOR]]="","",IF(Tabela8[[#This Row],[SETOR]]&lt;200,"GV 10",IF(Tabela8[[#This Row],[SETOR]]&lt;300,"GV 20",IF(Tabela8[[#This Row],[SETOR]]&lt;400,"GV 30","S/GV"))))</f>
        <v>GV 10</v>
      </c>
      <c r="E3796" t="s">
        <v>123</v>
      </c>
      <c r="G3796" t="str">
        <f>_xlfn.CONCAT(Tabela9[[#This Row],[Coluna1]],Tabela9[[#This Row],[Coluna2]])</f>
        <v>20-Rota</v>
      </c>
    </row>
    <row r="3797" spans="1:7" x14ac:dyDescent="0.25">
      <c r="A3797">
        <v>18418</v>
      </c>
      <c r="B3797">
        <v>201</v>
      </c>
      <c r="C3797" s="1" t="str">
        <f>IF(Tabela8[[#This Row],[SETOR]]="","",IF(Tabela8[[#This Row],[SETOR]]&lt;200,"GV 10",IF(Tabela8[[#This Row],[SETOR]]&lt;300,"GV 20",IF(Tabela8[[#This Row],[SETOR]]&lt;400,"GV 30","S/GV"))))</f>
        <v>GV 20</v>
      </c>
      <c r="E3797" t="s">
        <v>130</v>
      </c>
      <c r="G3797" t="str">
        <f>_xlfn.CONCAT(Tabela9[[#This Row],[Coluna1]],Tabela9[[#This Row],[Coluna2]])</f>
        <v>21-SUB</v>
      </c>
    </row>
    <row r="3798" spans="1:7" x14ac:dyDescent="0.25">
      <c r="A3798">
        <v>18419</v>
      </c>
      <c r="B3798">
        <v>201</v>
      </c>
      <c r="C3798" s="1" t="str">
        <f>IF(Tabela8[[#This Row],[SETOR]]="","",IF(Tabela8[[#This Row],[SETOR]]&lt;200,"GV 10",IF(Tabela8[[#This Row],[SETOR]]&lt;300,"GV 20",IF(Tabela8[[#This Row],[SETOR]]&lt;400,"GV 30","S/GV"))))</f>
        <v>GV 20</v>
      </c>
      <c r="E3798" t="s">
        <v>123</v>
      </c>
      <c r="G3798" t="str">
        <f>_xlfn.CONCAT(Tabela9[[#This Row],[Coluna1]],Tabela9[[#This Row],[Coluna2]])</f>
        <v>20-Rota</v>
      </c>
    </row>
    <row r="3799" spans="1:7" x14ac:dyDescent="0.25">
      <c r="A3799">
        <v>18421</v>
      </c>
      <c r="B3799">
        <v>302</v>
      </c>
      <c r="C3799" s="1" t="str">
        <f>IF(Tabela8[[#This Row],[SETOR]]="","",IF(Tabela8[[#This Row],[SETOR]]&lt;200,"GV 10",IF(Tabela8[[#This Row],[SETOR]]&lt;300,"GV 20",IF(Tabela8[[#This Row],[SETOR]]&lt;400,"GV 30","S/GV"))))</f>
        <v>GV 30</v>
      </c>
      <c r="E3799" t="s">
        <v>123</v>
      </c>
      <c r="G3799" t="str">
        <f>_xlfn.CONCAT(Tabela9[[#This Row],[Coluna1]],Tabela9[[#This Row],[Coluna2]])</f>
        <v>20-Rota</v>
      </c>
    </row>
    <row r="3800" spans="1:7" x14ac:dyDescent="0.25">
      <c r="A3800">
        <v>18422</v>
      </c>
      <c r="B3800">
        <v>207</v>
      </c>
      <c r="C3800" s="1" t="str">
        <f>IF(Tabela8[[#This Row],[SETOR]]="","",IF(Tabela8[[#This Row],[SETOR]]&lt;200,"GV 10",IF(Tabela8[[#This Row],[SETOR]]&lt;300,"GV 20",IF(Tabela8[[#This Row],[SETOR]]&lt;400,"GV 30","S/GV"))))</f>
        <v>GV 20</v>
      </c>
      <c r="E3800" t="s">
        <v>130</v>
      </c>
      <c r="G3800" t="str">
        <f>_xlfn.CONCAT(Tabela9[[#This Row],[Coluna1]],Tabela9[[#This Row],[Coluna2]])</f>
        <v>21-SUB</v>
      </c>
    </row>
    <row r="3801" spans="1:7" x14ac:dyDescent="0.25">
      <c r="A3801">
        <v>18423</v>
      </c>
      <c r="B3801">
        <v>201</v>
      </c>
      <c r="C3801" s="1" t="str">
        <f>IF(Tabela8[[#This Row],[SETOR]]="","",IF(Tabela8[[#This Row],[SETOR]]&lt;200,"GV 10",IF(Tabela8[[#This Row],[SETOR]]&lt;300,"GV 20",IF(Tabela8[[#This Row],[SETOR]]&lt;400,"GV 30","S/GV"))))</f>
        <v>GV 20</v>
      </c>
      <c r="E3801" t="s">
        <v>123</v>
      </c>
      <c r="G3801" t="str">
        <f>_xlfn.CONCAT(Tabela9[[#This Row],[Coluna1]],Tabela9[[#This Row],[Coluna2]])</f>
        <v>20-Rota</v>
      </c>
    </row>
    <row r="3802" spans="1:7" x14ac:dyDescent="0.25">
      <c r="A3802">
        <v>18424</v>
      </c>
      <c r="B3802">
        <v>201</v>
      </c>
      <c r="C3802" s="1" t="str">
        <f>IF(Tabela8[[#This Row],[SETOR]]="","",IF(Tabela8[[#This Row],[SETOR]]&lt;200,"GV 10",IF(Tabela8[[#This Row],[SETOR]]&lt;300,"GV 20",IF(Tabela8[[#This Row],[SETOR]]&lt;400,"GV 30","S/GV"))))</f>
        <v>GV 20</v>
      </c>
      <c r="E3802" t="s">
        <v>123</v>
      </c>
      <c r="G3802" t="str">
        <f>_xlfn.CONCAT(Tabela9[[#This Row],[Coluna1]],Tabela9[[#This Row],[Coluna2]])</f>
        <v>20-Rota</v>
      </c>
    </row>
    <row r="3803" spans="1:7" x14ac:dyDescent="0.25">
      <c r="A3803">
        <v>18427</v>
      </c>
      <c r="B3803">
        <v>306</v>
      </c>
      <c r="C3803" s="1" t="str">
        <f>IF(Tabela8[[#This Row],[SETOR]]="","",IF(Tabela8[[#This Row],[SETOR]]&lt;200,"GV 10",IF(Tabela8[[#This Row],[SETOR]]&lt;300,"GV 20",IF(Tabela8[[#This Row],[SETOR]]&lt;400,"GV 30","S/GV"))))</f>
        <v>GV 30</v>
      </c>
      <c r="E3803" t="s">
        <v>125</v>
      </c>
      <c r="G3803" t="str">
        <f>_xlfn.CONCAT(Tabela9[[#This Row],[Coluna1]],Tabela9[[#This Row],[Coluna2]])</f>
        <v>18-TRAD</v>
      </c>
    </row>
    <row r="3804" spans="1:7" x14ac:dyDescent="0.25">
      <c r="A3804">
        <v>18428</v>
      </c>
      <c r="B3804">
        <v>304</v>
      </c>
      <c r="C3804" s="1" t="str">
        <f>IF(Tabela8[[#This Row],[SETOR]]="","",IF(Tabela8[[#This Row],[SETOR]]&lt;200,"GV 10",IF(Tabela8[[#This Row],[SETOR]]&lt;300,"GV 20",IF(Tabela8[[#This Row],[SETOR]]&lt;400,"GV 30","S/GV"))))</f>
        <v>GV 30</v>
      </c>
      <c r="E3804" t="s">
        <v>123</v>
      </c>
      <c r="G3804" t="str">
        <f>_xlfn.CONCAT(Tabela9[[#This Row],[Coluna1]],Tabela9[[#This Row],[Coluna2]])</f>
        <v>20-Rota</v>
      </c>
    </row>
    <row r="3805" spans="1:7" x14ac:dyDescent="0.25">
      <c r="A3805">
        <v>18429</v>
      </c>
      <c r="B3805">
        <v>101</v>
      </c>
      <c r="C3805" s="1" t="str">
        <f>IF(Tabela8[[#This Row],[SETOR]]="","",IF(Tabela8[[#This Row],[SETOR]]&lt;200,"GV 10",IF(Tabela8[[#This Row],[SETOR]]&lt;300,"GV 20",IF(Tabela8[[#This Row],[SETOR]]&lt;400,"GV 30","S/GV"))))</f>
        <v>GV 10</v>
      </c>
      <c r="E3805" t="s">
        <v>130</v>
      </c>
      <c r="G3805" t="str">
        <f>_xlfn.CONCAT(Tabela9[[#This Row],[Coluna1]],Tabela9[[#This Row],[Coluna2]])</f>
        <v>21-SUB</v>
      </c>
    </row>
    <row r="3806" spans="1:7" x14ac:dyDescent="0.25">
      <c r="A3806">
        <v>18431</v>
      </c>
      <c r="B3806">
        <v>205</v>
      </c>
      <c r="C3806" s="1" t="str">
        <f>IF(Tabela8[[#This Row],[SETOR]]="","",IF(Tabela8[[#This Row],[SETOR]]&lt;200,"GV 10",IF(Tabela8[[#This Row],[SETOR]]&lt;300,"GV 20",IF(Tabela8[[#This Row],[SETOR]]&lt;400,"GV 30","S/GV"))))</f>
        <v>GV 20</v>
      </c>
      <c r="E3806" t="s">
        <v>123</v>
      </c>
      <c r="G3806" t="str">
        <f>_xlfn.CONCAT(Tabela9[[#This Row],[Coluna1]],Tabela9[[#This Row],[Coluna2]])</f>
        <v>20-Rota</v>
      </c>
    </row>
    <row r="3807" spans="1:7" x14ac:dyDescent="0.25">
      <c r="A3807">
        <v>18432</v>
      </c>
      <c r="B3807">
        <v>105</v>
      </c>
      <c r="C3807" s="1" t="str">
        <f>IF(Tabela8[[#This Row],[SETOR]]="","",IF(Tabela8[[#This Row],[SETOR]]&lt;200,"GV 10",IF(Tabela8[[#This Row],[SETOR]]&lt;300,"GV 20",IF(Tabela8[[#This Row],[SETOR]]&lt;400,"GV 30","S/GV"))))</f>
        <v>GV 10</v>
      </c>
      <c r="E3807" t="s">
        <v>130</v>
      </c>
      <c r="G3807" t="str">
        <f>_xlfn.CONCAT(Tabela9[[#This Row],[Coluna1]],Tabela9[[#This Row],[Coluna2]])</f>
        <v>21-SUB</v>
      </c>
    </row>
    <row r="3808" spans="1:7" x14ac:dyDescent="0.25">
      <c r="A3808">
        <v>18434</v>
      </c>
      <c r="B3808">
        <v>106</v>
      </c>
      <c r="C3808" s="1" t="str">
        <f>IF(Tabela8[[#This Row],[SETOR]]="","",IF(Tabela8[[#This Row],[SETOR]]&lt;200,"GV 10",IF(Tabela8[[#This Row],[SETOR]]&lt;300,"GV 20",IF(Tabela8[[#This Row],[SETOR]]&lt;400,"GV 30","S/GV"))))</f>
        <v>GV 10</v>
      </c>
      <c r="E3808" t="s">
        <v>123</v>
      </c>
      <c r="G3808" t="str">
        <f>_xlfn.CONCAT(Tabela9[[#This Row],[Coluna1]],Tabela9[[#This Row],[Coluna2]])</f>
        <v>20-Rota</v>
      </c>
    </row>
    <row r="3809" spans="1:7" x14ac:dyDescent="0.25">
      <c r="A3809">
        <v>18436</v>
      </c>
      <c r="B3809">
        <v>101</v>
      </c>
      <c r="C3809" s="1" t="str">
        <f>IF(Tabela8[[#This Row],[SETOR]]="","",IF(Tabela8[[#This Row],[SETOR]]&lt;200,"GV 10",IF(Tabela8[[#This Row],[SETOR]]&lt;300,"GV 20",IF(Tabela8[[#This Row],[SETOR]]&lt;400,"GV 30","S/GV"))))</f>
        <v>GV 10</v>
      </c>
      <c r="E3809" t="s">
        <v>123</v>
      </c>
      <c r="G3809" t="str">
        <f>_xlfn.CONCAT(Tabela9[[#This Row],[Coluna1]],Tabela9[[#This Row],[Coluna2]])</f>
        <v>20-Rota</v>
      </c>
    </row>
    <row r="3810" spans="1:7" x14ac:dyDescent="0.25">
      <c r="A3810">
        <v>18437</v>
      </c>
      <c r="B3810">
        <v>101</v>
      </c>
      <c r="C3810" s="1" t="str">
        <f>IF(Tabela8[[#This Row],[SETOR]]="","",IF(Tabela8[[#This Row],[SETOR]]&lt;200,"GV 10",IF(Tabela8[[#This Row],[SETOR]]&lt;300,"GV 20",IF(Tabela8[[#This Row],[SETOR]]&lt;400,"GV 30","S/GV"))))</f>
        <v>GV 10</v>
      </c>
      <c r="E3810" t="s">
        <v>123</v>
      </c>
      <c r="G3810" t="str">
        <f>_xlfn.CONCAT(Tabela9[[#This Row],[Coluna1]],Tabela9[[#This Row],[Coluna2]])</f>
        <v>20-Rota</v>
      </c>
    </row>
    <row r="3811" spans="1:7" x14ac:dyDescent="0.25">
      <c r="A3811">
        <v>18442</v>
      </c>
      <c r="B3811">
        <v>103</v>
      </c>
      <c r="C3811" s="1" t="str">
        <f>IF(Tabela8[[#This Row],[SETOR]]="","",IF(Tabela8[[#This Row],[SETOR]]&lt;200,"GV 10",IF(Tabela8[[#This Row],[SETOR]]&lt;300,"GV 20",IF(Tabela8[[#This Row],[SETOR]]&lt;400,"GV 30","S/GV"))))</f>
        <v>GV 10</v>
      </c>
      <c r="E3811" t="s">
        <v>123</v>
      </c>
      <c r="G3811" t="str">
        <f>_xlfn.CONCAT(Tabela9[[#This Row],[Coluna1]],Tabela9[[#This Row],[Coluna2]])</f>
        <v>20-Rota</v>
      </c>
    </row>
    <row r="3812" spans="1:7" x14ac:dyDescent="0.25">
      <c r="A3812">
        <v>18443</v>
      </c>
      <c r="B3812">
        <v>202</v>
      </c>
      <c r="C3812" s="1" t="str">
        <f>IF(Tabela8[[#This Row],[SETOR]]="","",IF(Tabela8[[#This Row],[SETOR]]&lt;200,"GV 10",IF(Tabela8[[#This Row],[SETOR]]&lt;300,"GV 20",IF(Tabela8[[#This Row],[SETOR]]&lt;400,"GV 30","S/GV"))))</f>
        <v>GV 20</v>
      </c>
      <c r="E3812" t="s">
        <v>123</v>
      </c>
      <c r="G3812" t="str">
        <f>_xlfn.CONCAT(Tabela9[[#This Row],[Coluna1]],Tabela9[[#This Row],[Coluna2]])</f>
        <v>20-Rota</v>
      </c>
    </row>
    <row r="3813" spans="1:7" x14ac:dyDescent="0.25">
      <c r="A3813">
        <v>18447</v>
      </c>
      <c r="B3813">
        <v>202</v>
      </c>
      <c r="C3813" s="1" t="str">
        <f>IF(Tabela8[[#This Row],[SETOR]]="","",IF(Tabela8[[#This Row],[SETOR]]&lt;200,"GV 10",IF(Tabela8[[#This Row],[SETOR]]&lt;300,"GV 20",IF(Tabela8[[#This Row],[SETOR]]&lt;400,"GV 30","S/GV"))))</f>
        <v>GV 20</v>
      </c>
      <c r="E3813" t="s">
        <v>123</v>
      </c>
      <c r="G3813" t="str">
        <f>_xlfn.CONCAT(Tabela9[[#This Row],[Coluna1]],Tabela9[[#This Row],[Coluna2]])</f>
        <v>20-Rota</v>
      </c>
    </row>
    <row r="3814" spans="1:7" x14ac:dyDescent="0.25">
      <c r="A3814">
        <v>18450</v>
      </c>
      <c r="B3814">
        <v>206</v>
      </c>
      <c r="C3814" s="1" t="str">
        <f>IF(Tabela8[[#This Row],[SETOR]]="","",IF(Tabela8[[#This Row],[SETOR]]&lt;200,"GV 10",IF(Tabela8[[#This Row],[SETOR]]&lt;300,"GV 20",IF(Tabela8[[#This Row],[SETOR]]&lt;400,"GV 30","S/GV"))))</f>
        <v>GV 20</v>
      </c>
      <c r="E3814" t="s">
        <v>128</v>
      </c>
      <c r="F3814" t="s">
        <v>129</v>
      </c>
      <c r="G3814" t="str">
        <f>_xlfn.CONCAT(Tabela9[[#This Row],[Coluna1]],Tabela9[[#This Row],[Coluna2]])</f>
        <v>15-AS(1-4)</v>
      </c>
    </row>
    <row r="3815" spans="1:7" x14ac:dyDescent="0.25">
      <c r="A3815">
        <v>18451</v>
      </c>
      <c r="B3815">
        <v>206</v>
      </c>
      <c r="C3815" s="1" t="str">
        <f>IF(Tabela8[[#This Row],[SETOR]]="","",IF(Tabela8[[#This Row],[SETOR]]&lt;200,"GV 10",IF(Tabela8[[#This Row],[SETOR]]&lt;300,"GV 20",IF(Tabela8[[#This Row],[SETOR]]&lt;400,"GV 30","S/GV"))))</f>
        <v>GV 20</v>
      </c>
      <c r="E3815" t="s">
        <v>123</v>
      </c>
      <c r="G3815" t="str">
        <f>_xlfn.CONCAT(Tabela9[[#This Row],[Coluna1]],Tabela9[[#This Row],[Coluna2]])</f>
        <v>20-Rota</v>
      </c>
    </row>
    <row r="3816" spans="1:7" x14ac:dyDescent="0.25">
      <c r="A3816">
        <v>18452</v>
      </c>
      <c r="B3816">
        <v>201</v>
      </c>
      <c r="C3816" s="1" t="str">
        <f>IF(Tabela8[[#This Row],[SETOR]]="","",IF(Tabela8[[#This Row],[SETOR]]&lt;200,"GV 10",IF(Tabela8[[#This Row],[SETOR]]&lt;300,"GV 20",IF(Tabela8[[#This Row],[SETOR]]&lt;400,"GV 30","S/GV"))))</f>
        <v>GV 20</v>
      </c>
      <c r="E3816" t="s">
        <v>123</v>
      </c>
      <c r="G3816" t="str">
        <f>_xlfn.CONCAT(Tabela9[[#This Row],[Coluna1]],Tabela9[[#This Row],[Coluna2]])</f>
        <v>20-Rota</v>
      </c>
    </row>
    <row r="3817" spans="1:7" x14ac:dyDescent="0.25">
      <c r="A3817">
        <v>18455</v>
      </c>
      <c r="B3817">
        <v>205</v>
      </c>
      <c r="C3817" s="1" t="str">
        <f>IF(Tabela8[[#This Row],[SETOR]]="","",IF(Tabela8[[#This Row],[SETOR]]&lt;200,"GV 10",IF(Tabela8[[#This Row],[SETOR]]&lt;300,"GV 20",IF(Tabela8[[#This Row],[SETOR]]&lt;400,"GV 30","S/GV"))))</f>
        <v>GV 20</v>
      </c>
      <c r="E3817" t="s">
        <v>123</v>
      </c>
      <c r="G3817" t="str">
        <f>_xlfn.CONCAT(Tabela9[[#This Row],[Coluna1]],Tabela9[[#This Row],[Coluna2]])</f>
        <v>20-Rota</v>
      </c>
    </row>
    <row r="3818" spans="1:7" x14ac:dyDescent="0.25">
      <c r="A3818">
        <v>18456</v>
      </c>
      <c r="B3818">
        <v>303</v>
      </c>
      <c r="C3818" s="1" t="str">
        <f>IF(Tabela8[[#This Row],[SETOR]]="","",IF(Tabela8[[#This Row],[SETOR]]&lt;200,"GV 10",IF(Tabela8[[#This Row],[SETOR]]&lt;300,"GV 20",IF(Tabela8[[#This Row],[SETOR]]&lt;400,"GV 30","S/GV"))))</f>
        <v>GV 30</v>
      </c>
      <c r="E3818" t="s">
        <v>123</v>
      </c>
      <c r="G3818" t="str">
        <f>_xlfn.CONCAT(Tabela9[[#This Row],[Coluna1]],Tabela9[[#This Row],[Coluna2]])</f>
        <v>20-Rota</v>
      </c>
    </row>
    <row r="3819" spans="1:7" x14ac:dyDescent="0.25">
      <c r="A3819">
        <v>18457</v>
      </c>
      <c r="B3819">
        <v>202</v>
      </c>
      <c r="C3819" s="1" t="str">
        <f>IF(Tabela8[[#This Row],[SETOR]]="","",IF(Tabela8[[#This Row],[SETOR]]&lt;200,"GV 10",IF(Tabela8[[#This Row],[SETOR]]&lt;300,"GV 20",IF(Tabela8[[#This Row],[SETOR]]&lt;400,"GV 30","S/GV"))))</f>
        <v>GV 20</v>
      </c>
      <c r="E3819" t="s">
        <v>123</v>
      </c>
      <c r="G3819" t="str">
        <f>_xlfn.CONCAT(Tabela9[[#This Row],[Coluna1]],Tabela9[[#This Row],[Coluna2]])</f>
        <v>20-Rota</v>
      </c>
    </row>
    <row r="3820" spans="1:7" x14ac:dyDescent="0.25">
      <c r="A3820">
        <v>18459</v>
      </c>
      <c r="B3820">
        <v>204</v>
      </c>
      <c r="C3820" s="1" t="str">
        <f>IF(Tabela8[[#This Row],[SETOR]]="","",IF(Tabela8[[#This Row],[SETOR]]&lt;200,"GV 10",IF(Tabela8[[#This Row],[SETOR]]&lt;300,"GV 20",IF(Tabela8[[#This Row],[SETOR]]&lt;400,"GV 30","S/GV"))))</f>
        <v>GV 20</v>
      </c>
      <c r="E3820" t="s">
        <v>123</v>
      </c>
      <c r="G3820" t="str">
        <f>_xlfn.CONCAT(Tabela9[[#This Row],[Coluna1]],Tabela9[[#This Row],[Coluna2]])</f>
        <v>20-Rota</v>
      </c>
    </row>
    <row r="3821" spans="1:7" x14ac:dyDescent="0.25">
      <c r="A3821">
        <v>18462</v>
      </c>
      <c r="B3821">
        <v>101</v>
      </c>
      <c r="C3821" s="1" t="str">
        <f>IF(Tabela8[[#This Row],[SETOR]]="","",IF(Tabela8[[#This Row],[SETOR]]&lt;200,"GV 10",IF(Tabela8[[#This Row],[SETOR]]&lt;300,"GV 20",IF(Tabela8[[#This Row],[SETOR]]&lt;400,"GV 30","S/GV"))))</f>
        <v>GV 10</v>
      </c>
      <c r="E3821" t="s">
        <v>123</v>
      </c>
      <c r="G3821" t="str">
        <f>_xlfn.CONCAT(Tabela9[[#This Row],[Coluna1]],Tabela9[[#This Row],[Coluna2]])</f>
        <v>20-Rota</v>
      </c>
    </row>
    <row r="3822" spans="1:7" x14ac:dyDescent="0.25">
      <c r="A3822">
        <v>18463</v>
      </c>
      <c r="B3822">
        <v>201</v>
      </c>
      <c r="C3822" s="1" t="str">
        <f>IF(Tabela8[[#This Row],[SETOR]]="","",IF(Tabela8[[#This Row],[SETOR]]&lt;200,"GV 10",IF(Tabela8[[#This Row],[SETOR]]&lt;300,"GV 20",IF(Tabela8[[#This Row],[SETOR]]&lt;400,"GV 30","S/GV"))))</f>
        <v>GV 20</v>
      </c>
      <c r="E3822" t="s">
        <v>123</v>
      </c>
      <c r="G3822" t="str">
        <f>_xlfn.CONCAT(Tabela9[[#This Row],[Coluna1]],Tabela9[[#This Row],[Coluna2]])</f>
        <v>20-Rota</v>
      </c>
    </row>
    <row r="3823" spans="1:7" x14ac:dyDescent="0.25">
      <c r="A3823">
        <v>18467</v>
      </c>
      <c r="B3823">
        <v>109</v>
      </c>
      <c r="C3823" s="1" t="str">
        <f>IF(Tabela8[[#This Row],[SETOR]]="","",IF(Tabela8[[#This Row],[SETOR]]&lt;200,"GV 10",IF(Tabela8[[#This Row],[SETOR]]&lt;300,"GV 20",IF(Tabela8[[#This Row],[SETOR]]&lt;400,"GV 30","S/GV"))))</f>
        <v>GV 10</v>
      </c>
      <c r="E3823" t="s">
        <v>124</v>
      </c>
      <c r="G3823" t="str">
        <f>_xlfn.CONCAT(Tabela9[[#This Row],[Coluna1]],Tabela9[[#This Row],[Coluna2]])</f>
        <v>19-VIP</v>
      </c>
    </row>
    <row r="3824" spans="1:7" x14ac:dyDescent="0.25">
      <c r="A3824">
        <v>18468</v>
      </c>
      <c r="B3824">
        <v>102</v>
      </c>
      <c r="C3824" s="1" t="str">
        <f>IF(Tabela8[[#This Row],[SETOR]]="","",IF(Tabela8[[#This Row],[SETOR]]&lt;200,"GV 10",IF(Tabela8[[#This Row],[SETOR]]&lt;300,"GV 20",IF(Tabela8[[#This Row],[SETOR]]&lt;400,"GV 30","S/GV"))))</f>
        <v>GV 10</v>
      </c>
      <c r="E3824" t="s">
        <v>123</v>
      </c>
      <c r="G3824" t="str">
        <f>_xlfn.CONCAT(Tabela9[[#This Row],[Coluna1]],Tabela9[[#This Row],[Coluna2]])</f>
        <v>20-Rota</v>
      </c>
    </row>
    <row r="3825" spans="1:7" x14ac:dyDescent="0.25">
      <c r="A3825">
        <v>18469</v>
      </c>
      <c r="B3825">
        <v>203</v>
      </c>
      <c r="C3825" s="1" t="str">
        <f>IF(Tabela8[[#This Row],[SETOR]]="","",IF(Tabela8[[#This Row],[SETOR]]&lt;200,"GV 10",IF(Tabela8[[#This Row],[SETOR]]&lt;300,"GV 20",IF(Tabela8[[#This Row],[SETOR]]&lt;400,"GV 30","S/GV"))))</f>
        <v>GV 20</v>
      </c>
      <c r="E3825" t="s">
        <v>125</v>
      </c>
      <c r="G3825" t="str">
        <f>_xlfn.CONCAT(Tabela9[[#This Row],[Coluna1]],Tabela9[[#This Row],[Coluna2]])</f>
        <v>18-TRAD</v>
      </c>
    </row>
    <row r="3826" spans="1:7" x14ac:dyDescent="0.25">
      <c r="A3826">
        <v>18470</v>
      </c>
      <c r="B3826">
        <v>106</v>
      </c>
      <c r="C3826" s="1" t="str">
        <f>IF(Tabela8[[#This Row],[SETOR]]="","",IF(Tabela8[[#This Row],[SETOR]]&lt;200,"GV 10",IF(Tabela8[[#This Row],[SETOR]]&lt;300,"GV 20",IF(Tabela8[[#This Row],[SETOR]]&lt;400,"GV 30","S/GV"))))</f>
        <v>GV 10</v>
      </c>
      <c r="E3826" t="s">
        <v>123</v>
      </c>
      <c r="G3826" t="str">
        <f>_xlfn.CONCAT(Tabela9[[#This Row],[Coluna1]],Tabela9[[#This Row],[Coluna2]])</f>
        <v>20-Rota</v>
      </c>
    </row>
    <row r="3827" spans="1:7" x14ac:dyDescent="0.25">
      <c r="A3827">
        <v>18471</v>
      </c>
      <c r="B3827">
        <v>106</v>
      </c>
      <c r="C3827" s="1" t="str">
        <f>IF(Tabela8[[#This Row],[SETOR]]="","",IF(Tabela8[[#This Row],[SETOR]]&lt;200,"GV 10",IF(Tabela8[[#This Row],[SETOR]]&lt;300,"GV 20",IF(Tabela8[[#This Row],[SETOR]]&lt;400,"GV 30","S/GV"))))</f>
        <v>GV 10</v>
      </c>
      <c r="E3827" t="s">
        <v>123</v>
      </c>
      <c r="G3827" t="str">
        <f>_xlfn.CONCAT(Tabela9[[#This Row],[Coluna1]],Tabela9[[#This Row],[Coluna2]])</f>
        <v>20-Rota</v>
      </c>
    </row>
    <row r="3828" spans="1:7" x14ac:dyDescent="0.25">
      <c r="A3828">
        <v>18474</v>
      </c>
      <c r="B3828">
        <v>102</v>
      </c>
      <c r="C3828" s="1" t="str">
        <f>IF(Tabela8[[#This Row],[SETOR]]="","",IF(Tabela8[[#This Row],[SETOR]]&lt;200,"GV 10",IF(Tabela8[[#This Row],[SETOR]]&lt;300,"GV 20",IF(Tabela8[[#This Row],[SETOR]]&lt;400,"GV 30","S/GV"))))</f>
        <v>GV 10</v>
      </c>
      <c r="E3828" t="s">
        <v>123</v>
      </c>
      <c r="G3828" t="str">
        <f>_xlfn.CONCAT(Tabela9[[#This Row],[Coluna1]],Tabela9[[#This Row],[Coluna2]])</f>
        <v>20-Rota</v>
      </c>
    </row>
    <row r="3829" spans="1:7" x14ac:dyDescent="0.25">
      <c r="A3829">
        <v>18475</v>
      </c>
      <c r="B3829">
        <v>202</v>
      </c>
      <c r="C3829" s="1" t="str">
        <f>IF(Tabela8[[#This Row],[SETOR]]="","",IF(Tabela8[[#This Row],[SETOR]]&lt;200,"GV 10",IF(Tabela8[[#This Row],[SETOR]]&lt;300,"GV 20",IF(Tabela8[[#This Row],[SETOR]]&lt;400,"GV 30","S/GV"))))</f>
        <v>GV 20</v>
      </c>
      <c r="E3829" t="s">
        <v>123</v>
      </c>
      <c r="G3829" t="str">
        <f>_xlfn.CONCAT(Tabela9[[#This Row],[Coluna1]],Tabela9[[#This Row],[Coluna2]])</f>
        <v>20-Rota</v>
      </c>
    </row>
    <row r="3830" spans="1:7" x14ac:dyDescent="0.25">
      <c r="A3830">
        <v>18476</v>
      </c>
      <c r="B3830">
        <v>106</v>
      </c>
      <c r="C3830" s="1" t="str">
        <f>IF(Tabela8[[#This Row],[SETOR]]="","",IF(Tabela8[[#This Row],[SETOR]]&lt;200,"GV 10",IF(Tabela8[[#This Row],[SETOR]]&lt;300,"GV 20",IF(Tabela8[[#This Row],[SETOR]]&lt;400,"GV 30","S/GV"))))</f>
        <v>GV 10</v>
      </c>
      <c r="E3830" t="s">
        <v>123</v>
      </c>
      <c r="G3830" t="str">
        <f>_xlfn.CONCAT(Tabela9[[#This Row],[Coluna1]],Tabela9[[#This Row],[Coluna2]])</f>
        <v>20-Rota</v>
      </c>
    </row>
    <row r="3831" spans="1:7" x14ac:dyDescent="0.25">
      <c r="A3831">
        <v>18477</v>
      </c>
      <c r="B3831">
        <v>106</v>
      </c>
      <c r="C3831" s="1" t="str">
        <f>IF(Tabela8[[#This Row],[SETOR]]="","",IF(Tabela8[[#This Row],[SETOR]]&lt;200,"GV 10",IF(Tabela8[[#This Row],[SETOR]]&lt;300,"GV 20",IF(Tabela8[[#This Row],[SETOR]]&lt;400,"GV 30","S/GV"))))</f>
        <v>GV 10</v>
      </c>
      <c r="E3831" t="s">
        <v>123</v>
      </c>
      <c r="G3831" t="str">
        <f>_xlfn.CONCAT(Tabela9[[#This Row],[Coluna1]],Tabela9[[#This Row],[Coluna2]])</f>
        <v>20-Rota</v>
      </c>
    </row>
    <row r="3832" spans="1:7" x14ac:dyDescent="0.25">
      <c r="A3832">
        <v>18478</v>
      </c>
      <c r="B3832">
        <v>202</v>
      </c>
      <c r="C3832" s="1" t="str">
        <f>IF(Tabela8[[#This Row],[SETOR]]="","",IF(Tabela8[[#This Row],[SETOR]]&lt;200,"GV 10",IF(Tabela8[[#This Row],[SETOR]]&lt;300,"GV 20",IF(Tabela8[[#This Row],[SETOR]]&lt;400,"GV 30","S/GV"))))</f>
        <v>GV 20</v>
      </c>
      <c r="E3832" t="s">
        <v>125</v>
      </c>
      <c r="G3832" t="str">
        <f>_xlfn.CONCAT(Tabela9[[#This Row],[Coluna1]],Tabela9[[#This Row],[Coluna2]])</f>
        <v>18-TRAD</v>
      </c>
    </row>
    <row r="3833" spans="1:7" x14ac:dyDescent="0.25">
      <c r="A3833">
        <v>18479</v>
      </c>
      <c r="B3833">
        <v>305</v>
      </c>
      <c r="C3833" s="1" t="str">
        <f>IF(Tabela8[[#This Row],[SETOR]]="","",IF(Tabela8[[#This Row],[SETOR]]&lt;200,"GV 10",IF(Tabela8[[#This Row],[SETOR]]&lt;300,"GV 20",IF(Tabela8[[#This Row],[SETOR]]&lt;400,"GV 30","S/GV"))))</f>
        <v>GV 30</v>
      </c>
      <c r="E3833" t="s">
        <v>123</v>
      </c>
      <c r="G3833" t="str">
        <f>_xlfn.CONCAT(Tabela9[[#This Row],[Coluna1]],Tabela9[[#This Row],[Coluna2]])</f>
        <v>20-Rota</v>
      </c>
    </row>
    <row r="3834" spans="1:7" x14ac:dyDescent="0.25">
      <c r="A3834">
        <v>18481</v>
      </c>
      <c r="B3834">
        <v>103</v>
      </c>
      <c r="C3834" s="1" t="str">
        <f>IF(Tabela8[[#This Row],[SETOR]]="","",IF(Tabela8[[#This Row],[SETOR]]&lt;200,"GV 10",IF(Tabela8[[#This Row],[SETOR]]&lt;300,"GV 20",IF(Tabela8[[#This Row],[SETOR]]&lt;400,"GV 30","S/GV"))))</f>
        <v>GV 10</v>
      </c>
      <c r="E3834" t="s">
        <v>123</v>
      </c>
      <c r="G3834" t="str">
        <f>_xlfn.CONCAT(Tabela9[[#This Row],[Coluna1]],Tabela9[[#This Row],[Coluna2]])</f>
        <v>20-Rota</v>
      </c>
    </row>
    <row r="3835" spans="1:7" x14ac:dyDescent="0.25">
      <c r="A3835">
        <v>18488</v>
      </c>
      <c r="B3835">
        <v>201</v>
      </c>
      <c r="C3835" s="1" t="str">
        <f>IF(Tabela8[[#This Row],[SETOR]]="","",IF(Tabela8[[#This Row],[SETOR]]&lt;200,"GV 10",IF(Tabela8[[#This Row],[SETOR]]&lt;300,"GV 20",IF(Tabela8[[#This Row],[SETOR]]&lt;400,"GV 30","S/GV"))))</f>
        <v>GV 20</v>
      </c>
      <c r="E3835" t="s">
        <v>123</v>
      </c>
      <c r="G3835" t="str">
        <f>_xlfn.CONCAT(Tabela9[[#This Row],[Coluna1]],Tabela9[[#This Row],[Coluna2]])</f>
        <v>20-Rota</v>
      </c>
    </row>
    <row r="3836" spans="1:7" x14ac:dyDescent="0.25">
      <c r="A3836">
        <v>18489</v>
      </c>
      <c r="B3836">
        <v>201</v>
      </c>
      <c r="C3836" s="1" t="str">
        <f>IF(Tabela8[[#This Row],[SETOR]]="","",IF(Tabela8[[#This Row],[SETOR]]&lt;200,"GV 10",IF(Tabela8[[#This Row],[SETOR]]&lt;300,"GV 20",IF(Tabela8[[#This Row],[SETOR]]&lt;400,"GV 30","S/GV"))))</f>
        <v>GV 20</v>
      </c>
      <c r="E3836" t="s">
        <v>123</v>
      </c>
      <c r="G3836" t="str">
        <f>_xlfn.CONCAT(Tabela9[[#This Row],[Coluna1]],Tabela9[[#This Row],[Coluna2]])</f>
        <v>20-Rota</v>
      </c>
    </row>
    <row r="3837" spans="1:7" x14ac:dyDescent="0.25">
      <c r="A3837">
        <v>18490</v>
      </c>
      <c r="B3837">
        <v>102</v>
      </c>
      <c r="C3837" s="1" t="str">
        <f>IF(Tabela8[[#This Row],[SETOR]]="","",IF(Tabela8[[#This Row],[SETOR]]&lt;200,"GV 10",IF(Tabela8[[#This Row],[SETOR]]&lt;300,"GV 20",IF(Tabela8[[#This Row],[SETOR]]&lt;400,"GV 30","S/GV"))))</f>
        <v>GV 10</v>
      </c>
      <c r="E3837" t="s">
        <v>123</v>
      </c>
      <c r="G3837" t="str">
        <f>_xlfn.CONCAT(Tabela9[[#This Row],[Coluna1]],Tabela9[[#This Row],[Coluna2]])</f>
        <v>20-Rota</v>
      </c>
    </row>
    <row r="3838" spans="1:7" x14ac:dyDescent="0.25">
      <c r="A3838">
        <v>18491</v>
      </c>
      <c r="B3838">
        <v>204</v>
      </c>
      <c r="C3838" s="1" t="str">
        <f>IF(Tabela8[[#This Row],[SETOR]]="","",IF(Tabela8[[#This Row],[SETOR]]&lt;200,"GV 10",IF(Tabela8[[#This Row],[SETOR]]&lt;300,"GV 20",IF(Tabela8[[#This Row],[SETOR]]&lt;400,"GV 30","S/GV"))))</f>
        <v>GV 20</v>
      </c>
      <c r="E3838" t="s">
        <v>123</v>
      </c>
      <c r="G3838" t="str">
        <f>_xlfn.CONCAT(Tabela9[[#This Row],[Coluna1]],Tabela9[[#This Row],[Coluna2]])</f>
        <v>20-Rota</v>
      </c>
    </row>
    <row r="3839" spans="1:7" x14ac:dyDescent="0.25">
      <c r="A3839">
        <v>18494</v>
      </c>
      <c r="B3839">
        <v>202</v>
      </c>
      <c r="C3839" s="1" t="str">
        <f>IF(Tabela8[[#This Row],[SETOR]]="","",IF(Tabela8[[#This Row],[SETOR]]&lt;200,"GV 10",IF(Tabela8[[#This Row],[SETOR]]&lt;300,"GV 20",IF(Tabela8[[#This Row],[SETOR]]&lt;400,"GV 30","S/GV"))))</f>
        <v>GV 20</v>
      </c>
      <c r="E3839" t="s">
        <v>123</v>
      </c>
      <c r="G3839" t="str">
        <f>_xlfn.CONCAT(Tabela9[[#This Row],[Coluna1]],Tabela9[[#This Row],[Coluna2]])</f>
        <v>20-Rota</v>
      </c>
    </row>
    <row r="3840" spans="1:7" x14ac:dyDescent="0.25">
      <c r="A3840">
        <v>18496</v>
      </c>
      <c r="B3840">
        <v>109</v>
      </c>
      <c r="C3840" s="1" t="str">
        <f>IF(Tabela8[[#This Row],[SETOR]]="","",IF(Tabela8[[#This Row],[SETOR]]&lt;200,"GV 10",IF(Tabela8[[#This Row],[SETOR]]&lt;300,"GV 20",IF(Tabela8[[#This Row],[SETOR]]&lt;400,"GV 30","S/GV"))))</f>
        <v>GV 10</v>
      </c>
      <c r="E3840" t="s">
        <v>123</v>
      </c>
      <c r="G3840" t="str">
        <f>_xlfn.CONCAT(Tabela9[[#This Row],[Coluna1]],Tabela9[[#This Row],[Coluna2]])</f>
        <v>20-Rota</v>
      </c>
    </row>
    <row r="3841" spans="1:7" x14ac:dyDescent="0.25">
      <c r="A3841">
        <v>18497</v>
      </c>
      <c r="B3841">
        <v>203</v>
      </c>
      <c r="C3841" s="1" t="str">
        <f>IF(Tabela8[[#This Row],[SETOR]]="","",IF(Tabela8[[#This Row],[SETOR]]&lt;200,"GV 10",IF(Tabela8[[#This Row],[SETOR]]&lt;300,"GV 20",IF(Tabela8[[#This Row],[SETOR]]&lt;400,"GV 30","S/GV"))))</f>
        <v>GV 20</v>
      </c>
      <c r="E3841" t="s">
        <v>123</v>
      </c>
      <c r="G3841" t="str">
        <f>_xlfn.CONCAT(Tabela9[[#This Row],[Coluna1]],Tabela9[[#This Row],[Coluna2]])</f>
        <v>20-Rota</v>
      </c>
    </row>
    <row r="3842" spans="1:7" x14ac:dyDescent="0.25">
      <c r="A3842">
        <v>18498</v>
      </c>
      <c r="B3842">
        <v>101</v>
      </c>
      <c r="C3842" s="1" t="str">
        <f>IF(Tabela8[[#This Row],[SETOR]]="","",IF(Tabela8[[#This Row],[SETOR]]&lt;200,"GV 10",IF(Tabela8[[#This Row],[SETOR]]&lt;300,"GV 20",IF(Tabela8[[#This Row],[SETOR]]&lt;400,"GV 30","S/GV"))))</f>
        <v>GV 10</v>
      </c>
      <c r="E3842" t="s">
        <v>123</v>
      </c>
      <c r="G3842" t="str">
        <f>_xlfn.CONCAT(Tabela9[[#This Row],[Coluna1]],Tabela9[[#This Row],[Coluna2]])</f>
        <v>20-Rota</v>
      </c>
    </row>
    <row r="3843" spans="1:7" x14ac:dyDescent="0.25">
      <c r="A3843">
        <v>18499</v>
      </c>
      <c r="B3843">
        <v>105</v>
      </c>
      <c r="C3843" s="1" t="str">
        <f>IF(Tabela8[[#This Row],[SETOR]]="","",IF(Tabela8[[#This Row],[SETOR]]&lt;200,"GV 10",IF(Tabela8[[#This Row],[SETOR]]&lt;300,"GV 20",IF(Tabela8[[#This Row],[SETOR]]&lt;400,"GV 30","S/GV"))))</f>
        <v>GV 10</v>
      </c>
      <c r="E3843" t="s">
        <v>130</v>
      </c>
      <c r="G3843" t="str">
        <f>_xlfn.CONCAT(Tabela9[[#This Row],[Coluna1]],Tabela9[[#This Row],[Coluna2]])</f>
        <v>21-SUB</v>
      </c>
    </row>
    <row r="3844" spans="1:7" x14ac:dyDescent="0.25">
      <c r="A3844">
        <v>18501</v>
      </c>
      <c r="B3844">
        <v>102</v>
      </c>
      <c r="C3844" s="1" t="str">
        <f>IF(Tabela8[[#This Row],[SETOR]]="","",IF(Tabela8[[#This Row],[SETOR]]&lt;200,"GV 10",IF(Tabela8[[#This Row],[SETOR]]&lt;300,"GV 20",IF(Tabela8[[#This Row],[SETOR]]&lt;400,"GV 30","S/GV"))))</f>
        <v>GV 10</v>
      </c>
      <c r="E3844" t="s">
        <v>123</v>
      </c>
      <c r="G3844" t="str">
        <f>_xlfn.CONCAT(Tabela9[[#This Row],[Coluna1]],Tabela9[[#This Row],[Coluna2]])</f>
        <v>20-Rota</v>
      </c>
    </row>
    <row r="3845" spans="1:7" x14ac:dyDescent="0.25">
      <c r="A3845">
        <v>18502</v>
      </c>
      <c r="B3845">
        <v>918</v>
      </c>
      <c r="C3845" s="1" t="str">
        <f>IF(Tabela8[[#This Row],[SETOR]]="","",IF(Tabela8[[#This Row],[SETOR]]&lt;200,"GV 10",IF(Tabela8[[#This Row],[SETOR]]&lt;300,"GV 20",IF(Tabela8[[#This Row],[SETOR]]&lt;400,"GV 30","S/GV"))))</f>
        <v>S/GV</v>
      </c>
      <c r="E3845" t="s">
        <v>123</v>
      </c>
      <c r="G3845" t="str">
        <f>_xlfn.CONCAT(Tabela9[[#This Row],[Coluna1]],Tabela9[[#This Row],[Coluna2]])</f>
        <v>20-Rota</v>
      </c>
    </row>
    <row r="3846" spans="1:7" x14ac:dyDescent="0.25">
      <c r="A3846">
        <v>18506</v>
      </c>
      <c r="B3846">
        <v>102</v>
      </c>
      <c r="C3846" s="1" t="str">
        <f>IF(Tabela8[[#This Row],[SETOR]]="","",IF(Tabela8[[#This Row],[SETOR]]&lt;200,"GV 10",IF(Tabela8[[#This Row],[SETOR]]&lt;300,"GV 20",IF(Tabela8[[#This Row],[SETOR]]&lt;400,"GV 30","S/GV"))))</f>
        <v>GV 10</v>
      </c>
      <c r="E3846" t="s">
        <v>123</v>
      </c>
      <c r="G3846" t="str">
        <f>_xlfn.CONCAT(Tabela9[[#This Row],[Coluna1]],Tabela9[[#This Row],[Coluna2]])</f>
        <v>20-Rota</v>
      </c>
    </row>
    <row r="3847" spans="1:7" x14ac:dyDescent="0.25">
      <c r="A3847">
        <v>18507</v>
      </c>
      <c r="B3847">
        <v>916</v>
      </c>
      <c r="C3847" s="1" t="str">
        <f>IF(Tabela8[[#This Row],[SETOR]]="","",IF(Tabela8[[#This Row],[SETOR]]&lt;200,"GV 10",IF(Tabela8[[#This Row],[SETOR]]&lt;300,"GV 20",IF(Tabela8[[#This Row],[SETOR]]&lt;400,"GV 30","S/GV"))))</f>
        <v>S/GV</v>
      </c>
      <c r="G3847" t="str">
        <f>_xlfn.CONCAT(Tabela9[[#This Row],[Coluna1]],Tabela9[[#This Row],[Coluna2]])</f>
        <v/>
      </c>
    </row>
    <row r="3848" spans="1:7" x14ac:dyDescent="0.25">
      <c r="A3848">
        <v>18508</v>
      </c>
      <c r="B3848">
        <v>916</v>
      </c>
      <c r="C3848" s="1" t="str">
        <f>IF(Tabela8[[#This Row],[SETOR]]="","",IF(Tabela8[[#This Row],[SETOR]]&lt;200,"GV 10",IF(Tabela8[[#This Row],[SETOR]]&lt;300,"GV 20",IF(Tabela8[[#This Row],[SETOR]]&lt;400,"GV 30","S/GV"))))</f>
        <v>S/GV</v>
      </c>
      <c r="G3848" t="str">
        <f>_xlfn.CONCAT(Tabela9[[#This Row],[Coluna1]],Tabela9[[#This Row],[Coluna2]])</f>
        <v/>
      </c>
    </row>
    <row r="3849" spans="1:7" x14ac:dyDescent="0.25">
      <c r="A3849">
        <v>18511</v>
      </c>
      <c r="B3849">
        <v>204</v>
      </c>
      <c r="C3849" s="1" t="str">
        <f>IF(Tabela8[[#This Row],[SETOR]]="","",IF(Tabela8[[#This Row],[SETOR]]&lt;200,"GV 10",IF(Tabela8[[#This Row],[SETOR]]&lt;300,"GV 20",IF(Tabela8[[#This Row],[SETOR]]&lt;400,"GV 30","S/GV"))))</f>
        <v>GV 20</v>
      </c>
      <c r="E3849" t="s">
        <v>123</v>
      </c>
      <c r="G3849" t="str">
        <f>_xlfn.CONCAT(Tabela9[[#This Row],[Coluna1]],Tabela9[[#This Row],[Coluna2]])</f>
        <v>20-Rota</v>
      </c>
    </row>
    <row r="3850" spans="1:7" x14ac:dyDescent="0.25">
      <c r="A3850">
        <v>18512</v>
      </c>
      <c r="B3850">
        <v>108</v>
      </c>
      <c r="C3850" s="1" t="str">
        <f>IF(Tabela8[[#This Row],[SETOR]]="","",IF(Tabela8[[#This Row],[SETOR]]&lt;200,"GV 10",IF(Tabela8[[#This Row],[SETOR]]&lt;300,"GV 20",IF(Tabela8[[#This Row],[SETOR]]&lt;400,"GV 30","S/GV"))))</f>
        <v>GV 10</v>
      </c>
      <c r="E3850" t="s">
        <v>128</v>
      </c>
      <c r="F3850" t="s">
        <v>129</v>
      </c>
      <c r="G3850" t="str">
        <f>_xlfn.CONCAT(Tabela9[[#This Row],[Coluna1]],Tabela9[[#This Row],[Coluna2]])</f>
        <v>15-AS(1-4)</v>
      </c>
    </row>
    <row r="3851" spans="1:7" x14ac:dyDescent="0.25">
      <c r="A3851">
        <v>18513</v>
      </c>
      <c r="B3851">
        <v>102</v>
      </c>
      <c r="C3851" s="1" t="str">
        <f>IF(Tabela8[[#This Row],[SETOR]]="","",IF(Tabela8[[#This Row],[SETOR]]&lt;200,"GV 10",IF(Tabela8[[#This Row],[SETOR]]&lt;300,"GV 20",IF(Tabela8[[#This Row],[SETOR]]&lt;400,"GV 30","S/GV"))))</f>
        <v>GV 10</v>
      </c>
      <c r="E3851" t="s">
        <v>123</v>
      </c>
      <c r="G3851" t="str">
        <f>_xlfn.CONCAT(Tabela9[[#This Row],[Coluna1]],Tabela9[[#This Row],[Coluna2]])</f>
        <v>20-Rota</v>
      </c>
    </row>
    <row r="3852" spans="1:7" x14ac:dyDescent="0.25">
      <c r="A3852">
        <v>18515</v>
      </c>
      <c r="B3852">
        <v>203</v>
      </c>
      <c r="C3852" s="1" t="str">
        <f>IF(Tabela8[[#This Row],[SETOR]]="","",IF(Tabela8[[#This Row],[SETOR]]&lt;200,"GV 10",IF(Tabela8[[#This Row],[SETOR]]&lt;300,"GV 20",IF(Tabela8[[#This Row],[SETOR]]&lt;400,"GV 30","S/GV"))))</f>
        <v>GV 20</v>
      </c>
      <c r="E3852" t="s">
        <v>123</v>
      </c>
      <c r="G3852" t="str">
        <f>_xlfn.CONCAT(Tabela9[[#This Row],[Coluna1]],Tabela9[[#This Row],[Coluna2]])</f>
        <v>20-Rota</v>
      </c>
    </row>
    <row r="3853" spans="1:7" x14ac:dyDescent="0.25">
      <c r="A3853">
        <v>18516</v>
      </c>
      <c r="B3853">
        <v>106</v>
      </c>
      <c r="C3853" s="1" t="str">
        <f>IF(Tabela8[[#This Row],[SETOR]]="","",IF(Tabela8[[#This Row],[SETOR]]&lt;200,"GV 10",IF(Tabela8[[#This Row],[SETOR]]&lt;300,"GV 20",IF(Tabela8[[#This Row],[SETOR]]&lt;400,"GV 30","S/GV"))))</f>
        <v>GV 10</v>
      </c>
      <c r="E3853" t="s">
        <v>123</v>
      </c>
      <c r="G3853" t="str">
        <f>_xlfn.CONCAT(Tabela9[[#This Row],[Coluna1]],Tabela9[[#This Row],[Coluna2]])</f>
        <v>20-Rota</v>
      </c>
    </row>
    <row r="3854" spans="1:7" x14ac:dyDescent="0.25">
      <c r="A3854">
        <v>18517</v>
      </c>
      <c r="B3854">
        <v>301</v>
      </c>
      <c r="C3854" s="1" t="str">
        <f>IF(Tabela8[[#This Row],[SETOR]]="","",IF(Tabela8[[#This Row],[SETOR]]&lt;200,"GV 10",IF(Tabela8[[#This Row],[SETOR]]&lt;300,"GV 20",IF(Tabela8[[#This Row],[SETOR]]&lt;400,"GV 30","S/GV"))))</f>
        <v>GV 30</v>
      </c>
      <c r="E3854" t="s">
        <v>123</v>
      </c>
      <c r="G3854" t="str">
        <f>_xlfn.CONCAT(Tabela9[[#This Row],[Coluna1]],Tabela9[[#This Row],[Coluna2]])</f>
        <v>20-Rota</v>
      </c>
    </row>
    <row r="3855" spans="1:7" x14ac:dyDescent="0.25">
      <c r="A3855">
        <v>18521</v>
      </c>
      <c r="B3855">
        <v>206</v>
      </c>
      <c r="C3855" s="1" t="str">
        <f>IF(Tabela8[[#This Row],[SETOR]]="","",IF(Tabela8[[#This Row],[SETOR]]&lt;200,"GV 10",IF(Tabela8[[#This Row],[SETOR]]&lt;300,"GV 20",IF(Tabela8[[#This Row],[SETOR]]&lt;400,"GV 30","S/GV"))))</f>
        <v>GV 20</v>
      </c>
      <c r="E3855" t="s">
        <v>123</v>
      </c>
      <c r="G3855" t="str">
        <f>_xlfn.CONCAT(Tabela9[[#This Row],[Coluna1]],Tabela9[[#This Row],[Coluna2]])</f>
        <v>20-Rota</v>
      </c>
    </row>
    <row r="3856" spans="1:7" x14ac:dyDescent="0.25">
      <c r="A3856">
        <v>18522</v>
      </c>
      <c r="B3856">
        <v>307</v>
      </c>
      <c r="C3856" s="1" t="str">
        <f>IF(Tabela8[[#This Row],[SETOR]]="","",IF(Tabela8[[#This Row],[SETOR]]&lt;200,"GV 10",IF(Tabela8[[#This Row],[SETOR]]&lt;300,"GV 20",IF(Tabela8[[#This Row],[SETOR]]&lt;400,"GV 30","S/GV"))))</f>
        <v>GV 30</v>
      </c>
      <c r="E3856" t="s">
        <v>130</v>
      </c>
      <c r="G3856" t="str">
        <f>_xlfn.CONCAT(Tabela9[[#This Row],[Coluna1]],Tabela9[[#This Row],[Coluna2]])</f>
        <v>21-SUB</v>
      </c>
    </row>
    <row r="3857" spans="1:7" x14ac:dyDescent="0.25">
      <c r="A3857">
        <v>18523</v>
      </c>
      <c r="B3857">
        <v>109</v>
      </c>
      <c r="C3857" s="1" t="str">
        <f>IF(Tabela8[[#This Row],[SETOR]]="","",IF(Tabela8[[#This Row],[SETOR]]&lt;200,"GV 10",IF(Tabela8[[#This Row],[SETOR]]&lt;300,"GV 20",IF(Tabela8[[#This Row],[SETOR]]&lt;400,"GV 30","S/GV"))))</f>
        <v>GV 10</v>
      </c>
      <c r="E3857" t="s">
        <v>123</v>
      </c>
      <c r="G3857" t="str">
        <f>_xlfn.CONCAT(Tabela9[[#This Row],[Coluna1]],Tabela9[[#This Row],[Coluna2]])</f>
        <v>20-Rota</v>
      </c>
    </row>
    <row r="3858" spans="1:7" x14ac:dyDescent="0.25">
      <c r="A3858">
        <v>18525</v>
      </c>
      <c r="B3858">
        <v>207</v>
      </c>
      <c r="C3858" s="1" t="str">
        <f>IF(Tabela8[[#This Row],[SETOR]]="","",IF(Tabela8[[#This Row],[SETOR]]&lt;200,"GV 10",IF(Tabela8[[#This Row],[SETOR]]&lt;300,"GV 20",IF(Tabela8[[#This Row],[SETOR]]&lt;400,"GV 30","S/GV"))))</f>
        <v>GV 20</v>
      </c>
      <c r="E3858" t="s">
        <v>130</v>
      </c>
      <c r="G3858" t="str">
        <f>_xlfn.CONCAT(Tabela9[[#This Row],[Coluna1]],Tabela9[[#This Row],[Coluna2]])</f>
        <v>21-SUB</v>
      </c>
    </row>
    <row r="3859" spans="1:7" x14ac:dyDescent="0.25">
      <c r="A3859">
        <v>18526</v>
      </c>
      <c r="B3859">
        <v>109</v>
      </c>
      <c r="C3859" s="1" t="str">
        <f>IF(Tabela8[[#This Row],[SETOR]]="","",IF(Tabela8[[#This Row],[SETOR]]&lt;200,"GV 10",IF(Tabela8[[#This Row],[SETOR]]&lt;300,"GV 20",IF(Tabela8[[#This Row],[SETOR]]&lt;400,"GV 30","S/GV"))))</f>
        <v>GV 10</v>
      </c>
      <c r="E3859" t="s">
        <v>123</v>
      </c>
      <c r="G3859" t="str">
        <f>_xlfn.CONCAT(Tabela9[[#This Row],[Coluna1]],Tabela9[[#This Row],[Coluna2]])</f>
        <v>20-Rota</v>
      </c>
    </row>
    <row r="3860" spans="1:7" x14ac:dyDescent="0.25">
      <c r="A3860">
        <v>18527</v>
      </c>
      <c r="B3860">
        <v>109</v>
      </c>
      <c r="C3860" s="1" t="str">
        <f>IF(Tabela8[[#This Row],[SETOR]]="","",IF(Tabela8[[#This Row],[SETOR]]&lt;200,"GV 10",IF(Tabela8[[#This Row],[SETOR]]&lt;300,"GV 20",IF(Tabela8[[#This Row],[SETOR]]&lt;400,"GV 30","S/GV"))))</f>
        <v>GV 10</v>
      </c>
      <c r="E3860" t="s">
        <v>123</v>
      </c>
      <c r="G3860" t="str">
        <f>_xlfn.CONCAT(Tabela9[[#This Row],[Coluna1]],Tabela9[[#This Row],[Coluna2]])</f>
        <v>20-Rota</v>
      </c>
    </row>
    <row r="3861" spans="1:7" x14ac:dyDescent="0.25">
      <c r="A3861">
        <v>18528</v>
      </c>
      <c r="B3861">
        <v>107</v>
      </c>
      <c r="C3861" s="1" t="str">
        <f>IF(Tabela8[[#This Row],[SETOR]]="","",IF(Tabela8[[#This Row],[SETOR]]&lt;200,"GV 10",IF(Tabela8[[#This Row],[SETOR]]&lt;300,"GV 20",IF(Tabela8[[#This Row],[SETOR]]&lt;400,"GV 30","S/GV"))))</f>
        <v>GV 10</v>
      </c>
      <c r="E3861" t="s">
        <v>125</v>
      </c>
      <c r="G3861" t="str">
        <f>_xlfn.CONCAT(Tabela9[[#This Row],[Coluna1]],Tabela9[[#This Row],[Coluna2]])</f>
        <v>18-TRAD</v>
      </c>
    </row>
    <row r="3862" spans="1:7" x14ac:dyDescent="0.25">
      <c r="A3862">
        <v>18529</v>
      </c>
      <c r="B3862">
        <v>916</v>
      </c>
      <c r="C3862" s="1" t="str">
        <f>IF(Tabela8[[#This Row],[SETOR]]="","",IF(Tabela8[[#This Row],[SETOR]]&lt;200,"GV 10",IF(Tabela8[[#This Row],[SETOR]]&lt;300,"GV 20",IF(Tabela8[[#This Row],[SETOR]]&lt;400,"GV 30","S/GV"))))</f>
        <v>S/GV</v>
      </c>
      <c r="G3862" t="str">
        <f>_xlfn.CONCAT(Tabela9[[#This Row],[Coluna1]],Tabela9[[#This Row],[Coluna2]])</f>
        <v/>
      </c>
    </row>
    <row r="3863" spans="1:7" x14ac:dyDescent="0.25">
      <c r="A3863">
        <v>18531</v>
      </c>
      <c r="B3863">
        <v>906</v>
      </c>
      <c r="C3863" s="1" t="str">
        <f>IF(Tabela8[[#This Row],[SETOR]]="","",IF(Tabela8[[#This Row],[SETOR]]&lt;200,"GV 10",IF(Tabela8[[#This Row],[SETOR]]&lt;300,"GV 20",IF(Tabela8[[#This Row],[SETOR]]&lt;400,"GV 30","S/GV"))))</f>
        <v>S/GV</v>
      </c>
      <c r="G3863" t="str">
        <f>_xlfn.CONCAT(Tabela9[[#This Row],[Coluna1]],Tabela9[[#This Row],[Coluna2]])</f>
        <v/>
      </c>
    </row>
    <row r="3864" spans="1:7" x14ac:dyDescent="0.25">
      <c r="A3864">
        <v>18534</v>
      </c>
      <c r="B3864">
        <v>204</v>
      </c>
      <c r="C3864" s="1" t="str">
        <f>IF(Tabela8[[#This Row],[SETOR]]="","",IF(Tabela8[[#This Row],[SETOR]]&lt;200,"GV 10",IF(Tabela8[[#This Row],[SETOR]]&lt;300,"GV 20",IF(Tabela8[[#This Row],[SETOR]]&lt;400,"GV 30","S/GV"))))</f>
        <v>GV 20</v>
      </c>
      <c r="E3864" t="s">
        <v>123</v>
      </c>
      <c r="G3864" t="str">
        <f>_xlfn.CONCAT(Tabela9[[#This Row],[Coluna1]],Tabela9[[#This Row],[Coluna2]])</f>
        <v>20-Rota</v>
      </c>
    </row>
    <row r="3865" spans="1:7" x14ac:dyDescent="0.25">
      <c r="A3865">
        <v>18535</v>
      </c>
      <c r="B3865">
        <v>204</v>
      </c>
      <c r="C3865" s="1" t="str">
        <f>IF(Tabela8[[#This Row],[SETOR]]="","",IF(Tabela8[[#This Row],[SETOR]]&lt;200,"GV 10",IF(Tabela8[[#This Row],[SETOR]]&lt;300,"GV 20",IF(Tabela8[[#This Row],[SETOR]]&lt;400,"GV 30","S/GV"))))</f>
        <v>GV 20</v>
      </c>
      <c r="E3865" t="s">
        <v>123</v>
      </c>
      <c r="G3865" t="str">
        <f>_xlfn.CONCAT(Tabela9[[#This Row],[Coluna1]],Tabela9[[#This Row],[Coluna2]])</f>
        <v>20-Rota</v>
      </c>
    </row>
    <row r="3866" spans="1:7" x14ac:dyDescent="0.25">
      <c r="A3866">
        <v>18536</v>
      </c>
      <c r="B3866">
        <v>101</v>
      </c>
      <c r="C3866" s="1" t="str">
        <f>IF(Tabela8[[#This Row],[SETOR]]="","",IF(Tabela8[[#This Row],[SETOR]]&lt;200,"GV 10",IF(Tabela8[[#This Row],[SETOR]]&lt;300,"GV 20",IF(Tabela8[[#This Row],[SETOR]]&lt;400,"GV 30","S/GV"))))</f>
        <v>GV 10</v>
      </c>
      <c r="E3866" t="s">
        <v>123</v>
      </c>
      <c r="G3866" t="str">
        <f>_xlfn.CONCAT(Tabela9[[#This Row],[Coluna1]],Tabela9[[#This Row],[Coluna2]])</f>
        <v>20-Rota</v>
      </c>
    </row>
    <row r="3867" spans="1:7" x14ac:dyDescent="0.25">
      <c r="A3867">
        <v>18542</v>
      </c>
      <c r="B3867">
        <v>109</v>
      </c>
      <c r="C3867" s="1" t="str">
        <f>IF(Tabela8[[#This Row],[SETOR]]="","",IF(Tabela8[[#This Row],[SETOR]]&lt;200,"GV 10",IF(Tabela8[[#This Row],[SETOR]]&lt;300,"GV 20",IF(Tabela8[[#This Row],[SETOR]]&lt;400,"GV 30","S/GV"))))</f>
        <v>GV 10</v>
      </c>
      <c r="E3867" t="s">
        <v>123</v>
      </c>
      <c r="G3867" t="str">
        <f>_xlfn.CONCAT(Tabela9[[#This Row],[Coluna1]],Tabela9[[#This Row],[Coluna2]])</f>
        <v>20-Rota</v>
      </c>
    </row>
    <row r="3868" spans="1:7" x14ac:dyDescent="0.25">
      <c r="A3868">
        <v>18545</v>
      </c>
      <c r="B3868">
        <v>302</v>
      </c>
      <c r="C3868" s="1" t="str">
        <f>IF(Tabela8[[#This Row],[SETOR]]="","",IF(Tabela8[[#This Row],[SETOR]]&lt;200,"GV 10",IF(Tabela8[[#This Row],[SETOR]]&lt;300,"GV 20",IF(Tabela8[[#This Row],[SETOR]]&lt;400,"GV 30","S/GV"))))</f>
        <v>GV 30</v>
      </c>
      <c r="E3868" t="s">
        <v>123</v>
      </c>
      <c r="G3868" t="str">
        <f>_xlfn.CONCAT(Tabela9[[#This Row],[Coluna1]],Tabela9[[#This Row],[Coluna2]])</f>
        <v>20-Rota</v>
      </c>
    </row>
    <row r="3869" spans="1:7" x14ac:dyDescent="0.25">
      <c r="A3869">
        <v>18546</v>
      </c>
      <c r="B3869">
        <v>101</v>
      </c>
      <c r="C3869" s="1" t="str">
        <f>IF(Tabela8[[#This Row],[SETOR]]="","",IF(Tabela8[[#This Row],[SETOR]]&lt;200,"GV 10",IF(Tabela8[[#This Row],[SETOR]]&lt;300,"GV 20",IF(Tabela8[[#This Row],[SETOR]]&lt;400,"GV 30","S/GV"))))</f>
        <v>GV 10</v>
      </c>
      <c r="E3869" t="s">
        <v>123</v>
      </c>
      <c r="G3869" t="str">
        <f>_xlfn.CONCAT(Tabela9[[#This Row],[Coluna1]],Tabela9[[#This Row],[Coluna2]])</f>
        <v>20-Rota</v>
      </c>
    </row>
    <row r="3870" spans="1:7" x14ac:dyDescent="0.25">
      <c r="A3870">
        <v>18547</v>
      </c>
      <c r="B3870">
        <v>204</v>
      </c>
      <c r="C3870" s="1" t="str">
        <f>IF(Tabela8[[#This Row],[SETOR]]="","",IF(Tabela8[[#This Row],[SETOR]]&lt;200,"GV 10",IF(Tabela8[[#This Row],[SETOR]]&lt;300,"GV 20",IF(Tabela8[[#This Row],[SETOR]]&lt;400,"GV 30","S/GV"))))</f>
        <v>GV 20</v>
      </c>
      <c r="E3870" t="s">
        <v>123</v>
      </c>
      <c r="G3870" t="str">
        <f>_xlfn.CONCAT(Tabela9[[#This Row],[Coluna1]],Tabela9[[#This Row],[Coluna2]])</f>
        <v>20-Rota</v>
      </c>
    </row>
    <row r="3871" spans="1:7" x14ac:dyDescent="0.25">
      <c r="A3871">
        <v>18552</v>
      </c>
      <c r="B3871">
        <v>302</v>
      </c>
      <c r="C3871" s="1" t="str">
        <f>IF(Tabela8[[#This Row],[SETOR]]="","",IF(Tabela8[[#This Row],[SETOR]]&lt;200,"GV 10",IF(Tabela8[[#This Row],[SETOR]]&lt;300,"GV 20",IF(Tabela8[[#This Row],[SETOR]]&lt;400,"GV 30","S/GV"))))</f>
        <v>GV 30</v>
      </c>
      <c r="E3871" t="s">
        <v>123</v>
      </c>
      <c r="G3871" t="str">
        <f>_xlfn.CONCAT(Tabela9[[#This Row],[Coluna1]],Tabela9[[#This Row],[Coluna2]])</f>
        <v>20-Rota</v>
      </c>
    </row>
    <row r="3872" spans="1:7" x14ac:dyDescent="0.25">
      <c r="A3872">
        <v>18553</v>
      </c>
      <c r="B3872">
        <v>301</v>
      </c>
      <c r="C3872" s="1" t="str">
        <f>IF(Tabela8[[#This Row],[SETOR]]="","",IF(Tabela8[[#This Row],[SETOR]]&lt;200,"GV 10",IF(Tabela8[[#This Row],[SETOR]]&lt;300,"GV 20",IF(Tabela8[[#This Row],[SETOR]]&lt;400,"GV 30","S/GV"))))</f>
        <v>GV 30</v>
      </c>
      <c r="E3872" t="s">
        <v>123</v>
      </c>
      <c r="G3872" t="str">
        <f>_xlfn.CONCAT(Tabela9[[#This Row],[Coluna1]],Tabela9[[#This Row],[Coluna2]])</f>
        <v>20-Rota</v>
      </c>
    </row>
    <row r="3873" spans="1:7" x14ac:dyDescent="0.25">
      <c r="A3873">
        <v>18554</v>
      </c>
      <c r="B3873">
        <v>103</v>
      </c>
      <c r="C3873" s="1" t="str">
        <f>IF(Tabela8[[#This Row],[SETOR]]="","",IF(Tabela8[[#This Row],[SETOR]]&lt;200,"GV 10",IF(Tabela8[[#This Row],[SETOR]]&lt;300,"GV 20",IF(Tabela8[[#This Row],[SETOR]]&lt;400,"GV 30","S/GV"))))</f>
        <v>GV 10</v>
      </c>
      <c r="E3873" t="s">
        <v>123</v>
      </c>
      <c r="G3873" t="str">
        <f>_xlfn.CONCAT(Tabela9[[#This Row],[Coluna1]],Tabela9[[#This Row],[Coluna2]])</f>
        <v>20-Rota</v>
      </c>
    </row>
    <row r="3874" spans="1:7" x14ac:dyDescent="0.25">
      <c r="A3874">
        <v>18556</v>
      </c>
      <c r="B3874">
        <v>302</v>
      </c>
      <c r="C3874" s="1" t="str">
        <f>IF(Tabela8[[#This Row],[SETOR]]="","",IF(Tabela8[[#This Row],[SETOR]]&lt;200,"GV 10",IF(Tabela8[[#This Row],[SETOR]]&lt;300,"GV 20",IF(Tabela8[[#This Row],[SETOR]]&lt;400,"GV 30","S/GV"))))</f>
        <v>GV 30</v>
      </c>
      <c r="E3874" t="s">
        <v>123</v>
      </c>
      <c r="G3874" t="str">
        <f>_xlfn.CONCAT(Tabela9[[#This Row],[Coluna1]],Tabela9[[#This Row],[Coluna2]])</f>
        <v>20-Rota</v>
      </c>
    </row>
    <row r="3875" spans="1:7" x14ac:dyDescent="0.25">
      <c r="A3875">
        <v>18557</v>
      </c>
      <c r="B3875">
        <v>201</v>
      </c>
      <c r="C3875" s="1" t="str">
        <f>IF(Tabela8[[#This Row],[SETOR]]="","",IF(Tabela8[[#This Row],[SETOR]]&lt;200,"GV 10",IF(Tabela8[[#This Row],[SETOR]]&lt;300,"GV 20",IF(Tabela8[[#This Row],[SETOR]]&lt;400,"GV 30","S/GV"))))</f>
        <v>GV 20</v>
      </c>
      <c r="E3875" t="s">
        <v>123</v>
      </c>
      <c r="G3875" t="str">
        <f>_xlfn.CONCAT(Tabela9[[#This Row],[Coluna1]],Tabela9[[#This Row],[Coluna2]])</f>
        <v>20-Rota</v>
      </c>
    </row>
    <row r="3876" spans="1:7" x14ac:dyDescent="0.25">
      <c r="A3876">
        <v>18560</v>
      </c>
      <c r="B3876">
        <v>109</v>
      </c>
      <c r="C3876" s="1" t="str">
        <f>IF(Tabela8[[#This Row],[SETOR]]="","",IF(Tabela8[[#This Row],[SETOR]]&lt;200,"GV 10",IF(Tabela8[[#This Row],[SETOR]]&lt;300,"GV 20",IF(Tabela8[[#This Row],[SETOR]]&lt;400,"GV 30","S/GV"))))</f>
        <v>GV 10</v>
      </c>
      <c r="E3876" t="s">
        <v>123</v>
      </c>
      <c r="G3876" t="str">
        <f>_xlfn.CONCAT(Tabela9[[#This Row],[Coluna1]],Tabela9[[#This Row],[Coluna2]])</f>
        <v>20-Rota</v>
      </c>
    </row>
    <row r="3877" spans="1:7" x14ac:dyDescent="0.25">
      <c r="A3877">
        <v>18561</v>
      </c>
      <c r="B3877">
        <v>302</v>
      </c>
      <c r="C3877" s="1" t="str">
        <f>IF(Tabela8[[#This Row],[SETOR]]="","",IF(Tabela8[[#This Row],[SETOR]]&lt;200,"GV 10",IF(Tabela8[[#This Row],[SETOR]]&lt;300,"GV 20",IF(Tabela8[[#This Row],[SETOR]]&lt;400,"GV 30","S/GV"))))</f>
        <v>GV 30</v>
      </c>
      <c r="E3877" t="s">
        <v>123</v>
      </c>
      <c r="G3877" t="str">
        <f>_xlfn.CONCAT(Tabela9[[#This Row],[Coluna1]],Tabela9[[#This Row],[Coluna2]])</f>
        <v>20-Rota</v>
      </c>
    </row>
    <row r="3878" spans="1:7" x14ac:dyDescent="0.25">
      <c r="A3878">
        <v>18564</v>
      </c>
      <c r="B3878">
        <v>301</v>
      </c>
      <c r="C3878" s="1" t="str">
        <f>IF(Tabela8[[#This Row],[SETOR]]="","",IF(Tabela8[[#This Row],[SETOR]]&lt;200,"GV 10",IF(Tabela8[[#This Row],[SETOR]]&lt;300,"GV 20",IF(Tabela8[[#This Row],[SETOR]]&lt;400,"GV 30","S/GV"))))</f>
        <v>GV 30</v>
      </c>
      <c r="E3878" t="s">
        <v>123</v>
      </c>
      <c r="G3878" t="str">
        <f>_xlfn.CONCAT(Tabela9[[#This Row],[Coluna1]],Tabela9[[#This Row],[Coluna2]])</f>
        <v>20-Rota</v>
      </c>
    </row>
    <row r="3879" spans="1:7" x14ac:dyDescent="0.25">
      <c r="A3879">
        <v>18565</v>
      </c>
      <c r="B3879">
        <v>916</v>
      </c>
      <c r="C3879" s="1" t="str">
        <f>IF(Tabela8[[#This Row],[SETOR]]="","",IF(Tabela8[[#This Row],[SETOR]]&lt;200,"GV 10",IF(Tabela8[[#This Row],[SETOR]]&lt;300,"GV 20",IF(Tabela8[[#This Row],[SETOR]]&lt;400,"GV 30","S/GV"))))</f>
        <v>S/GV</v>
      </c>
      <c r="G3879" t="str">
        <f>_xlfn.CONCAT(Tabela9[[#This Row],[Coluna1]],Tabela9[[#This Row],[Coluna2]])</f>
        <v/>
      </c>
    </row>
    <row r="3880" spans="1:7" x14ac:dyDescent="0.25">
      <c r="A3880">
        <v>18566</v>
      </c>
      <c r="B3880">
        <v>101</v>
      </c>
      <c r="C3880" s="1" t="str">
        <f>IF(Tabela8[[#This Row],[SETOR]]="","",IF(Tabela8[[#This Row],[SETOR]]&lt;200,"GV 10",IF(Tabela8[[#This Row],[SETOR]]&lt;300,"GV 20",IF(Tabela8[[#This Row],[SETOR]]&lt;400,"GV 30","S/GV"))))</f>
        <v>GV 10</v>
      </c>
      <c r="E3880" t="s">
        <v>123</v>
      </c>
      <c r="G3880" t="str">
        <f>_xlfn.CONCAT(Tabela9[[#This Row],[Coluna1]],Tabela9[[#This Row],[Coluna2]])</f>
        <v>20-Rota</v>
      </c>
    </row>
    <row r="3881" spans="1:7" x14ac:dyDescent="0.25">
      <c r="A3881">
        <v>18567</v>
      </c>
      <c r="B3881">
        <v>303</v>
      </c>
      <c r="C3881" s="1" t="str">
        <f>IF(Tabela8[[#This Row],[SETOR]]="","",IF(Tabela8[[#This Row],[SETOR]]&lt;200,"GV 10",IF(Tabela8[[#This Row],[SETOR]]&lt;300,"GV 20",IF(Tabela8[[#This Row],[SETOR]]&lt;400,"GV 30","S/GV"))))</f>
        <v>GV 30</v>
      </c>
      <c r="E3881" t="s">
        <v>130</v>
      </c>
      <c r="G3881" t="str">
        <f>_xlfn.CONCAT(Tabela9[[#This Row],[Coluna1]],Tabela9[[#This Row],[Coluna2]])</f>
        <v>21-SUB</v>
      </c>
    </row>
    <row r="3882" spans="1:7" x14ac:dyDescent="0.25">
      <c r="A3882">
        <v>18569</v>
      </c>
      <c r="B3882">
        <v>101</v>
      </c>
      <c r="C3882" s="1" t="str">
        <f>IF(Tabela8[[#This Row],[SETOR]]="","",IF(Tabela8[[#This Row],[SETOR]]&lt;200,"GV 10",IF(Tabela8[[#This Row],[SETOR]]&lt;300,"GV 20",IF(Tabela8[[#This Row],[SETOR]]&lt;400,"GV 30","S/GV"))))</f>
        <v>GV 10</v>
      </c>
      <c r="E3882" t="s">
        <v>123</v>
      </c>
      <c r="G3882" t="str">
        <f>_xlfn.CONCAT(Tabela9[[#This Row],[Coluna1]],Tabela9[[#This Row],[Coluna2]])</f>
        <v>20-Rota</v>
      </c>
    </row>
    <row r="3883" spans="1:7" x14ac:dyDescent="0.25">
      <c r="A3883">
        <v>18575</v>
      </c>
      <c r="B3883">
        <v>201</v>
      </c>
      <c r="C3883" s="1" t="str">
        <f>IF(Tabela8[[#This Row],[SETOR]]="","",IF(Tabela8[[#This Row],[SETOR]]&lt;200,"GV 10",IF(Tabela8[[#This Row],[SETOR]]&lt;300,"GV 20",IF(Tabela8[[#This Row],[SETOR]]&lt;400,"GV 30","S/GV"))))</f>
        <v>GV 20</v>
      </c>
      <c r="E3883" t="s">
        <v>130</v>
      </c>
      <c r="G3883" t="str">
        <f>_xlfn.CONCAT(Tabela9[[#This Row],[Coluna1]],Tabela9[[#This Row],[Coluna2]])</f>
        <v>21-SUB</v>
      </c>
    </row>
    <row r="3884" spans="1:7" x14ac:dyDescent="0.25">
      <c r="A3884">
        <v>18576</v>
      </c>
      <c r="B3884">
        <v>916</v>
      </c>
      <c r="C3884" s="1" t="str">
        <f>IF(Tabela8[[#This Row],[SETOR]]="","",IF(Tabela8[[#This Row],[SETOR]]&lt;200,"GV 10",IF(Tabela8[[#This Row],[SETOR]]&lt;300,"GV 20",IF(Tabela8[[#This Row],[SETOR]]&lt;400,"GV 30","S/GV"))))</f>
        <v>S/GV</v>
      </c>
      <c r="G3884" t="str">
        <f>_xlfn.CONCAT(Tabela9[[#This Row],[Coluna1]],Tabela9[[#This Row],[Coluna2]])</f>
        <v/>
      </c>
    </row>
    <row r="3885" spans="1:7" x14ac:dyDescent="0.25">
      <c r="A3885">
        <v>18577</v>
      </c>
      <c r="B3885">
        <v>916</v>
      </c>
      <c r="C3885" s="1" t="str">
        <f>IF(Tabela8[[#This Row],[SETOR]]="","",IF(Tabela8[[#This Row],[SETOR]]&lt;200,"GV 10",IF(Tabela8[[#This Row],[SETOR]]&lt;300,"GV 20",IF(Tabela8[[#This Row],[SETOR]]&lt;400,"GV 30","S/GV"))))</f>
        <v>S/GV</v>
      </c>
      <c r="G3885" t="str">
        <f>_xlfn.CONCAT(Tabela9[[#This Row],[Coluna1]],Tabela9[[#This Row],[Coluna2]])</f>
        <v/>
      </c>
    </row>
    <row r="3886" spans="1:7" x14ac:dyDescent="0.25">
      <c r="A3886">
        <v>18578</v>
      </c>
      <c r="B3886">
        <v>916</v>
      </c>
      <c r="C3886" s="1" t="str">
        <f>IF(Tabela8[[#This Row],[SETOR]]="","",IF(Tabela8[[#This Row],[SETOR]]&lt;200,"GV 10",IF(Tabela8[[#This Row],[SETOR]]&lt;300,"GV 20",IF(Tabela8[[#This Row],[SETOR]]&lt;400,"GV 30","S/GV"))))</f>
        <v>S/GV</v>
      </c>
      <c r="G3886" t="str">
        <f>_xlfn.CONCAT(Tabela9[[#This Row],[Coluna1]],Tabela9[[#This Row],[Coluna2]])</f>
        <v/>
      </c>
    </row>
    <row r="3887" spans="1:7" x14ac:dyDescent="0.25">
      <c r="A3887">
        <v>18579</v>
      </c>
      <c r="B3887">
        <v>103</v>
      </c>
      <c r="C3887" s="1" t="str">
        <f>IF(Tabela8[[#This Row],[SETOR]]="","",IF(Tabela8[[#This Row],[SETOR]]&lt;200,"GV 10",IF(Tabela8[[#This Row],[SETOR]]&lt;300,"GV 20",IF(Tabela8[[#This Row],[SETOR]]&lt;400,"GV 30","S/GV"))))</f>
        <v>GV 10</v>
      </c>
      <c r="E3887" t="s">
        <v>123</v>
      </c>
      <c r="G3887" t="str">
        <f>_xlfn.CONCAT(Tabela9[[#This Row],[Coluna1]],Tabela9[[#This Row],[Coluna2]])</f>
        <v>20-Rota</v>
      </c>
    </row>
    <row r="3888" spans="1:7" x14ac:dyDescent="0.25">
      <c r="A3888">
        <v>18580</v>
      </c>
      <c r="B3888">
        <v>301</v>
      </c>
      <c r="C3888" s="1" t="str">
        <f>IF(Tabela8[[#This Row],[SETOR]]="","",IF(Tabela8[[#This Row],[SETOR]]&lt;200,"GV 10",IF(Tabela8[[#This Row],[SETOR]]&lt;300,"GV 20",IF(Tabela8[[#This Row],[SETOR]]&lt;400,"GV 30","S/GV"))))</f>
        <v>GV 30</v>
      </c>
      <c r="E3888" t="s">
        <v>123</v>
      </c>
      <c r="G3888" t="str">
        <f>_xlfn.CONCAT(Tabela9[[#This Row],[Coluna1]],Tabela9[[#This Row],[Coluna2]])</f>
        <v>20-Rota</v>
      </c>
    </row>
    <row r="3889" spans="1:7" x14ac:dyDescent="0.25">
      <c r="A3889">
        <v>18581</v>
      </c>
      <c r="B3889">
        <v>304</v>
      </c>
      <c r="C3889" s="1" t="str">
        <f>IF(Tabela8[[#This Row],[SETOR]]="","",IF(Tabela8[[#This Row],[SETOR]]&lt;200,"GV 10",IF(Tabela8[[#This Row],[SETOR]]&lt;300,"GV 20",IF(Tabela8[[#This Row],[SETOR]]&lt;400,"GV 30","S/GV"))))</f>
        <v>GV 30</v>
      </c>
      <c r="E3889" t="s">
        <v>130</v>
      </c>
      <c r="G3889" t="str">
        <f>_xlfn.CONCAT(Tabela9[[#This Row],[Coluna1]],Tabela9[[#This Row],[Coluna2]])</f>
        <v>21-SUB</v>
      </c>
    </row>
    <row r="3890" spans="1:7" x14ac:dyDescent="0.25">
      <c r="A3890">
        <v>18582</v>
      </c>
      <c r="B3890">
        <v>106</v>
      </c>
      <c r="C3890" s="1" t="str">
        <f>IF(Tabela8[[#This Row],[SETOR]]="","",IF(Tabela8[[#This Row],[SETOR]]&lt;200,"GV 10",IF(Tabela8[[#This Row],[SETOR]]&lt;300,"GV 20",IF(Tabela8[[#This Row],[SETOR]]&lt;400,"GV 30","S/GV"))))</f>
        <v>GV 10</v>
      </c>
      <c r="E3890" t="s">
        <v>123</v>
      </c>
      <c r="G3890" t="str">
        <f>_xlfn.CONCAT(Tabela9[[#This Row],[Coluna1]],Tabela9[[#This Row],[Coluna2]])</f>
        <v>20-Rota</v>
      </c>
    </row>
    <row r="3891" spans="1:7" x14ac:dyDescent="0.25">
      <c r="A3891">
        <v>18585</v>
      </c>
      <c r="B3891">
        <v>107</v>
      </c>
      <c r="C3891" s="1" t="str">
        <f>IF(Tabela8[[#This Row],[SETOR]]="","",IF(Tabela8[[#This Row],[SETOR]]&lt;200,"GV 10",IF(Tabela8[[#This Row],[SETOR]]&lt;300,"GV 20",IF(Tabela8[[#This Row],[SETOR]]&lt;400,"GV 30","S/GV"))))</f>
        <v>GV 10</v>
      </c>
      <c r="E3891" t="s">
        <v>130</v>
      </c>
      <c r="G3891" t="str">
        <f>_xlfn.CONCAT(Tabela9[[#This Row],[Coluna1]],Tabela9[[#This Row],[Coluna2]])</f>
        <v>21-SUB</v>
      </c>
    </row>
    <row r="3892" spans="1:7" x14ac:dyDescent="0.25">
      <c r="A3892">
        <v>18586</v>
      </c>
      <c r="B3892">
        <v>105</v>
      </c>
      <c r="C3892" s="1" t="str">
        <f>IF(Tabela8[[#This Row],[SETOR]]="","",IF(Tabela8[[#This Row],[SETOR]]&lt;200,"GV 10",IF(Tabela8[[#This Row],[SETOR]]&lt;300,"GV 20",IF(Tabela8[[#This Row],[SETOR]]&lt;400,"GV 30","S/GV"))))</f>
        <v>GV 10</v>
      </c>
      <c r="E3892" t="s">
        <v>125</v>
      </c>
      <c r="G3892" t="str">
        <f>_xlfn.CONCAT(Tabela9[[#This Row],[Coluna1]],Tabela9[[#This Row],[Coluna2]])</f>
        <v>18-TRAD</v>
      </c>
    </row>
    <row r="3893" spans="1:7" x14ac:dyDescent="0.25">
      <c r="A3893">
        <v>18587</v>
      </c>
      <c r="B3893">
        <v>101</v>
      </c>
      <c r="C3893" s="1" t="str">
        <f>IF(Tabela8[[#This Row],[SETOR]]="","",IF(Tabela8[[#This Row],[SETOR]]&lt;200,"GV 10",IF(Tabela8[[#This Row],[SETOR]]&lt;300,"GV 20",IF(Tabela8[[#This Row],[SETOR]]&lt;400,"GV 30","S/GV"))))</f>
        <v>GV 10</v>
      </c>
      <c r="E3893" t="s">
        <v>123</v>
      </c>
      <c r="G3893" t="str">
        <f>_xlfn.CONCAT(Tabela9[[#This Row],[Coluna1]],Tabela9[[#This Row],[Coluna2]])</f>
        <v>20-Rota</v>
      </c>
    </row>
    <row r="3894" spans="1:7" x14ac:dyDescent="0.25">
      <c r="A3894">
        <v>18588</v>
      </c>
      <c r="B3894">
        <v>916</v>
      </c>
      <c r="C3894" s="1" t="str">
        <f>IF(Tabela8[[#This Row],[SETOR]]="","",IF(Tabela8[[#This Row],[SETOR]]&lt;200,"GV 10",IF(Tabela8[[#This Row],[SETOR]]&lt;300,"GV 20",IF(Tabela8[[#This Row],[SETOR]]&lt;400,"GV 30","S/GV"))))</f>
        <v>S/GV</v>
      </c>
      <c r="G3894" t="str">
        <f>_xlfn.CONCAT(Tabela9[[#This Row],[Coluna1]],Tabela9[[#This Row],[Coluna2]])</f>
        <v/>
      </c>
    </row>
    <row r="3895" spans="1:7" x14ac:dyDescent="0.25">
      <c r="A3895">
        <v>18589</v>
      </c>
      <c r="B3895">
        <v>305</v>
      </c>
      <c r="C3895" s="1" t="str">
        <f>IF(Tabela8[[#This Row],[SETOR]]="","",IF(Tabela8[[#This Row],[SETOR]]&lt;200,"GV 10",IF(Tabela8[[#This Row],[SETOR]]&lt;300,"GV 20",IF(Tabela8[[#This Row],[SETOR]]&lt;400,"GV 30","S/GV"))))</f>
        <v>GV 30</v>
      </c>
      <c r="E3895" t="s">
        <v>123</v>
      </c>
      <c r="G3895" t="str">
        <f>_xlfn.CONCAT(Tabela9[[#This Row],[Coluna1]],Tabela9[[#This Row],[Coluna2]])</f>
        <v>20-Rota</v>
      </c>
    </row>
    <row r="3896" spans="1:7" x14ac:dyDescent="0.25">
      <c r="A3896">
        <v>18590</v>
      </c>
      <c r="B3896">
        <v>305</v>
      </c>
      <c r="C3896" s="1" t="str">
        <f>IF(Tabela8[[#This Row],[SETOR]]="","",IF(Tabela8[[#This Row],[SETOR]]&lt;200,"GV 10",IF(Tabela8[[#This Row],[SETOR]]&lt;300,"GV 20",IF(Tabela8[[#This Row],[SETOR]]&lt;400,"GV 30","S/GV"))))</f>
        <v>GV 30</v>
      </c>
      <c r="E3896" t="s">
        <v>123</v>
      </c>
      <c r="G3896" t="str">
        <f>_xlfn.CONCAT(Tabela9[[#This Row],[Coluna1]],Tabela9[[#This Row],[Coluna2]])</f>
        <v>20-Rota</v>
      </c>
    </row>
    <row r="3897" spans="1:7" x14ac:dyDescent="0.25">
      <c r="A3897">
        <v>18591</v>
      </c>
      <c r="B3897">
        <v>201</v>
      </c>
      <c r="C3897" s="1" t="str">
        <f>IF(Tabela8[[#This Row],[SETOR]]="","",IF(Tabela8[[#This Row],[SETOR]]&lt;200,"GV 10",IF(Tabela8[[#This Row],[SETOR]]&lt;300,"GV 20",IF(Tabela8[[#This Row],[SETOR]]&lt;400,"GV 30","S/GV"))))</f>
        <v>GV 20</v>
      </c>
      <c r="E3897" t="s">
        <v>128</v>
      </c>
      <c r="F3897" t="s">
        <v>129</v>
      </c>
      <c r="G3897" t="str">
        <f>_xlfn.CONCAT(Tabela9[[#This Row],[Coluna1]],Tabela9[[#This Row],[Coluna2]])</f>
        <v>15-AS(1-4)</v>
      </c>
    </row>
    <row r="3898" spans="1:7" x14ac:dyDescent="0.25">
      <c r="A3898">
        <v>18593</v>
      </c>
      <c r="B3898">
        <v>105</v>
      </c>
      <c r="C3898" s="1" t="str">
        <f>IF(Tabela8[[#This Row],[SETOR]]="","",IF(Tabela8[[#This Row],[SETOR]]&lt;200,"GV 10",IF(Tabela8[[#This Row],[SETOR]]&lt;300,"GV 20",IF(Tabela8[[#This Row],[SETOR]]&lt;400,"GV 30","S/GV"))))</f>
        <v>GV 10</v>
      </c>
      <c r="E3898" t="s">
        <v>123</v>
      </c>
      <c r="G3898" t="str">
        <f>_xlfn.CONCAT(Tabela9[[#This Row],[Coluna1]],Tabela9[[#This Row],[Coluna2]])</f>
        <v>20-Rota</v>
      </c>
    </row>
    <row r="3899" spans="1:7" x14ac:dyDescent="0.25">
      <c r="A3899">
        <v>18594</v>
      </c>
      <c r="B3899">
        <v>201</v>
      </c>
      <c r="C3899" s="1" t="str">
        <f>IF(Tabela8[[#This Row],[SETOR]]="","",IF(Tabela8[[#This Row],[SETOR]]&lt;200,"GV 10",IF(Tabela8[[#This Row],[SETOR]]&lt;300,"GV 20",IF(Tabela8[[#This Row],[SETOR]]&lt;400,"GV 30","S/GV"))))</f>
        <v>GV 20</v>
      </c>
      <c r="E3899" t="s">
        <v>123</v>
      </c>
      <c r="G3899" t="str">
        <f>_xlfn.CONCAT(Tabela9[[#This Row],[Coluna1]],Tabela9[[#This Row],[Coluna2]])</f>
        <v>20-Rota</v>
      </c>
    </row>
    <row r="3900" spans="1:7" x14ac:dyDescent="0.25">
      <c r="A3900">
        <v>18595</v>
      </c>
      <c r="B3900">
        <v>201</v>
      </c>
      <c r="C3900" s="1" t="str">
        <f>IF(Tabela8[[#This Row],[SETOR]]="","",IF(Tabela8[[#This Row],[SETOR]]&lt;200,"GV 10",IF(Tabela8[[#This Row],[SETOR]]&lt;300,"GV 20",IF(Tabela8[[#This Row],[SETOR]]&lt;400,"GV 30","S/GV"))))</f>
        <v>GV 20</v>
      </c>
      <c r="E3900" t="s">
        <v>130</v>
      </c>
      <c r="G3900" t="str">
        <f>_xlfn.CONCAT(Tabela9[[#This Row],[Coluna1]],Tabela9[[#This Row],[Coluna2]])</f>
        <v>21-SUB</v>
      </c>
    </row>
    <row r="3901" spans="1:7" x14ac:dyDescent="0.25">
      <c r="A3901">
        <v>18596</v>
      </c>
      <c r="B3901">
        <v>105</v>
      </c>
      <c r="C3901" s="1" t="str">
        <f>IF(Tabela8[[#This Row],[SETOR]]="","",IF(Tabela8[[#This Row],[SETOR]]&lt;200,"GV 10",IF(Tabela8[[#This Row],[SETOR]]&lt;300,"GV 20",IF(Tabela8[[#This Row],[SETOR]]&lt;400,"GV 30","S/GV"))))</f>
        <v>GV 10</v>
      </c>
      <c r="E3901" t="s">
        <v>131</v>
      </c>
      <c r="F3901" t="s">
        <v>132</v>
      </c>
      <c r="G3901" t="str">
        <f>_xlfn.CONCAT(Tabela9[[#This Row],[Coluna1]],Tabela9[[#This Row],[Coluna2]])</f>
        <v>14-Lj.Conveniência</v>
      </c>
    </row>
    <row r="3902" spans="1:7" x14ac:dyDescent="0.25">
      <c r="A3902">
        <v>18597</v>
      </c>
      <c r="B3902">
        <v>302</v>
      </c>
      <c r="C3902" s="1" t="str">
        <f>IF(Tabela8[[#This Row],[SETOR]]="","",IF(Tabela8[[#This Row],[SETOR]]&lt;200,"GV 10",IF(Tabela8[[#This Row],[SETOR]]&lt;300,"GV 20",IF(Tabela8[[#This Row],[SETOR]]&lt;400,"GV 30","S/GV"))))</f>
        <v>GV 30</v>
      </c>
      <c r="E3902" t="s">
        <v>123</v>
      </c>
      <c r="G3902" t="str">
        <f>_xlfn.CONCAT(Tabela9[[#This Row],[Coluna1]],Tabela9[[#This Row],[Coluna2]])</f>
        <v>20-Rota</v>
      </c>
    </row>
    <row r="3903" spans="1:7" x14ac:dyDescent="0.25">
      <c r="A3903">
        <v>18598</v>
      </c>
      <c r="B3903">
        <v>306</v>
      </c>
      <c r="C3903" s="1" t="str">
        <f>IF(Tabela8[[#This Row],[SETOR]]="","",IF(Tabela8[[#This Row],[SETOR]]&lt;200,"GV 10",IF(Tabela8[[#This Row],[SETOR]]&lt;300,"GV 20",IF(Tabela8[[#This Row],[SETOR]]&lt;400,"GV 30","S/GV"))))</f>
        <v>GV 30</v>
      </c>
      <c r="E3903" t="s">
        <v>125</v>
      </c>
      <c r="G3903" t="str">
        <f>_xlfn.CONCAT(Tabela9[[#This Row],[Coluna1]],Tabela9[[#This Row],[Coluna2]])</f>
        <v>18-TRAD</v>
      </c>
    </row>
    <row r="3904" spans="1:7" x14ac:dyDescent="0.25">
      <c r="A3904">
        <v>18599</v>
      </c>
      <c r="B3904">
        <v>302</v>
      </c>
      <c r="C3904" s="1" t="str">
        <f>IF(Tabela8[[#This Row],[SETOR]]="","",IF(Tabela8[[#This Row],[SETOR]]&lt;200,"GV 10",IF(Tabela8[[#This Row],[SETOR]]&lt;300,"GV 20",IF(Tabela8[[#This Row],[SETOR]]&lt;400,"GV 30","S/GV"))))</f>
        <v>GV 30</v>
      </c>
      <c r="E3904" t="s">
        <v>123</v>
      </c>
      <c r="G3904" t="str">
        <f>_xlfn.CONCAT(Tabela9[[#This Row],[Coluna1]],Tabela9[[#This Row],[Coluna2]])</f>
        <v>20-Rota</v>
      </c>
    </row>
    <row r="3905" spans="1:7" x14ac:dyDescent="0.25">
      <c r="A3905">
        <v>18600</v>
      </c>
      <c r="B3905">
        <v>102</v>
      </c>
      <c r="C3905" s="1" t="str">
        <f>IF(Tabela8[[#This Row],[SETOR]]="","",IF(Tabela8[[#This Row],[SETOR]]&lt;200,"GV 10",IF(Tabela8[[#This Row],[SETOR]]&lt;300,"GV 20",IF(Tabela8[[#This Row],[SETOR]]&lt;400,"GV 30","S/GV"))))</f>
        <v>GV 10</v>
      </c>
      <c r="E3905" t="s">
        <v>123</v>
      </c>
      <c r="G3905" t="str">
        <f>_xlfn.CONCAT(Tabela9[[#This Row],[Coluna1]],Tabela9[[#This Row],[Coluna2]])</f>
        <v>20-Rota</v>
      </c>
    </row>
    <row r="3906" spans="1:7" x14ac:dyDescent="0.25">
      <c r="A3906">
        <v>18602</v>
      </c>
      <c r="B3906">
        <v>301</v>
      </c>
      <c r="C3906" s="1" t="str">
        <f>IF(Tabela8[[#This Row],[SETOR]]="","",IF(Tabela8[[#This Row],[SETOR]]&lt;200,"GV 10",IF(Tabela8[[#This Row],[SETOR]]&lt;300,"GV 20",IF(Tabela8[[#This Row],[SETOR]]&lt;400,"GV 30","S/GV"))))</f>
        <v>GV 30</v>
      </c>
      <c r="E3906" t="s">
        <v>123</v>
      </c>
      <c r="G3906" t="str">
        <f>_xlfn.CONCAT(Tabela9[[#This Row],[Coluna1]],Tabela9[[#This Row],[Coluna2]])</f>
        <v>20-Rota</v>
      </c>
    </row>
    <row r="3907" spans="1:7" x14ac:dyDescent="0.25">
      <c r="A3907">
        <v>18605</v>
      </c>
      <c r="B3907">
        <v>203</v>
      </c>
      <c r="C3907" s="1" t="str">
        <f>IF(Tabela8[[#This Row],[SETOR]]="","",IF(Tabela8[[#This Row],[SETOR]]&lt;200,"GV 10",IF(Tabela8[[#This Row],[SETOR]]&lt;300,"GV 20",IF(Tabela8[[#This Row],[SETOR]]&lt;400,"GV 30","S/GV"))))</f>
        <v>GV 20</v>
      </c>
      <c r="E3907" t="s">
        <v>123</v>
      </c>
      <c r="G3907" t="str">
        <f>_xlfn.CONCAT(Tabela9[[#This Row],[Coluna1]],Tabela9[[#This Row],[Coluna2]])</f>
        <v>20-Rota</v>
      </c>
    </row>
    <row r="3908" spans="1:7" x14ac:dyDescent="0.25">
      <c r="A3908">
        <v>18606</v>
      </c>
      <c r="B3908">
        <v>203</v>
      </c>
      <c r="C3908" s="1" t="str">
        <f>IF(Tabela8[[#This Row],[SETOR]]="","",IF(Tabela8[[#This Row],[SETOR]]&lt;200,"GV 10",IF(Tabela8[[#This Row],[SETOR]]&lt;300,"GV 20",IF(Tabela8[[#This Row],[SETOR]]&lt;400,"GV 30","S/GV"))))</f>
        <v>GV 20</v>
      </c>
      <c r="E3908" t="s">
        <v>123</v>
      </c>
      <c r="G3908" t="str">
        <f>_xlfn.CONCAT(Tabela9[[#This Row],[Coluna1]],Tabela9[[#This Row],[Coluna2]])</f>
        <v>20-Rota</v>
      </c>
    </row>
    <row r="3909" spans="1:7" x14ac:dyDescent="0.25">
      <c r="A3909">
        <v>18607</v>
      </c>
      <c r="B3909">
        <v>108</v>
      </c>
      <c r="C3909" s="1" t="str">
        <f>IF(Tabela8[[#This Row],[SETOR]]="","",IF(Tabela8[[#This Row],[SETOR]]&lt;200,"GV 10",IF(Tabela8[[#This Row],[SETOR]]&lt;300,"GV 20",IF(Tabela8[[#This Row],[SETOR]]&lt;400,"GV 30","S/GV"))))</f>
        <v>GV 10</v>
      </c>
      <c r="E3909" t="s">
        <v>126</v>
      </c>
      <c r="F3909" t="s">
        <v>127</v>
      </c>
      <c r="G3909" t="str">
        <f>_xlfn.CONCAT(Tabela9[[#This Row],[Coluna1]],Tabela9[[#This Row],[Coluna2]])</f>
        <v>16-AS(5+)</v>
      </c>
    </row>
    <row r="3910" spans="1:7" x14ac:dyDescent="0.25">
      <c r="A3910">
        <v>18608</v>
      </c>
      <c r="B3910">
        <v>308</v>
      </c>
      <c r="C3910" s="1" t="str">
        <f>IF(Tabela8[[#This Row],[SETOR]]="","",IF(Tabela8[[#This Row],[SETOR]]&lt;200,"GV 10",IF(Tabela8[[#This Row],[SETOR]]&lt;300,"GV 20",IF(Tabela8[[#This Row],[SETOR]]&lt;400,"GV 30","S/GV"))))</f>
        <v>GV 30</v>
      </c>
      <c r="E3910" t="s">
        <v>128</v>
      </c>
      <c r="F3910" t="s">
        <v>129</v>
      </c>
      <c r="G3910" t="str">
        <f>_xlfn.CONCAT(Tabela9[[#This Row],[Coluna1]],Tabela9[[#This Row],[Coluna2]])</f>
        <v>15-AS(1-4)</v>
      </c>
    </row>
    <row r="3911" spans="1:7" x14ac:dyDescent="0.25">
      <c r="A3911">
        <v>18609</v>
      </c>
      <c r="B3911">
        <v>301</v>
      </c>
      <c r="C3911" s="1" t="str">
        <f>IF(Tabela8[[#This Row],[SETOR]]="","",IF(Tabela8[[#This Row],[SETOR]]&lt;200,"GV 10",IF(Tabela8[[#This Row],[SETOR]]&lt;300,"GV 20",IF(Tabela8[[#This Row],[SETOR]]&lt;400,"GV 30","S/GV"))))</f>
        <v>GV 30</v>
      </c>
      <c r="E3911" t="s">
        <v>123</v>
      </c>
      <c r="G3911" t="str">
        <f>_xlfn.CONCAT(Tabela9[[#This Row],[Coluna1]],Tabela9[[#This Row],[Coluna2]])</f>
        <v>20-Rota</v>
      </c>
    </row>
    <row r="3912" spans="1:7" x14ac:dyDescent="0.25">
      <c r="A3912">
        <v>18612</v>
      </c>
      <c r="B3912">
        <v>109</v>
      </c>
      <c r="C3912" s="1" t="str">
        <f>IF(Tabela8[[#This Row],[SETOR]]="","",IF(Tabela8[[#This Row],[SETOR]]&lt;200,"GV 10",IF(Tabela8[[#This Row],[SETOR]]&lt;300,"GV 20",IF(Tabela8[[#This Row],[SETOR]]&lt;400,"GV 30","S/GV"))))</f>
        <v>GV 10</v>
      </c>
      <c r="E3912" t="s">
        <v>123</v>
      </c>
      <c r="G3912" t="str">
        <f>_xlfn.CONCAT(Tabela9[[#This Row],[Coluna1]],Tabela9[[#This Row],[Coluna2]])</f>
        <v>20-Rota</v>
      </c>
    </row>
    <row r="3913" spans="1:7" x14ac:dyDescent="0.25">
      <c r="A3913">
        <v>18614</v>
      </c>
      <c r="B3913">
        <v>203</v>
      </c>
      <c r="C3913" s="1" t="str">
        <f>IF(Tabela8[[#This Row],[SETOR]]="","",IF(Tabela8[[#This Row],[SETOR]]&lt;200,"GV 10",IF(Tabela8[[#This Row],[SETOR]]&lt;300,"GV 20",IF(Tabela8[[#This Row],[SETOR]]&lt;400,"GV 30","S/GV"))))</f>
        <v>GV 20</v>
      </c>
      <c r="E3913" t="s">
        <v>123</v>
      </c>
      <c r="G3913" t="str">
        <f>_xlfn.CONCAT(Tabela9[[#This Row],[Coluna1]],Tabela9[[#This Row],[Coluna2]])</f>
        <v>20-Rota</v>
      </c>
    </row>
    <row r="3914" spans="1:7" x14ac:dyDescent="0.25">
      <c r="A3914">
        <v>18615</v>
      </c>
      <c r="B3914">
        <v>207</v>
      </c>
      <c r="C3914" s="1" t="str">
        <f>IF(Tabela8[[#This Row],[SETOR]]="","",IF(Tabela8[[#This Row],[SETOR]]&lt;200,"GV 10",IF(Tabela8[[#This Row],[SETOR]]&lt;300,"GV 20",IF(Tabela8[[#This Row],[SETOR]]&lt;400,"GV 30","S/GV"))))</f>
        <v>GV 20</v>
      </c>
      <c r="E3914" t="s">
        <v>130</v>
      </c>
      <c r="G3914" t="str">
        <f>_xlfn.CONCAT(Tabela9[[#This Row],[Coluna1]],Tabela9[[#This Row],[Coluna2]])</f>
        <v>21-SUB</v>
      </c>
    </row>
    <row r="3915" spans="1:7" x14ac:dyDescent="0.25">
      <c r="A3915">
        <v>18616</v>
      </c>
      <c r="B3915">
        <v>302</v>
      </c>
      <c r="C3915" s="1" t="str">
        <f>IF(Tabela8[[#This Row],[SETOR]]="","",IF(Tabela8[[#This Row],[SETOR]]&lt;200,"GV 10",IF(Tabela8[[#This Row],[SETOR]]&lt;300,"GV 20",IF(Tabela8[[#This Row],[SETOR]]&lt;400,"GV 30","S/GV"))))</f>
        <v>GV 30</v>
      </c>
      <c r="E3915" t="s">
        <v>123</v>
      </c>
      <c r="G3915" t="str">
        <f>_xlfn.CONCAT(Tabela9[[#This Row],[Coluna1]],Tabela9[[#This Row],[Coluna2]])</f>
        <v>20-Rota</v>
      </c>
    </row>
    <row r="3916" spans="1:7" x14ac:dyDescent="0.25">
      <c r="A3916">
        <v>18617</v>
      </c>
      <c r="B3916">
        <v>302</v>
      </c>
      <c r="C3916" s="1" t="str">
        <f>IF(Tabela8[[#This Row],[SETOR]]="","",IF(Tabela8[[#This Row],[SETOR]]&lt;200,"GV 10",IF(Tabela8[[#This Row],[SETOR]]&lt;300,"GV 20",IF(Tabela8[[#This Row],[SETOR]]&lt;400,"GV 30","S/GV"))))</f>
        <v>GV 30</v>
      </c>
      <c r="E3916" t="s">
        <v>123</v>
      </c>
      <c r="G3916" t="str">
        <f>_xlfn.CONCAT(Tabela9[[#This Row],[Coluna1]],Tabela9[[#This Row],[Coluna2]])</f>
        <v>20-Rota</v>
      </c>
    </row>
    <row r="3917" spans="1:7" x14ac:dyDescent="0.25">
      <c r="A3917">
        <v>18619</v>
      </c>
      <c r="B3917">
        <v>202</v>
      </c>
      <c r="C3917" s="1" t="str">
        <f>IF(Tabela8[[#This Row],[SETOR]]="","",IF(Tabela8[[#This Row],[SETOR]]&lt;200,"GV 10",IF(Tabela8[[#This Row],[SETOR]]&lt;300,"GV 20",IF(Tabela8[[#This Row],[SETOR]]&lt;400,"GV 30","S/GV"))))</f>
        <v>GV 20</v>
      </c>
      <c r="E3917" t="s">
        <v>123</v>
      </c>
      <c r="G3917" t="str">
        <f>_xlfn.CONCAT(Tabela9[[#This Row],[Coluna1]],Tabela9[[#This Row],[Coluna2]])</f>
        <v>20-Rota</v>
      </c>
    </row>
    <row r="3918" spans="1:7" x14ac:dyDescent="0.25">
      <c r="A3918">
        <v>18620</v>
      </c>
      <c r="B3918">
        <v>916</v>
      </c>
      <c r="C3918" s="1" t="str">
        <f>IF(Tabela8[[#This Row],[SETOR]]="","",IF(Tabela8[[#This Row],[SETOR]]&lt;200,"GV 10",IF(Tabela8[[#This Row],[SETOR]]&lt;300,"GV 20",IF(Tabela8[[#This Row],[SETOR]]&lt;400,"GV 30","S/GV"))))</f>
        <v>S/GV</v>
      </c>
      <c r="G3918" t="str">
        <f>_xlfn.CONCAT(Tabela9[[#This Row],[Coluna1]],Tabela9[[#This Row],[Coluna2]])</f>
        <v/>
      </c>
    </row>
    <row r="3919" spans="1:7" x14ac:dyDescent="0.25">
      <c r="A3919">
        <v>18621</v>
      </c>
      <c r="B3919">
        <v>307</v>
      </c>
      <c r="C3919" s="1" t="str">
        <f>IF(Tabela8[[#This Row],[SETOR]]="","",IF(Tabela8[[#This Row],[SETOR]]&lt;200,"GV 10",IF(Tabela8[[#This Row],[SETOR]]&lt;300,"GV 20",IF(Tabela8[[#This Row],[SETOR]]&lt;400,"GV 30","S/GV"))))</f>
        <v>GV 30</v>
      </c>
      <c r="E3919" t="s">
        <v>123</v>
      </c>
      <c r="G3919" t="str">
        <f>_xlfn.CONCAT(Tabela9[[#This Row],[Coluna1]],Tabela9[[#This Row],[Coluna2]])</f>
        <v>20-Rota</v>
      </c>
    </row>
    <row r="3920" spans="1:7" x14ac:dyDescent="0.25">
      <c r="A3920">
        <v>18624</v>
      </c>
      <c r="B3920">
        <v>203</v>
      </c>
      <c r="C3920" s="1" t="str">
        <f>IF(Tabela8[[#This Row],[SETOR]]="","",IF(Tabela8[[#This Row],[SETOR]]&lt;200,"GV 10",IF(Tabela8[[#This Row],[SETOR]]&lt;300,"GV 20",IF(Tabela8[[#This Row],[SETOR]]&lt;400,"GV 30","S/GV"))))</f>
        <v>GV 20</v>
      </c>
      <c r="E3920" t="s">
        <v>123</v>
      </c>
      <c r="G3920" t="str">
        <f>_xlfn.CONCAT(Tabela9[[#This Row],[Coluna1]],Tabela9[[#This Row],[Coluna2]])</f>
        <v>20-Rota</v>
      </c>
    </row>
    <row r="3921" spans="1:7" x14ac:dyDescent="0.25">
      <c r="A3921">
        <v>18625</v>
      </c>
      <c r="B3921">
        <v>106</v>
      </c>
      <c r="C3921" s="1" t="str">
        <f>IF(Tabela8[[#This Row],[SETOR]]="","",IF(Tabela8[[#This Row],[SETOR]]&lt;200,"GV 10",IF(Tabela8[[#This Row],[SETOR]]&lt;300,"GV 20",IF(Tabela8[[#This Row],[SETOR]]&lt;400,"GV 30","S/GV"))))</f>
        <v>GV 10</v>
      </c>
      <c r="E3921" t="s">
        <v>125</v>
      </c>
      <c r="G3921" t="str">
        <f>_xlfn.CONCAT(Tabela9[[#This Row],[Coluna1]],Tabela9[[#This Row],[Coluna2]])</f>
        <v>18-TRAD</v>
      </c>
    </row>
    <row r="3922" spans="1:7" x14ac:dyDescent="0.25">
      <c r="A3922">
        <v>18626</v>
      </c>
      <c r="B3922">
        <v>109</v>
      </c>
      <c r="C3922" s="1" t="str">
        <f>IF(Tabela8[[#This Row],[SETOR]]="","",IF(Tabela8[[#This Row],[SETOR]]&lt;200,"GV 10",IF(Tabela8[[#This Row],[SETOR]]&lt;300,"GV 20",IF(Tabela8[[#This Row],[SETOR]]&lt;400,"GV 30","S/GV"))))</f>
        <v>GV 10</v>
      </c>
      <c r="E3922" t="s">
        <v>125</v>
      </c>
      <c r="G3922" t="str">
        <f>_xlfn.CONCAT(Tabela9[[#This Row],[Coluna1]],Tabela9[[#This Row],[Coluna2]])</f>
        <v>18-TRAD</v>
      </c>
    </row>
    <row r="3923" spans="1:7" x14ac:dyDescent="0.25">
      <c r="A3923">
        <v>18627</v>
      </c>
      <c r="B3923">
        <v>204</v>
      </c>
      <c r="C3923" s="1" t="str">
        <f>IF(Tabela8[[#This Row],[SETOR]]="","",IF(Tabela8[[#This Row],[SETOR]]&lt;200,"GV 10",IF(Tabela8[[#This Row],[SETOR]]&lt;300,"GV 20",IF(Tabela8[[#This Row],[SETOR]]&lt;400,"GV 30","S/GV"))))</f>
        <v>GV 20</v>
      </c>
      <c r="E3923" t="s">
        <v>123</v>
      </c>
      <c r="G3923" t="str">
        <f>_xlfn.CONCAT(Tabela9[[#This Row],[Coluna1]],Tabela9[[#This Row],[Coluna2]])</f>
        <v>20-Rota</v>
      </c>
    </row>
    <row r="3924" spans="1:7" x14ac:dyDescent="0.25">
      <c r="A3924">
        <v>18630</v>
      </c>
      <c r="B3924">
        <v>106</v>
      </c>
      <c r="C3924" s="1" t="str">
        <f>IF(Tabela8[[#This Row],[SETOR]]="","",IF(Tabela8[[#This Row],[SETOR]]&lt;200,"GV 10",IF(Tabela8[[#This Row],[SETOR]]&lt;300,"GV 20",IF(Tabela8[[#This Row],[SETOR]]&lt;400,"GV 30","S/GV"))))</f>
        <v>GV 10</v>
      </c>
      <c r="E3924" t="s">
        <v>123</v>
      </c>
      <c r="G3924" t="str">
        <f>_xlfn.CONCAT(Tabela9[[#This Row],[Coluna1]],Tabela9[[#This Row],[Coluna2]])</f>
        <v>20-Rota</v>
      </c>
    </row>
    <row r="3925" spans="1:7" x14ac:dyDescent="0.25">
      <c r="A3925">
        <v>18631</v>
      </c>
      <c r="B3925">
        <v>202</v>
      </c>
      <c r="C3925" s="1" t="str">
        <f>IF(Tabela8[[#This Row],[SETOR]]="","",IF(Tabela8[[#This Row],[SETOR]]&lt;200,"GV 10",IF(Tabela8[[#This Row],[SETOR]]&lt;300,"GV 20",IF(Tabela8[[#This Row],[SETOR]]&lt;400,"GV 30","S/GV"))))</f>
        <v>GV 20</v>
      </c>
      <c r="E3925" t="s">
        <v>123</v>
      </c>
      <c r="G3925" t="str">
        <f>_xlfn.CONCAT(Tabela9[[#This Row],[Coluna1]],Tabela9[[#This Row],[Coluna2]])</f>
        <v>20-Rota</v>
      </c>
    </row>
    <row r="3926" spans="1:7" x14ac:dyDescent="0.25">
      <c r="A3926">
        <v>18632</v>
      </c>
      <c r="B3926">
        <v>204</v>
      </c>
      <c r="C3926" s="1" t="str">
        <f>IF(Tabela8[[#This Row],[SETOR]]="","",IF(Tabela8[[#This Row],[SETOR]]&lt;200,"GV 10",IF(Tabela8[[#This Row],[SETOR]]&lt;300,"GV 20",IF(Tabela8[[#This Row],[SETOR]]&lt;400,"GV 30","S/GV"))))</f>
        <v>GV 20</v>
      </c>
      <c r="E3926" t="s">
        <v>123</v>
      </c>
      <c r="G3926" t="str">
        <f>_xlfn.CONCAT(Tabela9[[#This Row],[Coluna1]],Tabela9[[#This Row],[Coluna2]])</f>
        <v>20-Rota</v>
      </c>
    </row>
    <row r="3927" spans="1:7" x14ac:dyDescent="0.25">
      <c r="A3927">
        <v>18633</v>
      </c>
      <c r="B3927">
        <v>204</v>
      </c>
      <c r="C3927" s="1" t="str">
        <f>IF(Tabela8[[#This Row],[SETOR]]="","",IF(Tabela8[[#This Row],[SETOR]]&lt;200,"GV 10",IF(Tabela8[[#This Row],[SETOR]]&lt;300,"GV 20",IF(Tabela8[[#This Row],[SETOR]]&lt;400,"GV 30","S/GV"))))</f>
        <v>GV 20</v>
      </c>
      <c r="E3927" t="s">
        <v>123</v>
      </c>
      <c r="G3927" t="str">
        <f>_xlfn.CONCAT(Tabela9[[#This Row],[Coluna1]],Tabela9[[#This Row],[Coluna2]])</f>
        <v>20-Rota</v>
      </c>
    </row>
    <row r="3928" spans="1:7" x14ac:dyDescent="0.25">
      <c r="A3928">
        <v>18634</v>
      </c>
      <c r="B3928">
        <v>303</v>
      </c>
      <c r="C3928" s="1" t="str">
        <f>IF(Tabela8[[#This Row],[SETOR]]="","",IF(Tabela8[[#This Row],[SETOR]]&lt;200,"GV 10",IF(Tabela8[[#This Row],[SETOR]]&lt;300,"GV 20",IF(Tabela8[[#This Row],[SETOR]]&lt;400,"GV 30","S/GV"))))</f>
        <v>GV 30</v>
      </c>
      <c r="E3928" t="s">
        <v>123</v>
      </c>
      <c r="G3928" t="str">
        <f>_xlfn.CONCAT(Tabela9[[#This Row],[Coluna1]],Tabela9[[#This Row],[Coluna2]])</f>
        <v>20-Rota</v>
      </c>
    </row>
    <row r="3929" spans="1:7" x14ac:dyDescent="0.25">
      <c r="A3929">
        <v>18635</v>
      </c>
      <c r="B3929">
        <v>207</v>
      </c>
      <c r="C3929" s="1" t="str">
        <f>IF(Tabela8[[#This Row],[SETOR]]="","",IF(Tabela8[[#This Row],[SETOR]]&lt;200,"GV 10",IF(Tabela8[[#This Row],[SETOR]]&lt;300,"GV 20",IF(Tabela8[[#This Row],[SETOR]]&lt;400,"GV 30","S/GV"))))</f>
        <v>GV 20</v>
      </c>
      <c r="E3929" t="s">
        <v>130</v>
      </c>
      <c r="G3929" t="str">
        <f>_xlfn.CONCAT(Tabela9[[#This Row],[Coluna1]],Tabela9[[#This Row],[Coluna2]])</f>
        <v>21-SUB</v>
      </c>
    </row>
    <row r="3930" spans="1:7" x14ac:dyDescent="0.25">
      <c r="A3930">
        <v>18636</v>
      </c>
      <c r="B3930">
        <v>307</v>
      </c>
      <c r="C3930" s="1" t="str">
        <f>IF(Tabela8[[#This Row],[SETOR]]="","",IF(Tabela8[[#This Row],[SETOR]]&lt;200,"GV 10",IF(Tabela8[[#This Row],[SETOR]]&lt;300,"GV 20",IF(Tabela8[[#This Row],[SETOR]]&lt;400,"GV 30","S/GV"))))</f>
        <v>GV 30</v>
      </c>
      <c r="E3930" t="s">
        <v>130</v>
      </c>
      <c r="G3930" t="str">
        <f>_xlfn.CONCAT(Tabela9[[#This Row],[Coluna1]],Tabela9[[#This Row],[Coluna2]])</f>
        <v>21-SUB</v>
      </c>
    </row>
    <row r="3931" spans="1:7" x14ac:dyDescent="0.25">
      <c r="A3931">
        <v>18637</v>
      </c>
      <c r="B3931">
        <v>106</v>
      </c>
      <c r="C3931" s="1" t="str">
        <f>IF(Tabela8[[#This Row],[SETOR]]="","",IF(Tabela8[[#This Row],[SETOR]]&lt;200,"GV 10",IF(Tabela8[[#This Row],[SETOR]]&lt;300,"GV 20",IF(Tabela8[[#This Row],[SETOR]]&lt;400,"GV 30","S/GV"))))</f>
        <v>GV 10</v>
      </c>
      <c r="E3931" t="s">
        <v>123</v>
      </c>
      <c r="G3931" t="str">
        <f>_xlfn.CONCAT(Tabela9[[#This Row],[Coluna1]],Tabela9[[#This Row],[Coluna2]])</f>
        <v>20-Rota</v>
      </c>
    </row>
    <row r="3932" spans="1:7" x14ac:dyDescent="0.25">
      <c r="A3932">
        <v>18639</v>
      </c>
      <c r="B3932">
        <v>204</v>
      </c>
      <c r="C3932" s="1" t="str">
        <f>IF(Tabela8[[#This Row],[SETOR]]="","",IF(Tabela8[[#This Row],[SETOR]]&lt;200,"GV 10",IF(Tabela8[[#This Row],[SETOR]]&lt;300,"GV 20",IF(Tabela8[[#This Row],[SETOR]]&lt;400,"GV 30","S/GV"))))</f>
        <v>GV 20</v>
      </c>
      <c r="E3932" t="s">
        <v>123</v>
      </c>
      <c r="G3932" t="str">
        <f>_xlfn.CONCAT(Tabela9[[#This Row],[Coluna1]],Tabela9[[#This Row],[Coluna2]])</f>
        <v>20-Rota</v>
      </c>
    </row>
    <row r="3933" spans="1:7" x14ac:dyDescent="0.25">
      <c r="A3933">
        <v>18643</v>
      </c>
      <c r="B3933">
        <v>205</v>
      </c>
      <c r="C3933" s="1" t="str">
        <f>IF(Tabela8[[#This Row],[SETOR]]="","",IF(Tabela8[[#This Row],[SETOR]]&lt;200,"GV 10",IF(Tabela8[[#This Row],[SETOR]]&lt;300,"GV 20",IF(Tabela8[[#This Row],[SETOR]]&lt;400,"GV 30","S/GV"))))</f>
        <v>GV 20</v>
      </c>
      <c r="E3933" t="s">
        <v>123</v>
      </c>
      <c r="G3933" t="str">
        <f>_xlfn.CONCAT(Tabela9[[#This Row],[Coluna1]],Tabela9[[#This Row],[Coluna2]])</f>
        <v>20-Rota</v>
      </c>
    </row>
    <row r="3934" spans="1:7" x14ac:dyDescent="0.25">
      <c r="A3934">
        <v>18645</v>
      </c>
      <c r="B3934">
        <v>104</v>
      </c>
      <c r="C3934" s="1" t="str">
        <f>IF(Tabela8[[#This Row],[SETOR]]="","",IF(Tabela8[[#This Row],[SETOR]]&lt;200,"GV 10",IF(Tabela8[[#This Row],[SETOR]]&lt;300,"GV 20",IF(Tabela8[[#This Row],[SETOR]]&lt;400,"GV 30","S/GV"))))</f>
        <v>GV 10</v>
      </c>
      <c r="E3934" t="s">
        <v>123</v>
      </c>
      <c r="G3934" t="str">
        <f>_xlfn.CONCAT(Tabela9[[#This Row],[Coluna1]],Tabela9[[#This Row],[Coluna2]])</f>
        <v>20-Rota</v>
      </c>
    </row>
    <row r="3935" spans="1:7" x14ac:dyDescent="0.25">
      <c r="A3935">
        <v>18652</v>
      </c>
      <c r="B3935">
        <v>202</v>
      </c>
      <c r="C3935" s="1" t="str">
        <f>IF(Tabela8[[#This Row],[SETOR]]="","",IF(Tabela8[[#This Row],[SETOR]]&lt;200,"GV 10",IF(Tabela8[[#This Row],[SETOR]]&lt;300,"GV 20",IF(Tabela8[[#This Row],[SETOR]]&lt;400,"GV 30","S/GV"))))</f>
        <v>GV 20</v>
      </c>
      <c r="E3935" t="s">
        <v>123</v>
      </c>
      <c r="G3935" t="str">
        <f>_xlfn.CONCAT(Tabela9[[#This Row],[Coluna1]],Tabela9[[#This Row],[Coluna2]])</f>
        <v>20-Rota</v>
      </c>
    </row>
    <row r="3936" spans="1:7" x14ac:dyDescent="0.25">
      <c r="A3936">
        <v>18653</v>
      </c>
      <c r="B3936">
        <v>306</v>
      </c>
      <c r="C3936" s="1" t="str">
        <f>IF(Tabela8[[#This Row],[SETOR]]="","",IF(Tabela8[[#This Row],[SETOR]]&lt;200,"GV 10",IF(Tabela8[[#This Row],[SETOR]]&lt;300,"GV 20",IF(Tabela8[[#This Row],[SETOR]]&lt;400,"GV 30","S/GV"))))</f>
        <v>GV 30</v>
      </c>
      <c r="E3936" t="s">
        <v>125</v>
      </c>
      <c r="G3936" t="str">
        <f>_xlfn.CONCAT(Tabela9[[#This Row],[Coluna1]],Tabela9[[#This Row],[Coluna2]])</f>
        <v>18-TRAD</v>
      </c>
    </row>
    <row r="3937" spans="1:7" x14ac:dyDescent="0.25">
      <c r="A3937">
        <v>18654</v>
      </c>
      <c r="B3937">
        <v>205</v>
      </c>
      <c r="C3937" s="1" t="str">
        <f>IF(Tabela8[[#This Row],[SETOR]]="","",IF(Tabela8[[#This Row],[SETOR]]&lt;200,"GV 10",IF(Tabela8[[#This Row],[SETOR]]&lt;300,"GV 20",IF(Tabela8[[#This Row],[SETOR]]&lt;400,"GV 30","S/GV"))))</f>
        <v>GV 20</v>
      </c>
      <c r="E3937" t="s">
        <v>123</v>
      </c>
      <c r="G3937" t="str">
        <f>_xlfn.CONCAT(Tabela9[[#This Row],[Coluna1]],Tabela9[[#This Row],[Coluna2]])</f>
        <v>20-Rota</v>
      </c>
    </row>
    <row r="3938" spans="1:7" x14ac:dyDescent="0.25">
      <c r="A3938">
        <v>18655</v>
      </c>
      <c r="B3938">
        <v>207</v>
      </c>
      <c r="C3938" s="1" t="str">
        <f>IF(Tabela8[[#This Row],[SETOR]]="","",IF(Tabela8[[#This Row],[SETOR]]&lt;200,"GV 10",IF(Tabela8[[#This Row],[SETOR]]&lt;300,"GV 20",IF(Tabela8[[#This Row],[SETOR]]&lt;400,"GV 30","S/GV"))))</f>
        <v>GV 20</v>
      </c>
      <c r="E3938" t="s">
        <v>130</v>
      </c>
      <c r="G3938" t="str">
        <f>_xlfn.CONCAT(Tabela9[[#This Row],[Coluna1]],Tabela9[[#This Row],[Coluna2]])</f>
        <v>21-SUB</v>
      </c>
    </row>
    <row r="3939" spans="1:7" x14ac:dyDescent="0.25">
      <c r="A3939">
        <v>18657</v>
      </c>
      <c r="B3939">
        <v>203</v>
      </c>
      <c r="C3939" s="1" t="str">
        <f>IF(Tabela8[[#This Row],[SETOR]]="","",IF(Tabela8[[#This Row],[SETOR]]&lt;200,"GV 10",IF(Tabela8[[#This Row],[SETOR]]&lt;300,"GV 20",IF(Tabela8[[#This Row],[SETOR]]&lt;400,"GV 30","S/GV"))))</f>
        <v>GV 20</v>
      </c>
      <c r="E3939" t="s">
        <v>123</v>
      </c>
      <c r="G3939" t="str">
        <f>_xlfn.CONCAT(Tabela9[[#This Row],[Coluna1]],Tabela9[[#This Row],[Coluna2]])</f>
        <v>20-Rota</v>
      </c>
    </row>
    <row r="3940" spans="1:7" x14ac:dyDescent="0.25">
      <c r="A3940">
        <v>18659</v>
      </c>
      <c r="B3940">
        <v>109</v>
      </c>
      <c r="C3940" s="1" t="str">
        <f>IF(Tabela8[[#This Row],[SETOR]]="","",IF(Tabela8[[#This Row],[SETOR]]&lt;200,"GV 10",IF(Tabela8[[#This Row],[SETOR]]&lt;300,"GV 20",IF(Tabela8[[#This Row],[SETOR]]&lt;400,"GV 30","S/GV"))))</f>
        <v>GV 10</v>
      </c>
      <c r="E3940" t="s">
        <v>123</v>
      </c>
      <c r="G3940" t="str">
        <f>_xlfn.CONCAT(Tabela9[[#This Row],[Coluna1]],Tabela9[[#This Row],[Coluna2]])</f>
        <v>20-Rota</v>
      </c>
    </row>
    <row r="3941" spans="1:7" x14ac:dyDescent="0.25">
      <c r="A3941">
        <v>18660</v>
      </c>
      <c r="B3941">
        <v>104</v>
      </c>
      <c r="C3941" s="1" t="str">
        <f>IF(Tabela8[[#This Row],[SETOR]]="","",IF(Tabela8[[#This Row],[SETOR]]&lt;200,"GV 10",IF(Tabela8[[#This Row],[SETOR]]&lt;300,"GV 20",IF(Tabela8[[#This Row],[SETOR]]&lt;400,"GV 30","S/GV"))))</f>
        <v>GV 10</v>
      </c>
      <c r="E3941" t="s">
        <v>123</v>
      </c>
      <c r="G3941" t="str">
        <f>_xlfn.CONCAT(Tabela9[[#This Row],[Coluna1]],Tabela9[[#This Row],[Coluna2]])</f>
        <v>20-Rota</v>
      </c>
    </row>
    <row r="3942" spans="1:7" x14ac:dyDescent="0.25">
      <c r="A3942">
        <v>18661</v>
      </c>
      <c r="B3942">
        <v>306</v>
      </c>
      <c r="C3942" s="1" t="str">
        <f>IF(Tabela8[[#This Row],[SETOR]]="","",IF(Tabela8[[#This Row],[SETOR]]&lt;200,"GV 10",IF(Tabela8[[#This Row],[SETOR]]&lt;300,"GV 20",IF(Tabela8[[#This Row],[SETOR]]&lt;400,"GV 30","S/GV"))))</f>
        <v>GV 30</v>
      </c>
      <c r="E3942" t="s">
        <v>125</v>
      </c>
      <c r="G3942" t="str">
        <f>_xlfn.CONCAT(Tabela9[[#This Row],[Coluna1]],Tabela9[[#This Row],[Coluna2]])</f>
        <v>18-TRAD</v>
      </c>
    </row>
    <row r="3943" spans="1:7" x14ac:dyDescent="0.25">
      <c r="A3943">
        <v>18662</v>
      </c>
      <c r="B3943">
        <v>201</v>
      </c>
      <c r="C3943" s="1" t="str">
        <f>IF(Tabela8[[#This Row],[SETOR]]="","",IF(Tabela8[[#This Row],[SETOR]]&lt;200,"GV 10",IF(Tabela8[[#This Row],[SETOR]]&lt;300,"GV 20",IF(Tabela8[[#This Row],[SETOR]]&lt;400,"GV 30","S/GV"))))</f>
        <v>GV 20</v>
      </c>
      <c r="E3943" t="s">
        <v>125</v>
      </c>
      <c r="G3943" t="str">
        <f>_xlfn.CONCAT(Tabela9[[#This Row],[Coluna1]],Tabela9[[#This Row],[Coluna2]])</f>
        <v>18-TRAD</v>
      </c>
    </row>
    <row r="3944" spans="1:7" x14ac:dyDescent="0.25">
      <c r="A3944">
        <v>18663</v>
      </c>
      <c r="B3944">
        <v>201</v>
      </c>
      <c r="C3944" s="1" t="str">
        <f>IF(Tabela8[[#This Row],[SETOR]]="","",IF(Tabela8[[#This Row],[SETOR]]&lt;200,"GV 10",IF(Tabela8[[#This Row],[SETOR]]&lt;300,"GV 20",IF(Tabela8[[#This Row],[SETOR]]&lt;400,"GV 30","S/GV"))))</f>
        <v>GV 20</v>
      </c>
      <c r="E3944" t="s">
        <v>123</v>
      </c>
      <c r="G3944" t="str">
        <f>_xlfn.CONCAT(Tabela9[[#This Row],[Coluna1]],Tabela9[[#This Row],[Coluna2]])</f>
        <v>20-Rota</v>
      </c>
    </row>
    <row r="3945" spans="1:7" x14ac:dyDescent="0.25">
      <c r="A3945">
        <v>18664</v>
      </c>
      <c r="B3945">
        <v>302</v>
      </c>
      <c r="C3945" s="1" t="str">
        <f>IF(Tabela8[[#This Row],[SETOR]]="","",IF(Tabela8[[#This Row],[SETOR]]&lt;200,"GV 10",IF(Tabela8[[#This Row],[SETOR]]&lt;300,"GV 20",IF(Tabela8[[#This Row],[SETOR]]&lt;400,"GV 30","S/GV"))))</f>
        <v>GV 30</v>
      </c>
      <c r="E3945" t="s">
        <v>123</v>
      </c>
      <c r="G3945" t="str">
        <f>_xlfn.CONCAT(Tabela9[[#This Row],[Coluna1]],Tabela9[[#This Row],[Coluna2]])</f>
        <v>20-Rota</v>
      </c>
    </row>
    <row r="3946" spans="1:7" x14ac:dyDescent="0.25">
      <c r="A3946">
        <v>18665</v>
      </c>
      <c r="B3946">
        <v>101</v>
      </c>
      <c r="C3946" s="1" t="str">
        <f>IF(Tabela8[[#This Row],[SETOR]]="","",IF(Tabela8[[#This Row],[SETOR]]&lt;200,"GV 10",IF(Tabela8[[#This Row],[SETOR]]&lt;300,"GV 20",IF(Tabela8[[#This Row],[SETOR]]&lt;400,"GV 30","S/GV"))))</f>
        <v>GV 10</v>
      </c>
      <c r="E3946" t="s">
        <v>123</v>
      </c>
      <c r="G3946" t="str">
        <f>_xlfn.CONCAT(Tabela9[[#This Row],[Coluna1]],Tabela9[[#This Row],[Coluna2]])</f>
        <v>20-Rota</v>
      </c>
    </row>
    <row r="3947" spans="1:7" x14ac:dyDescent="0.25">
      <c r="A3947">
        <v>18668</v>
      </c>
      <c r="B3947">
        <v>203</v>
      </c>
      <c r="C3947" s="1" t="str">
        <f>IF(Tabela8[[#This Row],[SETOR]]="","",IF(Tabela8[[#This Row],[SETOR]]&lt;200,"GV 10",IF(Tabela8[[#This Row],[SETOR]]&lt;300,"GV 20",IF(Tabela8[[#This Row],[SETOR]]&lt;400,"GV 30","S/GV"))))</f>
        <v>GV 20</v>
      </c>
      <c r="E3947" t="s">
        <v>123</v>
      </c>
      <c r="G3947" t="str">
        <f>_xlfn.CONCAT(Tabela9[[#This Row],[Coluna1]],Tabela9[[#This Row],[Coluna2]])</f>
        <v>20-Rota</v>
      </c>
    </row>
    <row r="3948" spans="1:7" x14ac:dyDescent="0.25">
      <c r="A3948">
        <v>18669</v>
      </c>
      <c r="B3948">
        <v>203</v>
      </c>
      <c r="C3948" s="1" t="str">
        <f>IF(Tabela8[[#This Row],[SETOR]]="","",IF(Tabela8[[#This Row],[SETOR]]&lt;200,"GV 10",IF(Tabela8[[#This Row],[SETOR]]&lt;300,"GV 20",IF(Tabela8[[#This Row],[SETOR]]&lt;400,"GV 30","S/GV"))))</f>
        <v>GV 20</v>
      </c>
      <c r="E3948" t="s">
        <v>123</v>
      </c>
      <c r="G3948" t="str">
        <f>_xlfn.CONCAT(Tabela9[[#This Row],[Coluna1]],Tabela9[[#This Row],[Coluna2]])</f>
        <v>20-Rota</v>
      </c>
    </row>
    <row r="3949" spans="1:7" x14ac:dyDescent="0.25">
      <c r="A3949">
        <v>18670</v>
      </c>
      <c r="B3949">
        <v>907</v>
      </c>
      <c r="C3949" s="1" t="str">
        <f>IF(Tabela8[[#This Row],[SETOR]]="","",IF(Tabela8[[#This Row],[SETOR]]&lt;200,"GV 10",IF(Tabela8[[#This Row],[SETOR]]&lt;300,"GV 20",IF(Tabela8[[#This Row],[SETOR]]&lt;400,"GV 30","S/GV"))))</f>
        <v>S/GV</v>
      </c>
      <c r="G3949" t="str">
        <f>_xlfn.CONCAT(Tabela9[[#This Row],[Coluna1]],Tabela9[[#This Row],[Coluna2]])</f>
        <v/>
      </c>
    </row>
    <row r="3950" spans="1:7" x14ac:dyDescent="0.25">
      <c r="A3950">
        <v>18671</v>
      </c>
      <c r="B3950">
        <v>204</v>
      </c>
      <c r="C3950" s="1" t="str">
        <f>IF(Tabela8[[#This Row],[SETOR]]="","",IF(Tabela8[[#This Row],[SETOR]]&lt;200,"GV 10",IF(Tabela8[[#This Row],[SETOR]]&lt;300,"GV 20",IF(Tabela8[[#This Row],[SETOR]]&lt;400,"GV 30","S/GV"))))</f>
        <v>GV 20</v>
      </c>
      <c r="E3950" t="s">
        <v>123</v>
      </c>
      <c r="G3950" t="str">
        <f>_xlfn.CONCAT(Tabela9[[#This Row],[Coluna1]],Tabela9[[#This Row],[Coluna2]])</f>
        <v>20-Rota</v>
      </c>
    </row>
    <row r="3951" spans="1:7" x14ac:dyDescent="0.25">
      <c r="A3951">
        <v>18672</v>
      </c>
      <c r="B3951">
        <v>109</v>
      </c>
      <c r="C3951" s="1" t="str">
        <f>IF(Tabela8[[#This Row],[SETOR]]="","",IF(Tabela8[[#This Row],[SETOR]]&lt;200,"GV 10",IF(Tabela8[[#This Row],[SETOR]]&lt;300,"GV 20",IF(Tabela8[[#This Row],[SETOR]]&lt;400,"GV 30","S/GV"))))</f>
        <v>GV 10</v>
      </c>
      <c r="E3951" t="s">
        <v>124</v>
      </c>
      <c r="G3951" t="str">
        <f>_xlfn.CONCAT(Tabela9[[#This Row],[Coluna1]],Tabela9[[#This Row],[Coluna2]])</f>
        <v>19-VIP</v>
      </c>
    </row>
    <row r="3952" spans="1:7" x14ac:dyDescent="0.25">
      <c r="A3952">
        <v>18676</v>
      </c>
      <c r="B3952">
        <v>204</v>
      </c>
      <c r="C3952" s="1" t="str">
        <f>IF(Tabela8[[#This Row],[SETOR]]="","",IF(Tabela8[[#This Row],[SETOR]]&lt;200,"GV 10",IF(Tabela8[[#This Row],[SETOR]]&lt;300,"GV 20",IF(Tabela8[[#This Row],[SETOR]]&lt;400,"GV 30","S/GV"))))</f>
        <v>GV 20</v>
      </c>
      <c r="E3952" t="s">
        <v>123</v>
      </c>
      <c r="G3952" t="str">
        <f>_xlfn.CONCAT(Tabela9[[#This Row],[Coluna1]],Tabela9[[#This Row],[Coluna2]])</f>
        <v>20-Rota</v>
      </c>
    </row>
    <row r="3953" spans="1:7" x14ac:dyDescent="0.25">
      <c r="A3953">
        <v>18677</v>
      </c>
      <c r="B3953">
        <v>204</v>
      </c>
      <c r="C3953" s="1" t="str">
        <f>IF(Tabela8[[#This Row],[SETOR]]="","",IF(Tabela8[[#This Row],[SETOR]]&lt;200,"GV 10",IF(Tabela8[[#This Row],[SETOR]]&lt;300,"GV 20",IF(Tabela8[[#This Row],[SETOR]]&lt;400,"GV 30","S/GV"))))</f>
        <v>GV 20</v>
      </c>
      <c r="E3953" t="s">
        <v>123</v>
      </c>
      <c r="G3953" t="str">
        <f>_xlfn.CONCAT(Tabela9[[#This Row],[Coluna1]],Tabela9[[#This Row],[Coluna2]])</f>
        <v>20-Rota</v>
      </c>
    </row>
    <row r="3954" spans="1:7" x14ac:dyDescent="0.25">
      <c r="A3954">
        <v>18678</v>
      </c>
      <c r="B3954">
        <v>105</v>
      </c>
      <c r="C3954" s="1" t="str">
        <f>IF(Tabela8[[#This Row],[SETOR]]="","",IF(Tabela8[[#This Row],[SETOR]]&lt;200,"GV 10",IF(Tabela8[[#This Row],[SETOR]]&lt;300,"GV 20",IF(Tabela8[[#This Row],[SETOR]]&lt;400,"GV 30","S/GV"))))</f>
        <v>GV 10</v>
      </c>
      <c r="E3954" t="s">
        <v>123</v>
      </c>
      <c r="G3954" t="str">
        <f>_xlfn.CONCAT(Tabela9[[#This Row],[Coluna1]],Tabela9[[#This Row],[Coluna2]])</f>
        <v>20-Rota</v>
      </c>
    </row>
    <row r="3955" spans="1:7" x14ac:dyDescent="0.25">
      <c r="A3955">
        <v>18680</v>
      </c>
      <c r="B3955">
        <v>106</v>
      </c>
      <c r="C3955" s="1" t="str">
        <f>IF(Tabela8[[#This Row],[SETOR]]="","",IF(Tabela8[[#This Row],[SETOR]]&lt;200,"GV 10",IF(Tabela8[[#This Row],[SETOR]]&lt;300,"GV 20",IF(Tabela8[[#This Row],[SETOR]]&lt;400,"GV 30","S/GV"))))</f>
        <v>GV 10</v>
      </c>
      <c r="E3955" t="s">
        <v>123</v>
      </c>
      <c r="G3955" t="str">
        <f>_xlfn.CONCAT(Tabela9[[#This Row],[Coluna1]],Tabela9[[#This Row],[Coluna2]])</f>
        <v>20-Rota</v>
      </c>
    </row>
    <row r="3956" spans="1:7" x14ac:dyDescent="0.25">
      <c r="A3956">
        <v>18683</v>
      </c>
      <c r="B3956">
        <v>107</v>
      </c>
      <c r="C3956" s="1" t="str">
        <f>IF(Tabela8[[#This Row],[SETOR]]="","",IF(Tabela8[[#This Row],[SETOR]]&lt;200,"GV 10",IF(Tabela8[[#This Row],[SETOR]]&lt;300,"GV 20",IF(Tabela8[[#This Row],[SETOR]]&lt;400,"GV 30","S/GV"))))</f>
        <v>GV 10</v>
      </c>
      <c r="E3956" t="s">
        <v>130</v>
      </c>
      <c r="G3956" t="str">
        <f>_xlfn.CONCAT(Tabela9[[#This Row],[Coluna1]],Tabela9[[#This Row],[Coluna2]])</f>
        <v>21-SUB</v>
      </c>
    </row>
    <row r="3957" spans="1:7" x14ac:dyDescent="0.25">
      <c r="A3957">
        <v>18684</v>
      </c>
      <c r="B3957">
        <v>916</v>
      </c>
      <c r="C3957" s="1" t="str">
        <f>IF(Tabela8[[#This Row],[SETOR]]="","",IF(Tabela8[[#This Row],[SETOR]]&lt;200,"GV 10",IF(Tabela8[[#This Row],[SETOR]]&lt;300,"GV 20",IF(Tabela8[[#This Row],[SETOR]]&lt;400,"GV 30","S/GV"))))</f>
        <v>S/GV</v>
      </c>
      <c r="G3957" t="str">
        <f>_xlfn.CONCAT(Tabela9[[#This Row],[Coluna1]],Tabela9[[#This Row],[Coluna2]])</f>
        <v/>
      </c>
    </row>
    <row r="3958" spans="1:7" x14ac:dyDescent="0.25">
      <c r="A3958">
        <v>18686</v>
      </c>
      <c r="B3958">
        <v>102</v>
      </c>
      <c r="C3958" s="1" t="str">
        <f>IF(Tabela8[[#This Row],[SETOR]]="","",IF(Tabela8[[#This Row],[SETOR]]&lt;200,"GV 10",IF(Tabela8[[#This Row],[SETOR]]&lt;300,"GV 20",IF(Tabela8[[#This Row],[SETOR]]&lt;400,"GV 30","S/GV"))))</f>
        <v>GV 10</v>
      </c>
      <c r="E3958" t="s">
        <v>123</v>
      </c>
      <c r="G3958" t="str">
        <f>_xlfn.CONCAT(Tabela9[[#This Row],[Coluna1]],Tabela9[[#This Row],[Coluna2]])</f>
        <v>20-Rota</v>
      </c>
    </row>
    <row r="3959" spans="1:7" x14ac:dyDescent="0.25">
      <c r="A3959">
        <v>18687</v>
      </c>
      <c r="B3959">
        <v>202</v>
      </c>
      <c r="C3959" s="1" t="str">
        <f>IF(Tabela8[[#This Row],[SETOR]]="","",IF(Tabela8[[#This Row],[SETOR]]&lt;200,"GV 10",IF(Tabela8[[#This Row],[SETOR]]&lt;300,"GV 20",IF(Tabela8[[#This Row],[SETOR]]&lt;400,"GV 30","S/GV"))))</f>
        <v>GV 20</v>
      </c>
      <c r="E3959" t="s">
        <v>125</v>
      </c>
      <c r="G3959" t="str">
        <f>_xlfn.CONCAT(Tabela9[[#This Row],[Coluna1]],Tabela9[[#This Row],[Coluna2]])</f>
        <v>18-TRAD</v>
      </c>
    </row>
    <row r="3960" spans="1:7" x14ac:dyDescent="0.25">
      <c r="A3960">
        <v>18689</v>
      </c>
      <c r="B3960">
        <v>102</v>
      </c>
      <c r="C3960" s="1" t="str">
        <f>IF(Tabela8[[#This Row],[SETOR]]="","",IF(Tabela8[[#This Row],[SETOR]]&lt;200,"GV 10",IF(Tabela8[[#This Row],[SETOR]]&lt;300,"GV 20",IF(Tabela8[[#This Row],[SETOR]]&lt;400,"GV 30","S/GV"))))</f>
        <v>GV 10</v>
      </c>
      <c r="E3960" t="s">
        <v>123</v>
      </c>
      <c r="G3960" t="str">
        <f>_xlfn.CONCAT(Tabela9[[#This Row],[Coluna1]],Tabela9[[#This Row],[Coluna2]])</f>
        <v>20-Rota</v>
      </c>
    </row>
    <row r="3961" spans="1:7" x14ac:dyDescent="0.25">
      <c r="A3961">
        <v>18690</v>
      </c>
      <c r="B3961">
        <v>306</v>
      </c>
      <c r="C3961" s="1" t="str">
        <f>IF(Tabela8[[#This Row],[SETOR]]="","",IF(Tabela8[[#This Row],[SETOR]]&lt;200,"GV 10",IF(Tabela8[[#This Row],[SETOR]]&lt;300,"GV 20",IF(Tabela8[[#This Row],[SETOR]]&lt;400,"GV 30","S/GV"))))</f>
        <v>GV 30</v>
      </c>
      <c r="E3961" t="s">
        <v>125</v>
      </c>
      <c r="G3961" t="str">
        <f>_xlfn.CONCAT(Tabela9[[#This Row],[Coluna1]],Tabela9[[#This Row],[Coluna2]])</f>
        <v>18-TRAD</v>
      </c>
    </row>
    <row r="3962" spans="1:7" x14ac:dyDescent="0.25">
      <c r="A3962">
        <v>18693</v>
      </c>
      <c r="B3962">
        <v>916</v>
      </c>
      <c r="C3962" s="1" t="str">
        <f>IF(Tabela8[[#This Row],[SETOR]]="","",IF(Tabela8[[#This Row],[SETOR]]&lt;200,"GV 10",IF(Tabela8[[#This Row],[SETOR]]&lt;300,"GV 20",IF(Tabela8[[#This Row],[SETOR]]&lt;400,"GV 30","S/GV"))))</f>
        <v>S/GV</v>
      </c>
      <c r="G3962" t="str">
        <f>_xlfn.CONCAT(Tabela9[[#This Row],[Coluna1]],Tabela9[[#This Row],[Coluna2]])</f>
        <v/>
      </c>
    </row>
    <row r="3963" spans="1:7" x14ac:dyDescent="0.25">
      <c r="A3963">
        <v>18694</v>
      </c>
      <c r="B3963">
        <v>305</v>
      </c>
      <c r="C3963" s="1" t="str">
        <f>IF(Tabela8[[#This Row],[SETOR]]="","",IF(Tabela8[[#This Row],[SETOR]]&lt;200,"GV 10",IF(Tabela8[[#This Row],[SETOR]]&lt;300,"GV 20",IF(Tabela8[[#This Row],[SETOR]]&lt;400,"GV 30","S/GV"))))</f>
        <v>GV 30</v>
      </c>
      <c r="E3963" t="s">
        <v>123</v>
      </c>
      <c r="G3963" t="str">
        <f>_xlfn.CONCAT(Tabela9[[#This Row],[Coluna1]],Tabela9[[#This Row],[Coluna2]])</f>
        <v>20-Rota</v>
      </c>
    </row>
    <row r="3964" spans="1:7" x14ac:dyDescent="0.25">
      <c r="A3964">
        <v>18696</v>
      </c>
      <c r="B3964">
        <v>102</v>
      </c>
      <c r="C3964" s="1" t="str">
        <f>IF(Tabela8[[#This Row],[SETOR]]="","",IF(Tabela8[[#This Row],[SETOR]]&lt;200,"GV 10",IF(Tabela8[[#This Row],[SETOR]]&lt;300,"GV 20",IF(Tabela8[[#This Row],[SETOR]]&lt;400,"GV 30","S/GV"))))</f>
        <v>GV 10</v>
      </c>
      <c r="E3964" t="s">
        <v>123</v>
      </c>
      <c r="G3964" t="str">
        <f>_xlfn.CONCAT(Tabela9[[#This Row],[Coluna1]],Tabela9[[#This Row],[Coluna2]])</f>
        <v>20-Rota</v>
      </c>
    </row>
    <row r="3965" spans="1:7" x14ac:dyDescent="0.25">
      <c r="A3965">
        <v>18697</v>
      </c>
      <c r="B3965">
        <v>907</v>
      </c>
      <c r="C3965" s="1" t="str">
        <f>IF(Tabela8[[#This Row],[SETOR]]="","",IF(Tabela8[[#This Row],[SETOR]]&lt;200,"GV 10",IF(Tabela8[[#This Row],[SETOR]]&lt;300,"GV 20",IF(Tabela8[[#This Row],[SETOR]]&lt;400,"GV 30","S/GV"))))</f>
        <v>S/GV</v>
      </c>
      <c r="G3965" t="str">
        <f>_xlfn.CONCAT(Tabela9[[#This Row],[Coluna1]],Tabela9[[#This Row],[Coluna2]])</f>
        <v/>
      </c>
    </row>
    <row r="3966" spans="1:7" x14ac:dyDescent="0.25">
      <c r="A3966">
        <v>18698</v>
      </c>
      <c r="B3966">
        <v>109</v>
      </c>
      <c r="C3966" s="1" t="str">
        <f>IF(Tabela8[[#This Row],[SETOR]]="","",IF(Tabela8[[#This Row],[SETOR]]&lt;200,"GV 10",IF(Tabela8[[#This Row],[SETOR]]&lt;300,"GV 20",IF(Tabela8[[#This Row],[SETOR]]&lt;400,"GV 30","S/GV"))))</f>
        <v>GV 10</v>
      </c>
      <c r="E3966" t="s">
        <v>123</v>
      </c>
      <c r="G3966" t="str">
        <f>_xlfn.CONCAT(Tabela9[[#This Row],[Coluna1]],Tabela9[[#This Row],[Coluna2]])</f>
        <v>20-Rota</v>
      </c>
    </row>
    <row r="3967" spans="1:7" x14ac:dyDescent="0.25">
      <c r="A3967">
        <v>18699</v>
      </c>
      <c r="B3967">
        <v>101</v>
      </c>
      <c r="C3967" s="1" t="str">
        <f>IF(Tabela8[[#This Row],[SETOR]]="","",IF(Tabela8[[#This Row],[SETOR]]&lt;200,"GV 10",IF(Tabela8[[#This Row],[SETOR]]&lt;300,"GV 20",IF(Tabela8[[#This Row],[SETOR]]&lt;400,"GV 30","S/GV"))))</f>
        <v>GV 10</v>
      </c>
      <c r="E3967" t="s">
        <v>123</v>
      </c>
      <c r="G3967" t="str">
        <f>_xlfn.CONCAT(Tabela9[[#This Row],[Coluna1]],Tabela9[[#This Row],[Coluna2]])</f>
        <v>20-Rota</v>
      </c>
    </row>
    <row r="3968" spans="1:7" x14ac:dyDescent="0.25">
      <c r="A3968">
        <v>18700</v>
      </c>
      <c r="B3968">
        <v>302</v>
      </c>
      <c r="C3968" s="1" t="str">
        <f>IF(Tabela8[[#This Row],[SETOR]]="","",IF(Tabela8[[#This Row],[SETOR]]&lt;200,"GV 10",IF(Tabela8[[#This Row],[SETOR]]&lt;300,"GV 20",IF(Tabela8[[#This Row],[SETOR]]&lt;400,"GV 30","S/GV"))))</f>
        <v>GV 30</v>
      </c>
      <c r="E3968" t="s">
        <v>123</v>
      </c>
      <c r="G3968" t="str">
        <f>_xlfn.CONCAT(Tabela9[[#This Row],[Coluna1]],Tabela9[[#This Row],[Coluna2]])</f>
        <v>20-Rota</v>
      </c>
    </row>
    <row r="3969" spans="1:7" x14ac:dyDescent="0.25">
      <c r="A3969">
        <v>18701</v>
      </c>
      <c r="B3969">
        <v>301</v>
      </c>
      <c r="C3969" s="1" t="str">
        <f>IF(Tabela8[[#This Row],[SETOR]]="","",IF(Tabela8[[#This Row],[SETOR]]&lt;200,"GV 10",IF(Tabela8[[#This Row],[SETOR]]&lt;300,"GV 20",IF(Tabela8[[#This Row],[SETOR]]&lt;400,"GV 30","S/GV"))))</f>
        <v>GV 30</v>
      </c>
      <c r="E3969" t="s">
        <v>123</v>
      </c>
      <c r="G3969" t="str">
        <f>_xlfn.CONCAT(Tabela9[[#This Row],[Coluna1]],Tabela9[[#This Row],[Coluna2]])</f>
        <v>20-Rota</v>
      </c>
    </row>
    <row r="3970" spans="1:7" x14ac:dyDescent="0.25">
      <c r="A3970">
        <v>18705</v>
      </c>
      <c r="B3970">
        <v>206</v>
      </c>
      <c r="C3970" s="1" t="str">
        <f>IF(Tabela8[[#This Row],[SETOR]]="","",IF(Tabela8[[#This Row],[SETOR]]&lt;200,"GV 10",IF(Tabela8[[#This Row],[SETOR]]&lt;300,"GV 20",IF(Tabela8[[#This Row],[SETOR]]&lt;400,"GV 30","S/GV"))))</f>
        <v>GV 20</v>
      </c>
      <c r="E3970" t="s">
        <v>130</v>
      </c>
      <c r="G3970" t="str">
        <f>_xlfn.CONCAT(Tabela9[[#This Row],[Coluna1]],Tabela9[[#This Row],[Coluna2]])</f>
        <v>21-SUB</v>
      </c>
    </row>
    <row r="3971" spans="1:7" x14ac:dyDescent="0.25">
      <c r="A3971">
        <v>18706</v>
      </c>
      <c r="B3971">
        <v>109</v>
      </c>
      <c r="C3971" s="1" t="str">
        <f>IF(Tabela8[[#This Row],[SETOR]]="","",IF(Tabela8[[#This Row],[SETOR]]&lt;200,"GV 10",IF(Tabela8[[#This Row],[SETOR]]&lt;300,"GV 20",IF(Tabela8[[#This Row],[SETOR]]&lt;400,"GV 30","S/GV"))))</f>
        <v>GV 10</v>
      </c>
      <c r="E3971" t="s">
        <v>123</v>
      </c>
      <c r="G3971" t="str">
        <f>_xlfn.CONCAT(Tabela9[[#This Row],[Coluna1]],Tabela9[[#This Row],[Coluna2]])</f>
        <v>20-Rota</v>
      </c>
    </row>
    <row r="3972" spans="1:7" x14ac:dyDescent="0.25">
      <c r="A3972">
        <v>18707</v>
      </c>
      <c r="B3972">
        <v>916</v>
      </c>
      <c r="C3972" s="1" t="str">
        <f>IF(Tabela8[[#This Row],[SETOR]]="","",IF(Tabela8[[#This Row],[SETOR]]&lt;200,"GV 10",IF(Tabela8[[#This Row],[SETOR]]&lt;300,"GV 20",IF(Tabela8[[#This Row],[SETOR]]&lt;400,"GV 30","S/GV"))))</f>
        <v>S/GV</v>
      </c>
      <c r="G3972" t="str">
        <f>_xlfn.CONCAT(Tabela9[[#This Row],[Coluna1]],Tabela9[[#This Row],[Coluna2]])</f>
        <v/>
      </c>
    </row>
    <row r="3973" spans="1:7" x14ac:dyDescent="0.25">
      <c r="A3973">
        <v>18708</v>
      </c>
      <c r="B3973">
        <v>916</v>
      </c>
      <c r="C3973" s="1" t="str">
        <f>IF(Tabela8[[#This Row],[SETOR]]="","",IF(Tabela8[[#This Row],[SETOR]]&lt;200,"GV 10",IF(Tabela8[[#This Row],[SETOR]]&lt;300,"GV 20",IF(Tabela8[[#This Row],[SETOR]]&lt;400,"GV 30","S/GV"))))</f>
        <v>S/GV</v>
      </c>
      <c r="G3973" t="str">
        <f>_xlfn.CONCAT(Tabela9[[#This Row],[Coluna1]],Tabela9[[#This Row],[Coluna2]])</f>
        <v/>
      </c>
    </row>
    <row r="3974" spans="1:7" x14ac:dyDescent="0.25">
      <c r="A3974">
        <v>18709</v>
      </c>
      <c r="B3974">
        <v>303</v>
      </c>
      <c r="C3974" s="1" t="str">
        <f>IF(Tabela8[[#This Row],[SETOR]]="","",IF(Tabela8[[#This Row],[SETOR]]&lt;200,"GV 10",IF(Tabela8[[#This Row],[SETOR]]&lt;300,"GV 20",IF(Tabela8[[#This Row],[SETOR]]&lt;400,"GV 30","S/GV"))))</f>
        <v>GV 30</v>
      </c>
      <c r="E3974" t="s">
        <v>123</v>
      </c>
      <c r="G3974" t="str">
        <f>_xlfn.CONCAT(Tabela9[[#This Row],[Coluna1]],Tabela9[[#This Row],[Coluna2]])</f>
        <v>20-Rota</v>
      </c>
    </row>
    <row r="3975" spans="1:7" x14ac:dyDescent="0.25">
      <c r="A3975">
        <v>18710</v>
      </c>
      <c r="B3975">
        <v>302</v>
      </c>
      <c r="C3975" s="1" t="str">
        <f>IF(Tabela8[[#This Row],[SETOR]]="","",IF(Tabela8[[#This Row],[SETOR]]&lt;200,"GV 10",IF(Tabela8[[#This Row],[SETOR]]&lt;300,"GV 20",IF(Tabela8[[#This Row],[SETOR]]&lt;400,"GV 30","S/GV"))))</f>
        <v>GV 30</v>
      </c>
      <c r="E3975" t="s">
        <v>123</v>
      </c>
      <c r="G3975" t="str">
        <f>_xlfn.CONCAT(Tabela9[[#This Row],[Coluna1]],Tabela9[[#This Row],[Coluna2]])</f>
        <v>20-Rota</v>
      </c>
    </row>
    <row r="3976" spans="1:7" x14ac:dyDescent="0.25">
      <c r="A3976">
        <v>18711</v>
      </c>
      <c r="B3976">
        <v>302</v>
      </c>
      <c r="C3976" s="1" t="str">
        <f>IF(Tabela8[[#This Row],[SETOR]]="","",IF(Tabela8[[#This Row],[SETOR]]&lt;200,"GV 10",IF(Tabela8[[#This Row],[SETOR]]&lt;300,"GV 20",IF(Tabela8[[#This Row],[SETOR]]&lt;400,"GV 30","S/GV"))))</f>
        <v>GV 30</v>
      </c>
      <c r="E3976" t="s">
        <v>123</v>
      </c>
      <c r="G3976" t="str">
        <f>_xlfn.CONCAT(Tabela9[[#This Row],[Coluna1]],Tabela9[[#This Row],[Coluna2]])</f>
        <v>20-Rota</v>
      </c>
    </row>
    <row r="3977" spans="1:7" x14ac:dyDescent="0.25">
      <c r="A3977">
        <v>18713</v>
      </c>
      <c r="B3977">
        <v>204</v>
      </c>
      <c r="C3977" s="1" t="str">
        <f>IF(Tabela8[[#This Row],[SETOR]]="","",IF(Tabela8[[#This Row],[SETOR]]&lt;200,"GV 10",IF(Tabela8[[#This Row],[SETOR]]&lt;300,"GV 20",IF(Tabela8[[#This Row],[SETOR]]&lt;400,"GV 30","S/GV"))))</f>
        <v>GV 20</v>
      </c>
      <c r="E3977" t="s">
        <v>123</v>
      </c>
      <c r="G3977" t="str">
        <f>_xlfn.CONCAT(Tabela9[[#This Row],[Coluna1]],Tabela9[[#This Row],[Coluna2]])</f>
        <v>20-Rota</v>
      </c>
    </row>
    <row r="3978" spans="1:7" x14ac:dyDescent="0.25">
      <c r="A3978">
        <v>18714</v>
      </c>
      <c r="B3978">
        <v>207</v>
      </c>
      <c r="C3978" s="1" t="str">
        <f>IF(Tabela8[[#This Row],[SETOR]]="","",IF(Tabela8[[#This Row],[SETOR]]&lt;200,"GV 10",IF(Tabela8[[#This Row],[SETOR]]&lt;300,"GV 20",IF(Tabela8[[#This Row],[SETOR]]&lt;400,"GV 30","S/GV"))))</f>
        <v>GV 20</v>
      </c>
      <c r="E3978" t="s">
        <v>128</v>
      </c>
      <c r="F3978" t="s">
        <v>129</v>
      </c>
      <c r="G3978" t="str">
        <f>_xlfn.CONCAT(Tabela9[[#This Row],[Coluna1]],Tabela9[[#This Row],[Coluna2]])</f>
        <v>15-AS(1-4)</v>
      </c>
    </row>
    <row r="3979" spans="1:7" x14ac:dyDescent="0.25">
      <c r="A3979">
        <v>18716</v>
      </c>
      <c r="B3979">
        <v>916</v>
      </c>
      <c r="C3979" s="1" t="str">
        <f>IF(Tabela8[[#This Row],[SETOR]]="","",IF(Tabela8[[#This Row],[SETOR]]&lt;200,"GV 10",IF(Tabela8[[#This Row],[SETOR]]&lt;300,"GV 20",IF(Tabela8[[#This Row],[SETOR]]&lt;400,"GV 30","S/GV"))))</f>
        <v>S/GV</v>
      </c>
      <c r="G3979" t="str">
        <f>_xlfn.CONCAT(Tabela9[[#This Row],[Coluna1]],Tabela9[[#This Row],[Coluna2]])</f>
        <v/>
      </c>
    </row>
    <row r="3980" spans="1:7" x14ac:dyDescent="0.25">
      <c r="A3980">
        <v>18719</v>
      </c>
      <c r="B3980">
        <v>907</v>
      </c>
      <c r="C3980" s="1" t="str">
        <f>IF(Tabela8[[#This Row],[SETOR]]="","",IF(Tabela8[[#This Row],[SETOR]]&lt;200,"GV 10",IF(Tabela8[[#This Row],[SETOR]]&lt;300,"GV 20",IF(Tabela8[[#This Row],[SETOR]]&lt;400,"GV 30","S/GV"))))</f>
        <v>S/GV</v>
      </c>
      <c r="G3980" t="str">
        <f>_xlfn.CONCAT(Tabela9[[#This Row],[Coluna1]],Tabela9[[#This Row],[Coluna2]])</f>
        <v/>
      </c>
    </row>
    <row r="3981" spans="1:7" x14ac:dyDescent="0.25">
      <c r="A3981">
        <v>18720</v>
      </c>
      <c r="B3981">
        <v>204</v>
      </c>
      <c r="C3981" s="1" t="str">
        <f>IF(Tabela8[[#This Row],[SETOR]]="","",IF(Tabela8[[#This Row],[SETOR]]&lt;200,"GV 10",IF(Tabela8[[#This Row],[SETOR]]&lt;300,"GV 20",IF(Tabela8[[#This Row],[SETOR]]&lt;400,"GV 30","S/GV"))))</f>
        <v>GV 20</v>
      </c>
      <c r="E3981" t="s">
        <v>131</v>
      </c>
      <c r="F3981" t="s">
        <v>132</v>
      </c>
      <c r="G3981" t="str">
        <f>_xlfn.CONCAT(Tabela9[[#This Row],[Coluna1]],Tabela9[[#This Row],[Coluna2]])</f>
        <v>14-Lj.Conveniência</v>
      </c>
    </row>
    <row r="3982" spans="1:7" x14ac:dyDescent="0.25">
      <c r="A3982">
        <v>18722</v>
      </c>
      <c r="B3982">
        <v>207</v>
      </c>
      <c r="C3982" s="1" t="str">
        <f>IF(Tabela8[[#This Row],[SETOR]]="","",IF(Tabela8[[#This Row],[SETOR]]&lt;200,"GV 10",IF(Tabela8[[#This Row],[SETOR]]&lt;300,"GV 20",IF(Tabela8[[#This Row],[SETOR]]&lt;400,"GV 30","S/GV"))))</f>
        <v>GV 20</v>
      </c>
      <c r="E3982" t="s">
        <v>130</v>
      </c>
      <c r="G3982" t="str">
        <f>_xlfn.CONCAT(Tabela9[[#This Row],[Coluna1]],Tabela9[[#This Row],[Coluna2]])</f>
        <v>21-SUB</v>
      </c>
    </row>
    <row r="3983" spans="1:7" x14ac:dyDescent="0.25">
      <c r="A3983">
        <v>18724</v>
      </c>
      <c r="B3983">
        <v>201</v>
      </c>
      <c r="C3983" s="1" t="str">
        <f>IF(Tabela8[[#This Row],[SETOR]]="","",IF(Tabela8[[#This Row],[SETOR]]&lt;200,"GV 10",IF(Tabela8[[#This Row],[SETOR]]&lt;300,"GV 20",IF(Tabela8[[#This Row],[SETOR]]&lt;400,"GV 30","S/GV"))))</f>
        <v>GV 20</v>
      </c>
      <c r="E3983" t="s">
        <v>133</v>
      </c>
      <c r="G3983" t="str">
        <f>_xlfn.CONCAT(Tabela9[[#This Row],[Coluna1]],Tabela9[[#This Row],[Coluna2]])</f>
        <v>35-OUTROS</v>
      </c>
    </row>
    <row r="3984" spans="1:7" x14ac:dyDescent="0.25">
      <c r="A3984">
        <v>18725</v>
      </c>
      <c r="B3984">
        <v>101</v>
      </c>
      <c r="C3984" s="1" t="str">
        <f>IF(Tabela8[[#This Row],[SETOR]]="","",IF(Tabela8[[#This Row],[SETOR]]&lt;200,"GV 10",IF(Tabela8[[#This Row],[SETOR]]&lt;300,"GV 20",IF(Tabela8[[#This Row],[SETOR]]&lt;400,"GV 30","S/GV"))))</f>
        <v>GV 10</v>
      </c>
      <c r="E3984" t="s">
        <v>123</v>
      </c>
      <c r="G3984" t="str">
        <f>_xlfn.CONCAT(Tabela9[[#This Row],[Coluna1]],Tabela9[[#This Row],[Coluna2]])</f>
        <v>20-Rota</v>
      </c>
    </row>
    <row r="3985" spans="1:7" x14ac:dyDescent="0.25">
      <c r="A3985">
        <v>18726</v>
      </c>
      <c r="B3985">
        <v>303</v>
      </c>
      <c r="C3985" s="1" t="str">
        <f>IF(Tabela8[[#This Row],[SETOR]]="","",IF(Tabela8[[#This Row],[SETOR]]&lt;200,"GV 10",IF(Tabela8[[#This Row],[SETOR]]&lt;300,"GV 20",IF(Tabela8[[#This Row],[SETOR]]&lt;400,"GV 30","S/GV"))))</f>
        <v>GV 30</v>
      </c>
      <c r="E3985" t="s">
        <v>123</v>
      </c>
      <c r="G3985" t="str">
        <f>_xlfn.CONCAT(Tabela9[[#This Row],[Coluna1]],Tabela9[[#This Row],[Coluna2]])</f>
        <v>20-Rota</v>
      </c>
    </row>
    <row r="3986" spans="1:7" x14ac:dyDescent="0.25">
      <c r="A3986">
        <v>18729</v>
      </c>
      <c r="B3986">
        <v>916</v>
      </c>
      <c r="C3986" s="1" t="str">
        <f>IF(Tabela8[[#This Row],[SETOR]]="","",IF(Tabela8[[#This Row],[SETOR]]&lt;200,"GV 10",IF(Tabela8[[#This Row],[SETOR]]&lt;300,"GV 20",IF(Tabela8[[#This Row],[SETOR]]&lt;400,"GV 30","S/GV"))))</f>
        <v>S/GV</v>
      </c>
      <c r="G3986" t="str">
        <f>_xlfn.CONCAT(Tabela9[[#This Row],[Coluna1]],Tabela9[[#This Row],[Coluna2]])</f>
        <v/>
      </c>
    </row>
    <row r="3987" spans="1:7" x14ac:dyDescent="0.25">
      <c r="A3987">
        <v>18730</v>
      </c>
      <c r="B3987">
        <v>916</v>
      </c>
      <c r="C3987" s="1" t="str">
        <f>IF(Tabela8[[#This Row],[SETOR]]="","",IF(Tabela8[[#This Row],[SETOR]]&lt;200,"GV 10",IF(Tabela8[[#This Row],[SETOR]]&lt;300,"GV 20",IF(Tabela8[[#This Row],[SETOR]]&lt;400,"GV 30","S/GV"))))</f>
        <v>S/GV</v>
      </c>
      <c r="G3987" t="str">
        <f>_xlfn.CONCAT(Tabela9[[#This Row],[Coluna1]],Tabela9[[#This Row],[Coluna2]])</f>
        <v/>
      </c>
    </row>
    <row r="3988" spans="1:7" x14ac:dyDescent="0.25">
      <c r="A3988">
        <v>18731</v>
      </c>
      <c r="B3988">
        <v>916</v>
      </c>
      <c r="C3988" s="1" t="str">
        <f>IF(Tabela8[[#This Row],[SETOR]]="","",IF(Tabela8[[#This Row],[SETOR]]&lt;200,"GV 10",IF(Tabela8[[#This Row],[SETOR]]&lt;300,"GV 20",IF(Tabela8[[#This Row],[SETOR]]&lt;400,"GV 30","S/GV"))))</f>
        <v>S/GV</v>
      </c>
      <c r="G3988" t="str">
        <f>_xlfn.CONCAT(Tabela9[[#This Row],[Coluna1]],Tabela9[[#This Row],[Coluna2]])</f>
        <v/>
      </c>
    </row>
    <row r="3989" spans="1:7" x14ac:dyDescent="0.25">
      <c r="A3989">
        <v>18733</v>
      </c>
      <c r="B3989">
        <v>106</v>
      </c>
      <c r="C3989" s="1" t="str">
        <f>IF(Tabela8[[#This Row],[SETOR]]="","",IF(Tabela8[[#This Row],[SETOR]]&lt;200,"GV 10",IF(Tabela8[[#This Row],[SETOR]]&lt;300,"GV 20",IF(Tabela8[[#This Row],[SETOR]]&lt;400,"GV 30","S/GV"))))</f>
        <v>GV 10</v>
      </c>
      <c r="E3989" t="s">
        <v>123</v>
      </c>
      <c r="G3989" t="str">
        <f>_xlfn.CONCAT(Tabela9[[#This Row],[Coluna1]],Tabela9[[#This Row],[Coluna2]])</f>
        <v>20-Rota</v>
      </c>
    </row>
    <row r="3990" spans="1:7" x14ac:dyDescent="0.25">
      <c r="A3990">
        <v>18737</v>
      </c>
      <c r="B3990">
        <v>303</v>
      </c>
      <c r="C3990" s="1" t="str">
        <f>IF(Tabela8[[#This Row],[SETOR]]="","",IF(Tabela8[[#This Row],[SETOR]]&lt;200,"GV 10",IF(Tabela8[[#This Row],[SETOR]]&lt;300,"GV 20",IF(Tabela8[[#This Row],[SETOR]]&lt;400,"GV 30","S/GV"))))</f>
        <v>GV 30</v>
      </c>
      <c r="E3990" t="s">
        <v>123</v>
      </c>
      <c r="G3990" t="str">
        <f>_xlfn.CONCAT(Tabela9[[#This Row],[Coluna1]],Tabela9[[#This Row],[Coluna2]])</f>
        <v>20-Rota</v>
      </c>
    </row>
    <row r="3991" spans="1:7" x14ac:dyDescent="0.25">
      <c r="A3991">
        <v>18739</v>
      </c>
      <c r="B3991">
        <v>303</v>
      </c>
      <c r="C3991" s="1" t="str">
        <f>IF(Tabela8[[#This Row],[SETOR]]="","",IF(Tabela8[[#This Row],[SETOR]]&lt;200,"GV 10",IF(Tabela8[[#This Row],[SETOR]]&lt;300,"GV 20",IF(Tabela8[[#This Row],[SETOR]]&lt;400,"GV 30","S/GV"))))</f>
        <v>GV 30</v>
      </c>
      <c r="E3991" t="s">
        <v>123</v>
      </c>
      <c r="G3991" t="str">
        <f>_xlfn.CONCAT(Tabela9[[#This Row],[Coluna1]],Tabela9[[#This Row],[Coluna2]])</f>
        <v>20-Rota</v>
      </c>
    </row>
    <row r="3992" spans="1:7" x14ac:dyDescent="0.25">
      <c r="A3992">
        <v>18740</v>
      </c>
      <c r="B3992">
        <v>303</v>
      </c>
      <c r="C3992" s="1" t="str">
        <f>IF(Tabela8[[#This Row],[SETOR]]="","",IF(Tabela8[[#This Row],[SETOR]]&lt;200,"GV 10",IF(Tabela8[[#This Row],[SETOR]]&lt;300,"GV 20",IF(Tabela8[[#This Row],[SETOR]]&lt;400,"GV 30","S/GV"))))</f>
        <v>GV 30</v>
      </c>
      <c r="E3992" t="s">
        <v>123</v>
      </c>
      <c r="G3992" t="str">
        <f>_xlfn.CONCAT(Tabela9[[#This Row],[Coluna1]],Tabela9[[#This Row],[Coluna2]])</f>
        <v>20-Rota</v>
      </c>
    </row>
    <row r="3993" spans="1:7" x14ac:dyDescent="0.25">
      <c r="A3993">
        <v>18741</v>
      </c>
      <c r="B3993">
        <v>301</v>
      </c>
      <c r="C3993" s="1" t="str">
        <f>IF(Tabela8[[#This Row],[SETOR]]="","",IF(Tabela8[[#This Row],[SETOR]]&lt;200,"GV 10",IF(Tabela8[[#This Row],[SETOR]]&lt;300,"GV 20",IF(Tabela8[[#This Row],[SETOR]]&lt;400,"GV 30","S/GV"))))</f>
        <v>GV 30</v>
      </c>
      <c r="E3993" t="s">
        <v>123</v>
      </c>
      <c r="G3993" t="str">
        <f>_xlfn.CONCAT(Tabela9[[#This Row],[Coluna1]],Tabela9[[#This Row],[Coluna2]])</f>
        <v>20-Rota</v>
      </c>
    </row>
    <row r="3994" spans="1:7" x14ac:dyDescent="0.25">
      <c r="A3994">
        <v>18742</v>
      </c>
      <c r="B3994">
        <v>207</v>
      </c>
      <c r="C3994" s="1" t="str">
        <f>IF(Tabela8[[#This Row],[SETOR]]="","",IF(Tabela8[[#This Row],[SETOR]]&lt;200,"GV 10",IF(Tabela8[[#This Row],[SETOR]]&lt;300,"GV 20",IF(Tabela8[[#This Row],[SETOR]]&lt;400,"GV 30","S/GV"))))</f>
        <v>GV 20</v>
      </c>
      <c r="E3994" t="s">
        <v>123</v>
      </c>
      <c r="G3994" t="str">
        <f>_xlfn.CONCAT(Tabela9[[#This Row],[Coluna1]],Tabela9[[#This Row],[Coluna2]])</f>
        <v>20-Rota</v>
      </c>
    </row>
    <row r="3995" spans="1:7" x14ac:dyDescent="0.25">
      <c r="A3995">
        <v>18743</v>
      </c>
      <c r="B3995">
        <v>204</v>
      </c>
      <c r="C3995" s="1" t="str">
        <f>IF(Tabela8[[#This Row],[SETOR]]="","",IF(Tabela8[[#This Row],[SETOR]]&lt;200,"GV 10",IF(Tabela8[[#This Row],[SETOR]]&lt;300,"GV 20",IF(Tabela8[[#This Row],[SETOR]]&lt;400,"GV 30","S/GV"))))</f>
        <v>GV 20</v>
      </c>
      <c r="E3995" t="s">
        <v>125</v>
      </c>
      <c r="G3995" t="str">
        <f>_xlfn.CONCAT(Tabela9[[#This Row],[Coluna1]],Tabela9[[#This Row],[Coluna2]])</f>
        <v>18-TRAD</v>
      </c>
    </row>
    <row r="3996" spans="1:7" x14ac:dyDescent="0.25">
      <c r="A3996">
        <v>18744</v>
      </c>
      <c r="B3996">
        <v>202</v>
      </c>
      <c r="C3996" s="1" t="str">
        <f>IF(Tabela8[[#This Row],[SETOR]]="","",IF(Tabela8[[#This Row],[SETOR]]&lt;200,"GV 10",IF(Tabela8[[#This Row],[SETOR]]&lt;300,"GV 20",IF(Tabela8[[#This Row],[SETOR]]&lt;400,"GV 30","S/GV"))))</f>
        <v>GV 20</v>
      </c>
      <c r="E3996" t="s">
        <v>123</v>
      </c>
      <c r="G3996" t="str">
        <f>_xlfn.CONCAT(Tabela9[[#This Row],[Coluna1]],Tabela9[[#This Row],[Coluna2]])</f>
        <v>20-Rota</v>
      </c>
    </row>
    <row r="3997" spans="1:7" x14ac:dyDescent="0.25">
      <c r="A3997">
        <v>18749</v>
      </c>
      <c r="B3997">
        <v>916</v>
      </c>
      <c r="C3997" s="1" t="str">
        <f>IF(Tabela8[[#This Row],[SETOR]]="","",IF(Tabela8[[#This Row],[SETOR]]&lt;200,"GV 10",IF(Tabela8[[#This Row],[SETOR]]&lt;300,"GV 20",IF(Tabela8[[#This Row],[SETOR]]&lt;400,"GV 30","S/GV"))))</f>
        <v>S/GV</v>
      </c>
      <c r="E3997" t="s">
        <v>133</v>
      </c>
      <c r="G3997" t="str">
        <f>_xlfn.CONCAT(Tabela9[[#This Row],[Coluna1]],Tabela9[[#This Row],[Coluna2]])</f>
        <v>35-OUTROS</v>
      </c>
    </row>
    <row r="3998" spans="1:7" x14ac:dyDescent="0.25">
      <c r="A3998">
        <v>18750</v>
      </c>
      <c r="B3998">
        <v>101</v>
      </c>
      <c r="C3998" s="1" t="str">
        <f>IF(Tabela8[[#This Row],[SETOR]]="","",IF(Tabela8[[#This Row],[SETOR]]&lt;200,"GV 10",IF(Tabela8[[#This Row],[SETOR]]&lt;300,"GV 20",IF(Tabela8[[#This Row],[SETOR]]&lt;400,"GV 30","S/GV"))))</f>
        <v>GV 10</v>
      </c>
      <c r="E3998" t="s">
        <v>123</v>
      </c>
      <c r="G3998" t="str">
        <f>_xlfn.CONCAT(Tabela9[[#This Row],[Coluna1]],Tabela9[[#This Row],[Coluna2]])</f>
        <v>20-Rota</v>
      </c>
    </row>
    <row r="3999" spans="1:7" x14ac:dyDescent="0.25">
      <c r="A3999">
        <v>18751</v>
      </c>
      <c r="B3999">
        <v>104</v>
      </c>
      <c r="C3999" s="1" t="str">
        <f>IF(Tabela8[[#This Row],[SETOR]]="","",IF(Tabela8[[#This Row],[SETOR]]&lt;200,"GV 10",IF(Tabela8[[#This Row],[SETOR]]&lt;300,"GV 20",IF(Tabela8[[#This Row],[SETOR]]&lt;400,"GV 30","S/GV"))))</f>
        <v>GV 10</v>
      </c>
      <c r="E3999" t="s">
        <v>123</v>
      </c>
      <c r="G3999" t="str">
        <f>_xlfn.CONCAT(Tabela9[[#This Row],[Coluna1]],Tabela9[[#This Row],[Coluna2]])</f>
        <v>20-Rota</v>
      </c>
    </row>
    <row r="4000" spans="1:7" x14ac:dyDescent="0.25">
      <c r="A4000">
        <v>18752</v>
      </c>
      <c r="B4000">
        <v>303</v>
      </c>
      <c r="C4000" s="1" t="str">
        <f>IF(Tabela8[[#This Row],[SETOR]]="","",IF(Tabela8[[#This Row],[SETOR]]&lt;200,"GV 10",IF(Tabela8[[#This Row],[SETOR]]&lt;300,"GV 20",IF(Tabela8[[#This Row],[SETOR]]&lt;400,"GV 30","S/GV"))))</f>
        <v>GV 30</v>
      </c>
      <c r="E4000" t="s">
        <v>123</v>
      </c>
      <c r="G4000" t="str">
        <f>_xlfn.CONCAT(Tabela9[[#This Row],[Coluna1]],Tabela9[[#This Row],[Coluna2]])</f>
        <v>20-Rota</v>
      </c>
    </row>
    <row r="4001" spans="1:7" x14ac:dyDescent="0.25">
      <c r="A4001">
        <v>18753</v>
      </c>
      <c r="B4001">
        <v>916</v>
      </c>
      <c r="C4001" s="1" t="str">
        <f>IF(Tabela8[[#This Row],[SETOR]]="","",IF(Tabela8[[#This Row],[SETOR]]&lt;200,"GV 10",IF(Tabela8[[#This Row],[SETOR]]&lt;300,"GV 20",IF(Tabela8[[#This Row],[SETOR]]&lt;400,"GV 30","S/GV"))))</f>
        <v>S/GV</v>
      </c>
      <c r="G4001" t="str">
        <f>_xlfn.CONCAT(Tabela9[[#This Row],[Coluna1]],Tabela9[[#This Row],[Coluna2]])</f>
        <v/>
      </c>
    </row>
    <row r="4002" spans="1:7" x14ac:dyDescent="0.25">
      <c r="A4002">
        <v>18754</v>
      </c>
      <c r="B4002">
        <v>906</v>
      </c>
      <c r="C4002" s="1" t="str">
        <f>IF(Tabela8[[#This Row],[SETOR]]="","",IF(Tabela8[[#This Row],[SETOR]]&lt;200,"GV 10",IF(Tabela8[[#This Row],[SETOR]]&lt;300,"GV 20",IF(Tabela8[[#This Row],[SETOR]]&lt;400,"GV 30","S/GV"))))</f>
        <v>S/GV</v>
      </c>
      <c r="G4002" t="str">
        <f>_xlfn.CONCAT(Tabela9[[#This Row],[Coluna1]],Tabela9[[#This Row],[Coluna2]])</f>
        <v/>
      </c>
    </row>
    <row r="4003" spans="1:7" x14ac:dyDescent="0.25">
      <c r="A4003">
        <v>18755</v>
      </c>
      <c r="B4003">
        <v>104</v>
      </c>
      <c r="C4003" s="1" t="str">
        <f>IF(Tabela8[[#This Row],[SETOR]]="","",IF(Tabela8[[#This Row],[SETOR]]&lt;200,"GV 10",IF(Tabela8[[#This Row],[SETOR]]&lt;300,"GV 20",IF(Tabela8[[#This Row],[SETOR]]&lt;400,"GV 30","S/GV"))))</f>
        <v>GV 10</v>
      </c>
      <c r="E4003" t="s">
        <v>123</v>
      </c>
      <c r="G4003" t="str">
        <f>_xlfn.CONCAT(Tabela9[[#This Row],[Coluna1]],Tabela9[[#This Row],[Coluna2]])</f>
        <v>20-Rota</v>
      </c>
    </row>
    <row r="4004" spans="1:7" x14ac:dyDescent="0.25">
      <c r="A4004">
        <v>18756</v>
      </c>
      <c r="B4004">
        <v>307</v>
      </c>
      <c r="C4004" s="1" t="str">
        <f>IF(Tabela8[[#This Row],[SETOR]]="","",IF(Tabela8[[#This Row],[SETOR]]&lt;200,"GV 10",IF(Tabela8[[#This Row],[SETOR]]&lt;300,"GV 20",IF(Tabela8[[#This Row],[SETOR]]&lt;400,"GV 30","S/GV"))))</f>
        <v>GV 30</v>
      </c>
      <c r="E4004" t="s">
        <v>130</v>
      </c>
      <c r="G4004" t="str">
        <f>_xlfn.CONCAT(Tabela9[[#This Row],[Coluna1]],Tabela9[[#This Row],[Coluna2]])</f>
        <v>21-SUB</v>
      </c>
    </row>
    <row r="4005" spans="1:7" x14ac:dyDescent="0.25">
      <c r="A4005">
        <v>18757</v>
      </c>
      <c r="B4005">
        <v>306</v>
      </c>
      <c r="C4005" s="1" t="str">
        <f>IF(Tabela8[[#This Row],[SETOR]]="","",IF(Tabela8[[#This Row],[SETOR]]&lt;200,"GV 10",IF(Tabela8[[#This Row],[SETOR]]&lt;300,"GV 20",IF(Tabela8[[#This Row],[SETOR]]&lt;400,"GV 30","S/GV"))))</f>
        <v>GV 30</v>
      </c>
      <c r="E4005" t="s">
        <v>130</v>
      </c>
      <c r="G4005" t="str">
        <f>_xlfn.CONCAT(Tabela9[[#This Row],[Coluna1]],Tabela9[[#This Row],[Coluna2]])</f>
        <v>21-SUB</v>
      </c>
    </row>
    <row r="4006" spans="1:7" x14ac:dyDescent="0.25">
      <c r="A4006">
        <v>18758</v>
      </c>
      <c r="B4006">
        <v>101</v>
      </c>
      <c r="C4006" s="1" t="str">
        <f>IF(Tabela8[[#This Row],[SETOR]]="","",IF(Tabela8[[#This Row],[SETOR]]&lt;200,"GV 10",IF(Tabela8[[#This Row],[SETOR]]&lt;300,"GV 20",IF(Tabela8[[#This Row],[SETOR]]&lt;400,"GV 30","S/GV"))))</f>
        <v>GV 10</v>
      </c>
      <c r="E4006" t="s">
        <v>123</v>
      </c>
      <c r="G4006" t="str">
        <f>_xlfn.CONCAT(Tabela9[[#This Row],[Coluna1]],Tabela9[[#This Row],[Coluna2]])</f>
        <v>20-Rota</v>
      </c>
    </row>
    <row r="4007" spans="1:7" x14ac:dyDescent="0.25">
      <c r="A4007">
        <v>18761</v>
      </c>
      <c r="B4007">
        <v>102</v>
      </c>
      <c r="C4007" s="1" t="str">
        <f>IF(Tabela8[[#This Row],[SETOR]]="","",IF(Tabela8[[#This Row],[SETOR]]&lt;200,"GV 10",IF(Tabela8[[#This Row],[SETOR]]&lt;300,"GV 20",IF(Tabela8[[#This Row],[SETOR]]&lt;400,"GV 30","S/GV"))))</f>
        <v>GV 10</v>
      </c>
      <c r="E4007" t="s">
        <v>123</v>
      </c>
      <c r="G4007" t="str">
        <f>_xlfn.CONCAT(Tabela9[[#This Row],[Coluna1]],Tabela9[[#This Row],[Coluna2]])</f>
        <v>20-Rota</v>
      </c>
    </row>
    <row r="4008" spans="1:7" x14ac:dyDescent="0.25">
      <c r="A4008">
        <v>18763</v>
      </c>
      <c r="B4008">
        <v>301</v>
      </c>
      <c r="C4008" s="1" t="str">
        <f>IF(Tabela8[[#This Row],[SETOR]]="","",IF(Tabela8[[#This Row],[SETOR]]&lt;200,"GV 10",IF(Tabela8[[#This Row],[SETOR]]&lt;300,"GV 20",IF(Tabela8[[#This Row],[SETOR]]&lt;400,"GV 30","S/GV"))))</f>
        <v>GV 30</v>
      </c>
      <c r="E4008" t="s">
        <v>123</v>
      </c>
      <c r="G4008" t="str">
        <f>_xlfn.CONCAT(Tabela9[[#This Row],[Coluna1]],Tabela9[[#This Row],[Coluna2]])</f>
        <v>20-Rota</v>
      </c>
    </row>
    <row r="4009" spans="1:7" x14ac:dyDescent="0.25">
      <c r="A4009">
        <v>18764</v>
      </c>
      <c r="B4009">
        <v>301</v>
      </c>
      <c r="C4009" s="1" t="str">
        <f>IF(Tabela8[[#This Row],[SETOR]]="","",IF(Tabela8[[#This Row],[SETOR]]&lt;200,"GV 10",IF(Tabela8[[#This Row],[SETOR]]&lt;300,"GV 20",IF(Tabela8[[#This Row],[SETOR]]&lt;400,"GV 30","S/GV"))))</f>
        <v>GV 30</v>
      </c>
      <c r="E4009" t="s">
        <v>123</v>
      </c>
      <c r="G4009" t="str">
        <f>_xlfn.CONCAT(Tabela9[[#This Row],[Coluna1]],Tabela9[[#This Row],[Coluna2]])</f>
        <v>20-Rota</v>
      </c>
    </row>
    <row r="4010" spans="1:7" x14ac:dyDescent="0.25">
      <c r="A4010">
        <v>18765</v>
      </c>
      <c r="B4010">
        <v>207</v>
      </c>
      <c r="C4010" s="1" t="str">
        <f>IF(Tabela8[[#This Row],[SETOR]]="","",IF(Tabela8[[#This Row],[SETOR]]&lt;200,"GV 10",IF(Tabela8[[#This Row],[SETOR]]&lt;300,"GV 20",IF(Tabela8[[#This Row],[SETOR]]&lt;400,"GV 30","S/GV"))))</f>
        <v>GV 20</v>
      </c>
      <c r="E4010" t="s">
        <v>125</v>
      </c>
      <c r="G4010" t="str">
        <f>_xlfn.CONCAT(Tabela9[[#This Row],[Coluna1]],Tabela9[[#This Row],[Coluna2]])</f>
        <v>18-TRAD</v>
      </c>
    </row>
    <row r="4011" spans="1:7" x14ac:dyDescent="0.25">
      <c r="A4011">
        <v>18766</v>
      </c>
      <c r="B4011">
        <v>105</v>
      </c>
      <c r="C4011" s="1" t="str">
        <f>IF(Tabela8[[#This Row],[SETOR]]="","",IF(Tabela8[[#This Row],[SETOR]]&lt;200,"GV 10",IF(Tabela8[[#This Row],[SETOR]]&lt;300,"GV 20",IF(Tabela8[[#This Row],[SETOR]]&lt;400,"GV 30","S/GV"))))</f>
        <v>GV 10</v>
      </c>
      <c r="E4011" t="s">
        <v>123</v>
      </c>
      <c r="G4011" t="str">
        <f>_xlfn.CONCAT(Tabela9[[#This Row],[Coluna1]],Tabela9[[#This Row],[Coluna2]])</f>
        <v>20-Rota</v>
      </c>
    </row>
    <row r="4012" spans="1:7" x14ac:dyDescent="0.25">
      <c r="A4012">
        <v>18768</v>
      </c>
      <c r="B4012">
        <v>101</v>
      </c>
      <c r="C4012" s="1" t="str">
        <f>IF(Tabela8[[#This Row],[SETOR]]="","",IF(Tabela8[[#This Row],[SETOR]]&lt;200,"GV 10",IF(Tabela8[[#This Row],[SETOR]]&lt;300,"GV 20",IF(Tabela8[[#This Row],[SETOR]]&lt;400,"GV 30","S/GV"))))</f>
        <v>GV 10</v>
      </c>
      <c r="E4012" t="s">
        <v>128</v>
      </c>
      <c r="F4012" t="s">
        <v>129</v>
      </c>
      <c r="G4012" t="str">
        <f>_xlfn.CONCAT(Tabela9[[#This Row],[Coluna1]],Tabela9[[#This Row],[Coluna2]])</f>
        <v>15-AS(1-4)</v>
      </c>
    </row>
    <row r="4013" spans="1:7" x14ac:dyDescent="0.25">
      <c r="A4013">
        <v>18769</v>
      </c>
      <c r="B4013">
        <v>202</v>
      </c>
      <c r="C4013" s="1" t="str">
        <f>IF(Tabela8[[#This Row],[SETOR]]="","",IF(Tabela8[[#This Row],[SETOR]]&lt;200,"GV 10",IF(Tabela8[[#This Row],[SETOR]]&lt;300,"GV 20",IF(Tabela8[[#This Row],[SETOR]]&lt;400,"GV 30","S/GV"))))</f>
        <v>GV 20</v>
      </c>
      <c r="E4013" t="s">
        <v>123</v>
      </c>
      <c r="G4013" t="str">
        <f>_xlfn.CONCAT(Tabela9[[#This Row],[Coluna1]],Tabela9[[#This Row],[Coluna2]])</f>
        <v>20-Rota</v>
      </c>
    </row>
    <row r="4014" spans="1:7" x14ac:dyDescent="0.25">
      <c r="A4014">
        <v>18770</v>
      </c>
      <c r="B4014">
        <v>101</v>
      </c>
      <c r="C4014" s="1" t="str">
        <f>IF(Tabela8[[#This Row],[SETOR]]="","",IF(Tabela8[[#This Row],[SETOR]]&lt;200,"GV 10",IF(Tabela8[[#This Row],[SETOR]]&lt;300,"GV 20",IF(Tabela8[[#This Row],[SETOR]]&lt;400,"GV 30","S/GV"))))</f>
        <v>GV 10</v>
      </c>
      <c r="E4014" t="s">
        <v>123</v>
      </c>
      <c r="G4014" t="str">
        <f>_xlfn.CONCAT(Tabela9[[#This Row],[Coluna1]],Tabela9[[#This Row],[Coluna2]])</f>
        <v>20-Rota</v>
      </c>
    </row>
    <row r="4015" spans="1:7" x14ac:dyDescent="0.25">
      <c r="A4015">
        <v>18771</v>
      </c>
      <c r="B4015">
        <v>303</v>
      </c>
      <c r="C4015" s="1" t="str">
        <f>IF(Tabela8[[#This Row],[SETOR]]="","",IF(Tabela8[[#This Row],[SETOR]]&lt;200,"GV 10",IF(Tabela8[[#This Row],[SETOR]]&lt;300,"GV 20",IF(Tabela8[[#This Row],[SETOR]]&lt;400,"GV 30","S/GV"))))</f>
        <v>GV 30</v>
      </c>
      <c r="E4015" t="s">
        <v>123</v>
      </c>
      <c r="G4015" t="str">
        <f>_xlfn.CONCAT(Tabela9[[#This Row],[Coluna1]],Tabela9[[#This Row],[Coluna2]])</f>
        <v>20-Rota</v>
      </c>
    </row>
    <row r="4016" spans="1:7" x14ac:dyDescent="0.25">
      <c r="A4016">
        <v>18773</v>
      </c>
      <c r="B4016">
        <v>307</v>
      </c>
      <c r="C4016" s="1" t="str">
        <f>IF(Tabela8[[#This Row],[SETOR]]="","",IF(Tabela8[[#This Row],[SETOR]]&lt;200,"GV 10",IF(Tabela8[[#This Row],[SETOR]]&lt;300,"GV 20",IF(Tabela8[[#This Row],[SETOR]]&lt;400,"GV 30","S/GV"))))</f>
        <v>GV 30</v>
      </c>
      <c r="E4016" t="s">
        <v>123</v>
      </c>
      <c r="G4016" t="str">
        <f>_xlfn.CONCAT(Tabela9[[#This Row],[Coluna1]],Tabela9[[#This Row],[Coluna2]])</f>
        <v>20-Rota</v>
      </c>
    </row>
    <row r="4017" spans="1:7" x14ac:dyDescent="0.25">
      <c r="A4017">
        <v>18778</v>
      </c>
      <c r="B4017">
        <v>106</v>
      </c>
      <c r="C4017" s="1" t="str">
        <f>IF(Tabela8[[#This Row],[SETOR]]="","",IF(Tabela8[[#This Row],[SETOR]]&lt;200,"GV 10",IF(Tabela8[[#This Row],[SETOR]]&lt;300,"GV 20",IF(Tabela8[[#This Row],[SETOR]]&lt;400,"GV 30","S/GV"))))</f>
        <v>GV 10</v>
      </c>
      <c r="E4017" t="s">
        <v>123</v>
      </c>
      <c r="G4017" t="str">
        <f>_xlfn.CONCAT(Tabela9[[#This Row],[Coluna1]],Tabela9[[#This Row],[Coluna2]])</f>
        <v>20-Rota</v>
      </c>
    </row>
    <row r="4018" spans="1:7" x14ac:dyDescent="0.25">
      <c r="A4018">
        <v>18784</v>
      </c>
      <c r="B4018">
        <v>101</v>
      </c>
      <c r="C4018" s="1" t="str">
        <f>IF(Tabela8[[#This Row],[SETOR]]="","",IF(Tabela8[[#This Row],[SETOR]]&lt;200,"GV 10",IF(Tabela8[[#This Row],[SETOR]]&lt;300,"GV 20",IF(Tabela8[[#This Row],[SETOR]]&lt;400,"GV 30","S/GV"))))</f>
        <v>GV 10</v>
      </c>
      <c r="E4018" t="s">
        <v>123</v>
      </c>
      <c r="G4018" t="str">
        <f>_xlfn.CONCAT(Tabela9[[#This Row],[Coluna1]],Tabela9[[#This Row],[Coluna2]])</f>
        <v>20-Rota</v>
      </c>
    </row>
    <row r="4019" spans="1:7" x14ac:dyDescent="0.25">
      <c r="A4019">
        <v>18786</v>
      </c>
      <c r="B4019">
        <v>907</v>
      </c>
      <c r="C4019" s="1" t="str">
        <f>IF(Tabela8[[#This Row],[SETOR]]="","",IF(Tabela8[[#This Row],[SETOR]]&lt;200,"GV 10",IF(Tabela8[[#This Row],[SETOR]]&lt;300,"GV 20",IF(Tabela8[[#This Row],[SETOR]]&lt;400,"GV 30","S/GV"))))</f>
        <v>S/GV</v>
      </c>
      <c r="G4019" t="str">
        <f>_xlfn.CONCAT(Tabela9[[#This Row],[Coluna1]],Tabela9[[#This Row],[Coluna2]])</f>
        <v/>
      </c>
    </row>
    <row r="4020" spans="1:7" x14ac:dyDescent="0.25">
      <c r="A4020">
        <v>18791</v>
      </c>
      <c r="B4020">
        <v>301</v>
      </c>
      <c r="C4020" s="1" t="str">
        <f>IF(Tabela8[[#This Row],[SETOR]]="","",IF(Tabela8[[#This Row],[SETOR]]&lt;200,"GV 10",IF(Tabela8[[#This Row],[SETOR]]&lt;300,"GV 20",IF(Tabela8[[#This Row],[SETOR]]&lt;400,"GV 30","S/GV"))))</f>
        <v>GV 30</v>
      </c>
      <c r="E4020" t="s">
        <v>123</v>
      </c>
      <c r="G4020" t="str">
        <f>_xlfn.CONCAT(Tabela9[[#This Row],[Coluna1]],Tabela9[[#This Row],[Coluna2]])</f>
        <v>20-Rota</v>
      </c>
    </row>
    <row r="4021" spans="1:7" x14ac:dyDescent="0.25">
      <c r="A4021">
        <v>18794</v>
      </c>
      <c r="B4021">
        <v>109</v>
      </c>
      <c r="C4021" s="1" t="str">
        <f>IF(Tabela8[[#This Row],[SETOR]]="","",IF(Tabela8[[#This Row],[SETOR]]&lt;200,"GV 10",IF(Tabela8[[#This Row],[SETOR]]&lt;300,"GV 20",IF(Tabela8[[#This Row],[SETOR]]&lt;400,"GV 30","S/GV"))))</f>
        <v>GV 10</v>
      </c>
      <c r="E4021" t="s">
        <v>123</v>
      </c>
      <c r="G4021" t="str">
        <f>_xlfn.CONCAT(Tabela9[[#This Row],[Coluna1]],Tabela9[[#This Row],[Coluna2]])</f>
        <v>20-Rota</v>
      </c>
    </row>
    <row r="4022" spans="1:7" x14ac:dyDescent="0.25">
      <c r="A4022">
        <v>18799</v>
      </c>
      <c r="B4022">
        <v>301</v>
      </c>
      <c r="C4022" s="1" t="str">
        <f>IF(Tabela8[[#This Row],[SETOR]]="","",IF(Tabela8[[#This Row],[SETOR]]&lt;200,"GV 10",IF(Tabela8[[#This Row],[SETOR]]&lt;300,"GV 20",IF(Tabela8[[#This Row],[SETOR]]&lt;400,"GV 30","S/GV"))))</f>
        <v>GV 30</v>
      </c>
      <c r="E4022" t="s">
        <v>123</v>
      </c>
      <c r="G4022" t="str">
        <f>_xlfn.CONCAT(Tabela9[[#This Row],[Coluna1]],Tabela9[[#This Row],[Coluna2]])</f>
        <v>20-Rota</v>
      </c>
    </row>
    <row r="4023" spans="1:7" x14ac:dyDescent="0.25">
      <c r="A4023">
        <v>18801</v>
      </c>
      <c r="B4023">
        <v>306</v>
      </c>
      <c r="C4023" s="1" t="str">
        <f>IF(Tabela8[[#This Row],[SETOR]]="","",IF(Tabela8[[#This Row],[SETOR]]&lt;200,"GV 10",IF(Tabela8[[#This Row],[SETOR]]&lt;300,"GV 20",IF(Tabela8[[#This Row],[SETOR]]&lt;400,"GV 30","S/GV"))))</f>
        <v>GV 30</v>
      </c>
      <c r="E4023" t="s">
        <v>131</v>
      </c>
      <c r="F4023" t="s">
        <v>132</v>
      </c>
      <c r="G4023" t="str">
        <f>_xlfn.CONCAT(Tabela9[[#This Row],[Coluna1]],Tabela9[[#This Row],[Coluna2]])</f>
        <v>14-Lj.Conveniência</v>
      </c>
    </row>
    <row r="4024" spans="1:7" x14ac:dyDescent="0.25">
      <c r="A4024">
        <v>18802</v>
      </c>
      <c r="B4024">
        <v>306</v>
      </c>
      <c r="C4024" s="1" t="str">
        <f>IF(Tabela8[[#This Row],[SETOR]]="","",IF(Tabela8[[#This Row],[SETOR]]&lt;200,"GV 10",IF(Tabela8[[#This Row],[SETOR]]&lt;300,"GV 20",IF(Tabela8[[#This Row],[SETOR]]&lt;400,"GV 30","S/GV"))))</f>
        <v>GV 30</v>
      </c>
      <c r="E4024" t="s">
        <v>125</v>
      </c>
      <c r="G4024" t="str">
        <f>_xlfn.CONCAT(Tabela9[[#This Row],[Coluna1]],Tabela9[[#This Row],[Coluna2]])</f>
        <v>18-TRAD</v>
      </c>
    </row>
    <row r="4025" spans="1:7" x14ac:dyDescent="0.25">
      <c r="A4025">
        <v>18809</v>
      </c>
      <c r="B4025">
        <v>207</v>
      </c>
      <c r="C4025" s="1" t="str">
        <f>IF(Tabela8[[#This Row],[SETOR]]="","",IF(Tabela8[[#This Row],[SETOR]]&lt;200,"GV 10",IF(Tabela8[[#This Row],[SETOR]]&lt;300,"GV 20",IF(Tabela8[[#This Row],[SETOR]]&lt;400,"GV 30","S/GV"))))</f>
        <v>GV 20</v>
      </c>
      <c r="E4025" t="s">
        <v>123</v>
      </c>
      <c r="G4025" t="str">
        <f>_xlfn.CONCAT(Tabela9[[#This Row],[Coluna1]],Tabela9[[#This Row],[Coluna2]])</f>
        <v>20-Rota</v>
      </c>
    </row>
    <row r="4026" spans="1:7" x14ac:dyDescent="0.25">
      <c r="A4026">
        <v>18810</v>
      </c>
      <c r="B4026">
        <v>105</v>
      </c>
      <c r="C4026" s="1" t="str">
        <f>IF(Tabela8[[#This Row],[SETOR]]="","",IF(Tabela8[[#This Row],[SETOR]]&lt;200,"GV 10",IF(Tabela8[[#This Row],[SETOR]]&lt;300,"GV 20",IF(Tabela8[[#This Row],[SETOR]]&lt;400,"GV 30","S/GV"))))</f>
        <v>GV 10</v>
      </c>
      <c r="E4026" t="s">
        <v>123</v>
      </c>
      <c r="G4026" t="str">
        <f>_xlfn.CONCAT(Tabela9[[#This Row],[Coluna1]],Tabela9[[#This Row],[Coluna2]])</f>
        <v>20-Rota</v>
      </c>
    </row>
    <row r="4027" spans="1:7" x14ac:dyDescent="0.25">
      <c r="A4027">
        <v>18811</v>
      </c>
      <c r="B4027">
        <v>204</v>
      </c>
      <c r="C4027" s="1" t="str">
        <f>IF(Tabela8[[#This Row],[SETOR]]="","",IF(Tabela8[[#This Row],[SETOR]]&lt;200,"GV 10",IF(Tabela8[[#This Row],[SETOR]]&lt;300,"GV 20",IF(Tabela8[[#This Row],[SETOR]]&lt;400,"GV 30","S/GV"))))</f>
        <v>GV 20</v>
      </c>
      <c r="E4027" t="s">
        <v>123</v>
      </c>
      <c r="G4027" t="str">
        <f>_xlfn.CONCAT(Tabela9[[#This Row],[Coluna1]],Tabela9[[#This Row],[Coluna2]])</f>
        <v>20-Rota</v>
      </c>
    </row>
    <row r="4028" spans="1:7" x14ac:dyDescent="0.25">
      <c r="A4028">
        <v>18812</v>
      </c>
      <c r="B4028">
        <v>204</v>
      </c>
      <c r="C4028" s="1" t="str">
        <f>IF(Tabela8[[#This Row],[SETOR]]="","",IF(Tabela8[[#This Row],[SETOR]]&lt;200,"GV 10",IF(Tabela8[[#This Row],[SETOR]]&lt;300,"GV 20",IF(Tabela8[[#This Row],[SETOR]]&lt;400,"GV 30","S/GV"))))</f>
        <v>GV 20</v>
      </c>
      <c r="E4028" t="s">
        <v>123</v>
      </c>
      <c r="G4028" t="str">
        <f>_xlfn.CONCAT(Tabela9[[#This Row],[Coluna1]],Tabela9[[#This Row],[Coluna2]])</f>
        <v>20-Rota</v>
      </c>
    </row>
    <row r="4029" spans="1:7" x14ac:dyDescent="0.25">
      <c r="A4029">
        <v>18813</v>
      </c>
      <c r="B4029">
        <v>205</v>
      </c>
      <c r="C4029" s="1" t="str">
        <f>IF(Tabela8[[#This Row],[SETOR]]="","",IF(Tabela8[[#This Row],[SETOR]]&lt;200,"GV 10",IF(Tabela8[[#This Row],[SETOR]]&lt;300,"GV 20",IF(Tabela8[[#This Row],[SETOR]]&lt;400,"GV 30","S/GV"))))</f>
        <v>GV 20</v>
      </c>
      <c r="E4029" t="s">
        <v>130</v>
      </c>
      <c r="G4029" t="str">
        <f>_xlfn.CONCAT(Tabela9[[#This Row],[Coluna1]],Tabela9[[#This Row],[Coluna2]])</f>
        <v>21-SUB</v>
      </c>
    </row>
    <row r="4030" spans="1:7" x14ac:dyDescent="0.25">
      <c r="A4030">
        <v>18814</v>
      </c>
      <c r="B4030">
        <v>205</v>
      </c>
      <c r="C4030" s="1" t="str">
        <f>IF(Tabela8[[#This Row],[SETOR]]="","",IF(Tabela8[[#This Row],[SETOR]]&lt;200,"GV 10",IF(Tabela8[[#This Row],[SETOR]]&lt;300,"GV 20",IF(Tabela8[[#This Row],[SETOR]]&lt;400,"GV 30","S/GV"))))</f>
        <v>GV 20</v>
      </c>
      <c r="E4030" t="s">
        <v>123</v>
      </c>
      <c r="G4030" t="str">
        <f>_xlfn.CONCAT(Tabela9[[#This Row],[Coluna1]],Tabela9[[#This Row],[Coluna2]])</f>
        <v>20-Rota</v>
      </c>
    </row>
    <row r="4031" spans="1:7" x14ac:dyDescent="0.25">
      <c r="A4031">
        <v>18815</v>
      </c>
      <c r="B4031">
        <v>301</v>
      </c>
      <c r="C4031" s="1" t="str">
        <f>IF(Tabela8[[#This Row],[SETOR]]="","",IF(Tabela8[[#This Row],[SETOR]]&lt;200,"GV 10",IF(Tabela8[[#This Row],[SETOR]]&lt;300,"GV 20",IF(Tabela8[[#This Row],[SETOR]]&lt;400,"GV 30","S/GV"))))</f>
        <v>GV 30</v>
      </c>
      <c r="E4031" t="s">
        <v>123</v>
      </c>
      <c r="G4031" t="str">
        <f>_xlfn.CONCAT(Tabela9[[#This Row],[Coluna1]],Tabela9[[#This Row],[Coluna2]])</f>
        <v>20-Rota</v>
      </c>
    </row>
    <row r="4032" spans="1:7" x14ac:dyDescent="0.25">
      <c r="A4032">
        <v>18817</v>
      </c>
      <c r="B4032">
        <v>304</v>
      </c>
      <c r="C4032" s="1" t="str">
        <f>IF(Tabela8[[#This Row],[SETOR]]="","",IF(Tabela8[[#This Row],[SETOR]]&lt;200,"GV 10",IF(Tabela8[[#This Row],[SETOR]]&lt;300,"GV 20",IF(Tabela8[[#This Row],[SETOR]]&lt;400,"GV 30","S/GV"))))</f>
        <v>GV 30</v>
      </c>
      <c r="E4032" t="s">
        <v>133</v>
      </c>
      <c r="G4032" t="str">
        <f>_xlfn.CONCAT(Tabela9[[#This Row],[Coluna1]],Tabela9[[#This Row],[Coluna2]])</f>
        <v>35-OUTROS</v>
      </c>
    </row>
    <row r="4033" spans="1:7" x14ac:dyDescent="0.25">
      <c r="A4033">
        <v>18818</v>
      </c>
      <c r="B4033">
        <v>106</v>
      </c>
      <c r="C4033" s="1" t="str">
        <f>IF(Tabela8[[#This Row],[SETOR]]="","",IF(Tabela8[[#This Row],[SETOR]]&lt;200,"GV 10",IF(Tabela8[[#This Row],[SETOR]]&lt;300,"GV 20",IF(Tabela8[[#This Row],[SETOR]]&lt;400,"GV 30","S/GV"))))</f>
        <v>GV 10</v>
      </c>
      <c r="E4033" t="s">
        <v>123</v>
      </c>
      <c r="G4033" t="str">
        <f>_xlfn.CONCAT(Tabela9[[#This Row],[Coluna1]],Tabela9[[#This Row],[Coluna2]])</f>
        <v>20-Rota</v>
      </c>
    </row>
    <row r="4034" spans="1:7" x14ac:dyDescent="0.25">
      <c r="A4034">
        <v>18819</v>
      </c>
      <c r="B4034">
        <v>301</v>
      </c>
      <c r="C4034" s="1" t="str">
        <f>IF(Tabela8[[#This Row],[SETOR]]="","",IF(Tabela8[[#This Row],[SETOR]]&lt;200,"GV 10",IF(Tabela8[[#This Row],[SETOR]]&lt;300,"GV 20",IF(Tabela8[[#This Row],[SETOR]]&lt;400,"GV 30","S/GV"))))</f>
        <v>GV 30</v>
      </c>
      <c r="E4034" t="s">
        <v>123</v>
      </c>
      <c r="G4034" t="str">
        <f>_xlfn.CONCAT(Tabela9[[#This Row],[Coluna1]],Tabela9[[#This Row],[Coluna2]])</f>
        <v>20-Rota</v>
      </c>
    </row>
    <row r="4035" spans="1:7" x14ac:dyDescent="0.25">
      <c r="A4035">
        <v>18820</v>
      </c>
      <c r="B4035">
        <v>202</v>
      </c>
      <c r="C4035" s="1" t="str">
        <f>IF(Tabela8[[#This Row],[SETOR]]="","",IF(Tabela8[[#This Row],[SETOR]]&lt;200,"GV 10",IF(Tabela8[[#This Row],[SETOR]]&lt;300,"GV 20",IF(Tabela8[[#This Row],[SETOR]]&lt;400,"GV 30","S/GV"))))</f>
        <v>GV 20</v>
      </c>
      <c r="E4035" t="s">
        <v>123</v>
      </c>
      <c r="G4035" t="str">
        <f>_xlfn.CONCAT(Tabela9[[#This Row],[Coluna1]],Tabela9[[#This Row],[Coluna2]])</f>
        <v>20-Rota</v>
      </c>
    </row>
    <row r="4036" spans="1:7" x14ac:dyDescent="0.25">
      <c r="A4036">
        <v>18821</v>
      </c>
      <c r="B4036">
        <v>101</v>
      </c>
      <c r="C4036" s="1" t="str">
        <f>IF(Tabela8[[#This Row],[SETOR]]="","",IF(Tabela8[[#This Row],[SETOR]]&lt;200,"GV 10",IF(Tabela8[[#This Row],[SETOR]]&lt;300,"GV 20",IF(Tabela8[[#This Row],[SETOR]]&lt;400,"GV 30","S/GV"))))</f>
        <v>GV 10</v>
      </c>
      <c r="E4036" t="s">
        <v>123</v>
      </c>
      <c r="G4036" t="str">
        <f>_xlfn.CONCAT(Tabela9[[#This Row],[Coluna1]],Tabela9[[#This Row],[Coluna2]])</f>
        <v>20-Rota</v>
      </c>
    </row>
    <row r="4037" spans="1:7" x14ac:dyDescent="0.25">
      <c r="A4037">
        <v>18822</v>
      </c>
      <c r="B4037">
        <v>206</v>
      </c>
      <c r="C4037" s="1" t="str">
        <f>IF(Tabela8[[#This Row],[SETOR]]="","",IF(Tabela8[[#This Row],[SETOR]]&lt;200,"GV 10",IF(Tabela8[[#This Row],[SETOR]]&lt;300,"GV 20",IF(Tabela8[[#This Row],[SETOR]]&lt;400,"GV 30","S/GV"))))</f>
        <v>GV 20</v>
      </c>
      <c r="E4037" t="s">
        <v>123</v>
      </c>
      <c r="G4037" t="str">
        <f>_xlfn.CONCAT(Tabela9[[#This Row],[Coluna1]],Tabela9[[#This Row],[Coluna2]])</f>
        <v>20-Rota</v>
      </c>
    </row>
    <row r="4038" spans="1:7" x14ac:dyDescent="0.25">
      <c r="A4038">
        <v>18826</v>
      </c>
      <c r="B4038">
        <v>301</v>
      </c>
      <c r="C4038" s="1" t="str">
        <f>IF(Tabela8[[#This Row],[SETOR]]="","",IF(Tabela8[[#This Row],[SETOR]]&lt;200,"GV 10",IF(Tabela8[[#This Row],[SETOR]]&lt;300,"GV 20",IF(Tabela8[[#This Row],[SETOR]]&lt;400,"GV 30","S/GV"))))</f>
        <v>GV 30</v>
      </c>
      <c r="E4038" t="s">
        <v>123</v>
      </c>
      <c r="G4038" t="str">
        <f>_xlfn.CONCAT(Tabela9[[#This Row],[Coluna1]],Tabela9[[#This Row],[Coluna2]])</f>
        <v>20-Rota</v>
      </c>
    </row>
    <row r="4039" spans="1:7" x14ac:dyDescent="0.25">
      <c r="A4039">
        <v>18828</v>
      </c>
      <c r="B4039">
        <v>305</v>
      </c>
      <c r="C4039" s="1" t="str">
        <f>IF(Tabela8[[#This Row],[SETOR]]="","",IF(Tabela8[[#This Row],[SETOR]]&lt;200,"GV 10",IF(Tabela8[[#This Row],[SETOR]]&lt;300,"GV 20",IF(Tabela8[[#This Row],[SETOR]]&lt;400,"GV 30","S/GV"))))</f>
        <v>GV 30</v>
      </c>
      <c r="E4039" t="s">
        <v>123</v>
      </c>
      <c r="G4039" t="str">
        <f>_xlfn.CONCAT(Tabela9[[#This Row],[Coluna1]],Tabela9[[#This Row],[Coluna2]])</f>
        <v>20-Rota</v>
      </c>
    </row>
    <row r="4040" spans="1:7" x14ac:dyDescent="0.25">
      <c r="A4040">
        <v>18832</v>
      </c>
      <c r="B4040">
        <v>207</v>
      </c>
      <c r="C4040" s="1" t="str">
        <f>IF(Tabela8[[#This Row],[SETOR]]="","",IF(Tabela8[[#This Row],[SETOR]]&lt;200,"GV 10",IF(Tabela8[[#This Row],[SETOR]]&lt;300,"GV 20",IF(Tabela8[[#This Row],[SETOR]]&lt;400,"GV 30","S/GV"))))</f>
        <v>GV 20</v>
      </c>
      <c r="E4040" t="s">
        <v>128</v>
      </c>
      <c r="F4040" t="s">
        <v>129</v>
      </c>
      <c r="G4040" t="str">
        <f>_xlfn.CONCAT(Tabela9[[#This Row],[Coluna1]],Tabela9[[#This Row],[Coluna2]])</f>
        <v>15-AS(1-4)</v>
      </c>
    </row>
    <row r="4041" spans="1:7" x14ac:dyDescent="0.25">
      <c r="A4041">
        <v>18833</v>
      </c>
      <c r="B4041">
        <v>916</v>
      </c>
      <c r="C4041" s="1" t="str">
        <f>IF(Tabela8[[#This Row],[SETOR]]="","",IF(Tabela8[[#This Row],[SETOR]]&lt;200,"GV 10",IF(Tabela8[[#This Row],[SETOR]]&lt;300,"GV 20",IF(Tabela8[[#This Row],[SETOR]]&lt;400,"GV 30","S/GV"))))</f>
        <v>S/GV</v>
      </c>
      <c r="G4041" t="str">
        <f>_xlfn.CONCAT(Tabela9[[#This Row],[Coluna1]],Tabela9[[#This Row],[Coluna2]])</f>
        <v/>
      </c>
    </row>
    <row r="4042" spans="1:7" x14ac:dyDescent="0.25">
      <c r="A4042">
        <v>18834</v>
      </c>
      <c r="B4042">
        <v>102</v>
      </c>
      <c r="C4042" s="1" t="str">
        <f>IF(Tabela8[[#This Row],[SETOR]]="","",IF(Tabela8[[#This Row],[SETOR]]&lt;200,"GV 10",IF(Tabela8[[#This Row],[SETOR]]&lt;300,"GV 20",IF(Tabela8[[#This Row],[SETOR]]&lt;400,"GV 30","S/GV"))))</f>
        <v>GV 10</v>
      </c>
      <c r="E4042" t="s">
        <v>123</v>
      </c>
      <c r="G4042" t="str">
        <f>_xlfn.CONCAT(Tabela9[[#This Row],[Coluna1]],Tabela9[[#This Row],[Coluna2]])</f>
        <v>20-Rota</v>
      </c>
    </row>
    <row r="4043" spans="1:7" x14ac:dyDescent="0.25">
      <c r="A4043">
        <v>18835</v>
      </c>
      <c r="B4043">
        <v>202</v>
      </c>
      <c r="C4043" s="1" t="str">
        <f>IF(Tabela8[[#This Row],[SETOR]]="","",IF(Tabela8[[#This Row],[SETOR]]&lt;200,"GV 10",IF(Tabela8[[#This Row],[SETOR]]&lt;300,"GV 20",IF(Tabela8[[#This Row],[SETOR]]&lt;400,"GV 30","S/GV"))))</f>
        <v>GV 20</v>
      </c>
      <c r="E4043" t="s">
        <v>125</v>
      </c>
      <c r="G4043" t="str">
        <f>_xlfn.CONCAT(Tabela9[[#This Row],[Coluna1]],Tabela9[[#This Row],[Coluna2]])</f>
        <v>18-TRAD</v>
      </c>
    </row>
    <row r="4044" spans="1:7" x14ac:dyDescent="0.25">
      <c r="A4044">
        <v>18836</v>
      </c>
      <c r="B4044">
        <v>107</v>
      </c>
      <c r="C4044" s="1" t="str">
        <f>IF(Tabela8[[#This Row],[SETOR]]="","",IF(Tabela8[[#This Row],[SETOR]]&lt;200,"GV 10",IF(Tabela8[[#This Row],[SETOR]]&lt;300,"GV 20",IF(Tabela8[[#This Row],[SETOR]]&lt;400,"GV 30","S/GV"))))</f>
        <v>GV 10</v>
      </c>
      <c r="E4044" t="s">
        <v>130</v>
      </c>
      <c r="G4044" t="str">
        <f>_xlfn.CONCAT(Tabela9[[#This Row],[Coluna1]],Tabela9[[#This Row],[Coluna2]])</f>
        <v>21-SUB</v>
      </c>
    </row>
    <row r="4045" spans="1:7" x14ac:dyDescent="0.25">
      <c r="A4045">
        <v>18837</v>
      </c>
      <c r="B4045">
        <v>206</v>
      </c>
      <c r="C4045" s="1" t="str">
        <f>IF(Tabela8[[#This Row],[SETOR]]="","",IF(Tabela8[[#This Row],[SETOR]]&lt;200,"GV 10",IF(Tabela8[[#This Row],[SETOR]]&lt;300,"GV 20",IF(Tabela8[[#This Row],[SETOR]]&lt;400,"GV 30","S/GV"))))</f>
        <v>GV 20</v>
      </c>
      <c r="E4045" t="s">
        <v>125</v>
      </c>
      <c r="G4045" t="str">
        <f>_xlfn.CONCAT(Tabela9[[#This Row],[Coluna1]],Tabela9[[#This Row],[Coluna2]])</f>
        <v>18-TRAD</v>
      </c>
    </row>
    <row r="4046" spans="1:7" x14ac:dyDescent="0.25">
      <c r="A4046">
        <v>18838</v>
      </c>
      <c r="B4046">
        <v>101</v>
      </c>
      <c r="C4046" s="1" t="str">
        <f>IF(Tabela8[[#This Row],[SETOR]]="","",IF(Tabela8[[#This Row],[SETOR]]&lt;200,"GV 10",IF(Tabela8[[#This Row],[SETOR]]&lt;300,"GV 20",IF(Tabela8[[#This Row],[SETOR]]&lt;400,"GV 30","S/GV"))))</f>
        <v>GV 10</v>
      </c>
      <c r="E4046" t="s">
        <v>123</v>
      </c>
      <c r="G4046" t="str">
        <f>_xlfn.CONCAT(Tabela9[[#This Row],[Coluna1]],Tabela9[[#This Row],[Coluna2]])</f>
        <v>20-Rota</v>
      </c>
    </row>
    <row r="4047" spans="1:7" x14ac:dyDescent="0.25">
      <c r="A4047">
        <v>18840</v>
      </c>
      <c r="B4047">
        <v>206</v>
      </c>
      <c r="C4047" s="1" t="str">
        <f>IF(Tabela8[[#This Row],[SETOR]]="","",IF(Tabela8[[#This Row],[SETOR]]&lt;200,"GV 10",IF(Tabela8[[#This Row],[SETOR]]&lt;300,"GV 20",IF(Tabela8[[#This Row],[SETOR]]&lt;400,"GV 30","S/GV"))))</f>
        <v>GV 20</v>
      </c>
      <c r="E4047" t="s">
        <v>123</v>
      </c>
      <c r="G4047" t="str">
        <f>_xlfn.CONCAT(Tabela9[[#This Row],[Coluna1]],Tabela9[[#This Row],[Coluna2]])</f>
        <v>20-Rota</v>
      </c>
    </row>
    <row r="4048" spans="1:7" x14ac:dyDescent="0.25">
      <c r="A4048">
        <v>18842</v>
      </c>
      <c r="B4048">
        <v>203</v>
      </c>
      <c r="C4048" s="1" t="str">
        <f>IF(Tabela8[[#This Row],[SETOR]]="","",IF(Tabela8[[#This Row],[SETOR]]&lt;200,"GV 10",IF(Tabela8[[#This Row],[SETOR]]&lt;300,"GV 20",IF(Tabela8[[#This Row],[SETOR]]&lt;400,"GV 30","S/GV"))))</f>
        <v>GV 20</v>
      </c>
      <c r="E4048" t="s">
        <v>123</v>
      </c>
      <c r="G4048" t="str">
        <f>_xlfn.CONCAT(Tabela9[[#This Row],[Coluna1]],Tabela9[[#This Row],[Coluna2]])</f>
        <v>20-Rota</v>
      </c>
    </row>
    <row r="4049" spans="1:7" x14ac:dyDescent="0.25">
      <c r="A4049">
        <v>18843</v>
      </c>
      <c r="B4049">
        <v>305</v>
      </c>
      <c r="C4049" s="1" t="str">
        <f>IF(Tabela8[[#This Row],[SETOR]]="","",IF(Tabela8[[#This Row],[SETOR]]&lt;200,"GV 10",IF(Tabela8[[#This Row],[SETOR]]&lt;300,"GV 20",IF(Tabela8[[#This Row],[SETOR]]&lt;400,"GV 30","S/GV"))))</f>
        <v>GV 30</v>
      </c>
      <c r="E4049" t="s">
        <v>123</v>
      </c>
      <c r="G4049" t="str">
        <f>_xlfn.CONCAT(Tabela9[[#This Row],[Coluna1]],Tabela9[[#This Row],[Coluna2]])</f>
        <v>20-Rota</v>
      </c>
    </row>
    <row r="4050" spans="1:7" x14ac:dyDescent="0.25">
      <c r="A4050">
        <v>18845</v>
      </c>
      <c r="B4050">
        <v>304</v>
      </c>
      <c r="C4050" s="1" t="str">
        <f>IF(Tabela8[[#This Row],[SETOR]]="","",IF(Tabela8[[#This Row],[SETOR]]&lt;200,"GV 10",IF(Tabela8[[#This Row],[SETOR]]&lt;300,"GV 20",IF(Tabela8[[#This Row],[SETOR]]&lt;400,"GV 30","S/GV"))))</f>
        <v>GV 30</v>
      </c>
      <c r="E4050" t="s">
        <v>123</v>
      </c>
      <c r="G4050" t="str">
        <f>_xlfn.CONCAT(Tabela9[[#This Row],[Coluna1]],Tabela9[[#This Row],[Coluna2]])</f>
        <v>20-Rota</v>
      </c>
    </row>
    <row r="4051" spans="1:7" x14ac:dyDescent="0.25">
      <c r="A4051">
        <v>18846</v>
      </c>
      <c r="B4051">
        <v>306</v>
      </c>
      <c r="C4051" s="1" t="str">
        <f>IF(Tabela8[[#This Row],[SETOR]]="","",IF(Tabela8[[#This Row],[SETOR]]&lt;200,"GV 10",IF(Tabela8[[#This Row],[SETOR]]&lt;300,"GV 20",IF(Tabela8[[#This Row],[SETOR]]&lt;400,"GV 30","S/GV"))))</f>
        <v>GV 30</v>
      </c>
      <c r="E4051" t="s">
        <v>125</v>
      </c>
      <c r="G4051" t="str">
        <f>_xlfn.CONCAT(Tabela9[[#This Row],[Coluna1]],Tabela9[[#This Row],[Coluna2]])</f>
        <v>18-TRAD</v>
      </c>
    </row>
    <row r="4052" spans="1:7" x14ac:dyDescent="0.25">
      <c r="A4052">
        <v>18847</v>
      </c>
      <c r="B4052">
        <v>102</v>
      </c>
      <c r="C4052" s="1" t="str">
        <f>IF(Tabela8[[#This Row],[SETOR]]="","",IF(Tabela8[[#This Row],[SETOR]]&lt;200,"GV 10",IF(Tabela8[[#This Row],[SETOR]]&lt;300,"GV 20",IF(Tabela8[[#This Row],[SETOR]]&lt;400,"GV 30","S/GV"))))</f>
        <v>GV 10</v>
      </c>
      <c r="E4052" t="s">
        <v>123</v>
      </c>
      <c r="G4052" t="str">
        <f>_xlfn.CONCAT(Tabela9[[#This Row],[Coluna1]],Tabela9[[#This Row],[Coluna2]])</f>
        <v>20-Rota</v>
      </c>
    </row>
    <row r="4053" spans="1:7" x14ac:dyDescent="0.25">
      <c r="A4053">
        <v>18848</v>
      </c>
      <c r="B4053">
        <v>305</v>
      </c>
      <c r="C4053" s="1" t="str">
        <f>IF(Tabela8[[#This Row],[SETOR]]="","",IF(Tabela8[[#This Row],[SETOR]]&lt;200,"GV 10",IF(Tabela8[[#This Row],[SETOR]]&lt;300,"GV 20",IF(Tabela8[[#This Row],[SETOR]]&lt;400,"GV 30","S/GV"))))</f>
        <v>GV 30</v>
      </c>
      <c r="E4053" t="s">
        <v>123</v>
      </c>
      <c r="G4053" t="str">
        <f>_xlfn.CONCAT(Tabela9[[#This Row],[Coluna1]],Tabela9[[#This Row],[Coluna2]])</f>
        <v>20-Rota</v>
      </c>
    </row>
    <row r="4054" spans="1:7" x14ac:dyDescent="0.25">
      <c r="A4054">
        <v>18849</v>
      </c>
      <c r="B4054">
        <v>206</v>
      </c>
      <c r="C4054" s="1" t="str">
        <f>IF(Tabela8[[#This Row],[SETOR]]="","",IF(Tabela8[[#This Row],[SETOR]]&lt;200,"GV 10",IF(Tabela8[[#This Row],[SETOR]]&lt;300,"GV 20",IF(Tabela8[[#This Row],[SETOR]]&lt;400,"GV 30","S/GV"))))</f>
        <v>GV 20</v>
      </c>
      <c r="E4054" t="s">
        <v>130</v>
      </c>
      <c r="G4054" t="str">
        <f>_xlfn.CONCAT(Tabela9[[#This Row],[Coluna1]],Tabela9[[#This Row],[Coluna2]])</f>
        <v>21-SUB</v>
      </c>
    </row>
    <row r="4055" spans="1:7" x14ac:dyDescent="0.25">
      <c r="A4055">
        <v>18850</v>
      </c>
      <c r="B4055">
        <v>207</v>
      </c>
      <c r="C4055" s="1" t="str">
        <f>IF(Tabela8[[#This Row],[SETOR]]="","",IF(Tabela8[[#This Row],[SETOR]]&lt;200,"GV 10",IF(Tabela8[[#This Row],[SETOR]]&lt;300,"GV 20",IF(Tabela8[[#This Row],[SETOR]]&lt;400,"GV 30","S/GV"))))</f>
        <v>GV 20</v>
      </c>
      <c r="E4055" t="s">
        <v>125</v>
      </c>
      <c r="G4055" t="str">
        <f>_xlfn.CONCAT(Tabela9[[#This Row],[Coluna1]],Tabela9[[#This Row],[Coluna2]])</f>
        <v>18-TRAD</v>
      </c>
    </row>
    <row r="4056" spans="1:7" x14ac:dyDescent="0.25">
      <c r="A4056">
        <v>18851</v>
      </c>
      <c r="B4056">
        <v>207</v>
      </c>
      <c r="C4056" s="1" t="str">
        <f>IF(Tabela8[[#This Row],[SETOR]]="","",IF(Tabela8[[#This Row],[SETOR]]&lt;200,"GV 10",IF(Tabela8[[#This Row],[SETOR]]&lt;300,"GV 20",IF(Tabela8[[#This Row],[SETOR]]&lt;400,"GV 30","S/GV"))))</f>
        <v>GV 20</v>
      </c>
      <c r="E4056" t="s">
        <v>130</v>
      </c>
      <c r="G4056" t="str">
        <f>_xlfn.CONCAT(Tabela9[[#This Row],[Coluna1]],Tabela9[[#This Row],[Coluna2]])</f>
        <v>21-SUB</v>
      </c>
    </row>
    <row r="4057" spans="1:7" x14ac:dyDescent="0.25">
      <c r="A4057">
        <v>18852</v>
      </c>
      <c r="B4057">
        <v>205</v>
      </c>
      <c r="C4057" s="1" t="str">
        <f>IF(Tabela8[[#This Row],[SETOR]]="","",IF(Tabela8[[#This Row],[SETOR]]&lt;200,"GV 10",IF(Tabela8[[#This Row],[SETOR]]&lt;300,"GV 20",IF(Tabela8[[#This Row],[SETOR]]&lt;400,"GV 30","S/GV"))))</f>
        <v>GV 20</v>
      </c>
      <c r="E4057" t="s">
        <v>123</v>
      </c>
      <c r="G4057" t="str">
        <f>_xlfn.CONCAT(Tabela9[[#This Row],[Coluna1]],Tabela9[[#This Row],[Coluna2]])</f>
        <v>20-Rota</v>
      </c>
    </row>
    <row r="4058" spans="1:7" x14ac:dyDescent="0.25">
      <c r="A4058">
        <v>18853</v>
      </c>
      <c r="B4058">
        <v>916</v>
      </c>
      <c r="C4058" s="1" t="str">
        <f>IF(Tabela8[[#This Row],[SETOR]]="","",IF(Tabela8[[#This Row],[SETOR]]&lt;200,"GV 10",IF(Tabela8[[#This Row],[SETOR]]&lt;300,"GV 20",IF(Tabela8[[#This Row],[SETOR]]&lt;400,"GV 30","S/GV"))))</f>
        <v>S/GV</v>
      </c>
      <c r="G4058" t="str">
        <f>_xlfn.CONCAT(Tabela9[[#This Row],[Coluna1]],Tabela9[[#This Row],[Coluna2]])</f>
        <v/>
      </c>
    </row>
    <row r="4059" spans="1:7" x14ac:dyDescent="0.25">
      <c r="A4059">
        <v>18854</v>
      </c>
      <c r="B4059">
        <v>916</v>
      </c>
      <c r="C4059" s="1" t="str">
        <f>IF(Tabela8[[#This Row],[SETOR]]="","",IF(Tabela8[[#This Row],[SETOR]]&lt;200,"GV 10",IF(Tabela8[[#This Row],[SETOR]]&lt;300,"GV 20",IF(Tabela8[[#This Row],[SETOR]]&lt;400,"GV 30","S/GV"))))</f>
        <v>S/GV</v>
      </c>
      <c r="G4059" t="str">
        <f>_xlfn.CONCAT(Tabela9[[#This Row],[Coluna1]],Tabela9[[#This Row],[Coluna2]])</f>
        <v/>
      </c>
    </row>
    <row r="4060" spans="1:7" x14ac:dyDescent="0.25">
      <c r="A4060">
        <v>18855</v>
      </c>
      <c r="B4060">
        <v>307</v>
      </c>
      <c r="C4060" s="1" t="str">
        <f>IF(Tabela8[[#This Row],[SETOR]]="","",IF(Tabela8[[#This Row],[SETOR]]&lt;200,"GV 10",IF(Tabela8[[#This Row],[SETOR]]&lt;300,"GV 20",IF(Tabela8[[#This Row],[SETOR]]&lt;400,"GV 30","S/GV"))))</f>
        <v>GV 30</v>
      </c>
      <c r="E4060" t="s">
        <v>123</v>
      </c>
      <c r="G4060" t="str">
        <f>_xlfn.CONCAT(Tabela9[[#This Row],[Coluna1]],Tabela9[[#This Row],[Coluna2]])</f>
        <v>20-Rota</v>
      </c>
    </row>
    <row r="4061" spans="1:7" x14ac:dyDescent="0.25">
      <c r="A4061">
        <v>18856</v>
      </c>
      <c r="B4061">
        <v>109</v>
      </c>
      <c r="C4061" s="1" t="str">
        <f>IF(Tabela8[[#This Row],[SETOR]]="","",IF(Tabela8[[#This Row],[SETOR]]&lt;200,"GV 10",IF(Tabela8[[#This Row],[SETOR]]&lt;300,"GV 20",IF(Tabela8[[#This Row],[SETOR]]&lt;400,"GV 30","S/GV"))))</f>
        <v>GV 10</v>
      </c>
      <c r="E4061" t="s">
        <v>123</v>
      </c>
      <c r="G4061" t="str">
        <f>_xlfn.CONCAT(Tabela9[[#This Row],[Coluna1]],Tabela9[[#This Row],[Coluna2]])</f>
        <v>20-Rota</v>
      </c>
    </row>
    <row r="4062" spans="1:7" x14ac:dyDescent="0.25">
      <c r="A4062">
        <v>18859</v>
      </c>
      <c r="B4062">
        <v>202</v>
      </c>
      <c r="C4062" s="1" t="str">
        <f>IF(Tabela8[[#This Row],[SETOR]]="","",IF(Tabela8[[#This Row],[SETOR]]&lt;200,"GV 10",IF(Tabela8[[#This Row],[SETOR]]&lt;300,"GV 20",IF(Tabela8[[#This Row],[SETOR]]&lt;400,"GV 30","S/GV"))))</f>
        <v>GV 20</v>
      </c>
      <c r="E4062" t="s">
        <v>123</v>
      </c>
      <c r="G4062" t="str">
        <f>_xlfn.CONCAT(Tabela9[[#This Row],[Coluna1]],Tabela9[[#This Row],[Coluna2]])</f>
        <v>20-Rota</v>
      </c>
    </row>
    <row r="4063" spans="1:7" x14ac:dyDescent="0.25">
      <c r="A4063">
        <v>18861</v>
      </c>
      <c r="B4063">
        <v>307</v>
      </c>
      <c r="C4063" s="1" t="str">
        <f>IF(Tabela8[[#This Row],[SETOR]]="","",IF(Tabela8[[#This Row],[SETOR]]&lt;200,"GV 10",IF(Tabela8[[#This Row],[SETOR]]&lt;300,"GV 20",IF(Tabela8[[#This Row],[SETOR]]&lt;400,"GV 30","S/GV"))))</f>
        <v>GV 30</v>
      </c>
      <c r="E4063" t="s">
        <v>123</v>
      </c>
      <c r="G4063" t="str">
        <f>_xlfn.CONCAT(Tabela9[[#This Row],[Coluna1]],Tabela9[[#This Row],[Coluna2]])</f>
        <v>20-Rota</v>
      </c>
    </row>
    <row r="4064" spans="1:7" x14ac:dyDescent="0.25">
      <c r="A4064">
        <v>18863</v>
      </c>
      <c r="B4064">
        <v>108</v>
      </c>
      <c r="C4064" s="1" t="str">
        <f>IF(Tabela8[[#This Row],[SETOR]]="","",IF(Tabela8[[#This Row],[SETOR]]&lt;200,"GV 10",IF(Tabela8[[#This Row],[SETOR]]&lt;300,"GV 20",IF(Tabela8[[#This Row],[SETOR]]&lt;400,"GV 30","S/GV"))))</f>
        <v>GV 10</v>
      </c>
      <c r="E4064" t="s">
        <v>128</v>
      </c>
      <c r="F4064" t="s">
        <v>129</v>
      </c>
      <c r="G4064" t="str">
        <f>_xlfn.CONCAT(Tabela9[[#This Row],[Coluna1]],Tabela9[[#This Row],[Coluna2]])</f>
        <v>15-AS(1-4)</v>
      </c>
    </row>
    <row r="4065" spans="1:7" x14ac:dyDescent="0.25">
      <c r="A4065">
        <v>18864</v>
      </c>
      <c r="B4065">
        <v>205</v>
      </c>
      <c r="C4065" s="1" t="str">
        <f>IF(Tabela8[[#This Row],[SETOR]]="","",IF(Tabela8[[#This Row],[SETOR]]&lt;200,"GV 10",IF(Tabela8[[#This Row],[SETOR]]&lt;300,"GV 20",IF(Tabela8[[#This Row],[SETOR]]&lt;400,"GV 30","S/GV"))))</f>
        <v>GV 20</v>
      </c>
      <c r="E4065" t="s">
        <v>125</v>
      </c>
      <c r="G4065" t="str">
        <f>_xlfn.CONCAT(Tabela9[[#This Row],[Coluna1]],Tabela9[[#This Row],[Coluna2]])</f>
        <v>18-TRAD</v>
      </c>
    </row>
    <row r="4066" spans="1:7" x14ac:dyDescent="0.25">
      <c r="A4066">
        <v>18865</v>
      </c>
      <c r="B4066">
        <v>201</v>
      </c>
      <c r="C4066" s="1" t="str">
        <f>IF(Tabela8[[#This Row],[SETOR]]="","",IF(Tabela8[[#This Row],[SETOR]]&lt;200,"GV 10",IF(Tabela8[[#This Row],[SETOR]]&lt;300,"GV 20",IF(Tabela8[[#This Row],[SETOR]]&lt;400,"GV 30","S/GV"))))</f>
        <v>GV 20</v>
      </c>
      <c r="E4066" t="s">
        <v>123</v>
      </c>
      <c r="G4066" t="str">
        <f>_xlfn.CONCAT(Tabela9[[#This Row],[Coluna1]],Tabela9[[#This Row],[Coluna2]])</f>
        <v>20-Rota</v>
      </c>
    </row>
    <row r="4067" spans="1:7" x14ac:dyDescent="0.25">
      <c r="A4067">
        <v>18866</v>
      </c>
      <c r="B4067">
        <v>205</v>
      </c>
      <c r="C4067" s="1" t="str">
        <f>IF(Tabela8[[#This Row],[SETOR]]="","",IF(Tabela8[[#This Row],[SETOR]]&lt;200,"GV 10",IF(Tabela8[[#This Row],[SETOR]]&lt;300,"GV 20",IF(Tabela8[[#This Row],[SETOR]]&lt;400,"GV 30","S/GV"))))</f>
        <v>GV 20</v>
      </c>
      <c r="E4067" t="s">
        <v>123</v>
      </c>
      <c r="G4067" t="str">
        <f>_xlfn.CONCAT(Tabela9[[#This Row],[Coluna1]],Tabela9[[#This Row],[Coluna2]])</f>
        <v>20-Rota</v>
      </c>
    </row>
    <row r="4068" spans="1:7" x14ac:dyDescent="0.25">
      <c r="A4068">
        <v>18867</v>
      </c>
      <c r="B4068">
        <v>202</v>
      </c>
      <c r="C4068" s="1" t="str">
        <f>IF(Tabela8[[#This Row],[SETOR]]="","",IF(Tabela8[[#This Row],[SETOR]]&lt;200,"GV 10",IF(Tabela8[[#This Row],[SETOR]]&lt;300,"GV 20",IF(Tabela8[[#This Row],[SETOR]]&lt;400,"GV 30","S/GV"))))</f>
        <v>GV 20</v>
      </c>
      <c r="E4068" t="s">
        <v>123</v>
      </c>
      <c r="G4068" t="str">
        <f>_xlfn.CONCAT(Tabela9[[#This Row],[Coluna1]],Tabela9[[#This Row],[Coluna2]])</f>
        <v>20-Rota</v>
      </c>
    </row>
    <row r="4069" spans="1:7" x14ac:dyDescent="0.25">
      <c r="A4069">
        <v>18869</v>
      </c>
      <c r="B4069">
        <v>106</v>
      </c>
      <c r="C4069" s="1" t="str">
        <f>IF(Tabela8[[#This Row],[SETOR]]="","",IF(Tabela8[[#This Row],[SETOR]]&lt;200,"GV 10",IF(Tabela8[[#This Row],[SETOR]]&lt;300,"GV 20",IF(Tabela8[[#This Row],[SETOR]]&lt;400,"GV 30","S/GV"))))</f>
        <v>GV 10</v>
      </c>
      <c r="E4069" t="s">
        <v>123</v>
      </c>
      <c r="G4069" t="str">
        <f>_xlfn.CONCAT(Tabela9[[#This Row],[Coluna1]],Tabela9[[#This Row],[Coluna2]])</f>
        <v>20-Rota</v>
      </c>
    </row>
    <row r="4070" spans="1:7" x14ac:dyDescent="0.25">
      <c r="A4070">
        <v>18870</v>
      </c>
      <c r="B4070">
        <v>104</v>
      </c>
      <c r="C4070" s="1" t="str">
        <f>IF(Tabela8[[#This Row],[SETOR]]="","",IF(Tabela8[[#This Row],[SETOR]]&lt;200,"GV 10",IF(Tabela8[[#This Row],[SETOR]]&lt;300,"GV 20",IF(Tabela8[[#This Row],[SETOR]]&lt;400,"GV 30","S/GV"))))</f>
        <v>GV 10</v>
      </c>
      <c r="E4070" t="s">
        <v>123</v>
      </c>
      <c r="G4070" t="str">
        <f>_xlfn.CONCAT(Tabela9[[#This Row],[Coluna1]],Tabela9[[#This Row],[Coluna2]])</f>
        <v>20-Rota</v>
      </c>
    </row>
    <row r="4071" spans="1:7" x14ac:dyDescent="0.25">
      <c r="A4071">
        <v>18871</v>
      </c>
      <c r="B4071">
        <v>105</v>
      </c>
      <c r="C4071" s="1" t="str">
        <f>IF(Tabela8[[#This Row],[SETOR]]="","",IF(Tabela8[[#This Row],[SETOR]]&lt;200,"GV 10",IF(Tabela8[[#This Row],[SETOR]]&lt;300,"GV 20",IF(Tabela8[[#This Row],[SETOR]]&lt;400,"GV 30","S/GV"))))</f>
        <v>GV 10</v>
      </c>
      <c r="E4071" t="s">
        <v>133</v>
      </c>
      <c r="G4071" t="str">
        <f>_xlfn.CONCAT(Tabela9[[#This Row],[Coluna1]],Tabela9[[#This Row],[Coluna2]])</f>
        <v>35-OUTROS</v>
      </c>
    </row>
    <row r="4072" spans="1:7" x14ac:dyDescent="0.25">
      <c r="A4072">
        <v>18874</v>
      </c>
      <c r="B4072">
        <v>109</v>
      </c>
      <c r="C4072" s="1" t="str">
        <f>IF(Tabela8[[#This Row],[SETOR]]="","",IF(Tabela8[[#This Row],[SETOR]]&lt;200,"GV 10",IF(Tabela8[[#This Row],[SETOR]]&lt;300,"GV 20",IF(Tabela8[[#This Row],[SETOR]]&lt;400,"GV 30","S/GV"))))</f>
        <v>GV 10</v>
      </c>
      <c r="E4072" t="s">
        <v>123</v>
      </c>
      <c r="G4072" t="str">
        <f>_xlfn.CONCAT(Tabela9[[#This Row],[Coluna1]],Tabela9[[#This Row],[Coluna2]])</f>
        <v>20-Rota</v>
      </c>
    </row>
    <row r="4073" spans="1:7" x14ac:dyDescent="0.25">
      <c r="A4073">
        <v>18875</v>
      </c>
      <c r="B4073">
        <v>204</v>
      </c>
      <c r="C4073" s="1" t="str">
        <f>IF(Tabela8[[#This Row],[SETOR]]="","",IF(Tabela8[[#This Row],[SETOR]]&lt;200,"GV 10",IF(Tabela8[[#This Row],[SETOR]]&lt;300,"GV 20",IF(Tabela8[[#This Row],[SETOR]]&lt;400,"GV 30","S/GV"))))</f>
        <v>GV 20</v>
      </c>
      <c r="E4073" t="s">
        <v>123</v>
      </c>
      <c r="G4073" t="str">
        <f>_xlfn.CONCAT(Tabela9[[#This Row],[Coluna1]],Tabela9[[#This Row],[Coluna2]])</f>
        <v>20-Rota</v>
      </c>
    </row>
    <row r="4074" spans="1:7" x14ac:dyDescent="0.25">
      <c r="A4074">
        <v>18877</v>
      </c>
      <c r="B4074">
        <v>107</v>
      </c>
      <c r="C4074" s="1" t="str">
        <f>IF(Tabela8[[#This Row],[SETOR]]="","",IF(Tabela8[[#This Row],[SETOR]]&lt;200,"GV 10",IF(Tabela8[[#This Row],[SETOR]]&lt;300,"GV 20",IF(Tabela8[[#This Row],[SETOR]]&lt;400,"GV 30","S/GV"))))</f>
        <v>GV 10</v>
      </c>
      <c r="E4074" t="s">
        <v>125</v>
      </c>
      <c r="G4074" t="str">
        <f>_xlfn.CONCAT(Tabela9[[#This Row],[Coluna1]],Tabela9[[#This Row],[Coluna2]])</f>
        <v>18-TRAD</v>
      </c>
    </row>
    <row r="4075" spans="1:7" x14ac:dyDescent="0.25">
      <c r="A4075">
        <v>18878</v>
      </c>
      <c r="B4075">
        <v>105</v>
      </c>
      <c r="C4075" s="1" t="str">
        <f>IF(Tabela8[[#This Row],[SETOR]]="","",IF(Tabela8[[#This Row],[SETOR]]&lt;200,"GV 10",IF(Tabela8[[#This Row],[SETOR]]&lt;300,"GV 20",IF(Tabela8[[#This Row],[SETOR]]&lt;400,"GV 30","S/GV"))))</f>
        <v>GV 10</v>
      </c>
      <c r="E4075" t="s">
        <v>125</v>
      </c>
      <c r="G4075" t="str">
        <f>_xlfn.CONCAT(Tabela9[[#This Row],[Coluna1]],Tabela9[[#This Row],[Coluna2]])</f>
        <v>18-TRAD</v>
      </c>
    </row>
    <row r="4076" spans="1:7" x14ac:dyDescent="0.25">
      <c r="A4076">
        <v>18879</v>
      </c>
      <c r="B4076">
        <v>302</v>
      </c>
      <c r="C4076" s="1" t="str">
        <f>IF(Tabela8[[#This Row],[SETOR]]="","",IF(Tabela8[[#This Row],[SETOR]]&lt;200,"GV 10",IF(Tabela8[[#This Row],[SETOR]]&lt;300,"GV 20",IF(Tabela8[[#This Row],[SETOR]]&lt;400,"GV 30","S/GV"))))</f>
        <v>GV 30</v>
      </c>
      <c r="E4076" t="s">
        <v>123</v>
      </c>
      <c r="G4076" t="str">
        <f>_xlfn.CONCAT(Tabela9[[#This Row],[Coluna1]],Tabela9[[#This Row],[Coluna2]])</f>
        <v>20-Rota</v>
      </c>
    </row>
    <row r="4077" spans="1:7" x14ac:dyDescent="0.25">
      <c r="A4077">
        <v>18880</v>
      </c>
      <c r="B4077">
        <v>102</v>
      </c>
      <c r="C4077" s="1" t="str">
        <f>IF(Tabela8[[#This Row],[SETOR]]="","",IF(Tabela8[[#This Row],[SETOR]]&lt;200,"GV 10",IF(Tabela8[[#This Row],[SETOR]]&lt;300,"GV 20",IF(Tabela8[[#This Row],[SETOR]]&lt;400,"GV 30","S/GV"))))</f>
        <v>GV 10</v>
      </c>
      <c r="E4077" t="s">
        <v>123</v>
      </c>
      <c r="G4077" t="str">
        <f>_xlfn.CONCAT(Tabela9[[#This Row],[Coluna1]],Tabela9[[#This Row],[Coluna2]])</f>
        <v>20-Rota</v>
      </c>
    </row>
    <row r="4078" spans="1:7" x14ac:dyDescent="0.25">
      <c r="A4078">
        <v>18881</v>
      </c>
      <c r="B4078">
        <v>916</v>
      </c>
      <c r="C4078" s="1" t="str">
        <f>IF(Tabela8[[#This Row],[SETOR]]="","",IF(Tabela8[[#This Row],[SETOR]]&lt;200,"GV 10",IF(Tabela8[[#This Row],[SETOR]]&lt;300,"GV 20",IF(Tabela8[[#This Row],[SETOR]]&lt;400,"GV 30","S/GV"))))</f>
        <v>S/GV</v>
      </c>
      <c r="G4078" t="str">
        <f>_xlfn.CONCAT(Tabela9[[#This Row],[Coluna1]],Tabela9[[#This Row],[Coluna2]])</f>
        <v/>
      </c>
    </row>
    <row r="4079" spans="1:7" x14ac:dyDescent="0.25">
      <c r="A4079">
        <v>18882</v>
      </c>
      <c r="B4079">
        <v>907</v>
      </c>
      <c r="C4079" s="1" t="str">
        <f>IF(Tabela8[[#This Row],[SETOR]]="","",IF(Tabela8[[#This Row],[SETOR]]&lt;200,"GV 10",IF(Tabela8[[#This Row],[SETOR]]&lt;300,"GV 20",IF(Tabela8[[#This Row],[SETOR]]&lt;400,"GV 30","S/GV"))))</f>
        <v>S/GV</v>
      </c>
      <c r="G4079" t="str">
        <f>_xlfn.CONCAT(Tabela9[[#This Row],[Coluna1]],Tabela9[[#This Row],[Coluna2]])</f>
        <v/>
      </c>
    </row>
    <row r="4080" spans="1:7" x14ac:dyDescent="0.25">
      <c r="A4080">
        <v>18883</v>
      </c>
      <c r="B4080">
        <v>304</v>
      </c>
      <c r="C4080" s="1" t="str">
        <f>IF(Tabela8[[#This Row],[SETOR]]="","",IF(Tabela8[[#This Row],[SETOR]]&lt;200,"GV 10",IF(Tabela8[[#This Row],[SETOR]]&lt;300,"GV 20",IF(Tabela8[[#This Row],[SETOR]]&lt;400,"GV 30","S/GV"))))</f>
        <v>GV 30</v>
      </c>
      <c r="E4080" t="s">
        <v>123</v>
      </c>
      <c r="G4080" t="str">
        <f>_xlfn.CONCAT(Tabela9[[#This Row],[Coluna1]],Tabela9[[#This Row],[Coluna2]])</f>
        <v>20-Rota</v>
      </c>
    </row>
    <row r="4081" spans="1:7" x14ac:dyDescent="0.25">
      <c r="A4081">
        <v>18884</v>
      </c>
      <c r="B4081">
        <v>204</v>
      </c>
      <c r="C4081" s="1" t="str">
        <f>IF(Tabela8[[#This Row],[SETOR]]="","",IF(Tabela8[[#This Row],[SETOR]]&lt;200,"GV 10",IF(Tabela8[[#This Row],[SETOR]]&lt;300,"GV 20",IF(Tabela8[[#This Row],[SETOR]]&lt;400,"GV 30","S/GV"))))</f>
        <v>GV 20</v>
      </c>
      <c r="E4081" t="s">
        <v>123</v>
      </c>
      <c r="G4081" t="str">
        <f>_xlfn.CONCAT(Tabela9[[#This Row],[Coluna1]],Tabela9[[#This Row],[Coluna2]])</f>
        <v>20-Rota</v>
      </c>
    </row>
    <row r="4082" spans="1:7" x14ac:dyDescent="0.25">
      <c r="A4082">
        <v>18885</v>
      </c>
      <c r="B4082">
        <v>907</v>
      </c>
      <c r="C4082" s="1" t="str">
        <f>IF(Tabela8[[#This Row],[SETOR]]="","",IF(Tabela8[[#This Row],[SETOR]]&lt;200,"GV 10",IF(Tabela8[[#This Row],[SETOR]]&lt;300,"GV 20",IF(Tabela8[[#This Row],[SETOR]]&lt;400,"GV 30","S/GV"))))</f>
        <v>S/GV</v>
      </c>
      <c r="G4082" t="str">
        <f>_xlfn.CONCAT(Tabela9[[#This Row],[Coluna1]],Tabela9[[#This Row],[Coluna2]])</f>
        <v/>
      </c>
    </row>
    <row r="4083" spans="1:7" x14ac:dyDescent="0.25">
      <c r="A4083">
        <v>18886</v>
      </c>
      <c r="B4083">
        <v>203</v>
      </c>
      <c r="C4083" s="1" t="str">
        <f>IF(Tabela8[[#This Row],[SETOR]]="","",IF(Tabela8[[#This Row],[SETOR]]&lt;200,"GV 10",IF(Tabela8[[#This Row],[SETOR]]&lt;300,"GV 20",IF(Tabela8[[#This Row],[SETOR]]&lt;400,"GV 30","S/GV"))))</f>
        <v>GV 20</v>
      </c>
      <c r="E4083" t="s">
        <v>123</v>
      </c>
      <c r="G4083" t="str">
        <f>_xlfn.CONCAT(Tabela9[[#This Row],[Coluna1]],Tabela9[[#This Row],[Coluna2]])</f>
        <v>20-Rota</v>
      </c>
    </row>
    <row r="4084" spans="1:7" x14ac:dyDescent="0.25">
      <c r="A4084">
        <v>18887</v>
      </c>
      <c r="B4084">
        <v>305</v>
      </c>
      <c r="C4084" s="1" t="str">
        <f>IF(Tabela8[[#This Row],[SETOR]]="","",IF(Tabela8[[#This Row],[SETOR]]&lt;200,"GV 10",IF(Tabela8[[#This Row],[SETOR]]&lt;300,"GV 20",IF(Tabela8[[#This Row],[SETOR]]&lt;400,"GV 30","S/GV"))))</f>
        <v>GV 30</v>
      </c>
      <c r="E4084" t="s">
        <v>123</v>
      </c>
      <c r="G4084" t="str">
        <f>_xlfn.CONCAT(Tabela9[[#This Row],[Coluna1]],Tabela9[[#This Row],[Coluna2]])</f>
        <v>20-Rota</v>
      </c>
    </row>
    <row r="4085" spans="1:7" x14ac:dyDescent="0.25">
      <c r="A4085">
        <v>18888</v>
      </c>
      <c r="B4085">
        <v>202</v>
      </c>
      <c r="C4085" s="1" t="str">
        <f>IF(Tabela8[[#This Row],[SETOR]]="","",IF(Tabela8[[#This Row],[SETOR]]&lt;200,"GV 10",IF(Tabela8[[#This Row],[SETOR]]&lt;300,"GV 20",IF(Tabela8[[#This Row],[SETOR]]&lt;400,"GV 30","S/GV"))))</f>
        <v>GV 20</v>
      </c>
      <c r="E4085" t="s">
        <v>123</v>
      </c>
      <c r="G4085" t="str">
        <f>_xlfn.CONCAT(Tabela9[[#This Row],[Coluna1]],Tabela9[[#This Row],[Coluna2]])</f>
        <v>20-Rota</v>
      </c>
    </row>
    <row r="4086" spans="1:7" x14ac:dyDescent="0.25">
      <c r="A4086">
        <v>18889</v>
      </c>
      <c r="B4086">
        <v>205</v>
      </c>
      <c r="C4086" s="1" t="str">
        <f>IF(Tabela8[[#This Row],[SETOR]]="","",IF(Tabela8[[#This Row],[SETOR]]&lt;200,"GV 10",IF(Tabela8[[#This Row],[SETOR]]&lt;300,"GV 20",IF(Tabela8[[#This Row],[SETOR]]&lt;400,"GV 30","S/GV"))))</f>
        <v>GV 20</v>
      </c>
      <c r="E4086" t="s">
        <v>123</v>
      </c>
      <c r="G4086" t="str">
        <f>_xlfn.CONCAT(Tabela9[[#This Row],[Coluna1]],Tabela9[[#This Row],[Coluna2]])</f>
        <v>20-Rota</v>
      </c>
    </row>
    <row r="4087" spans="1:7" x14ac:dyDescent="0.25">
      <c r="A4087">
        <v>18890</v>
      </c>
      <c r="B4087">
        <v>109</v>
      </c>
      <c r="C4087" s="1" t="str">
        <f>IF(Tabela8[[#This Row],[SETOR]]="","",IF(Tabela8[[#This Row],[SETOR]]&lt;200,"GV 10",IF(Tabela8[[#This Row],[SETOR]]&lt;300,"GV 20",IF(Tabela8[[#This Row],[SETOR]]&lt;400,"GV 30","S/GV"))))</f>
        <v>GV 10</v>
      </c>
      <c r="E4087" t="s">
        <v>123</v>
      </c>
      <c r="G4087" t="str">
        <f>_xlfn.CONCAT(Tabela9[[#This Row],[Coluna1]],Tabela9[[#This Row],[Coluna2]])</f>
        <v>20-Rota</v>
      </c>
    </row>
    <row r="4088" spans="1:7" x14ac:dyDescent="0.25">
      <c r="A4088">
        <v>18891</v>
      </c>
      <c r="B4088">
        <v>106</v>
      </c>
      <c r="C4088" s="1" t="str">
        <f>IF(Tabela8[[#This Row],[SETOR]]="","",IF(Tabela8[[#This Row],[SETOR]]&lt;200,"GV 10",IF(Tabela8[[#This Row],[SETOR]]&lt;300,"GV 20",IF(Tabela8[[#This Row],[SETOR]]&lt;400,"GV 30","S/GV"))))</f>
        <v>GV 10</v>
      </c>
      <c r="E4088" t="s">
        <v>123</v>
      </c>
      <c r="G4088" t="str">
        <f>_xlfn.CONCAT(Tabela9[[#This Row],[Coluna1]],Tabela9[[#This Row],[Coluna2]])</f>
        <v>20-Rota</v>
      </c>
    </row>
    <row r="4089" spans="1:7" x14ac:dyDescent="0.25">
      <c r="A4089">
        <v>18892</v>
      </c>
      <c r="B4089">
        <v>907</v>
      </c>
      <c r="C4089" s="1" t="str">
        <f>IF(Tabela8[[#This Row],[SETOR]]="","",IF(Tabela8[[#This Row],[SETOR]]&lt;200,"GV 10",IF(Tabela8[[#This Row],[SETOR]]&lt;300,"GV 20",IF(Tabela8[[#This Row],[SETOR]]&lt;400,"GV 30","S/GV"))))</f>
        <v>S/GV</v>
      </c>
      <c r="G4089" t="str">
        <f>_xlfn.CONCAT(Tabela9[[#This Row],[Coluna1]],Tabela9[[#This Row],[Coluna2]])</f>
        <v/>
      </c>
    </row>
    <row r="4090" spans="1:7" x14ac:dyDescent="0.25">
      <c r="A4090">
        <v>18893</v>
      </c>
      <c r="B4090">
        <v>102</v>
      </c>
      <c r="C4090" s="1" t="str">
        <f>IF(Tabela8[[#This Row],[SETOR]]="","",IF(Tabela8[[#This Row],[SETOR]]&lt;200,"GV 10",IF(Tabela8[[#This Row],[SETOR]]&lt;300,"GV 20",IF(Tabela8[[#This Row],[SETOR]]&lt;400,"GV 30","S/GV"))))</f>
        <v>GV 10</v>
      </c>
      <c r="E4090" t="s">
        <v>125</v>
      </c>
      <c r="G4090" t="str">
        <f>_xlfn.CONCAT(Tabela9[[#This Row],[Coluna1]],Tabela9[[#This Row],[Coluna2]])</f>
        <v>18-TRAD</v>
      </c>
    </row>
    <row r="4091" spans="1:7" x14ac:dyDescent="0.25">
      <c r="A4091">
        <v>18894</v>
      </c>
      <c r="B4091">
        <v>207</v>
      </c>
      <c r="C4091" s="1" t="str">
        <f>IF(Tabela8[[#This Row],[SETOR]]="","",IF(Tabela8[[#This Row],[SETOR]]&lt;200,"GV 10",IF(Tabela8[[#This Row],[SETOR]]&lt;300,"GV 20",IF(Tabela8[[#This Row],[SETOR]]&lt;400,"GV 30","S/GV"))))</f>
        <v>GV 20</v>
      </c>
      <c r="E4091" t="s">
        <v>125</v>
      </c>
      <c r="G4091" t="str">
        <f>_xlfn.CONCAT(Tabela9[[#This Row],[Coluna1]],Tabela9[[#This Row],[Coluna2]])</f>
        <v>18-TRAD</v>
      </c>
    </row>
    <row r="4092" spans="1:7" x14ac:dyDescent="0.25">
      <c r="A4092">
        <v>18896</v>
      </c>
      <c r="B4092">
        <v>104</v>
      </c>
      <c r="C4092" s="1" t="str">
        <f>IF(Tabela8[[#This Row],[SETOR]]="","",IF(Tabela8[[#This Row],[SETOR]]&lt;200,"GV 10",IF(Tabela8[[#This Row],[SETOR]]&lt;300,"GV 20",IF(Tabela8[[#This Row],[SETOR]]&lt;400,"GV 30","S/GV"))))</f>
        <v>GV 10</v>
      </c>
      <c r="E4092" t="s">
        <v>123</v>
      </c>
      <c r="G4092" t="str">
        <f>_xlfn.CONCAT(Tabela9[[#This Row],[Coluna1]],Tabela9[[#This Row],[Coluna2]])</f>
        <v>20-Rota</v>
      </c>
    </row>
    <row r="4093" spans="1:7" x14ac:dyDescent="0.25">
      <c r="A4093">
        <v>18897</v>
      </c>
      <c r="B4093">
        <v>306</v>
      </c>
      <c r="C4093" s="1" t="str">
        <f>IF(Tabela8[[#This Row],[SETOR]]="","",IF(Tabela8[[#This Row],[SETOR]]&lt;200,"GV 10",IF(Tabela8[[#This Row],[SETOR]]&lt;300,"GV 20",IF(Tabela8[[#This Row],[SETOR]]&lt;400,"GV 30","S/GV"))))</f>
        <v>GV 30</v>
      </c>
      <c r="E4093" t="s">
        <v>125</v>
      </c>
      <c r="G4093" t="str">
        <f>_xlfn.CONCAT(Tabela9[[#This Row],[Coluna1]],Tabela9[[#This Row],[Coluna2]])</f>
        <v>18-TRAD</v>
      </c>
    </row>
    <row r="4094" spans="1:7" x14ac:dyDescent="0.25">
      <c r="A4094">
        <v>18898</v>
      </c>
      <c r="B4094">
        <v>106</v>
      </c>
      <c r="C4094" s="1" t="str">
        <f>IF(Tabela8[[#This Row],[SETOR]]="","",IF(Tabela8[[#This Row],[SETOR]]&lt;200,"GV 10",IF(Tabela8[[#This Row],[SETOR]]&lt;300,"GV 20",IF(Tabela8[[#This Row],[SETOR]]&lt;400,"GV 30","S/GV"))))</f>
        <v>GV 10</v>
      </c>
      <c r="E4094" t="s">
        <v>130</v>
      </c>
      <c r="G4094" t="str">
        <f>_xlfn.CONCAT(Tabela9[[#This Row],[Coluna1]],Tabela9[[#This Row],[Coluna2]])</f>
        <v>21-SUB</v>
      </c>
    </row>
    <row r="4095" spans="1:7" x14ac:dyDescent="0.25">
      <c r="A4095">
        <v>18899</v>
      </c>
      <c r="B4095">
        <v>201</v>
      </c>
      <c r="C4095" s="1" t="str">
        <f>IF(Tabela8[[#This Row],[SETOR]]="","",IF(Tabela8[[#This Row],[SETOR]]&lt;200,"GV 10",IF(Tabela8[[#This Row],[SETOR]]&lt;300,"GV 20",IF(Tabela8[[#This Row],[SETOR]]&lt;400,"GV 30","S/GV"))))</f>
        <v>GV 20</v>
      </c>
      <c r="E4095" t="s">
        <v>125</v>
      </c>
      <c r="G4095" t="str">
        <f>_xlfn.CONCAT(Tabela9[[#This Row],[Coluna1]],Tabela9[[#This Row],[Coluna2]])</f>
        <v>18-TRAD</v>
      </c>
    </row>
    <row r="4096" spans="1:7" x14ac:dyDescent="0.25">
      <c r="A4096">
        <v>18900</v>
      </c>
      <c r="B4096">
        <v>106</v>
      </c>
      <c r="C4096" s="1" t="str">
        <f>IF(Tabela8[[#This Row],[SETOR]]="","",IF(Tabela8[[#This Row],[SETOR]]&lt;200,"GV 10",IF(Tabela8[[#This Row],[SETOR]]&lt;300,"GV 20",IF(Tabela8[[#This Row],[SETOR]]&lt;400,"GV 30","S/GV"))))</f>
        <v>GV 10</v>
      </c>
      <c r="E4096" t="s">
        <v>123</v>
      </c>
      <c r="G4096" t="str">
        <f>_xlfn.CONCAT(Tabela9[[#This Row],[Coluna1]],Tabela9[[#This Row],[Coluna2]])</f>
        <v>20-Rota</v>
      </c>
    </row>
    <row r="4097" spans="1:7" x14ac:dyDescent="0.25">
      <c r="A4097">
        <v>18901</v>
      </c>
      <c r="B4097">
        <v>101</v>
      </c>
      <c r="C4097" s="1" t="str">
        <f>IF(Tabela8[[#This Row],[SETOR]]="","",IF(Tabela8[[#This Row],[SETOR]]&lt;200,"GV 10",IF(Tabela8[[#This Row],[SETOR]]&lt;300,"GV 20",IF(Tabela8[[#This Row],[SETOR]]&lt;400,"GV 30","S/GV"))))</f>
        <v>GV 10</v>
      </c>
      <c r="E4097" t="s">
        <v>125</v>
      </c>
      <c r="G4097" t="str">
        <f>_xlfn.CONCAT(Tabela9[[#This Row],[Coluna1]],Tabela9[[#This Row],[Coluna2]])</f>
        <v>18-TRAD</v>
      </c>
    </row>
    <row r="4098" spans="1:7" x14ac:dyDescent="0.25">
      <c r="A4098">
        <v>18902</v>
      </c>
      <c r="B4098">
        <v>103</v>
      </c>
      <c r="C4098" s="1" t="str">
        <f>IF(Tabela8[[#This Row],[SETOR]]="","",IF(Tabela8[[#This Row],[SETOR]]&lt;200,"GV 10",IF(Tabela8[[#This Row],[SETOR]]&lt;300,"GV 20",IF(Tabela8[[#This Row],[SETOR]]&lt;400,"GV 30","S/GV"))))</f>
        <v>GV 10</v>
      </c>
      <c r="E4098" t="s">
        <v>123</v>
      </c>
      <c r="G4098" t="str">
        <f>_xlfn.CONCAT(Tabela9[[#This Row],[Coluna1]],Tabela9[[#This Row],[Coluna2]])</f>
        <v>20-Rota</v>
      </c>
    </row>
    <row r="4099" spans="1:7" x14ac:dyDescent="0.25">
      <c r="A4099">
        <v>18904</v>
      </c>
      <c r="B4099">
        <v>907</v>
      </c>
      <c r="C4099" s="1" t="str">
        <f>IF(Tabela8[[#This Row],[SETOR]]="","",IF(Tabela8[[#This Row],[SETOR]]&lt;200,"GV 10",IF(Tabela8[[#This Row],[SETOR]]&lt;300,"GV 20",IF(Tabela8[[#This Row],[SETOR]]&lt;400,"GV 30","S/GV"))))</f>
        <v>S/GV</v>
      </c>
      <c r="G4099" t="str">
        <f>_xlfn.CONCAT(Tabela9[[#This Row],[Coluna1]],Tabela9[[#This Row],[Coluna2]])</f>
        <v/>
      </c>
    </row>
    <row r="4100" spans="1:7" x14ac:dyDescent="0.25">
      <c r="A4100">
        <v>18906</v>
      </c>
      <c r="B4100">
        <v>201</v>
      </c>
      <c r="C4100" s="1" t="str">
        <f>IF(Tabela8[[#This Row],[SETOR]]="","",IF(Tabela8[[#This Row],[SETOR]]&lt;200,"GV 10",IF(Tabela8[[#This Row],[SETOR]]&lt;300,"GV 20",IF(Tabela8[[#This Row],[SETOR]]&lt;400,"GV 30","S/GV"))))</f>
        <v>GV 20</v>
      </c>
      <c r="E4100" t="s">
        <v>123</v>
      </c>
      <c r="G4100" t="str">
        <f>_xlfn.CONCAT(Tabela9[[#This Row],[Coluna1]],Tabela9[[#This Row],[Coluna2]])</f>
        <v>20-Rota</v>
      </c>
    </row>
    <row r="4101" spans="1:7" x14ac:dyDescent="0.25">
      <c r="A4101">
        <v>18908</v>
      </c>
      <c r="B4101">
        <v>907</v>
      </c>
      <c r="C4101" s="1" t="str">
        <f>IF(Tabela8[[#This Row],[SETOR]]="","",IF(Tabela8[[#This Row],[SETOR]]&lt;200,"GV 10",IF(Tabela8[[#This Row],[SETOR]]&lt;300,"GV 20",IF(Tabela8[[#This Row],[SETOR]]&lt;400,"GV 30","S/GV"))))</f>
        <v>S/GV</v>
      </c>
      <c r="G4101" t="str">
        <f>_xlfn.CONCAT(Tabela9[[#This Row],[Coluna1]],Tabela9[[#This Row],[Coluna2]])</f>
        <v/>
      </c>
    </row>
    <row r="4102" spans="1:7" x14ac:dyDescent="0.25">
      <c r="A4102">
        <v>18909</v>
      </c>
      <c r="B4102">
        <v>109</v>
      </c>
      <c r="C4102" s="1" t="str">
        <f>IF(Tabela8[[#This Row],[SETOR]]="","",IF(Tabela8[[#This Row],[SETOR]]&lt;200,"GV 10",IF(Tabela8[[#This Row],[SETOR]]&lt;300,"GV 20",IF(Tabela8[[#This Row],[SETOR]]&lt;400,"GV 30","S/GV"))))</f>
        <v>GV 10</v>
      </c>
      <c r="E4102" t="s">
        <v>123</v>
      </c>
      <c r="G4102" t="str">
        <f>_xlfn.CONCAT(Tabela9[[#This Row],[Coluna1]],Tabela9[[#This Row],[Coluna2]])</f>
        <v>20-Rota</v>
      </c>
    </row>
    <row r="4103" spans="1:7" x14ac:dyDescent="0.25">
      <c r="A4103">
        <v>18910</v>
      </c>
      <c r="B4103">
        <v>107</v>
      </c>
      <c r="C4103" s="1" t="str">
        <f>IF(Tabela8[[#This Row],[SETOR]]="","",IF(Tabela8[[#This Row],[SETOR]]&lt;200,"GV 10",IF(Tabela8[[#This Row],[SETOR]]&lt;300,"GV 20",IF(Tabela8[[#This Row],[SETOR]]&lt;400,"GV 30","S/GV"))))</f>
        <v>GV 10</v>
      </c>
      <c r="E4103" t="s">
        <v>130</v>
      </c>
      <c r="G4103" t="str">
        <f>_xlfn.CONCAT(Tabela9[[#This Row],[Coluna1]],Tabela9[[#This Row],[Coluna2]])</f>
        <v>21-SUB</v>
      </c>
    </row>
    <row r="4104" spans="1:7" x14ac:dyDescent="0.25">
      <c r="A4104">
        <v>18911</v>
      </c>
      <c r="B4104">
        <v>304</v>
      </c>
      <c r="C4104" s="1" t="str">
        <f>IF(Tabela8[[#This Row],[SETOR]]="","",IF(Tabela8[[#This Row],[SETOR]]&lt;200,"GV 10",IF(Tabela8[[#This Row],[SETOR]]&lt;300,"GV 20",IF(Tabela8[[#This Row],[SETOR]]&lt;400,"GV 30","S/GV"))))</f>
        <v>GV 30</v>
      </c>
      <c r="E4104" t="s">
        <v>123</v>
      </c>
      <c r="G4104" t="str">
        <f>_xlfn.CONCAT(Tabela9[[#This Row],[Coluna1]],Tabela9[[#This Row],[Coluna2]])</f>
        <v>20-Rota</v>
      </c>
    </row>
    <row r="4105" spans="1:7" x14ac:dyDescent="0.25">
      <c r="A4105">
        <v>18913</v>
      </c>
      <c r="B4105">
        <v>305</v>
      </c>
      <c r="C4105" s="1" t="str">
        <f>IF(Tabela8[[#This Row],[SETOR]]="","",IF(Tabela8[[#This Row],[SETOR]]&lt;200,"GV 10",IF(Tabela8[[#This Row],[SETOR]]&lt;300,"GV 20",IF(Tabela8[[#This Row],[SETOR]]&lt;400,"GV 30","S/GV"))))</f>
        <v>GV 30</v>
      </c>
      <c r="E4105" t="s">
        <v>123</v>
      </c>
      <c r="G4105" t="str">
        <f>_xlfn.CONCAT(Tabela9[[#This Row],[Coluna1]],Tabela9[[#This Row],[Coluna2]])</f>
        <v>20-Rota</v>
      </c>
    </row>
    <row r="4106" spans="1:7" x14ac:dyDescent="0.25">
      <c r="A4106">
        <v>18915</v>
      </c>
      <c r="B4106">
        <v>302</v>
      </c>
      <c r="C4106" s="1" t="str">
        <f>IF(Tabela8[[#This Row],[SETOR]]="","",IF(Tabela8[[#This Row],[SETOR]]&lt;200,"GV 10",IF(Tabela8[[#This Row],[SETOR]]&lt;300,"GV 20",IF(Tabela8[[#This Row],[SETOR]]&lt;400,"GV 30","S/GV"))))</f>
        <v>GV 30</v>
      </c>
      <c r="E4106" t="s">
        <v>123</v>
      </c>
      <c r="G4106" t="str">
        <f>_xlfn.CONCAT(Tabela9[[#This Row],[Coluna1]],Tabela9[[#This Row],[Coluna2]])</f>
        <v>20-Rota</v>
      </c>
    </row>
    <row r="4107" spans="1:7" x14ac:dyDescent="0.25">
      <c r="A4107">
        <v>18916</v>
      </c>
      <c r="B4107">
        <v>102</v>
      </c>
      <c r="C4107" s="1" t="str">
        <f>IF(Tabela8[[#This Row],[SETOR]]="","",IF(Tabela8[[#This Row],[SETOR]]&lt;200,"GV 10",IF(Tabela8[[#This Row],[SETOR]]&lt;300,"GV 20",IF(Tabela8[[#This Row],[SETOR]]&lt;400,"GV 30","S/GV"))))</f>
        <v>GV 10</v>
      </c>
      <c r="E4107" t="s">
        <v>123</v>
      </c>
      <c r="G4107" t="str">
        <f>_xlfn.CONCAT(Tabela9[[#This Row],[Coluna1]],Tabela9[[#This Row],[Coluna2]])</f>
        <v>20-Rota</v>
      </c>
    </row>
    <row r="4108" spans="1:7" x14ac:dyDescent="0.25">
      <c r="A4108">
        <v>18917</v>
      </c>
      <c r="B4108">
        <v>206</v>
      </c>
      <c r="C4108" s="1" t="str">
        <f>IF(Tabela8[[#This Row],[SETOR]]="","",IF(Tabela8[[#This Row],[SETOR]]&lt;200,"GV 10",IF(Tabela8[[#This Row],[SETOR]]&lt;300,"GV 20",IF(Tabela8[[#This Row],[SETOR]]&lt;400,"GV 30","S/GV"))))</f>
        <v>GV 20</v>
      </c>
      <c r="E4108" t="s">
        <v>123</v>
      </c>
      <c r="G4108" t="str">
        <f>_xlfn.CONCAT(Tabela9[[#This Row],[Coluna1]],Tabela9[[#This Row],[Coluna2]])</f>
        <v>20-Rota</v>
      </c>
    </row>
    <row r="4109" spans="1:7" x14ac:dyDescent="0.25">
      <c r="A4109">
        <v>18918</v>
      </c>
      <c r="B4109">
        <v>303</v>
      </c>
      <c r="C4109" s="1" t="str">
        <f>IF(Tabela8[[#This Row],[SETOR]]="","",IF(Tabela8[[#This Row],[SETOR]]&lt;200,"GV 10",IF(Tabela8[[#This Row],[SETOR]]&lt;300,"GV 20",IF(Tabela8[[#This Row],[SETOR]]&lt;400,"GV 30","S/GV"))))</f>
        <v>GV 30</v>
      </c>
      <c r="E4109" t="s">
        <v>125</v>
      </c>
      <c r="G4109" t="str">
        <f>_xlfn.CONCAT(Tabela9[[#This Row],[Coluna1]],Tabela9[[#This Row],[Coluna2]])</f>
        <v>18-TRAD</v>
      </c>
    </row>
    <row r="4110" spans="1:7" x14ac:dyDescent="0.25">
      <c r="A4110">
        <v>18919</v>
      </c>
      <c r="B4110">
        <v>304</v>
      </c>
      <c r="C4110" s="1" t="str">
        <f>IF(Tabela8[[#This Row],[SETOR]]="","",IF(Tabela8[[#This Row],[SETOR]]&lt;200,"GV 10",IF(Tabela8[[#This Row],[SETOR]]&lt;300,"GV 20",IF(Tabela8[[#This Row],[SETOR]]&lt;400,"GV 30","S/GV"))))</f>
        <v>GV 30</v>
      </c>
      <c r="E4110" t="s">
        <v>123</v>
      </c>
      <c r="G4110" t="str">
        <f>_xlfn.CONCAT(Tabela9[[#This Row],[Coluna1]],Tabela9[[#This Row],[Coluna2]])</f>
        <v>20-Rota</v>
      </c>
    </row>
    <row r="4111" spans="1:7" x14ac:dyDescent="0.25">
      <c r="A4111">
        <v>18920</v>
      </c>
      <c r="B4111">
        <v>304</v>
      </c>
      <c r="C4111" s="1" t="str">
        <f>IF(Tabela8[[#This Row],[SETOR]]="","",IF(Tabela8[[#This Row],[SETOR]]&lt;200,"GV 10",IF(Tabela8[[#This Row],[SETOR]]&lt;300,"GV 20",IF(Tabela8[[#This Row],[SETOR]]&lt;400,"GV 30","S/GV"))))</f>
        <v>GV 30</v>
      </c>
      <c r="E4111" t="s">
        <v>123</v>
      </c>
      <c r="G4111" t="str">
        <f>_xlfn.CONCAT(Tabela9[[#This Row],[Coluna1]],Tabela9[[#This Row],[Coluna2]])</f>
        <v>20-Rota</v>
      </c>
    </row>
    <row r="4112" spans="1:7" x14ac:dyDescent="0.25">
      <c r="A4112">
        <v>18924</v>
      </c>
      <c r="B4112">
        <v>106</v>
      </c>
      <c r="C4112" s="1" t="str">
        <f>IF(Tabela8[[#This Row],[SETOR]]="","",IF(Tabela8[[#This Row],[SETOR]]&lt;200,"GV 10",IF(Tabela8[[#This Row],[SETOR]]&lt;300,"GV 20",IF(Tabela8[[#This Row],[SETOR]]&lt;400,"GV 30","S/GV"))))</f>
        <v>GV 10</v>
      </c>
      <c r="E4112" t="s">
        <v>123</v>
      </c>
      <c r="G4112" t="str">
        <f>_xlfn.CONCAT(Tabela9[[#This Row],[Coluna1]],Tabela9[[#This Row],[Coluna2]])</f>
        <v>20-Rota</v>
      </c>
    </row>
    <row r="4113" spans="1:7" x14ac:dyDescent="0.25">
      <c r="A4113">
        <v>18925</v>
      </c>
      <c r="B4113">
        <v>102</v>
      </c>
      <c r="C4113" s="1" t="str">
        <f>IF(Tabela8[[#This Row],[SETOR]]="","",IF(Tabela8[[#This Row],[SETOR]]&lt;200,"GV 10",IF(Tabela8[[#This Row],[SETOR]]&lt;300,"GV 20",IF(Tabela8[[#This Row],[SETOR]]&lt;400,"GV 30","S/GV"))))</f>
        <v>GV 10</v>
      </c>
      <c r="E4113" t="s">
        <v>123</v>
      </c>
      <c r="G4113" t="str">
        <f>_xlfn.CONCAT(Tabela9[[#This Row],[Coluna1]],Tabela9[[#This Row],[Coluna2]])</f>
        <v>20-Rota</v>
      </c>
    </row>
    <row r="4114" spans="1:7" x14ac:dyDescent="0.25">
      <c r="A4114">
        <v>18928</v>
      </c>
      <c r="B4114">
        <v>205</v>
      </c>
      <c r="C4114" s="1" t="str">
        <f>IF(Tabela8[[#This Row],[SETOR]]="","",IF(Tabela8[[#This Row],[SETOR]]&lt;200,"GV 10",IF(Tabela8[[#This Row],[SETOR]]&lt;300,"GV 20",IF(Tabela8[[#This Row],[SETOR]]&lt;400,"GV 30","S/GV"))))</f>
        <v>GV 20</v>
      </c>
      <c r="E4114" t="s">
        <v>123</v>
      </c>
      <c r="G4114" t="str">
        <f>_xlfn.CONCAT(Tabela9[[#This Row],[Coluna1]],Tabela9[[#This Row],[Coluna2]])</f>
        <v>20-Rota</v>
      </c>
    </row>
    <row r="4115" spans="1:7" x14ac:dyDescent="0.25">
      <c r="A4115">
        <v>18929</v>
      </c>
      <c r="B4115">
        <v>916</v>
      </c>
      <c r="C4115" s="1" t="str">
        <f>IF(Tabela8[[#This Row],[SETOR]]="","",IF(Tabela8[[#This Row],[SETOR]]&lt;200,"GV 10",IF(Tabela8[[#This Row],[SETOR]]&lt;300,"GV 20",IF(Tabela8[[#This Row],[SETOR]]&lt;400,"GV 30","S/GV"))))</f>
        <v>S/GV</v>
      </c>
      <c r="G4115" t="str">
        <f>_xlfn.CONCAT(Tabela9[[#This Row],[Coluna1]],Tabela9[[#This Row],[Coluna2]])</f>
        <v/>
      </c>
    </row>
    <row r="4116" spans="1:7" x14ac:dyDescent="0.25">
      <c r="A4116">
        <v>18930</v>
      </c>
      <c r="B4116">
        <v>916</v>
      </c>
      <c r="C4116" s="1" t="str">
        <f>IF(Tabela8[[#This Row],[SETOR]]="","",IF(Tabela8[[#This Row],[SETOR]]&lt;200,"GV 10",IF(Tabela8[[#This Row],[SETOR]]&lt;300,"GV 20",IF(Tabela8[[#This Row],[SETOR]]&lt;400,"GV 30","S/GV"))))</f>
        <v>S/GV</v>
      </c>
      <c r="G4116" t="str">
        <f>_xlfn.CONCAT(Tabela9[[#This Row],[Coluna1]],Tabela9[[#This Row],[Coluna2]])</f>
        <v/>
      </c>
    </row>
    <row r="4117" spans="1:7" x14ac:dyDescent="0.25">
      <c r="A4117">
        <v>18932</v>
      </c>
      <c r="B4117">
        <v>304</v>
      </c>
      <c r="C4117" s="1" t="str">
        <f>IF(Tabela8[[#This Row],[SETOR]]="","",IF(Tabela8[[#This Row],[SETOR]]&lt;200,"GV 10",IF(Tabela8[[#This Row],[SETOR]]&lt;300,"GV 20",IF(Tabela8[[#This Row],[SETOR]]&lt;400,"GV 30","S/GV"))))</f>
        <v>GV 30</v>
      </c>
      <c r="E4117" t="s">
        <v>123</v>
      </c>
      <c r="G4117" t="str">
        <f>_xlfn.CONCAT(Tabela9[[#This Row],[Coluna1]],Tabela9[[#This Row],[Coluna2]])</f>
        <v>20-Rota</v>
      </c>
    </row>
    <row r="4118" spans="1:7" x14ac:dyDescent="0.25">
      <c r="A4118">
        <v>18933</v>
      </c>
      <c r="B4118">
        <v>208</v>
      </c>
      <c r="C4118" s="1" t="str">
        <f>IF(Tabela8[[#This Row],[SETOR]]="","",IF(Tabela8[[#This Row],[SETOR]]&lt;200,"GV 10",IF(Tabela8[[#This Row],[SETOR]]&lt;300,"GV 20",IF(Tabela8[[#This Row],[SETOR]]&lt;400,"GV 30","S/GV"))))</f>
        <v>GV 20</v>
      </c>
      <c r="E4118" t="s">
        <v>128</v>
      </c>
      <c r="F4118" t="s">
        <v>129</v>
      </c>
      <c r="G4118" t="str">
        <f>_xlfn.CONCAT(Tabela9[[#This Row],[Coluna1]],Tabela9[[#This Row],[Coluna2]])</f>
        <v>15-AS(1-4)</v>
      </c>
    </row>
    <row r="4119" spans="1:7" x14ac:dyDescent="0.25">
      <c r="A4119">
        <v>18937</v>
      </c>
      <c r="B4119">
        <v>102</v>
      </c>
      <c r="C4119" s="1" t="str">
        <f>IF(Tabela8[[#This Row],[SETOR]]="","",IF(Tabela8[[#This Row],[SETOR]]&lt;200,"GV 10",IF(Tabela8[[#This Row],[SETOR]]&lt;300,"GV 20",IF(Tabela8[[#This Row],[SETOR]]&lt;400,"GV 30","S/GV"))))</f>
        <v>GV 10</v>
      </c>
      <c r="E4119" t="s">
        <v>123</v>
      </c>
      <c r="G4119" t="str">
        <f>_xlfn.CONCAT(Tabela9[[#This Row],[Coluna1]],Tabela9[[#This Row],[Coluna2]])</f>
        <v>20-Rota</v>
      </c>
    </row>
    <row r="4120" spans="1:7" x14ac:dyDescent="0.25">
      <c r="A4120">
        <v>18939</v>
      </c>
      <c r="B4120">
        <v>204</v>
      </c>
      <c r="C4120" s="1" t="str">
        <f>IF(Tabela8[[#This Row],[SETOR]]="","",IF(Tabela8[[#This Row],[SETOR]]&lt;200,"GV 10",IF(Tabela8[[#This Row],[SETOR]]&lt;300,"GV 20",IF(Tabela8[[#This Row],[SETOR]]&lt;400,"GV 30","S/GV"))))</f>
        <v>GV 20</v>
      </c>
      <c r="E4120" t="s">
        <v>123</v>
      </c>
      <c r="G4120" t="str">
        <f>_xlfn.CONCAT(Tabela9[[#This Row],[Coluna1]],Tabela9[[#This Row],[Coluna2]])</f>
        <v>20-Rota</v>
      </c>
    </row>
    <row r="4121" spans="1:7" x14ac:dyDescent="0.25">
      <c r="A4121">
        <v>18942</v>
      </c>
      <c r="B4121">
        <v>201</v>
      </c>
      <c r="C4121" s="1" t="str">
        <f>IF(Tabela8[[#This Row],[SETOR]]="","",IF(Tabela8[[#This Row],[SETOR]]&lt;200,"GV 10",IF(Tabela8[[#This Row],[SETOR]]&lt;300,"GV 20",IF(Tabela8[[#This Row],[SETOR]]&lt;400,"GV 30","S/GV"))))</f>
        <v>GV 20</v>
      </c>
      <c r="E4121" t="s">
        <v>130</v>
      </c>
      <c r="G4121" t="str">
        <f>_xlfn.CONCAT(Tabela9[[#This Row],[Coluna1]],Tabela9[[#This Row],[Coluna2]])</f>
        <v>21-SUB</v>
      </c>
    </row>
    <row r="4122" spans="1:7" x14ac:dyDescent="0.25">
      <c r="A4122">
        <v>18943</v>
      </c>
      <c r="B4122">
        <v>206</v>
      </c>
      <c r="C4122" s="1" t="str">
        <f>IF(Tabela8[[#This Row],[SETOR]]="","",IF(Tabela8[[#This Row],[SETOR]]&lt;200,"GV 10",IF(Tabela8[[#This Row],[SETOR]]&lt;300,"GV 20",IF(Tabela8[[#This Row],[SETOR]]&lt;400,"GV 30","S/GV"))))</f>
        <v>GV 20</v>
      </c>
      <c r="E4122" t="s">
        <v>123</v>
      </c>
      <c r="G4122" t="str">
        <f>_xlfn.CONCAT(Tabela9[[#This Row],[Coluna1]],Tabela9[[#This Row],[Coluna2]])</f>
        <v>20-Rota</v>
      </c>
    </row>
    <row r="4123" spans="1:7" x14ac:dyDescent="0.25">
      <c r="A4123">
        <v>18944</v>
      </c>
      <c r="B4123">
        <v>101</v>
      </c>
      <c r="C4123" s="1" t="str">
        <f>IF(Tabela8[[#This Row],[SETOR]]="","",IF(Tabela8[[#This Row],[SETOR]]&lt;200,"GV 10",IF(Tabela8[[#This Row],[SETOR]]&lt;300,"GV 20",IF(Tabela8[[#This Row],[SETOR]]&lt;400,"GV 30","S/GV"))))</f>
        <v>GV 10</v>
      </c>
      <c r="E4123" t="s">
        <v>123</v>
      </c>
      <c r="G4123" t="str">
        <f>_xlfn.CONCAT(Tabela9[[#This Row],[Coluna1]],Tabela9[[#This Row],[Coluna2]])</f>
        <v>20-Rota</v>
      </c>
    </row>
    <row r="4124" spans="1:7" x14ac:dyDescent="0.25">
      <c r="A4124">
        <v>18945</v>
      </c>
      <c r="B4124">
        <v>302</v>
      </c>
      <c r="C4124" s="1" t="str">
        <f>IF(Tabela8[[#This Row],[SETOR]]="","",IF(Tabela8[[#This Row],[SETOR]]&lt;200,"GV 10",IF(Tabela8[[#This Row],[SETOR]]&lt;300,"GV 20",IF(Tabela8[[#This Row],[SETOR]]&lt;400,"GV 30","S/GV"))))</f>
        <v>GV 30</v>
      </c>
      <c r="E4124" t="s">
        <v>123</v>
      </c>
      <c r="G4124" t="str">
        <f>_xlfn.CONCAT(Tabela9[[#This Row],[Coluna1]],Tabela9[[#This Row],[Coluna2]])</f>
        <v>20-Rota</v>
      </c>
    </row>
    <row r="4125" spans="1:7" x14ac:dyDescent="0.25">
      <c r="A4125">
        <v>18946</v>
      </c>
      <c r="B4125">
        <v>102</v>
      </c>
      <c r="C4125" s="1" t="str">
        <f>IF(Tabela8[[#This Row],[SETOR]]="","",IF(Tabela8[[#This Row],[SETOR]]&lt;200,"GV 10",IF(Tabela8[[#This Row],[SETOR]]&lt;300,"GV 20",IF(Tabela8[[#This Row],[SETOR]]&lt;400,"GV 30","S/GV"))))</f>
        <v>GV 10</v>
      </c>
      <c r="E4125" t="s">
        <v>125</v>
      </c>
      <c r="G4125" t="str">
        <f>_xlfn.CONCAT(Tabela9[[#This Row],[Coluna1]],Tabela9[[#This Row],[Coluna2]])</f>
        <v>18-TRAD</v>
      </c>
    </row>
    <row r="4126" spans="1:7" x14ac:dyDescent="0.25">
      <c r="A4126">
        <v>18948</v>
      </c>
      <c r="B4126">
        <v>301</v>
      </c>
      <c r="C4126" s="1" t="str">
        <f>IF(Tabela8[[#This Row],[SETOR]]="","",IF(Tabela8[[#This Row],[SETOR]]&lt;200,"GV 10",IF(Tabela8[[#This Row],[SETOR]]&lt;300,"GV 20",IF(Tabela8[[#This Row],[SETOR]]&lt;400,"GV 30","S/GV"))))</f>
        <v>GV 30</v>
      </c>
      <c r="E4126" t="s">
        <v>123</v>
      </c>
      <c r="G4126" t="str">
        <f>_xlfn.CONCAT(Tabela9[[#This Row],[Coluna1]],Tabela9[[#This Row],[Coluna2]])</f>
        <v>20-Rota</v>
      </c>
    </row>
    <row r="4127" spans="1:7" x14ac:dyDescent="0.25">
      <c r="A4127">
        <v>18952</v>
      </c>
      <c r="B4127">
        <v>205</v>
      </c>
      <c r="C4127" s="1" t="str">
        <f>IF(Tabela8[[#This Row],[SETOR]]="","",IF(Tabela8[[#This Row],[SETOR]]&lt;200,"GV 10",IF(Tabela8[[#This Row],[SETOR]]&lt;300,"GV 20",IF(Tabela8[[#This Row],[SETOR]]&lt;400,"GV 30","S/GV"))))</f>
        <v>GV 20</v>
      </c>
      <c r="E4127" t="s">
        <v>123</v>
      </c>
      <c r="G4127" t="str">
        <f>_xlfn.CONCAT(Tabela9[[#This Row],[Coluna1]],Tabela9[[#This Row],[Coluna2]])</f>
        <v>20-Rota</v>
      </c>
    </row>
    <row r="4128" spans="1:7" x14ac:dyDescent="0.25">
      <c r="A4128">
        <v>18953</v>
      </c>
      <c r="B4128">
        <v>304</v>
      </c>
      <c r="C4128" s="1" t="str">
        <f>IF(Tabela8[[#This Row],[SETOR]]="","",IF(Tabela8[[#This Row],[SETOR]]&lt;200,"GV 10",IF(Tabela8[[#This Row],[SETOR]]&lt;300,"GV 20",IF(Tabela8[[#This Row],[SETOR]]&lt;400,"GV 30","S/GV"))))</f>
        <v>GV 30</v>
      </c>
      <c r="E4128" t="s">
        <v>123</v>
      </c>
      <c r="G4128" t="str">
        <f>_xlfn.CONCAT(Tabela9[[#This Row],[Coluna1]],Tabela9[[#This Row],[Coluna2]])</f>
        <v>20-Rota</v>
      </c>
    </row>
    <row r="4129" spans="1:7" x14ac:dyDescent="0.25">
      <c r="A4129">
        <v>18954</v>
      </c>
      <c r="B4129">
        <v>304</v>
      </c>
      <c r="C4129" s="1" t="str">
        <f>IF(Tabela8[[#This Row],[SETOR]]="","",IF(Tabela8[[#This Row],[SETOR]]&lt;200,"GV 10",IF(Tabela8[[#This Row],[SETOR]]&lt;300,"GV 20",IF(Tabela8[[#This Row],[SETOR]]&lt;400,"GV 30","S/GV"))))</f>
        <v>GV 30</v>
      </c>
      <c r="E4129" t="s">
        <v>123</v>
      </c>
      <c r="G4129" t="str">
        <f>_xlfn.CONCAT(Tabela9[[#This Row],[Coluna1]],Tabela9[[#This Row],[Coluna2]])</f>
        <v>20-Rota</v>
      </c>
    </row>
    <row r="4130" spans="1:7" x14ac:dyDescent="0.25">
      <c r="A4130">
        <v>18955</v>
      </c>
      <c r="B4130">
        <v>301</v>
      </c>
      <c r="C4130" s="1" t="str">
        <f>IF(Tabela8[[#This Row],[SETOR]]="","",IF(Tabela8[[#This Row],[SETOR]]&lt;200,"GV 10",IF(Tabela8[[#This Row],[SETOR]]&lt;300,"GV 20",IF(Tabela8[[#This Row],[SETOR]]&lt;400,"GV 30","S/GV"))))</f>
        <v>GV 30</v>
      </c>
      <c r="E4130" t="s">
        <v>123</v>
      </c>
      <c r="G4130" t="str">
        <f>_xlfn.CONCAT(Tabela9[[#This Row],[Coluna1]],Tabela9[[#This Row],[Coluna2]])</f>
        <v>20-Rota</v>
      </c>
    </row>
    <row r="4131" spans="1:7" x14ac:dyDescent="0.25">
      <c r="A4131">
        <v>18958</v>
      </c>
      <c r="B4131">
        <v>201</v>
      </c>
      <c r="C4131" s="1" t="str">
        <f>IF(Tabela8[[#This Row],[SETOR]]="","",IF(Tabela8[[#This Row],[SETOR]]&lt;200,"GV 10",IF(Tabela8[[#This Row],[SETOR]]&lt;300,"GV 20",IF(Tabela8[[#This Row],[SETOR]]&lt;400,"GV 30","S/GV"))))</f>
        <v>GV 20</v>
      </c>
      <c r="E4131" t="s">
        <v>123</v>
      </c>
      <c r="G4131" t="str">
        <f>_xlfn.CONCAT(Tabela9[[#This Row],[Coluna1]],Tabela9[[#This Row],[Coluna2]])</f>
        <v>20-Rota</v>
      </c>
    </row>
    <row r="4132" spans="1:7" x14ac:dyDescent="0.25">
      <c r="A4132">
        <v>18959</v>
      </c>
      <c r="B4132">
        <v>106</v>
      </c>
      <c r="C4132" s="1" t="str">
        <f>IF(Tabela8[[#This Row],[SETOR]]="","",IF(Tabela8[[#This Row],[SETOR]]&lt;200,"GV 10",IF(Tabela8[[#This Row],[SETOR]]&lt;300,"GV 20",IF(Tabela8[[#This Row],[SETOR]]&lt;400,"GV 30","S/GV"))))</f>
        <v>GV 10</v>
      </c>
      <c r="E4132" t="s">
        <v>123</v>
      </c>
      <c r="G4132" t="str">
        <f>_xlfn.CONCAT(Tabela9[[#This Row],[Coluna1]],Tabela9[[#This Row],[Coluna2]])</f>
        <v>20-Rota</v>
      </c>
    </row>
    <row r="4133" spans="1:7" x14ac:dyDescent="0.25">
      <c r="A4133">
        <v>18960</v>
      </c>
      <c r="B4133">
        <v>308</v>
      </c>
      <c r="C4133" s="1" t="str">
        <f>IF(Tabela8[[#This Row],[SETOR]]="","",IF(Tabela8[[#This Row],[SETOR]]&lt;200,"GV 10",IF(Tabela8[[#This Row],[SETOR]]&lt;300,"GV 20",IF(Tabela8[[#This Row],[SETOR]]&lt;400,"GV 30","S/GV"))))</f>
        <v>GV 30</v>
      </c>
      <c r="E4133" t="s">
        <v>128</v>
      </c>
      <c r="F4133" t="s">
        <v>129</v>
      </c>
      <c r="G4133" t="str">
        <f>_xlfn.CONCAT(Tabela9[[#This Row],[Coluna1]],Tabela9[[#This Row],[Coluna2]])</f>
        <v>15-AS(1-4)</v>
      </c>
    </row>
    <row r="4134" spans="1:7" x14ac:dyDescent="0.25">
      <c r="A4134">
        <v>18961</v>
      </c>
      <c r="B4134">
        <v>101</v>
      </c>
      <c r="C4134" s="1" t="str">
        <f>IF(Tabela8[[#This Row],[SETOR]]="","",IF(Tabela8[[#This Row],[SETOR]]&lt;200,"GV 10",IF(Tabela8[[#This Row],[SETOR]]&lt;300,"GV 20",IF(Tabela8[[#This Row],[SETOR]]&lt;400,"GV 30","S/GV"))))</f>
        <v>GV 10</v>
      </c>
      <c r="E4134" t="s">
        <v>123</v>
      </c>
      <c r="G4134" t="str">
        <f>_xlfn.CONCAT(Tabela9[[#This Row],[Coluna1]],Tabela9[[#This Row],[Coluna2]])</f>
        <v>20-Rota</v>
      </c>
    </row>
    <row r="4135" spans="1:7" x14ac:dyDescent="0.25">
      <c r="A4135">
        <v>18962</v>
      </c>
      <c r="B4135">
        <v>303</v>
      </c>
      <c r="C4135" s="1" t="str">
        <f>IF(Tabela8[[#This Row],[SETOR]]="","",IF(Tabela8[[#This Row],[SETOR]]&lt;200,"GV 10",IF(Tabela8[[#This Row],[SETOR]]&lt;300,"GV 20",IF(Tabela8[[#This Row],[SETOR]]&lt;400,"GV 30","S/GV"))))</f>
        <v>GV 30</v>
      </c>
      <c r="E4135" t="s">
        <v>123</v>
      </c>
      <c r="G4135" t="str">
        <f>_xlfn.CONCAT(Tabela9[[#This Row],[Coluna1]],Tabela9[[#This Row],[Coluna2]])</f>
        <v>20-Rota</v>
      </c>
    </row>
    <row r="4136" spans="1:7" x14ac:dyDescent="0.25">
      <c r="A4136">
        <v>18963</v>
      </c>
      <c r="B4136">
        <v>207</v>
      </c>
      <c r="C4136" s="1" t="str">
        <f>IF(Tabela8[[#This Row],[SETOR]]="","",IF(Tabela8[[#This Row],[SETOR]]&lt;200,"GV 10",IF(Tabela8[[#This Row],[SETOR]]&lt;300,"GV 20",IF(Tabela8[[#This Row],[SETOR]]&lt;400,"GV 30","S/GV"))))</f>
        <v>GV 20</v>
      </c>
      <c r="E4136" t="s">
        <v>130</v>
      </c>
      <c r="G4136" t="str">
        <f>_xlfn.CONCAT(Tabela9[[#This Row],[Coluna1]],Tabela9[[#This Row],[Coluna2]])</f>
        <v>21-SUB</v>
      </c>
    </row>
    <row r="4137" spans="1:7" x14ac:dyDescent="0.25">
      <c r="A4137">
        <v>18964</v>
      </c>
      <c r="B4137">
        <v>308</v>
      </c>
      <c r="C4137" s="1" t="str">
        <f>IF(Tabela8[[#This Row],[SETOR]]="","",IF(Tabela8[[#This Row],[SETOR]]&lt;200,"GV 10",IF(Tabela8[[#This Row],[SETOR]]&lt;300,"GV 20",IF(Tabela8[[#This Row],[SETOR]]&lt;400,"GV 30","S/GV"))))</f>
        <v>GV 30</v>
      </c>
      <c r="E4137" t="s">
        <v>128</v>
      </c>
      <c r="F4137" t="s">
        <v>129</v>
      </c>
      <c r="G4137" t="str">
        <f>_xlfn.CONCAT(Tabela9[[#This Row],[Coluna1]],Tabela9[[#This Row],[Coluna2]])</f>
        <v>15-AS(1-4)</v>
      </c>
    </row>
    <row r="4138" spans="1:7" x14ac:dyDescent="0.25">
      <c r="A4138">
        <v>18965</v>
      </c>
      <c r="B4138">
        <v>101</v>
      </c>
      <c r="C4138" s="1" t="str">
        <f>IF(Tabela8[[#This Row],[SETOR]]="","",IF(Tabela8[[#This Row],[SETOR]]&lt;200,"GV 10",IF(Tabela8[[#This Row],[SETOR]]&lt;300,"GV 20",IF(Tabela8[[#This Row],[SETOR]]&lt;400,"GV 30","S/GV"))))</f>
        <v>GV 10</v>
      </c>
      <c r="E4138" t="s">
        <v>123</v>
      </c>
      <c r="G4138" t="str">
        <f>_xlfn.CONCAT(Tabela9[[#This Row],[Coluna1]],Tabela9[[#This Row],[Coluna2]])</f>
        <v>20-Rota</v>
      </c>
    </row>
    <row r="4139" spans="1:7" x14ac:dyDescent="0.25">
      <c r="A4139">
        <v>18966</v>
      </c>
      <c r="B4139">
        <v>301</v>
      </c>
      <c r="C4139" s="1" t="str">
        <f>IF(Tabela8[[#This Row],[SETOR]]="","",IF(Tabela8[[#This Row],[SETOR]]&lt;200,"GV 10",IF(Tabela8[[#This Row],[SETOR]]&lt;300,"GV 20",IF(Tabela8[[#This Row],[SETOR]]&lt;400,"GV 30","S/GV"))))</f>
        <v>GV 30</v>
      </c>
      <c r="E4139" t="s">
        <v>123</v>
      </c>
      <c r="G4139" t="str">
        <f>_xlfn.CONCAT(Tabela9[[#This Row],[Coluna1]],Tabela9[[#This Row],[Coluna2]])</f>
        <v>20-Rota</v>
      </c>
    </row>
    <row r="4140" spans="1:7" x14ac:dyDescent="0.25">
      <c r="A4140">
        <v>18967</v>
      </c>
      <c r="B4140">
        <v>304</v>
      </c>
      <c r="C4140" s="1" t="str">
        <f>IF(Tabela8[[#This Row],[SETOR]]="","",IF(Tabela8[[#This Row],[SETOR]]&lt;200,"GV 10",IF(Tabela8[[#This Row],[SETOR]]&lt;300,"GV 20",IF(Tabela8[[#This Row],[SETOR]]&lt;400,"GV 30","S/GV"))))</f>
        <v>GV 30</v>
      </c>
      <c r="E4140" t="s">
        <v>124</v>
      </c>
      <c r="G4140" t="str">
        <f>_xlfn.CONCAT(Tabela9[[#This Row],[Coluna1]],Tabela9[[#This Row],[Coluna2]])</f>
        <v>19-VIP</v>
      </c>
    </row>
    <row r="4141" spans="1:7" x14ac:dyDescent="0.25">
      <c r="A4141">
        <v>18968</v>
      </c>
      <c r="B4141">
        <v>301</v>
      </c>
      <c r="C4141" s="1" t="str">
        <f>IF(Tabela8[[#This Row],[SETOR]]="","",IF(Tabela8[[#This Row],[SETOR]]&lt;200,"GV 10",IF(Tabela8[[#This Row],[SETOR]]&lt;300,"GV 20",IF(Tabela8[[#This Row],[SETOR]]&lt;400,"GV 30","S/GV"))))</f>
        <v>GV 30</v>
      </c>
      <c r="E4141" t="s">
        <v>123</v>
      </c>
      <c r="G4141" t="str">
        <f>_xlfn.CONCAT(Tabela9[[#This Row],[Coluna1]],Tabela9[[#This Row],[Coluna2]])</f>
        <v>20-Rota</v>
      </c>
    </row>
    <row r="4142" spans="1:7" x14ac:dyDescent="0.25">
      <c r="A4142">
        <v>18969</v>
      </c>
      <c r="B4142">
        <v>301</v>
      </c>
      <c r="C4142" s="1" t="str">
        <f>IF(Tabela8[[#This Row],[SETOR]]="","",IF(Tabela8[[#This Row],[SETOR]]&lt;200,"GV 10",IF(Tabela8[[#This Row],[SETOR]]&lt;300,"GV 20",IF(Tabela8[[#This Row],[SETOR]]&lt;400,"GV 30","S/GV"))))</f>
        <v>GV 30</v>
      </c>
      <c r="E4142" t="s">
        <v>123</v>
      </c>
      <c r="G4142" t="str">
        <f>_xlfn.CONCAT(Tabela9[[#This Row],[Coluna1]],Tabela9[[#This Row],[Coluna2]])</f>
        <v>20-Rota</v>
      </c>
    </row>
    <row r="4143" spans="1:7" x14ac:dyDescent="0.25">
      <c r="A4143">
        <v>18971</v>
      </c>
      <c r="B4143">
        <v>301</v>
      </c>
      <c r="C4143" s="1" t="str">
        <f>IF(Tabela8[[#This Row],[SETOR]]="","",IF(Tabela8[[#This Row],[SETOR]]&lt;200,"GV 10",IF(Tabela8[[#This Row],[SETOR]]&lt;300,"GV 20",IF(Tabela8[[#This Row],[SETOR]]&lt;400,"GV 30","S/GV"))))</f>
        <v>GV 30</v>
      </c>
      <c r="E4143" t="s">
        <v>123</v>
      </c>
      <c r="G4143" t="str">
        <f>_xlfn.CONCAT(Tabela9[[#This Row],[Coluna1]],Tabela9[[#This Row],[Coluna2]])</f>
        <v>20-Rota</v>
      </c>
    </row>
    <row r="4144" spans="1:7" x14ac:dyDescent="0.25">
      <c r="A4144">
        <v>18974</v>
      </c>
      <c r="B4144">
        <v>106</v>
      </c>
      <c r="C4144" s="1" t="str">
        <f>IF(Tabela8[[#This Row],[SETOR]]="","",IF(Tabela8[[#This Row],[SETOR]]&lt;200,"GV 10",IF(Tabela8[[#This Row],[SETOR]]&lt;300,"GV 20",IF(Tabela8[[#This Row],[SETOR]]&lt;400,"GV 30","S/GV"))))</f>
        <v>GV 10</v>
      </c>
      <c r="E4144" t="s">
        <v>125</v>
      </c>
      <c r="G4144" t="str">
        <f>_xlfn.CONCAT(Tabela9[[#This Row],[Coluna1]],Tabela9[[#This Row],[Coluna2]])</f>
        <v>18-TRAD</v>
      </c>
    </row>
    <row r="4145" spans="1:7" x14ac:dyDescent="0.25">
      <c r="A4145">
        <v>18975</v>
      </c>
      <c r="B4145">
        <v>301</v>
      </c>
      <c r="C4145" s="1" t="str">
        <f>IF(Tabela8[[#This Row],[SETOR]]="","",IF(Tabela8[[#This Row],[SETOR]]&lt;200,"GV 10",IF(Tabela8[[#This Row],[SETOR]]&lt;300,"GV 20",IF(Tabela8[[#This Row],[SETOR]]&lt;400,"GV 30","S/GV"))))</f>
        <v>GV 30</v>
      </c>
      <c r="E4145" t="s">
        <v>125</v>
      </c>
      <c r="G4145" t="str">
        <f>_xlfn.CONCAT(Tabela9[[#This Row],[Coluna1]],Tabela9[[#This Row],[Coluna2]])</f>
        <v>18-TRAD</v>
      </c>
    </row>
    <row r="4146" spans="1:7" x14ac:dyDescent="0.25">
      <c r="A4146">
        <v>18976</v>
      </c>
      <c r="B4146">
        <v>303</v>
      </c>
      <c r="C4146" s="1" t="str">
        <f>IF(Tabela8[[#This Row],[SETOR]]="","",IF(Tabela8[[#This Row],[SETOR]]&lt;200,"GV 10",IF(Tabela8[[#This Row],[SETOR]]&lt;300,"GV 20",IF(Tabela8[[#This Row],[SETOR]]&lt;400,"GV 30","S/GV"))))</f>
        <v>GV 30</v>
      </c>
      <c r="E4146" t="s">
        <v>123</v>
      </c>
      <c r="G4146" t="str">
        <f>_xlfn.CONCAT(Tabela9[[#This Row],[Coluna1]],Tabela9[[#This Row],[Coluna2]])</f>
        <v>20-Rota</v>
      </c>
    </row>
    <row r="4147" spans="1:7" x14ac:dyDescent="0.25">
      <c r="A4147">
        <v>18977</v>
      </c>
      <c r="B4147">
        <v>301</v>
      </c>
      <c r="C4147" s="1" t="str">
        <f>IF(Tabela8[[#This Row],[SETOR]]="","",IF(Tabela8[[#This Row],[SETOR]]&lt;200,"GV 10",IF(Tabela8[[#This Row],[SETOR]]&lt;300,"GV 20",IF(Tabela8[[#This Row],[SETOR]]&lt;400,"GV 30","S/GV"))))</f>
        <v>GV 30</v>
      </c>
      <c r="E4147" t="s">
        <v>123</v>
      </c>
      <c r="G4147" t="str">
        <f>_xlfn.CONCAT(Tabela9[[#This Row],[Coluna1]],Tabela9[[#This Row],[Coluna2]])</f>
        <v>20-Rota</v>
      </c>
    </row>
    <row r="4148" spans="1:7" x14ac:dyDescent="0.25">
      <c r="A4148">
        <v>18978</v>
      </c>
      <c r="B4148">
        <v>205</v>
      </c>
      <c r="C4148" s="1" t="str">
        <f>IF(Tabela8[[#This Row],[SETOR]]="","",IF(Tabela8[[#This Row],[SETOR]]&lt;200,"GV 10",IF(Tabela8[[#This Row],[SETOR]]&lt;300,"GV 20",IF(Tabela8[[#This Row],[SETOR]]&lt;400,"GV 30","S/GV"))))</f>
        <v>GV 20</v>
      </c>
      <c r="E4148" t="s">
        <v>130</v>
      </c>
      <c r="G4148" t="str">
        <f>_xlfn.CONCAT(Tabela9[[#This Row],[Coluna1]],Tabela9[[#This Row],[Coluna2]])</f>
        <v>21-SUB</v>
      </c>
    </row>
    <row r="4149" spans="1:7" x14ac:dyDescent="0.25">
      <c r="A4149">
        <v>18979</v>
      </c>
      <c r="B4149">
        <v>303</v>
      </c>
      <c r="C4149" s="1" t="str">
        <f>IF(Tabela8[[#This Row],[SETOR]]="","",IF(Tabela8[[#This Row],[SETOR]]&lt;200,"GV 10",IF(Tabela8[[#This Row],[SETOR]]&lt;300,"GV 20",IF(Tabela8[[#This Row],[SETOR]]&lt;400,"GV 30","S/GV"))))</f>
        <v>GV 30</v>
      </c>
      <c r="E4149" t="s">
        <v>124</v>
      </c>
      <c r="G4149" t="str">
        <f>_xlfn.CONCAT(Tabela9[[#This Row],[Coluna1]],Tabela9[[#This Row],[Coluna2]])</f>
        <v>19-VIP</v>
      </c>
    </row>
    <row r="4150" spans="1:7" x14ac:dyDescent="0.25">
      <c r="A4150">
        <v>18980</v>
      </c>
      <c r="B4150">
        <v>101</v>
      </c>
      <c r="C4150" s="1" t="str">
        <f>IF(Tabela8[[#This Row],[SETOR]]="","",IF(Tabela8[[#This Row],[SETOR]]&lt;200,"GV 10",IF(Tabela8[[#This Row],[SETOR]]&lt;300,"GV 20",IF(Tabela8[[#This Row],[SETOR]]&lt;400,"GV 30","S/GV"))))</f>
        <v>GV 10</v>
      </c>
      <c r="E4150" t="s">
        <v>128</v>
      </c>
      <c r="F4150" t="s">
        <v>129</v>
      </c>
      <c r="G4150" t="str">
        <f>_xlfn.CONCAT(Tabela9[[#This Row],[Coluna1]],Tabela9[[#This Row],[Coluna2]])</f>
        <v>15-AS(1-4)</v>
      </c>
    </row>
    <row r="4151" spans="1:7" x14ac:dyDescent="0.25">
      <c r="A4151">
        <v>18981</v>
      </c>
      <c r="B4151">
        <v>106</v>
      </c>
      <c r="C4151" s="1" t="str">
        <f>IF(Tabela8[[#This Row],[SETOR]]="","",IF(Tabela8[[#This Row],[SETOR]]&lt;200,"GV 10",IF(Tabela8[[#This Row],[SETOR]]&lt;300,"GV 20",IF(Tabela8[[#This Row],[SETOR]]&lt;400,"GV 30","S/GV"))))</f>
        <v>GV 10</v>
      </c>
      <c r="E4151" t="s">
        <v>123</v>
      </c>
      <c r="G4151" t="str">
        <f>_xlfn.CONCAT(Tabela9[[#This Row],[Coluna1]],Tabela9[[#This Row],[Coluna2]])</f>
        <v>20-Rota</v>
      </c>
    </row>
    <row r="4152" spans="1:7" x14ac:dyDescent="0.25">
      <c r="A4152">
        <v>18983</v>
      </c>
      <c r="B4152">
        <v>916</v>
      </c>
      <c r="C4152" s="1" t="str">
        <f>IF(Tabela8[[#This Row],[SETOR]]="","",IF(Tabela8[[#This Row],[SETOR]]&lt;200,"GV 10",IF(Tabela8[[#This Row],[SETOR]]&lt;300,"GV 20",IF(Tabela8[[#This Row],[SETOR]]&lt;400,"GV 30","S/GV"))))</f>
        <v>S/GV</v>
      </c>
      <c r="G4152" t="str">
        <f>_xlfn.CONCAT(Tabela9[[#This Row],[Coluna1]],Tabela9[[#This Row],[Coluna2]])</f>
        <v/>
      </c>
    </row>
    <row r="4153" spans="1:7" x14ac:dyDescent="0.25">
      <c r="A4153">
        <v>18984</v>
      </c>
      <c r="B4153">
        <v>301</v>
      </c>
      <c r="C4153" s="1" t="str">
        <f>IF(Tabela8[[#This Row],[SETOR]]="","",IF(Tabela8[[#This Row],[SETOR]]&lt;200,"GV 10",IF(Tabela8[[#This Row],[SETOR]]&lt;300,"GV 20",IF(Tabela8[[#This Row],[SETOR]]&lt;400,"GV 30","S/GV"))))</f>
        <v>GV 30</v>
      </c>
      <c r="E4153" t="s">
        <v>123</v>
      </c>
      <c r="G4153" t="str">
        <f>_xlfn.CONCAT(Tabela9[[#This Row],[Coluna1]],Tabela9[[#This Row],[Coluna2]])</f>
        <v>20-Rota</v>
      </c>
    </row>
    <row r="4154" spans="1:7" x14ac:dyDescent="0.25">
      <c r="A4154">
        <v>18985</v>
      </c>
      <c r="B4154">
        <v>305</v>
      </c>
      <c r="C4154" s="1" t="str">
        <f>IF(Tabela8[[#This Row],[SETOR]]="","",IF(Tabela8[[#This Row],[SETOR]]&lt;200,"GV 10",IF(Tabela8[[#This Row],[SETOR]]&lt;300,"GV 20",IF(Tabela8[[#This Row],[SETOR]]&lt;400,"GV 30","S/GV"))))</f>
        <v>GV 30</v>
      </c>
      <c r="E4154" t="s">
        <v>123</v>
      </c>
      <c r="G4154" t="str">
        <f>_xlfn.CONCAT(Tabela9[[#This Row],[Coluna1]],Tabela9[[#This Row],[Coluna2]])</f>
        <v>20-Rota</v>
      </c>
    </row>
    <row r="4155" spans="1:7" x14ac:dyDescent="0.25">
      <c r="A4155">
        <v>18987</v>
      </c>
      <c r="B4155">
        <v>303</v>
      </c>
      <c r="C4155" s="1" t="str">
        <f>IF(Tabela8[[#This Row],[SETOR]]="","",IF(Tabela8[[#This Row],[SETOR]]&lt;200,"GV 10",IF(Tabela8[[#This Row],[SETOR]]&lt;300,"GV 20",IF(Tabela8[[#This Row],[SETOR]]&lt;400,"GV 30","S/GV"))))</f>
        <v>GV 30</v>
      </c>
      <c r="E4155" t="s">
        <v>133</v>
      </c>
      <c r="G4155" t="str">
        <f>_xlfn.CONCAT(Tabela9[[#This Row],[Coluna1]],Tabela9[[#This Row],[Coluna2]])</f>
        <v>35-OUTROS</v>
      </c>
    </row>
    <row r="4156" spans="1:7" x14ac:dyDescent="0.25">
      <c r="A4156">
        <v>18988</v>
      </c>
      <c r="B4156">
        <v>205</v>
      </c>
      <c r="C4156" s="1" t="str">
        <f>IF(Tabela8[[#This Row],[SETOR]]="","",IF(Tabela8[[#This Row],[SETOR]]&lt;200,"GV 10",IF(Tabela8[[#This Row],[SETOR]]&lt;300,"GV 20",IF(Tabela8[[#This Row],[SETOR]]&lt;400,"GV 30","S/GV"))))</f>
        <v>GV 20</v>
      </c>
      <c r="E4156" t="s">
        <v>123</v>
      </c>
      <c r="G4156" t="str">
        <f>_xlfn.CONCAT(Tabela9[[#This Row],[Coluna1]],Tabela9[[#This Row],[Coluna2]])</f>
        <v>20-Rota</v>
      </c>
    </row>
    <row r="4157" spans="1:7" x14ac:dyDescent="0.25">
      <c r="A4157">
        <v>18989</v>
      </c>
      <c r="B4157">
        <v>207</v>
      </c>
      <c r="C4157" s="1" t="str">
        <f>IF(Tabela8[[#This Row],[SETOR]]="","",IF(Tabela8[[#This Row],[SETOR]]&lt;200,"GV 10",IF(Tabela8[[#This Row],[SETOR]]&lt;300,"GV 20",IF(Tabela8[[#This Row],[SETOR]]&lt;400,"GV 30","S/GV"))))</f>
        <v>GV 20</v>
      </c>
      <c r="E4157" t="s">
        <v>130</v>
      </c>
      <c r="G4157" t="str">
        <f>_xlfn.CONCAT(Tabela9[[#This Row],[Coluna1]],Tabela9[[#This Row],[Coluna2]])</f>
        <v>21-SUB</v>
      </c>
    </row>
    <row r="4158" spans="1:7" x14ac:dyDescent="0.25">
      <c r="A4158">
        <v>18990</v>
      </c>
      <c r="B4158">
        <v>202</v>
      </c>
      <c r="C4158" s="1" t="str">
        <f>IF(Tabela8[[#This Row],[SETOR]]="","",IF(Tabela8[[#This Row],[SETOR]]&lt;200,"GV 10",IF(Tabela8[[#This Row],[SETOR]]&lt;300,"GV 20",IF(Tabela8[[#This Row],[SETOR]]&lt;400,"GV 30","S/GV"))))</f>
        <v>GV 20</v>
      </c>
      <c r="E4158" t="s">
        <v>123</v>
      </c>
      <c r="G4158" t="str">
        <f>_xlfn.CONCAT(Tabela9[[#This Row],[Coluna1]],Tabela9[[#This Row],[Coluna2]])</f>
        <v>20-Rota</v>
      </c>
    </row>
    <row r="4159" spans="1:7" x14ac:dyDescent="0.25">
      <c r="A4159">
        <v>18991</v>
      </c>
      <c r="B4159">
        <v>306</v>
      </c>
      <c r="C4159" s="1" t="str">
        <f>IF(Tabela8[[#This Row],[SETOR]]="","",IF(Tabela8[[#This Row],[SETOR]]&lt;200,"GV 10",IF(Tabela8[[#This Row],[SETOR]]&lt;300,"GV 20",IF(Tabela8[[#This Row],[SETOR]]&lt;400,"GV 30","S/GV"))))</f>
        <v>GV 30</v>
      </c>
      <c r="E4159" t="s">
        <v>128</v>
      </c>
      <c r="F4159" t="s">
        <v>129</v>
      </c>
      <c r="G4159" t="str">
        <f>_xlfn.CONCAT(Tabela9[[#This Row],[Coluna1]],Tabela9[[#This Row],[Coluna2]])</f>
        <v>15-AS(1-4)</v>
      </c>
    </row>
    <row r="4160" spans="1:7" x14ac:dyDescent="0.25">
      <c r="A4160">
        <v>18992</v>
      </c>
      <c r="B4160">
        <v>204</v>
      </c>
      <c r="C4160" s="1" t="str">
        <f>IF(Tabela8[[#This Row],[SETOR]]="","",IF(Tabela8[[#This Row],[SETOR]]&lt;200,"GV 10",IF(Tabela8[[#This Row],[SETOR]]&lt;300,"GV 20",IF(Tabela8[[#This Row],[SETOR]]&lt;400,"GV 30","S/GV"))))</f>
        <v>GV 20</v>
      </c>
      <c r="E4160" t="s">
        <v>123</v>
      </c>
      <c r="G4160" t="str">
        <f>_xlfn.CONCAT(Tabela9[[#This Row],[Coluna1]],Tabela9[[#This Row],[Coluna2]])</f>
        <v>20-Rota</v>
      </c>
    </row>
    <row r="4161" spans="1:7" x14ac:dyDescent="0.25">
      <c r="A4161">
        <v>18993</v>
      </c>
      <c r="B4161">
        <v>201</v>
      </c>
      <c r="C4161" s="1" t="str">
        <f>IF(Tabela8[[#This Row],[SETOR]]="","",IF(Tabela8[[#This Row],[SETOR]]&lt;200,"GV 10",IF(Tabela8[[#This Row],[SETOR]]&lt;300,"GV 20",IF(Tabela8[[#This Row],[SETOR]]&lt;400,"GV 30","S/GV"))))</f>
        <v>GV 20</v>
      </c>
      <c r="E4161" t="s">
        <v>123</v>
      </c>
      <c r="G4161" t="str">
        <f>_xlfn.CONCAT(Tabela9[[#This Row],[Coluna1]],Tabela9[[#This Row],[Coluna2]])</f>
        <v>20-Rota</v>
      </c>
    </row>
    <row r="4162" spans="1:7" x14ac:dyDescent="0.25">
      <c r="A4162">
        <v>18994</v>
      </c>
      <c r="B4162">
        <v>101</v>
      </c>
      <c r="C4162" s="1" t="str">
        <f>IF(Tabela8[[#This Row],[SETOR]]="","",IF(Tabela8[[#This Row],[SETOR]]&lt;200,"GV 10",IF(Tabela8[[#This Row],[SETOR]]&lt;300,"GV 20",IF(Tabela8[[#This Row],[SETOR]]&lt;400,"GV 30","S/GV"))))</f>
        <v>GV 10</v>
      </c>
      <c r="E4162" t="s">
        <v>125</v>
      </c>
      <c r="G4162" t="str">
        <f>_xlfn.CONCAT(Tabela9[[#This Row],[Coluna1]],Tabela9[[#This Row],[Coluna2]])</f>
        <v>18-TRAD</v>
      </c>
    </row>
    <row r="4163" spans="1:7" x14ac:dyDescent="0.25">
      <c r="A4163">
        <v>18995</v>
      </c>
      <c r="B4163">
        <v>302</v>
      </c>
      <c r="C4163" s="1" t="str">
        <f>IF(Tabela8[[#This Row],[SETOR]]="","",IF(Tabela8[[#This Row],[SETOR]]&lt;200,"GV 10",IF(Tabela8[[#This Row],[SETOR]]&lt;300,"GV 20",IF(Tabela8[[#This Row],[SETOR]]&lt;400,"GV 30","S/GV"))))</f>
        <v>GV 30</v>
      </c>
      <c r="E4163" t="s">
        <v>123</v>
      </c>
      <c r="G4163" t="str">
        <f>_xlfn.CONCAT(Tabela9[[#This Row],[Coluna1]],Tabela9[[#This Row],[Coluna2]])</f>
        <v>20-Rota</v>
      </c>
    </row>
    <row r="4164" spans="1:7" x14ac:dyDescent="0.25">
      <c r="A4164">
        <v>18996</v>
      </c>
      <c r="B4164">
        <v>205</v>
      </c>
      <c r="C4164" s="1" t="str">
        <f>IF(Tabela8[[#This Row],[SETOR]]="","",IF(Tabela8[[#This Row],[SETOR]]&lt;200,"GV 10",IF(Tabela8[[#This Row],[SETOR]]&lt;300,"GV 20",IF(Tabela8[[#This Row],[SETOR]]&lt;400,"GV 30","S/GV"))))</f>
        <v>GV 20</v>
      </c>
      <c r="E4164" t="s">
        <v>123</v>
      </c>
      <c r="G4164" t="str">
        <f>_xlfn.CONCAT(Tabela9[[#This Row],[Coluna1]],Tabela9[[#This Row],[Coluna2]])</f>
        <v>20-Rota</v>
      </c>
    </row>
    <row r="4165" spans="1:7" x14ac:dyDescent="0.25">
      <c r="A4165">
        <v>18997</v>
      </c>
      <c r="B4165">
        <v>302</v>
      </c>
      <c r="C4165" s="1" t="str">
        <f>IF(Tabela8[[#This Row],[SETOR]]="","",IF(Tabela8[[#This Row],[SETOR]]&lt;200,"GV 10",IF(Tabela8[[#This Row],[SETOR]]&lt;300,"GV 20",IF(Tabela8[[#This Row],[SETOR]]&lt;400,"GV 30","S/GV"))))</f>
        <v>GV 30</v>
      </c>
      <c r="E4165" t="s">
        <v>123</v>
      </c>
      <c r="G4165" t="str">
        <f>_xlfn.CONCAT(Tabela9[[#This Row],[Coluna1]],Tabela9[[#This Row],[Coluna2]])</f>
        <v>20-Rota</v>
      </c>
    </row>
    <row r="4166" spans="1:7" x14ac:dyDescent="0.25">
      <c r="A4166">
        <v>18998</v>
      </c>
      <c r="B4166">
        <v>304</v>
      </c>
      <c r="C4166" s="1" t="str">
        <f>IF(Tabela8[[#This Row],[SETOR]]="","",IF(Tabela8[[#This Row],[SETOR]]&lt;200,"GV 10",IF(Tabela8[[#This Row],[SETOR]]&lt;300,"GV 20",IF(Tabela8[[#This Row],[SETOR]]&lt;400,"GV 30","S/GV"))))</f>
        <v>GV 30</v>
      </c>
      <c r="E4166" t="s">
        <v>131</v>
      </c>
      <c r="F4166" t="s">
        <v>132</v>
      </c>
      <c r="G4166" t="str">
        <f>_xlfn.CONCAT(Tabela9[[#This Row],[Coluna1]],Tabela9[[#This Row],[Coluna2]])</f>
        <v>14-Lj.Conveniência</v>
      </c>
    </row>
    <row r="4167" spans="1:7" x14ac:dyDescent="0.25">
      <c r="A4167">
        <v>19002</v>
      </c>
      <c r="B4167">
        <v>207</v>
      </c>
      <c r="C4167" s="1" t="str">
        <f>IF(Tabela8[[#This Row],[SETOR]]="","",IF(Tabela8[[#This Row],[SETOR]]&lt;200,"GV 10",IF(Tabela8[[#This Row],[SETOR]]&lt;300,"GV 20",IF(Tabela8[[#This Row],[SETOR]]&lt;400,"GV 30","S/GV"))))</f>
        <v>GV 20</v>
      </c>
      <c r="E4167" t="s">
        <v>130</v>
      </c>
      <c r="G4167" t="str">
        <f>_xlfn.CONCAT(Tabela9[[#This Row],[Coluna1]],Tabela9[[#This Row],[Coluna2]])</f>
        <v>21-SUB</v>
      </c>
    </row>
    <row r="4168" spans="1:7" x14ac:dyDescent="0.25">
      <c r="A4168">
        <v>19003</v>
      </c>
      <c r="B4168">
        <v>104</v>
      </c>
      <c r="C4168" s="1" t="str">
        <f>IF(Tabela8[[#This Row],[SETOR]]="","",IF(Tabela8[[#This Row],[SETOR]]&lt;200,"GV 10",IF(Tabela8[[#This Row],[SETOR]]&lt;300,"GV 20",IF(Tabela8[[#This Row],[SETOR]]&lt;400,"GV 30","S/GV"))))</f>
        <v>GV 10</v>
      </c>
      <c r="E4168" t="s">
        <v>123</v>
      </c>
      <c r="G4168" t="str">
        <f>_xlfn.CONCAT(Tabela9[[#This Row],[Coluna1]],Tabela9[[#This Row],[Coluna2]])</f>
        <v>20-Rota</v>
      </c>
    </row>
    <row r="4169" spans="1:7" x14ac:dyDescent="0.25">
      <c r="A4169">
        <v>19005</v>
      </c>
      <c r="B4169">
        <v>105</v>
      </c>
      <c r="C4169" s="1" t="str">
        <f>IF(Tabela8[[#This Row],[SETOR]]="","",IF(Tabela8[[#This Row],[SETOR]]&lt;200,"GV 10",IF(Tabela8[[#This Row],[SETOR]]&lt;300,"GV 20",IF(Tabela8[[#This Row],[SETOR]]&lt;400,"GV 30","S/GV"))))</f>
        <v>GV 10</v>
      </c>
      <c r="E4169" t="s">
        <v>123</v>
      </c>
      <c r="G4169" t="str">
        <f>_xlfn.CONCAT(Tabela9[[#This Row],[Coluna1]],Tabela9[[#This Row],[Coluna2]])</f>
        <v>20-Rota</v>
      </c>
    </row>
    <row r="4170" spans="1:7" x14ac:dyDescent="0.25">
      <c r="A4170">
        <v>19007</v>
      </c>
      <c r="B4170">
        <v>301</v>
      </c>
      <c r="C4170" s="1" t="str">
        <f>IF(Tabela8[[#This Row],[SETOR]]="","",IF(Tabela8[[#This Row],[SETOR]]&lt;200,"GV 10",IF(Tabela8[[#This Row],[SETOR]]&lt;300,"GV 20",IF(Tabela8[[#This Row],[SETOR]]&lt;400,"GV 30","S/GV"))))</f>
        <v>GV 30</v>
      </c>
      <c r="E4170" t="s">
        <v>123</v>
      </c>
      <c r="G4170" t="str">
        <f>_xlfn.CONCAT(Tabela9[[#This Row],[Coluna1]],Tabela9[[#This Row],[Coluna2]])</f>
        <v>20-Rota</v>
      </c>
    </row>
    <row r="4171" spans="1:7" x14ac:dyDescent="0.25">
      <c r="A4171">
        <v>19008</v>
      </c>
      <c r="B4171">
        <v>206</v>
      </c>
      <c r="C4171" s="1" t="str">
        <f>IF(Tabela8[[#This Row],[SETOR]]="","",IF(Tabela8[[#This Row],[SETOR]]&lt;200,"GV 10",IF(Tabela8[[#This Row],[SETOR]]&lt;300,"GV 20",IF(Tabela8[[#This Row],[SETOR]]&lt;400,"GV 30","S/GV"))))</f>
        <v>GV 20</v>
      </c>
      <c r="E4171" t="s">
        <v>123</v>
      </c>
      <c r="G4171" t="str">
        <f>_xlfn.CONCAT(Tabela9[[#This Row],[Coluna1]],Tabela9[[#This Row],[Coluna2]])</f>
        <v>20-Rota</v>
      </c>
    </row>
    <row r="4172" spans="1:7" x14ac:dyDescent="0.25">
      <c r="A4172">
        <v>19009</v>
      </c>
      <c r="B4172">
        <v>206</v>
      </c>
      <c r="C4172" s="1" t="str">
        <f>IF(Tabela8[[#This Row],[SETOR]]="","",IF(Tabela8[[#This Row],[SETOR]]&lt;200,"GV 10",IF(Tabela8[[#This Row],[SETOR]]&lt;300,"GV 20",IF(Tabela8[[#This Row],[SETOR]]&lt;400,"GV 30","S/GV"))))</f>
        <v>GV 20</v>
      </c>
      <c r="E4172" t="s">
        <v>123</v>
      </c>
      <c r="G4172" t="str">
        <f>_xlfn.CONCAT(Tabela9[[#This Row],[Coluna1]],Tabela9[[#This Row],[Coluna2]])</f>
        <v>20-Rota</v>
      </c>
    </row>
    <row r="4173" spans="1:7" x14ac:dyDescent="0.25">
      <c r="A4173">
        <v>19010</v>
      </c>
      <c r="B4173">
        <v>206</v>
      </c>
      <c r="C4173" s="1" t="str">
        <f>IF(Tabela8[[#This Row],[SETOR]]="","",IF(Tabela8[[#This Row],[SETOR]]&lt;200,"GV 10",IF(Tabela8[[#This Row],[SETOR]]&lt;300,"GV 20",IF(Tabela8[[#This Row],[SETOR]]&lt;400,"GV 30","S/GV"))))</f>
        <v>GV 20</v>
      </c>
      <c r="E4173" t="s">
        <v>123</v>
      </c>
      <c r="G4173" t="str">
        <f>_xlfn.CONCAT(Tabela9[[#This Row],[Coluna1]],Tabela9[[#This Row],[Coluna2]])</f>
        <v>20-Rota</v>
      </c>
    </row>
    <row r="4174" spans="1:7" x14ac:dyDescent="0.25">
      <c r="A4174">
        <v>19011</v>
      </c>
      <c r="B4174">
        <v>206</v>
      </c>
      <c r="C4174" s="1" t="str">
        <f>IF(Tabela8[[#This Row],[SETOR]]="","",IF(Tabela8[[#This Row],[SETOR]]&lt;200,"GV 10",IF(Tabela8[[#This Row],[SETOR]]&lt;300,"GV 20",IF(Tabela8[[#This Row],[SETOR]]&lt;400,"GV 30","S/GV"))))</f>
        <v>GV 20</v>
      </c>
      <c r="E4174" t="s">
        <v>123</v>
      </c>
      <c r="G4174" t="str">
        <f>_xlfn.CONCAT(Tabela9[[#This Row],[Coluna1]],Tabela9[[#This Row],[Coluna2]])</f>
        <v>20-Rota</v>
      </c>
    </row>
    <row r="4175" spans="1:7" x14ac:dyDescent="0.25">
      <c r="A4175">
        <v>19013</v>
      </c>
      <c r="B4175">
        <v>102</v>
      </c>
      <c r="C4175" s="1" t="str">
        <f>IF(Tabela8[[#This Row],[SETOR]]="","",IF(Tabela8[[#This Row],[SETOR]]&lt;200,"GV 10",IF(Tabela8[[#This Row],[SETOR]]&lt;300,"GV 20",IF(Tabela8[[#This Row],[SETOR]]&lt;400,"GV 30","S/GV"))))</f>
        <v>GV 10</v>
      </c>
      <c r="E4175" t="s">
        <v>123</v>
      </c>
      <c r="G4175" t="str">
        <f>_xlfn.CONCAT(Tabela9[[#This Row],[Coluna1]],Tabela9[[#This Row],[Coluna2]])</f>
        <v>20-Rota</v>
      </c>
    </row>
    <row r="4176" spans="1:7" x14ac:dyDescent="0.25">
      <c r="A4176">
        <v>19014</v>
      </c>
      <c r="B4176">
        <v>201</v>
      </c>
      <c r="C4176" s="1" t="str">
        <f>IF(Tabela8[[#This Row],[SETOR]]="","",IF(Tabela8[[#This Row],[SETOR]]&lt;200,"GV 10",IF(Tabela8[[#This Row],[SETOR]]&lt;300,"GV 20",IF(Tabela8[[#This Row],[SETOR]]&lt;400,"GV 30","S/GV"))))</f>
        <v>GV 20</v>
      </c>
      <c r="E4176" t="s">
        <v>125</v>
      </c>
      <c r="G4176" t="str">
        <f>_xlfn.CONCAT(Tabela9[[#This Row],[Coluna1]],Tabela9[[#This Row],[Coluna2]])</f>
        <v>18-TRAD</v>
      </c>
    </row>
    <row r="4177" spans="1:7" x14ac:dyDescent="0.25">
      <c r="A4177">
        <v>19015</v>
      </c>
      <c r="B4177">
        <v>302</v>
      </c>
      <c r="C4177" s="1" t="str">
        <f>IF(Tabela8[[#This Row],[SETOR]]="","",IF(Tabela8[[#This Row],[SETOR]]&lt;200,"GV 10",IF(Tabela8[[#This Row],[SETOR]]&lt;300,"GV 20",IF(Tabela8[[#This Row],[SETOR]]&lt;400,"GV 30","S/GV"))))</f>
        <v>GV 30</v>
      </c>
      <c r="E4177" t="s">
        <v>123</v>
      </c>
      <c r="G4177" t="str">
        <f>_xlfn.CONCAT(Tabela9[[#This Row],[Coluna1]],Tabela9[[#This Row],[Coluna2]])</f>
        <v>20-Rota</v>
      </c>
    </row>
    <row r="4178" spans="1:7" x14ac:dyDescent="0.25">
      <c r="A4178">
        <v>19016</v>
      </c>
      <c r="B4178">
        <v>303</v>
      </c>
      <c r="C4178" s="1" t="str">
        <f>IF(Tabela8[[#This Row],[SETOR]]="","",IF(Tabela8[[#This Row],[SETOR]]&lt;200,"GV 10",IF(Tabela8[[#This Row],[SETOR]]&lt;300,"GV 20",IF(Tabela8[[#This Row],[SETOR]]&lt;400,"GV 30","S/GV"))))</f>
        <v>GV 30</v>
      </c>
      <c r="E4178" t="s">
        <v>123</v>
      </c>
      <c r="G4178" t="str">
        <f>_xlfn.CONCAT(Tabela9[[#This Row],[Coluna1]],Tabela9[[#This Row],[Coluna2]])</f>
        <v>20-Rota</v>
      </c>
    </row>
    <row r="4179" spans="1:7" x14ac:dyDescent="0.25">
      <c r="A4179">
        <v>19017</v>
      </c>
      <c r="B4179">
        <v>301</v>
      </c>
      <c r="C4179" s="1" t="str">
        <f>IF(Tabela8[[#This Row],[SETOR]]="","",IF(Tabela8[[#This Row],[SETOR]]&lt;200,"GV 10",IF(Tabela8[[#This Row],[SETOR]]&lt;300,"GV 20",IF(Tabela8[[#This Row],[SETOR]]&lt;400,"GV 30","S/GV"))))</f>
        <v>GV 30</v>
      </c>
      <c r="E4179" t="s">
        <v>123</v>
      </c>
      <c r="G4179" t="str">
        <f>_xlfn.CONCAT(Tabela9[[#This Row],[Coluna1]],Tabela9[[#This Row],[Coluna2]])</f>
        <v>20-Rota</v>
      </c>
    </row>
    <row r="4180" spans="1:7" x14ac:dyDescent="0.25">
      <c r="A4180">
        <v>19018</v>
      </c>
      <c r="B4180">
        <v>303</v>
      </c>
      <c r="C4180" s="1" t="str">
        <f>IF(Tabela8[[#This Row],[SETOR]]="","",IF(Tabela8[[#This Row],[SETOR]]&lt;200,"GV 10",IF(Tabela8[[#This Row],[SETOR]]&lt;300,"GV 20",IF(Tabela8[[#This Row],[SETOR]]&lt;400,"GV 30","S/GV"))))</f>
        <v>GV 30</v>
      </c>
      <c r="E4180" t="s">
        <v>125</v>
      </c>
      <c r="G4180" t="str">
        <f>_xlfn.CONCAT(Tabela9[[#This Row],[Coluna1]],Tabela9[[#This Row],[Coluna2]])</f>
        <v>18-TRAD</v>
      </c>
    </row>
    <row r="4181" spans="1:7" x14ac:dyDescent="0.25">
      <c r="A4181">
        <v>19020</v>
      </c>
      <c r="B4181">
        <v>103</v>
      </c>
      <c r="C4181" s="1" t="str">
        <f>IF(Tabela8[[#This Row],[SETOR]]="","",IF(Tabela8[[#This Row],[SETOR]]&lt;200,"GV 10",IF(Tabela8[[#This Row],[SETOR]]&lt;300,"GV 20",IF(Tabela8[[#This Row],[SETOR]]&lt;400,"GV 30","S/GV"))))</f>
        <v>GV 10</v>
      </c>
      <c r="E4181" t="s">
        <v>123</v>
      </c>
      <c r="G4181" t="str">
        <f>_xlfn.CONCAT(Tabela9[[#This Row],[Coluna1]],Tabela9[[#This Row],[Coluna2]])</f>
        <v>20-Rota</v>
      </c>
    </row>
    <row r="4182" spans="1:7" x14ac:dyDescent="0.25">
      <c r="A4182">
        <v>19021</v>
      </c>
      <c r="B4182">
        <v>301</v>
      </c>
      <c r="C4182" s="1" t="str">
        <f>IF(Tabela8[[#This Row],[SETOR]]="","",IF(Tabela8[[#This Row],[SETOR]]&lt;200,"GV 10",IF(Tabela8[[#This Row],[SETOR]]&lt;300,"GV 20",IF(Tabela8[[#This Row],[SETOR]]&lt;400,"GV 30","S/GV"))))</f>
        <v>GV 30</v>
      </c>
      <c r="E4182" t="s">
        <v>123</v>
      </c>
      <c r="G4182" t="str">
        <f>_xlfn.CONCAT(Tabela9[[#This Row],[Coluna1]],Tabela9[[#This Row],[Coluna2]])</f>
        <v>20-Rota</v>
      </c>
    </row>
    <row r="4183" spans="1:7" x14ac:dyDescent="0.25">
      <c r="A4183">
        <v>19022</v>
      </c>
      <c r="B4183">
        <v>205</v>
      </c>
      <c r="C4183" s="1" t="str">
        <f>IF(Tabela8[[#This Row],[SETOR]]="","",IF(Tabela8[[#This Row],[SETOR]]&lt;200,"GV 10",IF(Tabela8[[#This Row],[SETOR]]&lt;300,"GV 20",IF(Tabela8[[#This Row],[SETOR]]&lt;400,"GV 30","S/GV"))))</f>
        <v>GV 20</v>
      </c>
      <c r="E4183" t="s">
        <v>123</v>
      </c>
      <c r="G4183" t="str">
        <f>_xlfn.CONCAT(Tabela9[[#This Row],[Coluna1]],Tabela9[[#This Row],[Coluna2]])</f>
        <v>20-Rota</v>
      </c>
    </row>
    <row r="4184" spans="1:7" x14ac:dyDescent="0.25">
      <c r="A4184">
        <v>19023</v>
      </c>
      <c r="B4184">
        <v>207</v>
      </c>
      <c r="C4184" s="1" t="str">
        <f>IF(Tabela8[[#This Row],[SETOR]]="","",IF(Tabela8[[#This Row],[SETOR]]&lt;200,"GV 10",IF(Tabela8[[#This Row],[SETOR]]&lt;300,"GV 20",IF(Tabela8[[#This Row],[SETOR]]&lt;400,"GV 30","S/GV"))))</f>
        <v>GV 20</v>
      </c>
      <c r="E4184" t="s">
        <v>130</v>
      </c>
      <c r="G4184" t="str">
        <f>_xlfn.CONCAT(Tabela9[[#This Row],[Coluna1]],Tabela9[[#This Row],[Coluna2]])</f>
        <v>21-SUB</v>
      </c>
    </row>
    <row r="4185" spans="1:7" x14ac:dyDescent="0.25">
      <c r="A4185">
        <v>19024</v>
      </c>
      <c r="B4185">
        <v>307</v>
      </c>
      <c r="C4185" s="1" t="str">
        <f>IF(Tabela8[[#This Row],[SETOR]]="","",IF(Tabela8[[#This Row],[SETOR]]&lt;200,"GV 10",IF(Tabela8[[#This Row],[SETOR]]&lt;300,"GV 20",IF(Tabela8[[#This Row],[SETOR]]&lt;400,"GV 30","S/GV"))))</f>
        <v>GV 30</v>
      </c>
      <c r="E4185" t="s">
        <v>130</v>
      </c>
      <c r="G4185" t="str">
        <f>_xlfn.CONCAT(Tabela9[[#This Row],[Coluna1]],Tabela9[[#This Row],[Coluna2]])</f>
        <v>21-SUB</v>
      </c>
    </row>
    <row r="4186" spans="1:7" x14ac:dyDescent="0.25">
      <c r="A4186">
        <v>19025</v>
      </c>
      <c r="B4186">
        <v>203</v>
      </c>
      <c r="C4186" s="1" t="str">
        <f>IF(Tabela8[[#This Row],[SETOR]]="","",IF(Tabela8[[#This Row],[SETOR]]&lt;200,"GV 10",IF(Tabela8[[#This Row],[SETOR]]&lt;300,"GV 20",IF(Tabela8[[#This Row],[SETOR]]&lt;400,"GV 30","S/GV"))))</f>
        <v>GV 20</v>
      </c>
      <c r="E4186" t="s">
        <v>123</v>
      </c>
      <c r="G4186" t="str">
        <f>_xlfn.CONCAT(Tabela9[[#This Row],[Coluna1]],Tabela9[[#This Row],[Coluna2]])</f>
        <v>20-Rota</v>
      </c>
    </row>
    <row r="4187" spans="1:7" x14ac:dyDescent="0.25">
      <c r="A4187">
        <v>19026</v>
      </c>
      <c r="B4187">
        <v>102</v>
      </c>
      <c r="C4187" s="1" t="str">
        <f>IF(Tabela8[[#This Row],[SETOR]]="","",IF(Tabela8[[#This Row],[SETOR]]&lt;200,"GV 10",IF(Tabela8[[#This Row],[SETOR]]&lt;300,"GV 20",IF(Tabela8[[#This Row],[SETOR]]&lt;400,"GV 30","S/GV"))))</f>
        <v>GV 10</v>
      </c>
      <c r="E4187" t="s">
        <v>123</v>
      </c>
      <c r="G4187" t="str">
        <f>_xlfn.CONCAT(Tabela9[[#This Row],[Coluna1]],Tabela9[[#This Row],[Coluna2]])</f>
        <v>20-Rota</v>
      </c>
    </row>
    <row r="4188" spans="1:7" x14ac:dyDescent="0.25">
      <c r="A4188">
        <v>19027</v>
      </c>
      <c r="B4188">
        <v>301</v>
      </c>
      <c r="C4188" s="1" t="str">
        <f>IF(Tabela8[[#This Row],[SETOR]]="","",IF(Tabela8[[#This Row],[SETOR]]&lt;200,"GV 10",IF(Tabela8[[#This Row],[SETOR]]&lt;300,"GV 20",IF(Tabela8[[#This Row],[SETOR]]&lt;400,"GV 30","S/GV"))))</f>
        <v>GV 30</v>
      </c>
      <c r="E4188" t="s">
        <v>123</v>
      </c>
      <c r="G4188" t="str">
        <f>_xlfn.CONCAT(Tabela9[[#This Row],[Coluna1]],Tabela9[[#This Row],[Coluna2]])</f>
        <v>20-Rota</v>
      </c>
    </row>
    <row r="4189" spans="1:7" x14ac:dyDescent="0.25">
      <c r="A4189">
        <v>19028</v>
      </c>
      <c r="B4189">
        <v>304</v>
      </c>
      <c r="C4189" s="1" t="str">
        <f>IF(Tabela8[[#This Row],[SETOR]]="","",IF(Tabela8[[#This Row],[SETOR]]&lt;200,"GV 10",IF(Tabela8[[#This Row],[SETOR]]&lt;300,"GV 20",IF(Tabela8[[#This Row],[SETOR]]&lt;400,"GV 30","S/GV"))))</f>
        <v>GV 30</v>
      </c>
      <c r="E4189" t="s">
        <v>130</v>
      </c>
      <c r="G4189" t="str">
        <f>_xlfn.CONCAT(Tabela9[[#This Row],[Coluna1]],Tabela9[[#This Row],[Coluna2]])</f>
        <v>21-SUB</v>
      </c>
    </row>
    <row r="4190" spans="1:7" x14ac:dyDescent="0.25">
      <c r="A4190">
        <v>19030</v>
      </c>
      <c r="B4190">
        <v>205</v>
      </c>
      <c r="C4190" s="1" t="str">
        <f>IF(Tabela8[[#This Row],[SETOR]]="","",IF(Tabela8[[#This Row],[SETOR]]&lt;200,"GV 10",IF(Tabela8[[#This Row],[SETOR]]&lt;300,"GV 20",IF(Tabela8[[#This Row],[SETOR]]&lt;400,"GV 30","S/GV"))))</f>
        <v>GV 20</v>
      </c>
      <c r="E4190" t="s">
        <v>123</v>
      </c>
      <c r="G4190" t="str">
        <f>_xlfn.CONCAT(Tabela9[[#This Row],[Coluna1]],Tabela9[[#This Row],[Coluna2]])</f>
        <v>20-Rota</v>
      </c>
    </row>
    <row r="4191" spans="1:7" x14ac:dyDescent="0.25">
      <c r="A4191">
        <v>19031</v>
      </c>
      <c r="B4191">
        <v>307</v>
      </c>
      <c r="C4191" s="1" t="str">
        <f>IF(Tabela8[[#This Row],[SETOR]]="","",IF(Tabela8[[#This Row],[SETOR]]&lt;200,"GV 10",IF(Tabela8[[#This Row],[SETOR]]&lt;300,"GV 20",IF(Tabela8[[#This Row],[SETOR]]&lt;400,"GV 30","S/GV"))))</f>
        <v>GV 30</v>
      </c>
      <c r="E4191" t="s">
        <v>130</v>
      </c>
      <c r="G4191" t="str">
        <f>_xlfn.CONCAT(Tabela9[[#This Row],[Coluna1]],Tabela9[[#This Row],[Coluna2]])</f>
        <v>21-SUB</v>
      </c>
    </row>
    <row r="4192" spans="1:7" x14ac:dyDescent="0.25">
      <c r="A4192">
        <v>19032</v>
      </c>
      <c r="B4192">
        <v>205</v>
      </c>
      <c r="C4192" s="1" t="str">
        <f>IF(Tabela8[[#This Row],[SETOR]]="","",IF(Tabela8[[#This Row],[SETOR]]&lt;200,"GV 10",IF(Tabela8[[#This Row],[SETOR]]&lt;300,"GV 20",IF(Tabela8[[#This Row],[SETOR]]&lt;400,"GV 30","S/GV"))))</f>
        <v>GV 20</v>
      </c>
      <c r="E4192" t="s">
        <v>130</v>
      </c>
      <c r="G4192" t="str">
        <f>_xlfn.CONCAT(Tabela9[[#This Row],[Coluna1]],Tabela9[[#This Row],[Coluna2]])</f>
        <v>21-SUB</v>
      </c>
    </row>
    <row r="4193" spans="1:7" x14ac:dyDescent="0.25">
      <c r="A4193">
        <v>19033</v>
      </c>
      <c r="B4193">
        <v>108</v>
      </c>
      <c r="C4193" s="1" t="str">
        <f>IF(Tabela8[[#This Row],[SETOR]]="","",IF(Tabela8[[#This Row],[SETOR]]&lt;200,"GV 10",IF(Tabela8[[#This Row],[SETOR]]&lt;300,"GV 20",IF(Tabela8[[#This Row],[SETOR]]&lt;400,"GV 30","S/GV"))))</f>
        <v>GV 10</v>
      </c>
      <c r="E4193" t="s">
        <v>126</v>
      </c>
      <c r="F4193" t="s">
        <v>127</v>
      </c>
      <c r="G4193" t="str">
        <f>_xlfn.CONCAT(Tabela9[[#This Row],[Coluna1]],Tabela9[[#This Row],[Coluna2]])</f>
        <v>16-AS(5+)</v>
      </c>
    </row>
    <row r="4194" spans="1:7" x14ac:dyDescent="0.25">
      <c r="A4194">
        <v>19034</v>
      </c>
      <c r="B4194">
        <v>201</v>
      </c>
      <c r="C4194" s="1" t="str">
        <f>IF(Tabela8[[#This Row],[SETOR]]="","",IF(Tabela8[[#This Row],[SETOR]]&lt;200,"GV 10",IF(Tabela8[[#This Row],[SETOR]]&lt;300,"GV 20",IF(Tabela8[[#This Row],[SETOR]]&lt;400,"GV 30","S/GV"))))</f>
        <v>GV 20</v>
      </c>
      <c r="E4194" t="s">
        <v>123</v>
      </c>
      <c r="G4194" t="str">
        <f>_xlfn.CONCAT(Tabela9[[#This Row],[Coluna1]],Tabela9[[#This Row],[Coluna2]])</f>
        <v>20-Rota</v>
      </c>
    </row>
    <row r="4195" spans="1:7" x14ac:dyDescent="0.25">
      <c r="A4195">
        <v>19035</v>
      </c>
      <c r="B4195">
        <v>203</v>
      </c>
      <c r="C4195" s="1" t="str">
        <f>IF(Tabela8[[#This Row],[SETOR]]="","",IF(Tabela8[[#This Row],[SETOR]]&lt;200,"GV 10",IF(Tabela8[[#This Row],[SETOR]]&lt;300,"GV 20",IF(Tabela8[[#This Row],[SETOR]]&lt;400,"GV 30","S/GV"))))</f>
        <v>GV 20</v>
      </c>
      <c r="G4195" t="str">
        <f>_xlfn.CONCAT(Tabela9[[#This Row],[Coluna1]],Tabela9[[#This Row],[Coluna2]])</f>
        <v/>
      </c>
    </row>
    <row r="4196" spans="1:7" x14ac:dyDescent="0.25">
      <c r="A4196">
        <v>19036</v>
      </c>
      <c r="B4196">
        <v>308</v>
      </c>
      <c r="C4196" s="1" t="str">
        <f>IF(Tabela8[[#This Row],[SETOR]]="","",IF(Tabela8[[#This Row],[SETOR]]&lt;200,"GV 10",IF(Tabela8[[#This Row],[SETOR]]&lt;300,"GV 20",IF(Tabela8[[#This Row],[SETOR]]&lt;400,"GV 30","S/GV"))))</f>
        <v>GV 30</v>
      </c>
      <c r="E4196" t="s">
        <v>128</v>
      </c>
      <c r="F4196" t="s">
        <v>129</v>
      </c>
      <c r="G4196" t="str">
        <f>_xlfn.CONCAT(Tabela9[[#This Row],[Coluna1]],Tabela9[[#This Row],[Coluna2]])</f>
        <v>15-AS(1-4)</v>
      </c>
    </row>
    <row r="4197" spans="1:7" x14ac:dyDescent="0.25">
      <c r="A4197">
        <v>19037</v>
      </c>
      <c r="B4197">
        <v>203</v>
      </c>
      <c r="C4197" s="1" t="str">
        <f>IF(Tabela8[[#This Row],[SETOR]]="","",IF(Tabela8[[#This Row],[SETOR]]&lt;200,"GV 10",IF(Tabela8[[#This Row],[SETOR]]&lt;300,"GV 20",IF(Tabela8[[#This Row],[SETOR]]&lt;400,"GV 30","S/GV"))))</f>
        <v>GV 20</v>
      </c>
      <c r="E4197" t="s">
        <v>125</v>
      </c>
      <c r="G4197" t="str">
        <f>_xlfn.CONCAT(Tabela9[[#This Row],[Coluna1]],Tabela9[[#This Row],[Coluna2]])</f>
        <v>18-TRAD</v>
      </c>
    </row>
    <row r="4198" spans="1:7" x14ac:dyDescent="0.25">
      <c r="A4198">
        <v>19038</v>
      </c>
      <c r="B4198">
        <v>102</v>
      </c>
      <c r="C4198" s="1" t="str">
        <f>IF(Tabela8[[#This Row],[SETOR]]="","",IF(Tabela8[[#This Row],[SETOR]]&lt;200,"GV 10",IF(Tabela8[[#This Row],[SETOR]]&lt;300,"GV 20",IF(Tabela8[[#This Row],[SETOR]]&lt;400,"GV 30","S/GV"))))</f>
        <v>GV 10</v>
      </c>
      <c r="E4198" t="s">
        <v>123</v>
      </c>
      <c r="G4198" t="str">
        <f>_xlfn.CONCAT(Tabela9[[#This Row],[Coluna1]],Tabela9[[#This Row],[Coluna2]])</f>
        <v>20-Rota</v>
      </c>
    </row>
    <row r="4199" spans="1:7" x14ac:dyDescent="0.25">
      <c r="A4199">
        <v>19039</v>
      </c>
      <c r="B4199">
        <v>106</v>
      </c>
      <c r="C4199" s="1" t="str">
        <f>IF(Tabela8[[#This Row],[SETOR]]="","",IF(Tabela8[[#This Row],[SETOR]]&lt;200,"GV 10",IF(Tabela8[[#This Row],[SETOR]]&lt;300,"GV 20",IF(Tabela8[[#This Row],[SETOR]]&lt;400,"GV 30","S/GV"))))</f>
        <v>GV 10</v>
      </c>
      <c r="E4199" t="s">
        <v>123</v>
      </c>
      <c r="G4199" t="str">
        <f>_xlfn.CONCAT(Tabela9[[#This Row],[Coluna1]],Tabela9[[#This Row],[Coluna2]])</f>
        <v>20-Rota</v>
      </c>
    </row>
    <row r="4200" spans="1:7" x14ac:dyDescent="0.25">
      <c r="A4200">
        <v>19040</v>
      </c>
      <c r="B4200">
        <v>203</v>
      </c>
      <c r="C4200" s="1" t="str">
        <f>IF(Tabela8[[#This Row],[SETOR]]="","",IF(Tabela8[[#This Row],[SETOR]]&lt;200,"GV 10",IF(Tabela8[[#This Row],[SETOR]]&lt;300,"GV 20",IF(Tabela8[[#This Row],[SETOR]]&lt;400,"GV 30","S/GV"))))</f>
        <v>GV 20</v>
      </c>
      <c r="E4200" t="s">
        <v>123</v>
      </c>
      <c r="G4200" t="str">
        <f>_xlfn.CONCAT(Tabela9[[#This Row],[Coluna1]],Tabela9[[#This Row],[Coluna2]])</f>
        <v>20-Rota</v>
      </c>
    </row>
    <row r="4201" spans="1:7" x14ac:dyDescent="0.25">
      <c r="A4201">
        <v>19041</v>
      </c>
      <c r="B4201">
        <v>101</v>
      </c>
      <c r="C4201" s="1" t="str">
        <f>IF(Tabela8[[#This Row],[SETOR]]="","",IF(Tabela8[[#This Row],[SETOR]]&lt;200,"GV 10",IF(Tabela8[[#This Row],[SETOR]]&lt;300,"GV 20",IF(Tabela8[[#This Row],[SETOR]]&lt;400,"GV 30","S/GV"))))</f>
        <v>GV 10</v>
      </c>
      <c r="E4201" t="s">
        <v>123</v>
      </c>
      <c r="G4201" t="str">
        <f>_xlfn.CONCAT(Tabela9[[#This Row],[Coluna1]],Tabela9[[#This Row],[Coluna2]])</f>
        <v>20-Rota</v>
      </c>
    </row>
    <row r="4202" spans="1:7" x14ac:dyDescent="0.25">
      <c r="A4202">
        <v>19042</v>
      </c>
      <c r="B4202">
        <v>101</v>
      </c>
      <c r="C4202" s="1" t="str">
        <f>IF(Tabela8[[#This Row],[SETOR]]="","",IF(Tabela8[[#This Row],[SETOR]]&lt;200,"GV 10",IF(Tabela8[[#This Row],[SETOR]]&lt;300,"GV 20",IF(Tabela8[[#This Row],[SETOR]]&lt;400,"GV 30","S/GV"))))</f>
        <v>GV 10</v>
      </c>
      <c r="E4202" t="s">
        <v>123</v>
      </c>
      <c r="G4202" t="str">
        <f>_xlfn.CONCAT(Tabela9[[#This Row],[Coluna1]],Tabela9[[#This Row],[Coluna2]])</f>
        <v>20-Rota</v>
      </c>
    </row>
    <row r="4203" spans="1:7" x14ac:dyDescent="0.25">
      <c r="A4203">
        <v>19043</v>
      </c>
      <c r="B4203">
        <v>102</v>
      </c>
      <c r="C4203" s="1" t="str">
        <f>IF(Tabela8[[#This Row],[SETOR]]="","",IF(Tabela8[[#This Row],[SETOR]]&lt;200,"GV 10",IF(Tabela8[[#This Row],[SETOR]]&lt;300,"GV 20",IF(Tabela8[[#This Row],[SETOR]]&lt;400,"GV 30","S/GV"))))</f>
        <v>GV 10</v>
      </c>
      <c r="E4203" t="s">
        <v>123</v>
      </c>
      <c r="G4203" t="str">
        <f>_xlfn.CONCAT(Tabela9[[#This Row],[Coluna1]],Tabela9[[#This Row],[Coluna2]])</f>
        <v>20-Rota</v>
      </c>
    </row>
    <row r="4204" spans="1:7" x14ac:dyDescent="0.25">
      <c r="A4204">
        <v>19044</v>
      </c>
      <c r="B4204">
        <v>203</v>
      </c>
      <c r="C4204" s="1" t="str">
        <f>IF(Tabela8[[#This Row],[SETOR]]="","",IF(Tabela8[[#This Row],[SETOR]]&lt;200,"GV 10",IF(Tabela8[[#This Row],[SETOR]]&lt;300,"GV 20",IF(Tabela8[[#This Row],[SETOR]]&lt;400,"GV 30","S/GV"))))</f>
        <v>GV 20</v>
      </c>
      <c r="E4204" t="s">
        <v>125</v>
      </c>
      <c r="G4204" t="str">
        <f>_xlfn.CONCAT(Tabela9[[#This Row],[Coluna1]],Tabela9[[#This Row],[Coluna2]])</f>
        <v>18-TRAD</v>
      </c>
    </row>
    <row r="4205" spans="1:7" x14ac:dyDescent="0.25">
      <c r="A4205">
        <v>19045</v>
      </c>
      <c r="B4205">
        <v>203</v>
      </c>
      <c r="C4205" s="1" t="str">
        <f>IF(Tabela8[[#This Row],[SETOR]]="","",IF(Tabela8[[#This Row],[SETOR]]&lt;200,"GV 10",IF(Tabela8[[#This Row],[SETOR]]&lt;300,"GV 20",IF(Tabela8[[#This Row],[SETOR]]&lt;400,"GV 30","S/GV"))))</f>
        <v>GV 20</v>
      </c>
      <c r="E4205" t="s">
        <v>125</v>
      </c>
      <c r="G4205" t="str">
        <f>_xlfn.CONCAT(Tabela9[[#This Row],[Coluna1]],Tabela9[[#This Row],[Coluna2]])</f>
        <v>18-TRAD</v>
      </c>
    </row>
    <row r="4206" spans="1:7" x14ac:dyDescent="0.25">
      <c r="A4206">
        <v>19046</v>
      </c>
      <c r="B4206">
        <v>916</v>
      </c>
      <c r="C4206" s="1" t="str">
        <f>IF(Tabela8[[#This Row],[SETOR]]="","",IF(Tabela8[[#This Row],[SETOR]]&lt;200,"GV 10",IF(Tabela8[[#This Row],[SETOR]]&lt;300,"GV 20",IF(Tabela8[[#This Row],[SETOR]]&lt;400,"GV 30","S/GV"))))</f>
        <v>S/GV</v>
      </c>
      <c r="G4206" t="str">
        <f>_xlfn.CONCAT(Tabela9[[#This Row],[Coluna1]],Tabela9[[#This Row],[Coluna2]])</f>
        <v/>
      </c>
    </row>
    <row r="4207" spans="1:7" x14ac:dyDescent="0.25">
      <c r="A4207">
        <v>19048</v>
      </c>
      <c r="B4207">
        <v>202</v>
      </c>
      <c r="C4207" s="1" t="str">
        <f>IF(Tabela8[[#This Row],[SETOR]]="","",IF(Tabela8[[#This Row],[SETOR]]&lt;200,"GV 10",IF(Tabela8[[#This Row],[SETOR]]&lt;300,"GV 20",IF(Tabela8[[#This Row],[SETOR]]&lt;400,"GV 30","S/GV"))))</f>
        <v>GV 20</v>
      </c>
      <c r="E4207" t="s">
        <v>123</v>
      </c>
      <c r="G4207" t="str">
        <f>_xlfn.CONCAT(Tabela9[[#This Row],[Coluna1]],Tabela9[[#This Row],[Coluna2]])</f>
        <v>20-Rota</v>
      </c>
    </row>
    <row r="4208" spans="1:7" x14ac:dyDescent="0.25">
      <c r="A4208">
        <v>19050</v>
      </c>
      <c r="B4208">
        <v>205</v>
      </c>
      <c r="C4208" s="1" t="str">
        <f>IF(Tabela8[[#This Row],[SETOR]]="","",IF(Tabela8[[#This Row],[SETOR]]&lt;200,"GV 10",IF(Tabela8[[#This Row],[SETOR]]&lt;300,"GV 20",IF(Tabela8[[#This Row],[SETOR]]&lt;400,"GV 30","S/GV"))))</f>
        <v>GV 20</v>
      </c>
      <c r="E4208" t="s">
        <v>125</v>
      </c>
      <c r="G4208" t="str">
        <f>_xlfn.CONCAT(Tabela9[[#This Row],[Coluna1]],Tabela9[[#This Row],[Coluna2]])</f>
        <v>18-TRAD</v>
      </c>
    </row>
    <row r="4209" spans="1:7" x14ac:dyDescent="0.25">
      <c r="A4209">
        <v>19052</v>
      </c>
      <c r="B4209">
        <v>202</v>
      </c>
      <c r="C4209" s="1" t="str">
        <f>IF(Tabela8[[#This Row],[SETOR]]="","",IF(Tabela8[[#This Row],[SETOR]]&lt;200,"GV 10",IF(Tabela8[[#This Row],[SETOR]]&lt;300,"GV 20",IF(Tabela8[[#This Row],[SETOR]]&lt;400,"GV 30","S/GV"))))</f>
        <v>GV 20</v>
      </c>
      <c r="E4209" t="s">
        <v>123</v>
      </c>
      <c r="G4209" t="str">
        <f>_xlfn.CONCAT(Tabela9[[#This Row],[Coluna1]],Tabela9[[#This Row],[Coluna2]])</f>
        <v>20-Rota</v>
      </c>
    </row>
    <row r="4210" spans="1:7" x14ac:dyDescent="0.25">
      <c r="A4210">
        <v>19053</v>
      </c>
      <c r="B4210">
        <v>207</v>
      </c>
      <c r="C4210" s="1" t="str">
        <f>IF(Tabela8[[#This Row],[SETOR]]="","",IF(Tabela8[[#This Row],[SETOR]]&lt;200,"GV 10",IF(Tabela8[[#This Row],[SETOR]]&lt;300,"GV 20",IF(Tabela8[[#This Row],[SETOR]]&lt;400,"GV 30","S/GV"))))</f>
        <v>GV 20</v>
      </c>
      <c r="E4210" t="s">
        <v>125</v>
      </c>
      <c r="G4210" t="str">
        <f>_xlfn.CONCAT(Tabela9[[#This Row],[Coluna1]],Tabela9[[#This Row],[Coluna2]])</f>
        <v>18-TRAD</v>
      </c>
    </row>
    <row r="4211" spans="1:7" x14ac:dyDescent="0.25">
      <c r="A4211">
        <v>19054</v>
      </c>
      <c r="B4211">
        <v>201</v>
      </c>
      <c r="C4211" s="1" t="str">
        <f>IF(Tabela8[[#This Row],[SETOR]]="","",IF(Tabela8[[#This Row],[SETOR]]&lt;200,"GV 10",IF(Tabela8[[#This Row],[SETOR]]&lt;300,"GV 20",IF(Tabela8[[#This Row],[SETOR]]&lt;400,"GV 30","S/GV"))))</f>
        <v>GV 20</v>
      </c>
      <c r="E4211" t="s">
        <v>123</v>
      </c>
      <c r="G4211" t="str">
        <f>_xlfn.CONCAT(Tabela9[[#This Row],[Coluna1]],Tabela9[[#This Row],[Coluna2]])</f>
        <v>20-Rota</v>
      </c>
    </row>
    <row r="4212" spans="1:7" x14ac:dyDescent="0.25">
      <c r="A4212">
        <v>19055</v>
      </c>
      <c r="B4212">
        <v>104</v>
      </c>
      <c r="C4212" s="1" t="str">
        <f>IF(Tabela8[[#This Row],[SETOR]]="","",IF(Tabela8[[#This Row],[SETOR]]&lt;200,"GV 10",IF(Tabela8[[#This Row],[SETOR]]&lt;300,"GV 20",IF(Tabela8[[#This Row],[SETOR]]&lt;400,"GV 30","S/GV"))))</f>
        <v>GV 10</v>
      </c>
      <c r="E4212" t="s">
        <v>123</v>
      </c>
      <c r="G4212" t="str">
        <f>_xlfn.CONCAT(Tabela9[[#This Row],[Coluna1]],Tabela9[[#This Row],[Coluna2]])</f>
        <v>20-Rota</v>
      </c>
    </row>
    <row r="4213" spans="1:7" x14ac:dyDescent="0.25">
      <c r="A4213">
        <v>19056</v>
      </c>
      <c r="B4213">
        <v>104</v>
      </c>
      <c r="C4213" s="1" t="str">
        <f>IF(Tabela8[[#This Row],[SETOR]]="","",IF(Tabela8[[#This Row],[SETOR]]&lt;200,"GV 10",IF(Tabela8[[#This Row],[SETOR]]&lt;300,"GV 20",IF(Tabela8[[#This Row],[SETOR]]&lt;400,"GV 30","S/GV"))))</f>
        <v>GV 10</v>
      </c>
      <c r="E4213" t="s">
        <v>123</v>
      </c>
      <c r="G4213" t="str">
        <f>_xlfn.CONCAT(Tabela9[[#This Row],[Coluna1]],Tabela9[[#This Row],[Coluna2]])</f>
        <v>20-Rota</v>
      </c>
    </row>
    <row r="4214" spans="1:7" x14ac:dyDescent="0.25">
      <c r="A4214">
        <v>19057</v>
      </c>
      <c r="B4214">
        <v>105</v>
      </c>
      <c r="C4214" s="1" t="str">
        <f>IF(Tabela8[[#This Row],[SETOR]]="","",IF(Tabela8[[#This Row],[SETOR]]&lt;200,"GV 10",IF(Tabela8[[#This Row],[SETOR]]&lt;300,"GV 20",IF(Tabela8[[#This Row],[SETOR]]&lt;400,"GV 30","S/GV"))))</f>
        <v>GV 10</v>
      </c>
      <c r="E4214" t="s">
        <v>130</v>
      </c>
      <c r="G4214" t="str">
        <f>_xlfn.CONCAT(Tabela9[[#This Row],[Coluna1]],Tabela9[[#This Row],[Coluna2]])</f>
        <v>21-SUB</v>
      </c>
    </row>
    <row r="4215" spans="1:7" x14ac:dyDescent="0.25">
      <c r="A4215">
        <v>19058</v>
      </c>
      <c r="B4215">
        <v>916</v>
      </c>
      <c r="C4215" s="1" t="str">
        <f>IF(Tabela8[[#This Row],[SETOR]]="","",IF(Tabela8[[#This Row],[SETOR]]&lt;200,"GV 10",IF(Tabela8[[#This Row],[SETOR]]&lt;300,"GV 20",IF(Tabela8[[#This Row],[SETOR]]&lt;400,"GV 30","S/GV"))))</f>
        <v>S/GV</v>
      </c>
      <c r="G4215" t="str">
        <f>_xlfn.CONCAT(Tabela9[[#This Row],[Coluna1]],Tabela9[[#This Row],[Coluna2]])</f>
        <v/>
      </c>
    </row>
    <row r="4216" spans="1:7" x14ac:dyDescent="0.25">
      <c r="A4216">
        <v>19059</v>
      </c>
      <c r="B4216">
        <v>204</v>
      </c>
      <c r="C4216" s="1" t="str">
        <f>IF(Tabela8[[#This Row],[SETOR]]="","",IF(Tabela8[[#This Row],[SETOR]]&lt;200,"GV 10",IF(Tabela8[[#This Row],[SETOR]]&lt;300,"GV 20",IF(Tabela8[[#This Row],[SETOR]]&lt;400,"GV 30","S/GV"))))</f>
        <v>GV 20</v>
      </c>
      <c r="E4216" t="s">
        <v>123</v>
      </c>
      <c r="G4216" t="str">
        <f>_xlfn.CONCAT(Tabela9[[#This Row],[Coluna1]],Tabela9[[#This Row],[Coluna2]])</f>
        <v>20-Rota</v>
      </c>
    </row>
    <row r="4217" spans="1:7" x14ac:dyDescent="0.25">
      <c r="A4217">
        <v>19069</v>
      </c>
      <c r="B4217">
        <v>303</v>
      </c>
      <c r="C4217" s="1" t="str">
        <f>IF(Tabela8[[#This Row],[SETOR]]="","",IF(Tabela8[[#This Row],[SETOR]]&lt;200,"GV 10",IF(Tabela8[[#This Row],[SETOR]]&lt;300,"GV 20",IF(Tabela8[[#This Row],[SETOR]]&lt;400,"GV 30","S/GV"))))</f>
        <v>GV 30</v>
      </c>
      <c r="E4217" t="s">
        <v>123</v>
      </c>
      <c r="G4217" t="str">
        <f>_xlfn.CONCAT(Tabela9[[#This Row],[Coluna1]],Tabela9[[#This Row],[Coluna2]])</f>
        <v>20-Rota</v>
      </c>
    </row>
    <row r="4218" spans="1:7" x14ac:dyDescent="0.25">
      <c r="A4218">
        <v>19074</v>
      </c>
      <c r="B4218">
        <v>207</v>
      </c>
      <c r="C4218" s="1" t="str">
        <f>IF(Tabela8[[#This Row],[SETOR]]="","",IF(Tabela8[[#This Row],[SETOR]]&lt;200,"GV 10",IF(Tabela8[[#This Row],[SETOR]]&lt;300,"GV 20",IF(Tabela8[[#This Row],[SETOR]]&lt;400,"GV 30","S/GV"))))</f>
        <v>GV 20</v>
      </c>
      <c r="E4218" t="s">
        <v>130</v>
      </c>
      <c r="G4218" t="str">
        <f>_xlfn.CONCAT(Tabela9[[#This Row],[Coluna1]],Tabela9[[#This Row],[Coluna2]])</f>
        <v>21-SUB</v>
      </c>
    </row>
    <row r="4219" spans="1:7" x14ac:dyDescent="0.25">
      <c r="A4219">
        <v>19079</v>
      </c>
      <c r="B4219">
        <v>105</v>
      </c>
      <c r="C4219" s="1" t="str">
        <f>IF(Tabela8[[#This Row],[SETOR]]="","",IF(Tabela8[[#This Row],[SETOR]]&lt;200,"GV 10",IF(Tabela8[[#This Row],[SETOR]]&lt;300,"GV 20",IF(Tabela8[[#This Row],[SETOR]]&lt;400,"GV 30","S/GV"))))</f>
        <v>GV 10</v>
      </c>
      <c r="E4219" t="s">
        <v>123</v>
      </c>
      <c r="G4219" t="str">
        <f>_xlfn.CONCAT(Tabela9[[#This Row],[Coluna1]],Tabela9[[#This Row],[Coluna2]])</f>
        <v>20-Rota</v>
      </c>
    </row>
    <row r="4220" spans="1:7" x14ac:dyDescent="0.25">
      <c r="A4220">
        <v>19115</v>
      </c>
      <c r="B4220">
        <v>202</v>
      </c>
      <c r="C4220" s="1" t="str">
        <f>IF(Tabela8[[#This Row],[SETOR]]="","",IF(Tabela8[[#This Row],[SETOR]]&lt;200,"GV 10",IF(Tabela8[[#This Row],[SETOR]]&lt;300,"GV 20",IF(Tabela8[[#This Row],[SETOR]]&lt;400,"GV 30","S/GV"))))</f>
        <v>GV 20</v>
      </c>
      <c r="E4220" t="s">
        <v>123</v>
      </c>
      <c r="G4220" t="str">
        <f>_xlfn.CONCAT(Tabela9[[#This Row],[Coluna1]],Tabela9[[#This Row],[Coluna2]])</f>
        <v>20-Rota</v>
      </c>
    </row>
    <row r="4221" spans="1:7" x14ac:dyDescent="0.25">
      <c r="A4221">
        <v>19116</v>
      </c>
      <c r="B4221">
        <v>204</v>
      </c>
      <c r="C4221" s="1" t="str">
        <f>IF(Tabela8[[#This Row],[SETOR]]="","",IF(Tabela8[[#This Row],[SETOR]]&lt;200,"GV 10",IF(Tabela8[[#This Row],[SETOR]]&lt;300,"GV 20",IF(Tabela8[[#This Row],[SETOR]]&lt;400,"GV 30","S/GV"))))</f>
        <v>GV 20</v>
      </c>
      <c r="E4221" t="s">
        <v>130</v>
      </c>
      <c r="G4221" t="str">
        <f>_xlfn.CONCAT(Tabela9[[#This Row],[Coluna1]],Tabela9[[#This Row],[Coluna2]])</f>
        <v>21-SUB</v>
      </c>
    </row>
    <row r="4222" spans="1:7" x14ac:dyDescent="0.25">
      <c r="A4222">
        <v>19117</v>
      </c>
      <c r="B4222">
        <v>207</v>
      </c>
      <c r="C4222" s="1" t="str">
        <f>IF(Tabela8[[#This Row],[SETOR]]="","",IF(Tabela8[[#This Row],[SETOR]]&lt;200,"GV 10",IF(Tabela8[[#This Row],[SETOR]]&lt;300,"GV 20",IF(Tabela8[[#This Row],[SETOR]]&lt;400,"GV 30","S/GV"))))</f>
        <v>GV 20</v>
      </c>
      <c r="E4222" t="s">
        <v>125</v>
      </c>
      <c r="G4222" t="str">
        <f>_xlfn.CONCAT(Tabela9[[#This Row],[Coluna1]],Tabela9[[#This Row],[Coluna2]])</f>
        <v>18-TRAD</v>
      </c>
    </row>
    <row r="4223" spans="1:7" x14ac:dyDescent="0.25">
      <c r="A4223">
        <v>19118</v>
      </c>
      <c r="B4223">
        <v>205</v>
      </c>
      <c r="C4223" s="1" t="str">
        <f>IF(Tabela8[[#This Row],[SETOR]]="","",IF(Tabela8[[#This Row],[SETOR]]&lt;200,"GV 10",IF(Tabela8[[#This Row],[SETOR]]&lt;300,"GV 20",IF(Tabela8[[#This Row],[SETOR]]&lt;400,"GV 30","S/GV"))))</f>
        <v>GV 20</v>
      </c>
      <c r="E4223" t="s">
        <v>125</v>
      </c>
      <c r="G4223" t="str">
        <f>_xlfn.CONCAT(Tabela9[[#This Row],[Coluna1]],Tabela9[[#This Row],[Coluna2]])</f>
        <v>18-TRAD</v>
      </c>
    </row>
    <row r="4224" spans="1:7" x14ac:dyDescent="0.25">
      <c r="A4224">
        <v>19119</v>
      </c>
      <c r="B4224">
        <v>109</v>
      </c>
      <c r="C4224" s="1" t="str">
        <f>IF(Tabela8[[#This Row],[SETOR]]="","",IF(Tabela8[[#This Row],[SETOR]]&lt;200,"GV 10",IF(Tabela8[[#This Row],[SETOR]]&lt;300,"GV 20",IF(Tabela8[[#This Row],[SETOR]]&lt;400,"GV 30","S/GV"))))</f>
        <v>GV 10</v>
      </c>
      <c r="E4224" t="s">
        <v>123</v>
      </c>
      <c r="G4224" t="str">
        <f>_xlfn.CONCAT(Tabela9[[#This Row],[Coluna1]],Tabela9[[#This Row],[Coluna2]])</f>
        <v>20-Rota</v>
      </c>
    </row>
    <row r="4225" spans="1:7" x14ac:dyDescent="0.25">
      <c r="A4225">
        <v>19120</v>
      </c>
      <c r="B4225">
        <v>109</v>
      </c>
      <c r="C4225" s="1" t="str">
        <f>IF(Tabela8[[#This Row],[SETOR]]="","",IF(Tabela8[[#This Row],[SETOR]]&lt;200,"GV 10",IF(Tabela8[[#This Row],[SETOR]]&lt;300,"GV 20",IF(Tabela8[[#This Row],[SETOR]]&lt;400,"GV 30","S/GV"))))</f>
        <v>GV 10</v>
      </c>
      <c r="E4225" t="s">
        <v>123</v>
      </c>
      <c r="G4225" t="str">
        <f>_xlfn.CONCAT(Tabela9[[#This Row],[Coluna1]],Tabela9[[#This Row],[Coluna2]])</f>
        <v>20-Rota</v>
      </c>
    </row>
    <row r="4226" spans="1:7" x14ac:dyDescent="0.25">
      <c r="A4226">
        <v>19121</v>
      </c>
      <c r="B4226">
        <v>109</v>
      </c>
      <c r="C4226" s="1" t="str">
        <f>IF(Tabela8[[#This Row],[SETOR]]="","",IF(Tabela8[[#This Row],[SETOR]]&lt;200,"GV 10",IF(Tabela8[[#This Row],[SETOR]]&lt;300,"GV 20",IF(Tabela8[[#This Row],[SETOR]]&lt;400,"GV 30","S/GV"))))</f>
        <v>GV 10</v>
      </c>
      <c r="E4226" t="s">
        <v>123</v>
      </c>
      <c r="G4226" t="str">
        <f>_xlfn.CONCAT(Tabela9[[#This Row],[Coluna1]],Tabela9[[#This Row],[Coluna2]])</f>
        <v>20-Rota</v>
      </c>
    </row>
    <row r="4227" spans="1:7" x14ac:dyDescent="0.25">
      <c r="A4227">
        <v>19122</v>
      </c>
      <c r="B4227">
        <v>105</v>
      </c>
      <c r="C4227" s="1" t="str">
        <f>IF(Tabela8[[#This Row],[SETOR]]="","",IF(Tabela8[[#This Row],[SETOR]]&lt;200,"GV 10",IF(Tabela8[[#This Row],[SETOR]]&lt;300,"GV 20",IF(Tabela8[[#This Row],[SETOR]]&lt;400,"GV 30","S/GV"))))</f>
        <v>GV 10</v>
      </c>
      <c r="E4227" t="s">
        <v>130</v>
      </c>
      <c r="G4227" t="str">
        <f>_xlfn.CONCAT(Tabela9[[#This Row],[Coluna1]],Tabela9[[#This Row],[Coluna2]])</f>
        <v>21-SUB</v>
      </c>
    </row>
    <row r="4228" spans="1:7" x14ac:dyDescent="0.25">
      <c r="A4228">
        <v>19123</v>
      </c>
      <c r="B4228">
        <v>105</v>
      </c>
      <c r="C4228" s="1" t="str">
        <f>IF(Tabela8[[#This Row],[SETOR]]="","",IF(Tabela8[[#This Row],[SETOR]]&lt;200,"GV 10",IF(Tabela8[[#This Row],[SETOR]]&lt;300,"GV 20",IF(Tabela8[[#This Row],[SETOR]]&lt;400,"GV 30","S/GV"))))</f>
        <v>GV 10</v>
      </c>
      <c r="E4228" t="s">
        <v>123</v>
      </c>
      <c r="G4228" t="str">
        <f>_xlfn.CONCAT(Tabela9[[#This Row],[Coluna1]],Tabela9[[#This Row],[Coluna2]])</f>
        <v>20-Rota</v>
      </c>
    </row>
    <row r="4229" spans="1:7" x14ac:dyDescent="0.25">
      <c r="A4229">
        <v>19125</v>
      </c>
      <c r="B4229">
        <v>206</v>
      </c>
      <c r="C4229" s="1" t="str">
        <f>IF(Tabela8[[#This Row],[SETOR]]="","",IF(Tabela8[[#This Row],[SETOR]]&lt;200,"GV 10",IF(Tabela8[[#This Row],[SETOR]]&lt;300,"GV 20",IF(Tabela8[[#This Row],[SETOR]]&lt;400,"GV 30","S/GV"))))</f>
        <v>GV 20</v>
      </c>
      <c r="E4229" t="s">
        <v>125</v>
      </c>
      <c r="G4229" t="str">
        <f>_xlfn.CONCAT(Tabela9[[#This Row],[Coluna1]],Tabela9[[#This Row],[Coluna2]])</f>
        <v>18-TRAD</v>
      </c>
    </row>
    <row r="4230" spans="1:7" x14ac:dyDescent="0.25">
      <c r="A4230">
        <v>19126</v>
      </c>
      <c r="B4230">
        <v>206</v>
      </c>
      <c r="C4230" s="1" t="str">
        <f>IF(Tabela8[[#This Row],[SETOR]]="","",IF(Tabela8[[#This Row],[SETOR]]&lt;200,"GV 10",IF(Tabela8[[#This Row],[SETOR]]&lt;300,"GV 20",IF(Tabela8[[#This Row],[SETOR]]&lt;400,"GV 30","S/GV"))))</f>
        <v>GV 20</v>
      </c>
      <c r="E4230" t="s">
        <v>130</v>
      </c>
      <c r="G4230" t="str">
        <f>_xlfn.CONCAT(Tabela9[[#This Row],[Coluna1]],Tabela9[[#This Row],[Coluna2]])</f>
        <v>21-SUB</v>
      </c>
    </row>
    <row r="4231" spans="1:7" x14ac:dyDescent="0.25">
      <c r="A4231">
        <v>19127</v>
      </c>
      <c r="B4231">
        <v>202</v>
      </c>
      <c r="C4231" s="1" t="str">
        <f>IF(Tabela8[[#This Row],[SETOR]]="","",IF(Tabela8[[#This Row],[SETOR]]&lt;200,"GV 10",IF(Tabela8[[#This Row],[SETOR]]&lt;300,"GV 20",IF(Tabela8[[#This Row],[SETOR]]&lt;400,"GV 30","S/GV"))))</f>
        <v>GV 20</v>
      </c>
      <c r="E4231" t="s">
        <v>123</v>
      </c>
      <c r="G4231" t="str">
        <f>_xlfn.CONCAT(Tabela9[[#This Row],[Coluna1]],Tabela9[[#This Row],[Coluna2]])</f>
        <v>20-Rota</v>
      </c>
    </row>
    <row r="4232" spans="1:7" x14ac:dyDescent="0.25">
      <c r="A4232">
        <v>19128</v>
      </c>
      <c r="B4232">
        <v>202</v>
      </c>
      <c r="C4232" s="1" t="str">
        <f>IF(Tabela8[[#This Row],[SETOR]]="","",IF(Tabela8[[#This Row],[SETOR]]&lt;200,"GV 10",IF(Tabela8[[#This Row],[SETOR]]&lt;300,"GV 20",IF(Tabela8[[#This Row],[SETOR]]&lt;400,"GV 30","S/GV"))))</f>
        <v>GV 20</v>
      </c>
      <c r="E4232" t="s">
        <v>123</v>
      </c>
      <c r="G4232" t="str">
        <f>_xlfn.CONCAT(Tabela9[[#This Row],[Coluna1]],Tabela9[[#This Row],[Coluna2]])</f>
        <v>20-Rota</v>
      </c>
    </row>
    <row r="4233" spans="1:7" x14ac:dyDescent="0.25">
      <c r="A4233">
        <v>19129</v>
      </c>
      <c r="B4233">
        <v>203</v>
      </c>
      <c r="C4233" s="1" t="str">
        <f>IF(Tabela8[[#This Row],[SETOR]]="","",IF(Tabela8[[#This Row],[SETOR]]&lt;200,"GV 10",IF(Tabela8[[#This Row],[SETOR]]&lt;300,"GV 20",IF(Tabela8[[#This Row],[SETOR]]&lt;400,"GV 30","S/GV"))))</f>
        <v>GV 20</v>
      </c>
      <c r="E4233" t="s">
        <v>123</v>
      </c>
      <c r="G4233" t="str">
        <f>_xlfn.CONCAT(Tabela9[[#This Row],[Coluna1]],Tabela9[[#This Row],[Coluna2]])</f>
        <v>20-Rota</v>
      </c>
    </row>
    <row r="4234" spans="1:7" x14ac:dyDescent="0.25">
      <c r="A4234">
        <v>19130</v>
      </c>
      <c r="B4234">
        <v>102</v>
      </c>
      <c r="C4234" s="1" t="str">
        <f>IF(Tabela8[[#This Row],[SETOR]]="","",IF(Tabela8[[#This Row],[SETOR]]&lt;200,"GV 10",IF(Tabela8[[#This Row],[SETOR]]&lt;300,"GV 20",IF(Tabela8[[#This Row],[SETOR]]&lt;400,"GV 30","S/GV"))))</f>
        <v>GV 10</v>
      </c>
      <c r="E4234" t="s">
        <v>123</v>
      </c>
      <c r="G4234" t="str">
        <f>_xlfn.CONCAT(Tabela9[[#This Row],[Coluna1]],Tabela9[[#This Row],[Coluna2]])</f>
        <v>20-Rota</v>
      </c>
    </row>
    <row r="4235" spans="1:7" x14ac:dyDescent="0.25">
      <c r="A4235">
        <v>19131</v>
      </c>
      <c r="B4235">
        <v>206</v>
      </c>
      <c r="C4235" s="1" t="str">
        <f>IF(Tabela8[[#This Row],[SETOR]]="","",IF(Tabela8[[#This Row],[SETOR]]&lt;200,"GV 10",IF(Tabela8[[#This Row],[SETOR]]&lt;300,"GV 20",IF(Tabela8[[#This Row],[SETOR]]&lt;400,"GV 30","S/GV"))))</f>
        <v>GV 20</v>
      </c>
      <c r="E4235" t="s">
        <v>125</v>
      </c>
      <c r="G4235" t="str">
        <f>_xlfn.CONCAT(Tabela9[[#This Row],[Coluna1]],Tabela9[[#This Row],[Coluna2]])</f>
        <v>18-TRAD</v>
      </c>
    </row>
    <row r="4236" spans="1:7" x14ac:dyDescent="0.25">
      <c r="A4236">
        <v>19132</v>
      </c>
      <c r="B4236">
        <v>206</v>
      </c>
      <c r="C4236" s="1" t="str">
        <f>IF(Tabela8[[#This Row],[SETOR]]="","",IF(Tabela8[[#This Row],[SETOR]]&lt;200,"GV 10",IF(Tabela8[[#This Row],[SETOR]]&lt;300,"GV 20",IF(Tabela8[[#This Row],[SETOR]]&lt;400,"GV 30","S/GV"))))</f>
        <v>GV 20</v>
      </c>
      <c r="E4236" t="s">
        <v>123</v>
      </c>
      <c r="G4236" t="str">
        <f>_xlfn.CONCAT(Tabela9[[#This Row],[Coluna1]],Tabela9[[#This Row],[Coluna2]])</f>
        <v>20-Rota</v>
      </c>
    </row>
    <row r="4237" spans="1:7" x14ac:dyDescent="0.25">
      <c r="A4237">
        <v>19133</v>
      </c>
      <c r="B4237">
        <v>206</v>
      </c>
      <c r="C4237" s="1" t="str">
        <f>IF(Tabela8[[#This Row],[SETOR]]="","",IF(Tabela8[[#This Row],[SETOR]]&lt;200,"GV 10",IF(Tabela8[[#This Row],[SETOR]]&lt;300,"GV 20",IF(Tabela8[[#This Row],[SETOR]]&lt;400,"GV 30","S/GV"))))</f>
        <v>GV 20</v>
      </c>
      <c r="E4237" t="s">
        <v>123</v>
      </c>
      <c r="G4237" t="str">
        <f>_xlfn.CONCAT(Tabela9[[#This Row],[Coluna1]],Tabela9[[#This Row],[Coluna2]])</f>
        <v>20-Rota</v>
      </c>
    </row>
    <row r="4238" spans="1:7" x14ac:dyDescent="0.25">
      <c r="A4238">
        <v>19134</v>
      </c>
      <c r="B4238">
        <v>301</v>
      </c>
      <c r="C4238" s="1" t="str">
        <f>IF(Tabela8[[#This Row],[SETOR]]="","",IF(Tabela8[[#This Row],[SETOR]]&lt;200,"GV 10",IF(Tabela8[[#This Row],[SETOR]]&lt;300,"GV 20",IF(Tabela8[[#This Row],[SETOR]]&lt;400,"GV 30","S/GV"))))</f>
        <v>GV 30</v>
      </c>
      <c r="E4238" t="s">
        <v>123</v>
      </c>
      <c r="G4238" t="str">
        <f>_xlfn.CONCAT(Tabela9[[#This Row],[Coluna1]],Tabela9[[#This Row],[Coluna2]])</f>
        <v>20-Rota</v>
      </c>
    </row>
    <row r="4239" spans="1:7" x14ac:dyDescent="0.25">
      <c r="A4239">
        <v>19135</v>
      </c>
      <c r="B4239">
        <v>305</v>
      </c>
      <c r="C4239" s="1" t="str">
        <f>IF(Tabela8[[#This Row],[SETOR]]="","",IF(Tabela8[[#This Row],[SETOR]]&lt;200,"GV 10",IF(Tabela8[[#This Row],[SETOR]]&lt;300,"GV 20",IF(Tabela8[[#This Row],[SETOR]]&lt;400,"GV 30","S/GV"))))</f>
        <v>GV 30</v>
      </c>
      <c r="E4239" t="s">
        <v>130</v>
      </c>
      <c r="G4239" t="str">
        <f>_xlfn.CONCAT(Tabela9[[#This Row],[Coluna1]],Tabela9[[#This Row],[Coluna2]])</f>
        <v>21-SUB</v>
      </c>
    </row>
    <row r="4240" spans="1:7" x14ac:dyDescent="0.25">
      <c r="A4240">
        <v>19136</v>
      </c>
      <c r="B4240">
        <v>916</v>
      </c>
      <c r="C4240" s="1" t="str">
        <f>IF(Tabela8[[#This Row],[SETOR]]="","",IF(Tabela8[[#This Row],[SETOR]]&lt;200,"GV 10",IF(Tabela8[[#This Row],[SETOR]]&lt;300,"GV 20",IF(Tabela8[[#This Row],[SETOR]]&lt;400,"GV 30","S/GV"))))</f>
        <v>S/GV</v>
      </c>
      <c r="G4240" t="str">
        <f>_xlfn.CONCAT(Tabela9[[#This Row],[Coluna1]],Tabela9[[#This Row],[Coluna2]])</f>
        <v/>
      </c>
    </row>
    <row r="4241" spans="1:7" x14ac:dyDescent="0.25">
      <c r="A4241">
        <v>19137</v>
      </c>
      <c r="B4241">
        <v>916</v>
      </c>
      <c r="C4241" s="1" t="str">
        <f>IF(Tabela8[[#This Row],[SETOR]]="","",IF(Tabela8[[#This Row],[SETOR]]&lt;200,"GV 10",IF(Tabela8[[#This Row],[SETOR]]&lt;300,"GV 20",IF(Tabela8[[#This Row],[SETOR]]&lt;400,"GV 30","S/GV"))))</f>
        <v>S/GV</v>
      </c>
      <c r="G4241" t="str">
        <f>_xlfn.CONCAT(Tabela9[[#This Row],[Coluna1]],Tabela9[[#This Row],[Coluna2]])</f>
        <v/>
      </c>
    </row>
    <row r="4242" spans="1:7" x14ac:dyDescent="0.25">
      <c r="A4242">
        <v>19139</v>
      </c>
      <c r="B4242">
        <v>305</v>
      </c>
      <c r="C4242" s="1" t="str">
        <f>IF(Tabela8[[#This Row],[SETOR]]="","",IF(Tabela8[[#This Row],[SETOR]]&lt;200,"GV 10",IF(Tabela8[[#This Row],[SETOR]]&lt;300,"GV 20",IF(Tabela8[[#This Row],[SETOR]]&lt;400,"GV 30","S/GV"))))</f>
        <v>GV 30</v>
      </c>
      <c r="E4242" t="s">
        <v>123</v>
      </c>
      <c r="G4242" t="str">
        <f>_xlfn.CONCAT(Tabela9[[#This Row],[Coluna1]],Tabela9[[#This Row],[Coluna2]])</f>
        <v>20-Rota</v>
      </c>
    </row>
    <row r="4243" spans="1:7" x14ac:dyDescent="0.25">
      <c r="A4243">
        <v>19140</v>
      </c>
      <c r="B4243">
        <v>304</v>
      </c>
      <c r="C4243" s="1" t="str">
        <f>IF(Tabela8[[#This Row],[SETOR]]="","",IF(Tabela8[[#This Row],[SETOR]]&lt;200,"GV 10",IF(Tabela8[[#This Row],[SETOR]]&lt;300,"GV 20",IF(Tabela8[[#This Row],[SETOR]]&lt;400,"GV 30","S/GV"))))</f>
        <v>GV 30</v>
      </c>
      <c r="E4243" t="s">
        <v>124</v>
      </c>
      <c r="G4243" t="str">
        <f>_xlfn.CONCAT(Tabela9[[#This Row],[Coluna1]],Tabela9[[#This Row],[Coluna2]])</f>
        <v>19-VIP</v>
      </c>
    </row>
    <row r="4244" spans="1:7" x14ac:dyDescent="0.25">
      <c r="A4244">
        <v>19141</v>
      </c>
      <c r="B4244">
        <v>105</v>
      </c>
      <c r="C4244" s="1" t="str">
        <f>IF(Tabela8[[#This Row],[SETOR]]="","",IF(Tabela8[[#This Row],[SETOR]]&lt;200,"GV 10",IF(Tabela8[[#This Row],[SETOR]]&lt;300,"GV 20",IF(Tabela8[[#This Row],[SETOR]]&lt;400,"GV 30","S/GV"))))</f>
        <v>GV 10</v>
      </c>
      <c r="E4244" t="s">
        <v>123</v>
      </c>
      <c r="G4244" t="str">
        <f>_xlfn.CONCAT(Tabela9[[#This Row],[Coluna1]],Tabela9[[#This Row],[Coluna2]])</f>
        <v>20-Rota</v>
      </c>
    </row>
    <row r="4245" spans="1:7" x14ac:dyDescent="0.25">
      <c r="A4245">
        <v>19142</v>
      </c>
      <c r="B4245">
        <v>106</v>
      </c>
      <c r="C4245" s="1" t="str">
        <f>IF(Tabela8[[#This Row],[SETOR]]="","",IF(Tabela8[[#This Row],[SETOR]]&lt;200,"GV 10",IF(Tabela8[[#This Row],[SETOR]]&lt;300,"GV 20",IF(Tabela8[[#This Row],[SETOR]]&lt;400,"GV 30","S/GV"))))</f>
        <v>GV 10</v>
      </c>
      <c r="E4245" t="s">
        <v>123</v>
      </c>
      <c r="G4245" t="str">
        <f>_xlfn.CONCAT(Tabela9[[#This Row],[Coluna1]],Tabela9[[#This Row],[Coluna2]])</f>
        <v>20-Rota</v>
      </c>
    </row>
    <row r="4246" spans="1:7" x14ac:dyDescent="0.25">
      <c r="A4246">
        <v>19143</v>
      </c>
      <c r="B4246">
        <v>304</v>
      </c>
      <c r="C4246" s="1" t="str">
        <f>IF(Tabela8[[#This Row],[SETOR]]="","",IF(Tabela8[[#This Row],[SETOR]]&lt;200,"GV 10",IF(Tabela8[[#This Row],[SETOR]]&lt;300,"GV 20",IF(Tabela8[[#This Row],[SETOR]]&lt;400,"GV 30","S/GV"))))</f>
        <v>GV 30</v>
      </c>
      <c r="E4246" t="s">
        <v>123</v>
      </c>
      <c r="G4246" t="str">
        <f>_xlfn.CONCAT(Tabela9[[#This Row],[Coluna1]],Tabela9[[#This Row],[Coluna2]])</f>
        <v>20-Rota</v>
      </c>
    </row>
    <row r="4247" spans="1:7" x14ac:dyDescent="0.25">
      <c r="A4247">
        <v>19144</v>
      </c>
      <c r="B4247">
        <v>203</v>
      </c>
      <c r="C4247" s="1" t="str">
        <f>IF(Tabela8[[#This Row],[SETOR]]="","",IF(Tabela8[[#This Row],[SETOR]]&lt;200,"GV 10",IF(Tabela8[[#This Row],[SETOR]]&lt;300,"GV 20",IF(Tabela8[[#This Row],[SETOR]]&lt;400,"GV 30","S/GV"))))</f>
        <v>GV 20</v>
      </c>
      <c r="E4247" t="s">
        <v>123</v>
      </c>
      <c r="G4247" t="str">
        <f>_xlfn.CONCAT(Tabela9[[#This Row],[Coluna1]],Tabela9[[#This Row],[Coluna2]])</f>
        <v>20-Rota</v>
      </c>
    </row>
    <row r="4248" spans="1:7" x14ac:dyDescent="0.25">
      <c r="A4248">
        <v>19145</v>
      </c>
      <c r="B4248">
        <v>303</v>
      </c>
      <c r="C4248" s="1" t="str">
        <f>IF(Tabela8[[#This Row],[SETOR]]="","",IF(Tabela8[[#This Row],[SETOR]]&lt;200,"GV 10",IF(Tabela8[[#This Row],[SETOR]]&lt;300,"GV 20",IF(Tabela8[[#This Row],[SETOR]]&lt;400,"GV 30","S/GV"))))</f>
        <v>GV 30</v>
      </c>
      <c r="E4248" t="s">
        <v>125</v>
      </c>
      <c r="G4248" t="str">
        <f>_xlfn.CONCAT(Tabela9[[#This Row],[Coluna1]],Tabela9[[#This Row],[Coluna2]])</f>
        <v>18-TRAD</v>
      </c>
    </row>
    <row r="4249" spans="1:7" x14ac:dyDescent="0.25">
      <c r="A4249">
        <v>19146</v>
      </c>
      <c r="B4249">
        <v>102</v>
      </c>
      <c r="C4249" s="1" t="str">
        <f>IF(Tabela8[[#This Row],[SETOR]]="","",IF(Tabela8[[#This Row],[SETOR]]&lt;200,"GV 10",IF(Tabela8[[#This Row],[SETOR]]&lt;300,"GV 20",IF(Tabela8[[#This Row],[SETOR]]&lt;400,"GV 30","S/GV"))))</f>
        <v>GV 10</v>
      </c>
      <c r="E4249" t="s">
        <v>123</v>
      </c>
      <c r="G4249" t="str">
        <f>_xlfn.CONCAT(Tabela9[[#This Row],[Coluna1]],Tabela9[[#This Row],[Coluna2]])</f>
        <v>20-Rota</v>
      </c>
    </row>
    <row r="4250" spans="1:7" x14ac:dyDescent="0.25">
      <c r="A4250">
        <v>19148</v>
      </c>
      <c r="B4250">
        <v>203</v>
      </c>
      <c r="C4250" s="1" t="str">
        <f>IF(Tabela8[[#This Row],[SETOR]]="","",IF(Tabela8[[#This Row],[SETOR]]&lt;200,"GV 10",IF(Tabela8[[#This Row],[SETOR]]&lt;300,"GV 20",IF(Tabela8[[#This Row],[SETOR]]&lt;400,"GV 30","S/GV"))))</f>
        <v>GV 20</v>
      </c>
      <c r="E4250" t="s">
        <v>123</v>
      </c>
      <c r="G4250" t="str">
        <f>_xlfn.CONCAT(Tabela9[[#This Row],[Coluna1]],Tabela9[[#This Row],[Coluna2]])</f>
        <v>20-Rota</v>
      </c>
    </row>
    <row r="4251" spans="1:7" x14ac:dyDescent="0.25">
      <c r="A4251">
        <v>19150</v>
      </c>
      <c r="B4251">
        <v>303</v>
      </c>
      <c r="C4251" s="1" t="str">
        <f>IF(Tabela8[[#This Row],[SETOR]]="","",IF(Tabela8[[#This Row],[SETOR]]&lt;200,"GV 10",IF(Tabela8[[#This Row],[SETOR]]&lt;300,"GV 20",IF(Tabela8[[#This Row],[SETOR]]&lt;400,"GV 30","S/GV"))))</f>
        <v>GV 30</v>
      </c>
      <c r="E4251" t="s">
        <v>123</v>
      </c>
      <c r="G4251" t="str">
        <f>_xlfn.CONCAT(Tabela9[[#This Row],[Coluna1]],Tabela9[[#This Row],[Coluna2]])</f>
        <v>20-Rota</v>
      </c>
    </row>
    <row r="4252" spans="1:7" x14ac:dyDescent="0.25">
      <c r="A4252">
        <v>19152</v>
      </c>
      <c r="B4252">
        <v>906</v>
      </c>
      <c r="C4252" s="1" t="str">
        <f>IF(Tabela8[[#This Row],[SETOR]]="","",IF(Tabela8[[#This Row],[SETOR]]&lt;200,"GV 10",IF(Tabela8[[#This Row],[SETOR]]&lt;300,"GV 20",IF(Tabela8[[#This Row],[SETOR]]&lt;400,"GV 30","S/GV"))))</f>
        <v>S/GV</v>
      </c>
      <c r="G4252" t="str">
        <f>_xlfn.CONCAT(Tabela9[[#This Row],[Coluna1]],Tabela9[[#This Row],[Coluna2]])</f>
        <v/>
      </c>
    </row>
    <row r="4253" spans="1:7" x14ac:dyDescent="0.25">
      <c r="A4253">
        <v>19153</v>
      </c>
      <c r="B4253">
        <v>101</v>
      </c>
      <c r="C4253" s="1" t="str">
        <f>IF(Tabela8[[#This Row],[SETOR]]="","",IF(Tabela8[[#This Row],[SETOR]]&lt;200,"GV 10",IF(Tabela8[[#This Row],[SETOR]]&lt;300,"GV 20",IF(Tabela8[[#This Row],[SETOR]]&lt;400,"GV 30","S/GV"))))</f>
        <v>GV 10</v>
      </c>
      <c r="E4253" t="s">
        <v>123</v>
      </c>
      <c r="G4253" t="str">
        <f>_xlfn.CONCAT(Tabela9[[#This Row],[Coluna1]],Tabela9[[#This Row],[Coluna2]])</f>
        <v>20-Rota</v>
      </c>
    </row>
    <row r="4254" spans="1:7" x14ac:dyDescent="0.25">
      <c r="A4254">
        <v>19154</v>
      </c>
      <c r="B4254">
        <v>105</v>
      </c>
      <c r="C4254" s="1" t="str">
        <f>IF(Tabela8[[#This Row],[SETOR]]="","",IF(Tabela8[[#This Row],[SETOR]]&lt;200,"GV 10",IF(Tabela8[[#This Row],[SETOR]]&lt;300,"GV 20",IF(Tabela8[[#This Row],[SETOR]]&lt;400,"GV 30","S/GV"))))</f>
        <v>GV 10</v>
      </c>
      <c r="E4254" t="s">
        <v>123</v>
      </c>
      <c r="G4254" t="str">
        <f>_xlfn.CONCAT(Tabela9[[#This Row],[Coluna1]],Tabela9[[#This Row],[Coluna2]])</f>
        <v>20-Rota</v>
      </c>
    </row>
    <row r="4255" spans="1:7" x14ac:dyDescent="0.25">
      <c r="A4255">
        <v>19160</v>
      </c>
      <c r="B4255">
        <v>205</v>
      </c>
      <c r="C4255" s="1" t="str">
        <f>IF(Tabela8[[#This Row],[SETOR]]="","",IF(Tabela8[[#This Row],[SETOR]]&lt;200,"GV 10",IF(Tabela8[[#This Row],[SETOR]]&lt;300,"GV 20",IF(Tabela8[[#This Row],[SETOR]]&lt;400,"GV 30","S/GV"))))</f>
        <v>GV 20</v>
      </c>
      <c r="E4255" t="s">
        <v>123</v>
      </c>
      <c r="G4255" t="str">
        <f>_xlfn.CONCAT(Tabela9[[#This Row],[Coluna1]],Tabela9[[#This Row],[Coluna2]])</f>
        <v>20-Rota</v>
      </c>
    </row>
    <row r="4256" spans="1:7" x14ac:dyDescent="0.25">
      <c r="A4256">
        <v>19161</v>
      </c>
      <c r="B4256">
        <v>301</v>
      </c>
      <c r="C4256" s="1" t="str">
        <f>IF(Tabela8[[#This Row],[SETOR]]="","",IF(Tabela8[[#This Row],[SETOR]]&lt;200,"GV 10",IF(Tabela8[[#This Row],[SETOR]]&lt;300,"GV 20",IF(Tabela8[[#This Row],[SETOR]]&lt;400,"GV 30","S/GV"))))</f>
        <v>GV 30</v>
      </c>
      <c r="E4256" t="s">
        <v>123</v>
      </c>
      <c r="G4256" t="str">
        <f>_xlfn.CONCAT(Tabela9[[#This Row],[Coluna1]],Tabela9[[#This Row],[Coluna2]])</f>
        <v>20-Rota</v>
      </c>
    </row>
    <row r="4257" spans="1:7" x14ac:dyDescent="0.25">
      <c r="A4257">
        <v>19162</v>
      </c>
      <c r="B4257">
        <v>205</v>
      </c>
      <c r="C4257" s="1" t="str">
        <f>IF(Tabela8[[#This Row],[SETOR]]="","",IF(Tabela8[[#This Row],[SETOR]]&lt;200,"GV 10",IF(Tabela8[[#This Row],[SETOR]]&lt;300,"GV 20",IF(Tabela8[[#This Row],[SETOR]]&lt;400,"GV 30","S/GV"))))</f>
        <v>GV 20</v>
      </c>
      <c r="E4257" t="s">
        <v>123</v>
      </c>
      <c r="G4257" t="str">
        <f>_xlfn.CONCAT(Tabela9[[#This Row],[Coluna1]],Tabela9[[#This Row],[Coluna2]])</f>
        <v>20-Rota</v>
      </c>
    </row>
    <row r="4258" spans="1:7" x14ac:dyDescent="0.25">
      <c r="A4258">
        <v>19163</v>
      </c>
      <c r="B4258">
        <v>207</v>
      </c>
      <c r="C4258" s="1" t="str">
        <f>IF(Tabela8[[#This Row],[SETOR]]="","",IF(Tabela8[[#This Row],[SETOR]]&lt;200,"GV 10",IF(Tabela8[[#This Row],[SETOR]]&lt;300,"GV 20",IF(Tabela8[[#This Row],[SETOR]]&lt;400,"GV 30","S/GV"))))</f>
        <v>GV 20</v>
      </c>
      <c r="E4258" t="s">
        <v>125</v>
      </c>
      <c r="G4258" t="str">
        <f>_xlfn.CONCAT(Tabela9[[#This Row],[Coluna1]],Tabela9[[#This Row],[Coluna2]])</f>
        <v>18-TRAD</v>
      </c>
    </row>
    <row r="4259" spans="1:7" x14ac:dyDescent="0.25">
      <c r="A4259">
        <v>19164</v>
      </c>
      <c r="B4259">
        <v>203</v>
      </c>
      <c r="C4259" s="1" t="str">
        <f>IF(Tabela8[[#This Row],[SETOR]]="","",IF(Tabela8[[#This Row],[SETOR]]&lt;200,"GV 10",IF(Tabela8[[#This Row],[SETOR]]&lt;300,"GV 20",IF(Tabela8[[#This Row],[SETOR]]&lt;400,"GV 30","S/GV"))))</f>
        <v>GV 20</v>
      </c>
      <c r="E4259" t="s">
        <v>123</v>
      </c>
      <c r="G4259" t="str">
        <f>_xlfn.CONCAT(Tabela9[[#This Row],[Coluna1]],Tabela9[[#This Row],[Coluna2]])</f>
        <v>20-Rota</v>
      </c>
    </row>
    <row r="4260" spans="1:7" x14ac:dyDescent="0.25">
      <c r="A4260">
        <v>19165</v>
      </c>
      <c r="B4260">
        <v>907</v>
      </c>
      <c r="C4260" s="1" t="str">
        <f>IF(Tabela8[[#This Row],[SETOR]]="","",IF(Tabela8[[#This Row],[SETOR]]&lt;200,"GV 10",IF(Tabela8[[#This Row],[SETOR]]&lt;300,"GV 20",IF(Tabela8[[#This Row],[SETOR]]&lt;400,"GV 30","S/GV"))))</f>
        <v>S/GV</v>
      </c>
      <c r="G4260" t="str">
        <f>_xlfn.CONCAT(Tabela9[[#This Row],[Coluna1]],Tabela9[[#This Row],[Coluna2]])</f>
        <v/>
      </c>
    </row>
    <row r="4261" spans="1:7" x14ac:dyDescent="0.25">
      <c r="A4261">
        <v>19166</v>
      </c>
      <c r="B4261">
        <v>106</v>
      </c>
      <c r="C4261" s="1" t="str">
        <f>IF(Tabela8[[#This Row],[SETOR]]="","",IF(Tabela8[[#This Row],[SETOR]]&lt;200,"GV 10",IF(Tabela8[[#This Row],[SETOR]]&lt;300,"GV 20",IF(Tabela8[[#This Row],[SETOR]]&lt;400,"GV 30","S/GV"))))</f>
        <v>GV 10</v>
      </c>
      <c r="E4261" t="s">
        <v>123</v>
      </c>
      <c r="G4261" t="str">
        <f>_xlfn.CONCAT(Tabela9[[#This Row],[Coluna1]],Tabela9[[#This Row],[Coluna2]])</f>
        <v>20-Rota</v>
      </c>
    </row>
    <row r="4262" spans="1:7" x14ac:dyDescent="0.25">
      <c r="A4262">
        <v>19167</v>
      </c>
      <c r="B4262">
        <v>106</v>
      </c>
      <c r="C4262" s="1" t="str">
        <f>IF(Tabela8[[#This Row],[SETOR]]="","",IF(Tabela8[[#This Row],[SETOR]]&lt;200,"GV 10",IF(Tabela8[[#This Row],[SETOR]]&lt;300,"GV 20",IF(Tabela8[[#This Row],[SETOR]]&lt;400,"GV 30","S/GV"))))</f>
        <v>GV 10</v>
      </c>
      <c r="E4262" t="s">
        <v>123</v>
      </c>
      <c r="G4262" t="str">
        <f>_xlfn.CONCAT(Tabela9[[#This Row],[Coluna1]],Tabela9[[#This Row],[Coluna2]])</f>
        <v>20-Rota</v>
      </c>
    </row>
    <row r="4263" spans="1:7" x14ac:dyDescent="0.25">
      <c r="A4263">
        <v>19168</v>
      </c>
      <c r="B4263">
        <v>106</v>
      </c>
      <c r="C4263" s="1" t="str">
        <f>IF(Tabela8[[#This Row],[SETOR]]="","",IF(Tabela8[[#This Row],[SETOR]]&lt;200,"GV 10",IF(Tabela8[[#This Row],[SETOR]]&lt;300,"GV 20",IF(Tabela8[[#This Row],[SETOR]]&lt;400,"GV 30","S/GV"))))</f>
        <v>GV 10</v>
      </c>
      <c r="E4263" t="s">
        <v>123</v>
      </c>
      <c r="G4263" t="str">
        <f>_xlfn.CONCAT(Tabela9[[#This Row],[Coluna1]],Tabela9[[#This Row],[Coluna2]])</f>
        <v>20-Rota</v>
      </c>
    </row>
    <row r="4264" spans="1:7" x14ac:dyDescent="0.25">
      <c r="A4264">
        <v>19169</v>
      </c>
      <c r="B4264">
        <v>105</v>
      </c>
      <c r="C4264" s="1" t="str">
        <f>IF(Tabela8[[#This Row],[SETOR]]="","",IF(Tabela8[[#This Row],[SETOR]]&lt;200,"GV 10",IF(Tabela8[[#This Row],[SETOR]]&lt;300,"GV 20",IF(Tabela8[[#This Row],[SETOR]]&lt;400,"GV 30","S/GV"))))</f>
        <v>GV 10</v>
      </c>
      <c r="E4264" t="s">
        <v>123</v>
      </c>
      <c r="G4264" t="str">
        <f>_xlfn.CONCAT(Tabela9[[#This Row],[Coluna1]],Tabela9[[#This Row],[Coluna2]])</f>
        <v>20-Rota</v>
      </c>
    </row>
    <row r="4265" spans="1:7" x14ac:dyDescent="0.25">
      <c r="A4265">
        <v>19171</v>
      </c>
      <c r="B4265">
        <v>303</v>
      </c>
      <c r="C4265" s="1" t="str">
        <f>IF(Tabela8[[#This Row],[SETOR]]="","",IF(Tabela8[[#This Row],[SETOR]]&lt;200,"GV 10",IF(Tabela8[[#This Row],[SETOR]]&lt;300,"GV 20",IF(Tabela8[[#This Row],[SETOR]]&lt;400,"GV 30","S/GV"))))</f>
        <v>GV 30</v>
      </c>
      <c r="E4265" t="s">
        <v>125</v>
      </c>
      <c r="G4265" t="str">
        <f>_xlfn.CONCAT(Tabela9[[#This Row],[Coluna1]],Tabela9[[#This Row],[Coluna2]])</f>
        <v>18-TRAD</v>
      </c>
    </row>
    <row r="4266" spans="1:7" x14ac:dyDescent="0.25">
      <c r="A4266">
        <v>19172</v>
      </c>
      <c r="B4266">
        <v>205</v>
      </c>
      <c r="C4266" s="1" t="str">
        <f>IF(Tabela8[[#This Row],[SETOR]]="","",IF(Tabela8[[#This Row],[SETOR]]&lt;200,"GV 10",IF(Tabela8[[#This Row],[SETOR]]&lt;300,"GV 20",IF(Tabela8[[#This Row],[SETOR]]&lt;400,"GV 30","S/GV"))))</f>
        <v>GV 20</v>
      </c>
      <c r="E4266" t="s">
        <v>123</v>
      </c>
      <c r="G4266" t="str">
        <f>_xlfn.CONCAT(Tabela9[[#This Row],[Coluna1]],Tabela9[[#This Row],[Coluna2]])</f>
        <v>20-Rota</v>
      </c>
    </row>
    <row r="4267" spans="1:7" x14ac:dyDescent="0.25">
      <c r="A4267">
        <v>19173</v>
      </c>
      <c r="B4267">
        <v>205</v>
      </c>
      <c r="C4267" s="1" t="str">
        <f>IF(Tabela8[[#This Row],[SETOR]]="","",IF(Tabela8[[#This Row],[SETOR]]&lt;200,"GV 10",IF(Tabela8[[#This Row],[SETOR]]&lt;300,"GV 20",IF(Tabela8[[#This Row],[SETOR]]&lt;400,"GV 30","S/GV"))))</f>
        <v>GV 20</v>
      </c>
      <c r="E4267" t="s">
        <v>123</v>
      </c>
      <c r="G4267" t="str">
        <f>_xlfn.CONCAT(Tabela9[[#This Row],[Coluna1]],Tabela9[[#This Row],[Coluna2]])</f>
        <v>20-Rota</v>
      </c>
    </row>
    <row r="4268" spans="1:7" x14ac:dyDescent="0.25">
      <c r="A4268">
        <v>19177</v>
      </c>
      <c r="B4268">
        <v>301</v>
      </c>
      <c r="C4268" s="1" t="str">
        <f>IF(Tabela8[[#This Row],[SETOR]]="","",IF(Tabela8[[#This Row],[SETOR]]&lt;200,"GV 10",IF(Tabela8[[#This Row],[SETOR]]&lt;300,"GV 20",IF(Tabela8[[#This Row],[SETOR]]&lt;400,"GV 30","S/GV"))))</f>
        <v>GV 30</v>
      </c>
      <c r="E4268" t="s">
        <v>123</v>
      </c>
      <c r="G4268" t="str">
        <f>_xlfn.CONCAT(Tabela9[[#This Row],[Coluna1]],Tabela9[[#This Row],[Coluna2]])</f>
        <v>20-Rota</v>
      </c>
    </row>
    <row r="4269" spans="1:7" x14ac:dyDescent="0.25">
      <c r="A4269">
        <v>19183</v>
      </c>
      <c r="B4269">
        <v>204</v>
      </c>
      <c r="C4269" s="1" t="str">
        <f>IF(Tabela8[[#This Row],[SETOR]]="","",IF(Tabela8[[#This Row],[SETOR]]&lt;200,"GV 10",IF(Tabela8[[#This Row],[SETOR]]&lt;300,"GV 20",IF(Tabela8[[#This Row],[SETOR]]&lt;400,"GV 30","S/GV"))))</f>
        <v>GV 20</v>
      </c>
      <c r="E4269" t="s">
        <v>123</v>
      </c>
      <c r="G4269" t="str">
        <f>_xlfn.CONCAT(Tabela9[[#This Row],[Coluna1]],Tabela9[[#This Row],[Coluna2]])</f>
        <v>20-Rota</v>
      </c>
    </row>
    <row r="4270" spans="1:7" x14ac:dyDescent="0.25">
      <c r="A4270">
        <v>19190</v>
      </c>
      <c r="B4270">
        <v>308</v>
      </c>
      <c r="C4270" s="1" t="str">
        <f>IF(Tabela8[[#This Row],[SETOR]]="","",IF(Tabela8[[#This Row],[SETOR]]&lt;200,"GV 10",IF(Tabela8[[#This Row],[SETOR]]&lt;300,"GV 20",IF(Tabela8[[#This Row],[SETOR]]&lt;400,"GV 30","S/GV"))))</f>
        <v>GV 30</v>
      </c>
      <c r="E4270" t="s">
        <v>128</v>
      </c>
      <c r="F4270" t="s">
        <v>129</v>
      </c>
      <c r="G4270" t="str">
        <f>_xlfn.CONCAT(Tabela9[[#This Row],[Coluna1]],Tabela9[[#This Row],[Coluna2]])</f>
        <v>15-AS(1-4)</v>
      </c>
    </row>
    <row r="4271" spans="1:7" x14ac:dyDescent="0.25">
      <c r="A4271">
        <v>19191</v>
      </c>
      <c r="B4271">
        <v>307</v>
      </c>
      <c r="C4271" s="1" t="str">
        <f>IF(Tabela8[[#This Row],[SETOR]]="","",IF(Tabela8[[#This Row],[SETOR]]&lt;200,"GV 10",IF(Tabela8[[#This Row],[SETOR]]&lt;300,"GV 20",IF(Tabela8[[#This Row],[SETOR]]&lt;400,"GV 30","S/GV"))))</f>
        <v>GV 30</v>
      </c>
      <c r="G4271" t="str">
        <f>_xlfn.CONCAT(Tabela9[[#This Row],[Coluna1]],Tabela9[[#This Row],[Coluna2]])</f>
        <v/>
      </c>
    </row>
    <row r="4272" spans="1:7" x14ac:dyDescent="0.25">
      <c r="A4272">
        <v>19193</v>
      </c>
      <c r="B4272">
        <v>307</v>
      </c>
      <c r="C4272" s="1" t="str">
        <f>IF(Tabela8[[#This Row],[SETOR]]="","",IF(Tabela8[[#This Row],[SETOR]]&lt;200,"GV 10",IF(Tabela8[[#This Row],[SETOR]]&lt;300,"GV 20",IF(Tabela8[[#This Row],[SETOR]]&lt;400,"GV 30","S/GV"))))</f>
        <v>GV 30</v>
      </c>
      <c r="E4272" t="s">
        <v>130</v>
      </c>
      <c r="G4272" t="str">
        <f>_xlfn.CONCAT(Tabela9[[#This Row],[Coluna1]],Tabela9[[#This Row],[Coluna2]])</f>
        <v>21-SUB</v>
      </c>
    </row>
    <row r="4273" spans="1:7" x14ac:dyDescent="0.25">
      <c r="A4273">
        <v>19194</v>
      </c>
      <c r="B4273">
        <v>104</v>
      </c>
      <c r="C4273" s="1" t="str">
        <f>IF(Tabela8[[#This Row],[SETOR]]="","",IF(Tabela8[[#This Row],[SETOR]]&lt;200,"GV 10",IF(Tabela8[[#This Row],[SETOR]]&lt;300,"GV 20",IF(Tabela8[[#This Row],[SETOR]]&lt;400,"GV 30","S/GV"))))</f>
        <v>GV 10</v>
      </c>
      <c r="G4273" t="str">
        <f>_xlfn.CONCAT(Tabela9[[#This Row],[Coluna1]],Tabela9[[#This Row],[Coluna2]])</f>
        <v/>
      </c>
    </row>
    <row r="4274" spans="1:7" x14ac:dyDescent="0.25">
      <c r="A4274">
        <v>19195</v>
      </c>
      <c r="B4274">
        <v>104</v>
      </c>
      <c r="C4274" s="1" t="str">
        <f>IF(Tabela8[[#This Row],[SETOR]]="","",IF(Tabela8[[#This Row],[SETOR]]&lt;200,"GV 10",IF(Tabela8[[#This Row],[SETOR]]&lt;300,"GV 20",IF(Tabela8[[#This Row],[SETOR]]&lt;400,"GV 30","S/GV"))))</f>
        <v>GV 10</v>
      </c>
      <c r="E4274" t="s">
        <v>123</v>
      </c>
      <c r="G4274" t="str">
        <f>_xlfn.CONCAT(Tabela9[[#This Row],[Coluna1]],Tabela9[[#This Row],[Coluna2]])</f>
        <v>20-Rota</v>
      </c>
    </row>
    <row r="4275" spans="1:7" x14ac:dyDescent="0.25">
      <c r="A4275">
        <v>19196</v>
      </c>
      <c r="B4275">
        <v>104</v>
      </c>
      <c r="C4275" s="1" t="str">
        <f>IF(Tabela8[[#This Row],[SETOR]]="","",IF(Tabela8[[#This Row],[SETOR]]&lt;200,"GV 10",IF(Tabela8[[#This Row],[SETOR]]&lt;300,"GV 20",IF(Tabela8[[#This Row],[SETOR]]&lt;400,"GV 30","S/GV"))))</f>
        <v>GV 10</v>
      </c>
      <c r="E4275" t="s">
        <v>123</v>
      </c>
      <c r="G4275" t="str">
        <f>_xlfn.CONCAT(Tabela9[[#This Row],[Coluna1]],Tabela9[[#This Row],[Coluna2]])</f>
        <v>20-Rota</v>
      </c>
    </row>
    <row r="4276" spans="1:7" x14ac:dyDescent="0.25">
      <c r="A4276">
        <v>19197</v>
      </c>
      <c r="B4276">
        <v>302</v>
      </c>
      <c r="C4276" s="1" t="str">
        <f>IF(Tabela8[[#This Row],[SETOR]]="","",IF(Tabela8[[#This Row],[SETOR]]&lt;200,"GV 10",IF(Tabela8[[#This Row],[SETOR]]&lt;300,"GV 20",IF(Tabela8[[#This Row],[SETOR]]&lt;400,"GV 30","S/GV"))))</f>
        <v>GV 30</v>
      </c>
      <c r="E4276" t="s">
        <v>123</v>
      </c>
      <c r="G4276" t="str">
        <f>_xlfn.CONCAT(Tabela9[[#This Row],[Coluna1]],Tabela9[[#This Row],[Coluna2]])</f>
        <v>20-Rota</v>
      </c>
    </row>
    <row r="4277" spans="1:7" x14ac:dyDescent="0.25">
      <c r="A4277">
        <v>19198</v>
      </c>
      <c r="B4277">
        <v>101</v>
      </c>
      <c r="C4277" s="1" t="str">
        <f>IF(Tabela8[[#This Row],[SETOR]]="","",IF(Tabela8[[#This Row],[SETOR]]&lt;200,"GV 10",IF(Tabela8[[#This Row],[SETOR]]&lt;300,"GV 20",IF(Tabela8[[#This Row],[SETOR]]&lt;400,"GV 30","S/GV"))))</f>
        <v>GV 10</v>
      </c>
      <c r="E4277" t="s">
        <v>123</v>
      </c>
      <c r="G4277" t="str">
        <f>_xlfn.CONCAT(Tabela9[[#This Row],[Coluna1]],Tabela9[[#This Row],[Coluna2]])</f>
        <v>20-Rota</v>
      </c>
    </row>
    <row r="4278" spans="1:7" x14ac:dyDescent="0.25">
      <c r="A4278">
        <v>19199</v>
      </c>
      <c r="B4278">
        <v>109</v>
      </c>
      <c r="C4278" s="1" t="str">
        <f>IF(Tabela8[[#This Row],[SETOR]]="","",IF(Tabela8[[#This Row],[SETOR]]&lt;200,"GV 10",IF(Tabela8[[#This Row],[SETOR]]&lt;300,"GV 20",IF(Tabela8[[#This Row],[SETOR]]&lt;400,"GV 30","S/GV"))))</f>
        <v>GV 10</v>
      </c>
      <c r="E4278" t="s">
        <v>130</v>
      </c>
      <c r="G4278" t="str">
        <f>_xlfn.CONCAT(Tabela9[[#This Row],[Coluna1]],Tabela9[[#This Row],[Coluna2]])</f>
        <v>21-SUB</v>
      </c>
    </row>
    <row r="4279" spans="1:7" x14ac:dyDescent="0.25">
      <c r="A4279">
        <v>19200</v>
      </c>
      <c r="B4279">
        <v>306</v>
      </c>
      <c r="C4279" s="1" t="str">
        <f>IF(Tabela8[[#This Row],[SETOR]]="","",IF(Tabela8[[#This Row],[SETOR]]&lt;200,"GV 10",IF(Tabela8[[#This Row],[SETOR]]&lt;300,"GV 20",IF(Tabela8[[#This Row],[SETOR]]&lt;400,"GV 30","S/GV"))))</f>
        <v>GV 30</v>
      </c>
      <c r="E4279" t="s">
        <v>125</v>
      </c>
      <c r="G4279" t="str">
        <f>_xlfn.CONCAT(Tabela9[[#This Row],[Coluna1]],Tabela9[[#This Row],[Coluna2]])</f>
        <v>18-TRAD</v>
      </c>
    </row>
    <row r="4280" spans="1:7" x14ac:dyDescent="0.25">
      <c r="A4280">
        <v>19201</v>
      </c>
      <c r="B4280">
        <v>201</v>
      </c>
      <c r="C4280" s="1" t="str">
        <f>IF(Tabela8[[#This Row],[SETOR]]="","",IF(Tabela8[[#This Row],[SETOR]]&lt;200,"GV 10",IF(Tabela8[[#This Row],[SETOR]]&lt;300,"GV 20",IF(Tabela8[[#This Row],[SETOR]]&lt;400,"GV 30","S/GV"))))</f>
        <v>GV 20</v>
      </c>
      <c r="E4280" t="s">
        <v>123</v>
      </c>
      <c r="G4280" t="str">
        <f>_xlfn.CONCAT(Tabela9[[#This Row],[Coluna1]],Tabela9[[#This Row],[Coluna2]])</f>
        <v>20-Rota</v>
      </c>
    </row>
    <row r="4281" spans="1:7" x14ac:dyDescent="0.25">
      <c r="A4281">
        <v>19202</v>
      </c>
      <c r="B4281">
        <v>306</v>
      </c>
      <c r="C4281" s="1" t="str">
        <f>IF(Tabela8[[#This Row],[SETOR]]="","",IF(Tabela8[[#This Row],[SETOR]]&lt;200,"GV 10",IF(Tabela8[[#This Row],[SETOR]]&lt;300,"GV 20",IF(Tabela8[[#This Row],[SETOR]]&lt;400,"GV 30","S/GV"))))</f>
        <v>GV 30</v>
      </c>
      <c r="E4281" t="s">
        <v>128</v>
      </c>
      <c r="F4281" t="s">
        <v>129</v>
      </c>
      <c r="G4281" t="str">
        <f>_xlfn.CONCAT(Tabela9[[#This Row],[Coluna1]],Tabela9[[#This Row],[Coluna2]])</f>
        <v>15-AS(1-4)</v>
      </c>
    </row>
    <row r="4282" spans="1:7" x14ac:dyDescent="0.25">
      <c r="A4282">
        <v>19208</v>
      </c>
      <c r="B4282">
        <v>916</v>
      </c>
      <c r="C4282" s="1" t="str">
        <f>IF(Tabela8[[#This Row],[SETOR]]="","",IF(Tabela8[[#This Row],[SETOR]]&lt;200,"GV 10",IF(Tabela8[[#This Row],[SETOR]]&lt;300,"GV 20",IF(Tabela8[[#This Row],[SETOR]]&lt;400,"GV 30","S/GV"))))</f>
        <v>S/GV</v>
      </c>
      <c r="G4282" t="str">
        <f>_xlfn.CONCAT(Tabela9[[#This Row],[Coluna1]],Tabela9[[#This Row],[Coluna2]])</f>
        <v/>
      </c>
    </row>
    <row r="4283" spans="1:7" x14ac:dyDescent="0.25">
      <c r="A4283">
        <v>19209</v>
      </c>
      <c r="B4283">
        <v>207</v>
      </c>
      <c r="C4283" s="1" t="str">
        <f>IF(Tabela8[[#This Row],[SETOR]]="","",IF(Tabela8[[#This Row],[SETOR]]&lt;200,"GV 10",IF(Tabela8[[#This Row],[SETOR]]&lt;300,"GV 20",IF(Tabela8[[#This Row],[SETOR]]&lt;400,"GV 30","S/GV"))))</f>
        <v>GV 20</v>
      </c>
      <c r="E4283" t="s">
        <v>125</v>
      </c>
      <c r="G4283" t="str">
        <f>_xlfn.CONCAT(Tabela9[[#This Row],[Coluna1]],Tabela9[[#This Row],[Coluna2]])</f>
        <v>18-TRAD</v>
      </c>
    </row>
    <row r="4284" spans="1:7" x14ac:dyDescent="0.25">
      <c r="A4284">
        <v>19210</v>
      </c>
      <c r="B4284">
        <v>205</v>
      </c>
      <c r="C4284" s="1" t="str">
        <f>IF(Tabela8[[#This Row],[SETOR]]="","",IF(Tabela8[[#This Row],[SETOR]]&lt;200,"GV 10",IF(Tabela8[[#This Row],[SETOR]]&lt;300,"GV 20",IF(Tabela8[[#This Row],[SETOR]]&lt;400,"GV 30","S/GV"))))</f>
        <v>GV 20</v>
      </c>
      <c r="G4284" t="str">
        <f>_xlfn.CONCAT(Tabela9[[#This Row],[Coluna1]],Tabela9[[#This Row],[Coluna2]])</f>
        <v/>
      </c>
    </row>
    <row r="4285" spans="1:7" x14ac:dyDescent="0.25">
      <c r="A4285">
        <v>19211</v>
      </c>
      <c r="B4285">
        <v>306</v>
      </c>
      <c r="C4285" s="1" t="str">
        <f>IF(Tabela8[[#This Row],[SETOR]]="","",IF(Tabela8[[#This Row],[SETOR]]&lt;200,"GV 10",IF(Tabela8[[#This Row],[SETOR]]&lt;300,"GV 20",IF(Tabela8[[#This Row],[SETOR]]&lt;400,"GV 30","S/GV"))))</f>
        <v>GV 30</v>
      </c>
      <c r="G4285" t="str">
        <f>_xlfn.CONCAT(Tabela9[[#This Row],[Coluna1]],Tabela9[[#This Row],[Coluna2]])</f>
        <v/>
      </c>
    </row>
    <row r="4286" spans="1:7" x14ac:dyDescent="0.25">
      <c r="A4286">
        <v>19212</v>
      </c>
      <c r="B4286">
        <v>907</v>
      </c>
      <c r="C4286" s="1" t="str">
        <f>IF(Tabela8[[#This Row],[SETOR]]="","",IF(Tabela8[[#This Row],[SETOR]]&lt;200,"GV 10",IF(Tabela8[[#This Row],[SETOR]]&lt;300,"GV 20",IF(Tabela8[[#This Row],[SETOR]]&lt;400,"GV 30","S/GV"))))</f>
        <v>S/GV</v>
      </c>
      <c r="G4286" t="str">
        <f>_xlfn.CONCAT(Tabela9[[#This Row],[Coluna1]],Tabela9[[#This Row],[Coluna2]])</f>
        <v/>
      </c>
    </row>
    <row r="4287" spans="1:7" x14ac:dyDescent="0.25">
      <c r="A4287">
        <v>19213</v>
      </c>
      <c r="B4287">
        <v>101</v>
      </c>
      <c r="C4287" s="1" t="str">
        <f>IF(Tabela8[[#This Row],[SETOR]]="","",IF(Tabela8[[#This Row],[SETOR]]&lt;200,"GV 10",IF(Tabela8[[#This Row],[SETOR]]&lt;300,"GV 20",IF(Tabela8[[#This Row],[SETOR]]&lt;400,"GV 30","S/GV"))))</f>
        <v>GV 10</v>
      </c>
      <c r="E4287" t="s">
        <v>123</v>
      </c>
      <c r="G4287" t="str">
        <f>_xlfn.CONCAT(Tabela9[[#This Row],[Coluna1]],Tabela9[[#This Row],[Coluna2]])</f>
        <v>20-Rota</v>
      </c>
    </row>
    <row r="4288" spans="1:7" x14ac:dyDescent="0.25">
      <c r="A4288">
        <v>19214</v>
      </c>
      <c r="B4288">
        <v>207</v>
      </c>
      <c r="C4288" s="1" t="str">
        <f>IF(Tabela8[[#This Row],[SETOR]]="","",IF(Tabela8[[#This Row],[SETOR]]&lt;200,"GV 10",IF(Tabela8[[#This Row],[SETOR]]&lt;300,"GV 20",IF(Tabela8[[#This Row],[SETOR]]&lt;400,"GV 30","S/GV"))))</f>
        <v>GV 20</v>
      </c>
      <c r="G4288" t="str">
        <f>_xlfn.CONCAT(Tabela9[[#This Row],[Coluna1]],Tabela9[[#This Row],[Coluna2]])</f>
        <v/>
      </c>
    </row>
    <row r="4289" spans="1:7" x14ac:dyDescent="0.25">
      <c r="A4289">
        <v>31209</v>
      </c>
      <c r="B4289">
        <v>208</v>
      </c>
      <c r="C4289" s="1" t="str">
        <f>IF(Tabela8[[#This Row],[SETOR]]="","",IF(Tabela8[[#This Row],[SETOR]]&lt;200,"GV 10",IF(Tabela8[[#This Row],[SETOR]]&lt;300,"GV 20",IF(Tabela8[[#This Row],[SETOR]]&lt;400,"GV 30","S/GV"))))</f>
        <v>GV 20</v>
      </c>
      <c r="E4289" t="s">
        <v>126</v>
      </c>
      <c r="F4289" t="s">
        <v>127</v>
      </c>
      <c r="G4289" t="str">
        <f>_xlfn.CONCAT(Tabela9[[#This Row],[Coluna1]],Tabela9[[#This Row],[Coluna2]])</f>
        <v>16-AS(5+)</v>
      </c>
    </row>
    <row r="4290" spans="1:7" x14ac:dyDescent="0.25">
      <c r="A4290">
        <v>31292</v>
      </c>
      <c r="B4290">
        <v>201</v>
      </c>
      <c r="C4290" s="1" t="str">
        <f>IF(Tabela8[[#This Row],[SETOR]]="","",IF(Tabela8[[#This Row],[SETOR]]&lt;200,"GV 10",IF(Tabela8[[#This Row],[SETOR]]&lt;300,"GV 20",IF(Tabela8[[#This Row],[SETOR]]&lt;400,"GV 30","S/GV"))))</f>
        <v>GV 20</v>
      </c>
      <c r="E4290" t="s">
        <v>123</v>
      </c>
      <c r="G4290" t="str">
        <f>_xlfn.CONCAT(Tabela9[[#This Row],[Coluna1]],Tabela9[[#This Row],[Coluna2]])</f>
        <v>20-Rota</v>
      </c>
    </row>
    <row r="4291" spans="1:7" x14ac:dyDescent="0.25">
      <c r="A4291">
        <v>31303</v>
      </c>
      <c r="B4291">
        <v>206</v>
      </c>
      <c r="C4291" s="1" t="str">
        <f>IF(Tabela8[[#This Row],[SETOR]]="","",IF(Tabela8[[#This Row],[SETOR]]&lt;200,"GV 10",IF(Tabela8[[#This Row],[SETOR]]&lt;300,"GV 20",IF(Tabela8[[#This Row],[SETOR]]&lt;400,"GV 30","S/GV"))))</f>
        <v>GV 20</v>
      </c>
      <c r="E4291" t="s">
        <v>130</v>
      </c>
      <c r="G4291" t="str">
        <f>_xlfn.CONCAT(Tabela9[[#This Row],[Coluna1]],Tabela9[[#This Row],[Coluna2]])</f>
        <v>21-SUB</v>
      </c>
    </row>
    <row r="4292" spans="1:7" x14ac:dyDescent="0.25">
      <c r="A4292">
        <v>31322</v>
      </c>
      <c r="B4292">
        <v>201</v>
      </c>
      <c r="C4292" s="1" t="str">
        <f>IF(Tabela8[[#This Row],[SETOR]]="","",IF(Tabela8[[#This Row],[SETOR]]&lt;200,"GV 10",IF(Tabela8[[#This Row],[SETOR]]&lt;300,"GV 20",IF(Tabela8[[#This Row],[SETOR]]&lt;400,"GV 30","S/GV"))))</f>
        <v>GV 20</v>
      </c>
      <c r="E4292" t="s">
        <v>123</v>
      </c>
      <c r="G4292" t="str">
        <f>_xlfn.CONCAT(Tabela9[[#This Row],[Coluna1]],Tabela9[[#This Row],[Coluna2]])</f>
        <v>20-Rota</v>
      </c>
    </row>
    <row r="4293" spans="1:7" x14ac:dyDescent="0.25">
      <c r="A4293">
        <v>31527</v>
      </c>
      <c r="B4293">
        <v>201</v>
      </c>
      <c r="C4293" s="1" t="str">
        <f>IF(Tabela8[[#This Row],[SETOR]]="","",IF(Tabela8[[#This Row],[SETOR]]&lt;200,"GV 10",IF(Tabela8[[#This Row],[SETOR]]&lt;300,"GV 20",IF(Tabela8[[#This Row],[SETOR]]&lt;400,"GV 30","S/GV"))))</f>
        <v>GV 20</v>
      </c>
      <c r="E4293" t="s">
        <v>123</v>
      </c>
      <c r="G4293" t="str">
        <f>_xlfn.CONCAT(Tabela9[[#This Row],[Coluna1]],Tabela9[[#This Row],[Coluna2]])</f>
        <v>20-Rota</v>
      </c>
    </row>
    <row r="4294" spans="1:7" x14ac:dyDescent="0.25">
      <c r="A4294">
        <v>31556</v>
      </c>
      <c r="B4294">
        <v>206</v>
      </c>
      <c r="C4294" s="1" t="str">
        <f>IF(Tabela8[[#This Row],[SETOR]]="","",IF(Tabela8[[#This Row],[SETOR]]&lt;200,"GV 10",IF(Tabela8[[#This Row],[SETOR]]&lt;300,"GV 20",IF(Tabela8[[#This Row],[SETOR]]&lt;400,"GV 30","S/GV"))))</f>
        <v>GV 20</v>
      </c>
      <c r="E4294" t="s">
        <v>123</v>
      </c>
      <c r="G4294" t="str">
        <f>_xlfn.CONCAT(Tabela9[[#This Row],[Coluna1]],Tabela9[[#This Row],[Coluna2]])</f>
        <v>20-Rota</v>
      </c>
    </row>
    <row r="4295" spans="1:7" x14ac:dyDescent="0.25">
      <c r="A4295">
        <v>31603</v>
      </c>
      <c r="B4295">
        <v>206</v>
      </c>
      <c r="C4295" s="1" t="str">
        <f>IF(Tabela8[[#This Row],[SETOR]]="","",IF(Tabela8[[#This Row],[SETOR]]&lt;200,"GV 10",IF(Tabela8[[#This Row],[SETOR]]&lt;300,"GV 20",IF(Tabela8[[#This Row],[SETOR]]&lt;400,"GV 30","S/GV"))))</f>
        <v>GV 20</v>
      </c>
      <c r="E4295" t="s">
        <v>123</v>
      </c>
      <c r="G4295" t="str">
        <f>_xlfn.CONCAT(Tabela9[[#This Row],[Coluna1]],Tabela9[[#This Row],[Coluna2]])</f>
        <v>20-Rota</v>
      </c>
    </row>
    <row r="4296" spans="1:7" x14ac:dyDescent="0.25">
      <c r="A4296">
        <v>31643</v>
      </c>
      <c r="B4296">
        <v>206</v>
      </c>
      <c r="C4296" s="1" t="str">
        <f>IF(Tabela8[[#This Row],[SETOR]]="","",IF(Tabela8[[#This Row],[SETOR]]&lt;200,"GV 10",IF(Tabela8[[#This Row],[SETOR]]&lt;300,"GV 20",IF(Tabela8[[#This Row],[SETOR]]&lt;400,"GV 30","S/GV"))))</f>
        <v>GV 20</v>
      </c>
      <c r="E4296" t="s">
        <v>125</v>
      </c>
      <c r="G4296" t="str">
        <f>_xlfn.CONCAT(Tabela9[[#This Row],[Coluna1]],Tabela9[[#This Row],[Coluna2]])</f>
        <v>18-TRAD</v>
      </c>
    </row>
    <row r="4297" spans="1:7" x14ac:dyDescent="0.25">
      <c r="A4297">
        <v>31648</v>
      </c>
      <c r="B4297">
        <v>201</v>
      </c>
      <c r="C4297" s="1" t="str">
        <f>IF(Tabela8[[#This Row],[SETOR]]="","",IF(Tabela8[[#This Row],[SETOR]]&lt;200,"GV 10",IF(Tabela8[[#This Row],[SETOR]]&lt;300,"GV 20",IF(Tabela8[[#This Row],[SETOR]]&lt;400,"GV 30","S/GV"))))</f>
        <v>GV 20</v>
      </c>
      <c r="E4297" t="s">
        <v>125</v>
      </c>
      <c r="G4297" t="str">
        <f>_xlfn.CONCAT(Tabela9[[#This Row],[Coluna1]],Tabela9[[#This Row],[Coluna2]])</f>
        <v>18-TRAD</v>
      </c>
    </row>
    <row r="4298" spans="1:7" x14ac:dyDescent="0.25">
      <c r="A4298">
        <v>31684</v>
      </c>
      <c r="B4298">
        <v>102</v>
      </c>
      <c r="C4298" s="1" t="str">
        <f>IF(Tabela8[[#This Row],[SETOR]]="","",IF(Tabela8[[#This Row],[SETOR]]&lt;200,"GV 10",IF(Tabela8[[#This Row],[SETOR]]&lt;300,"GV 20",IF(Tabela8[[#This Row],[SETOR]]&lt;400,"GV 30","S/GV"))))</f>
        <v>GV 10</v>
      </c>
      <c r="E4298" t="s">
        <v>123</v>
      </c>
      <c r="G4298" t="str">
        <f>_xlfn.CONCAT(Tabela9[[#This Row],[Coluna1]],Tabela9[[#This Row],[Coluna2]])</f>
        <v>20-Rota</v>
      </c>
    </row>
    <row r="4299" spans="1:7" x14ac:dyDescent="0.25">
      <c r="A4299">
        <v>31728</v>
      </c>
      <c r="B4299">
        <v>109</v>
      </c>
      <c r="C4299" s="1" t="str">
        <f>IF(Tabela8[[#This Row],[SETOR]]="","",IF(Tabela8[[#This Row],[SETOR]]&lt;200,"GV 10",IF(Tabela8[[#This Row],[SETOR]]&lt;300,"GV 20",IF(Tabela8[[#This Row],[SETOR]]&lt;400,"GV 30","S/GV"))))</f>
        <v>GV 10</v>
      </c>
      <c r="E4299" t="s">
        <v>123</v>
      </c>
      <c r="G4299" t="str">
        <f>_xlfn.CONCAT(Tabela9[[#This Row],[Coluna1]],Tabela9[[#This Row],[Coluna2]])</f>
        <v>20-Rota</v>
      </c>
    </row>
    <row r="4300" spans="1:7" x14ac:dyDescent="0.25">
      <c r="A4300">
        <v>31760</v>
      </c>
      <c r="B4300">
        <v>302</v>
      </c>
      <c r="C4300" s="1" t="str">
        <f>IF(Tabela8[[#This Row],[SETOR]]="","",IF(Tabela8[[#This Row],[SETOR]]&lt;200,"GV 10",IF(Tabela8[[#This Row],[SETOR]]&lt;300,"GV 20",IF(Tabela8[[#This Row],[SETOR]]&lt;400,"GV 30","S/GV"))))</f>
        <v>GV 30</v>
      </c>
      <c r="E4300" t="s">
        <v>123</v>
      </c>
      <c r="G4300" t="str">
        <f>_xlfn.CONCAT(Tabela9[[#This Row],[Coluna1]],Tabela9[[#This Row],[Coluna2]])</f>
        <v>20-Rota</v>
      </c>
    </row>
    <row r="4301" spans="1:7" x14ac:dyDescent="0.25">
      <c r="A4301">
        <v>31788</v>
      </c>
      <c r="B4301">
        <v>205</v>
      </c>
      <c r="C4301" s="1" t="str">
        <f>IF(Tabela8[[#This Row],[SETOR]]="","",IF(Tabela8[[#This Row],[SETOR]]&lt;200,"GV 10",IF(Tabela8[[#This Row],[SETOR]]&lt;300,"GV 20",IF(Tabela8[[#This Row],[SETOR]]&lt;400,"GV 30","S/GV"))))</f>
        <v>GV 20</v>
      </c>
      <c r="E4301" t="s">
        <v>123</v>
      </c>
      <c r="G4301" t="str">
        <f>_xlfn.CONCAT(Tabela9[[#This Row],[Coluna1]],Tabela9[[#This Row],[Coluna2]])</f>
        <v>20-Rota</v>
      </c>
    </row>
    <row r="4302" spans="1:7" x14ac:dyDescent="0.25">
      <c r="A4302">
        <v>31828</v>
      </c>
      <c r="B4302">
        <v>203</v>
      </c>
      <c r="C4302" s="1" t="str">
        <f>IF(Tabela8[[#This Row],[SETOR]]="","",IF(Tabela8[[#This Row],[SETOR]]&lt;200,"GV 10",IF(Tabela8[[#This Row],[SETOR]]&lt;300,"GV 20",IF(Tabela8[[#This Row],[SETOR]]&lt;400,"GV 30","S/GV"))))</f>
        <v>GV 20</v>
      </c>
      <c r="E4302" t="s">
        <v>123</v>
      </c>
      <c r="G4302" t="str">
        <f>_xlfn.CONCAT(Tabela9[[#This Row],[Coluna1]],Tabela9[[#This Row],[Coluna2]])</f>
        <v>20-Rota</v>
      </c>
    </row>
    <row r="4303" spans="1:7" x14ac:dyDescent="0.25">
      <c r="A4303">
        <v>31878</v>
      </c>
      <c r="B4303">
        <v>305</v>
      </c>
      <c r="C4303" s="1" t="str">
        <f>IF(Tabela8[[#This Row],[SETOR]]="","",IF(Tabela8[[#This Row],[SETOR]]&lt;200,"GV 10",IF(Tabela8[[#This Row],[SETOR]]&lt;300,"GV 20",IF(Tabela8[[#This Row],[SETOR]]&lt;400,"GV 30","S/GV"))))</f>
        <v>GV 30</v>
      </c>
      <c r="E4303" t="s">
        <v>123</v>
      </c>
      <c r="G4303" t="str">
        <f>_xlfn.CONCAT(Tabela9[[#This Row],[Coluna1]],Tabela9[[#This Row],[Coluna2]])</f>
        <v>20-Rota</v>
      </c>
    </row>
    <row r="4304" spans="1:7" x14ac:dyDescent="0.25">
      <c r="A4304">
        <v>31886</v>
      </c>
      <c r="B4304">
        <v>204</v>
      </c>
      <c r="C4304" s="1" t="str">
        <f>IF(Tabela8[[#This Row],[SETOR]]="","",IF(Tabela8[[#This Row],[SETOR]]&lt;200,"GV 10",IF(Tabela8[[#This Row],[SETOR]]&lt;300,"GV 20",IF(Tabela8[[#This Row],[SETOR]]&lt;400,"GV 30","S/GV"))))</f>
        <v>GV 20</v>
      </c>
      <c r="E4304" t="s">
        <v>123</v>
      </c>
      <c r="G4304" t="str">
        <f>_xlfn.CONCAT(Tabela9[[#This Row],[Coluna1]],Tabela9[[#This Row],[Coluna2]])</f>
        <v>20-Rota</v>
      </c>
    </row>
    <row r="4305" spans="1:7" x14ac:dyDescent="0.25">
      <c r="A4305">
        <v>31925</v>
      </c>
      <c r="B4305">
        <v>205</v>
      </c>
      <c r="C4305" s="1" t="str">
        <f>IF(Tabela8[[#This Row],[SETOR]]="","",IF(Tabela8[[#This Row],[SETOR]]&lt;200,"GV 10",IF(Tabela8[[#This Row],[SETOR]]&lt;300,"GV 20",IF(Tabela8[[#This Row],[SETOR]]&lt;400,"GV 30","S/GV"))))</f>
        <v>GV 20</v>
      </c>
      <c r="E4305" t="s">
        <v>130</v>
      </c>
      <c r="G4305" t="str">
        <f>_xlfn.CONCAT(Tabela9[[#This Row],[Coluna1]],Tabela9[[#This Row],[Coluna2]])</f>
        <v>21-SUB</v>
      </c>
    </row>
    <row r="4306" spans="1:7" x14ac:dyDescent="0.25">
      <c r="A4306">
        <v>31935</v>
      </c>
      <c r="B4306">
        <v>102</v>
      </c>
      <c r="C4306" s="1" t="str">
        <f>IF(Tabela8[[#This Row],[SETOR]]="","",IF(Tabela8[[#This Row],[SETOR]]&lt;200,"GV 10",IF(Tabela8[[#This Row],[SETOR]]&lt;300,"GV 20",IF(Tabela8[[#This Row],[SETOR]]&lt;400,"GV 30","S/GV"))))</f>
        <v>GV 10</v>
      </c>
      <c r="E4306" t="s">
        <v>123</v>
      </c>
      <c r="G4306" t="str">
        <f>_xlfn.CONCAT(Tabela9[[#This Row],[Coluna1]],Tabela9[[#This Row],[Coluna2]])</f>
        <v>20-Rota</v>
      </c>
    </row>
    <row r="4307" spans="1:7" x14ac:dyDescent="0.25">
      <c r="A4307">
        <v>31955</v>
      </c>
      <c r="B4307">
        <v>303</v>
      </c>
      <c r="C4307" s="1" t="str">
        <f>IF(Tabela8[[#This Row],[SETOR]]="","",IF(Tabela8[[#This Row],[SETOR]]&lt;200,"GV 10",IF(Tabela8[[#This Row],[SETOR]]&lt;300,"GV 20",IF(Tabela8[[#This Row],[SETOR]]&lt;400,"GV 30","S/GV"))))</f>
        <v>GV 30</v>
      </c>
      <c r="E4307" t="s">
        <v>123</v>
      </c>
      <c r="G4307" t="str">
        <f>_xlfn.CONCAT(Tabela9[[#This Row],[Coluna1]],Tabela9[[#This Row],[Coluna2]])</f>
        <v>20-Rota</v>
      </c>
    </row>
    <row r="4308" spans="1:7" x14ac:dyDescent="0.25">
      <c r="A4308">
        <v>31971</v>
      </c>
      <c r="B4308">
        <v>102</v>
      </c>
      <c r="C4308" s="1" t="str">
        <f>IF(Tabela8[[#This Row],[SETOR]]="","",IF(Tabela8[[#This Row],[SETOR]]&lt;200,"GV 10",IF(Tabela8[[#This Row],[SETOR]]&lt;300,"GV 20",IF(Tabela8[[#This Row],[SETOR]]&lt;400,"GV 30","S/GV"))))</f>
        <v>GV 10</v>
      </c>
      <c r="E4308" t="s">
        <v>123</v>
      </c>
      <c r="G4308" t="str">
        <f>_xlfn.CONCAT(Tabela9[[#This Row],[Coluna1]],Tabela9[[#This Row],[Coluna2]])</f>
        <v>20-Rota</v>
      </c>
    </row>
    <row r="4309" spans="1:7" x14ac:dyDescent="0.25">
      <c r="A4309">
        <v>31990</v>
      </c>
      <c r="B4309">
        <v>306</v>
      </c>
      <c r="C4309" s="1" t="str">
        <f>IF(Tabela8[[#This Row],[SETOR]]="","",IF(Tabela8[[#This Row],[SETOR]]&lt;200,"GV 10",IF(Tabela8[[#This Row],[SETOR]]&lt;300,"GV 20",IF(Tabela8[[#This Row],[SETOR]]&lt;400,"GV 30","S/GV"))))</f>
        <v>GV 30</v>
      </c>
      <c r="E4309" t="s">
        <v>125</v>
      </c>
      <c r="G4309" t="str">
        <f>_xlfn.CONCAT(Tabela9[[#This Row],[Coluna1]],Tabela9[[#This Row],[Coluna2]])</f>
        <v>18-TRAD</v>
      </c>
    </row>
    <row r="4310" spans="1:7" x14ac:dyDescent="0.25">
      <c r="A4310">
        <v>31991</v>
      </c>
      <c r="B4310">
        <v>306</v>
      </c>
      <c r="C4310" s="1" t="str">
        <f>IF(Tabela8[[#This Row],[SETOR]]="","",IF(Tabela8[[#This Row],[SETOR]]&lt;200,"GV 10",IF(Tabela8[[#This Row],[SETOR]]&lt;300,"GV 20",IF(Tabela8[[#This Row],[SETOR]]&lt;400,"GV 30","S/GV"))))</f>
        <v>GV 30</v>
      </c>
      <c r="E4310" t="s">
        <v>125</v>
      </c>
      <c r="G4310" t="str">
        <f>_xlfn.CONCAT(Tabela9[[#This Row],[Coluna1]],Tabela9[[#This Row],[Coluna2]])</f>
        <v>18-TRAD</v>
      </c>
    </row>
    <row r="4311" spans="1:7" x14ac:dyDescent="0.25">
      <c r="A4311">
        <v>31996</v>
      </c>
      <c r="B4311">
        <v>302</v>
      </c>
      <c r="C4311" s="1" t="str">
        <f>IF(Tabela8[[#This Row],[SETOR]]="","",IF(Tabela8[[#This Row],[SETOR]]&lt;200,"GV 10",IF(Tabela8[[#This Row],[SETOR]]&lt;300,"GV 20",IF(Tabela8[[#This Row],[SETOR]]&lt;400,"GV 30","S/GV"))))</f>
        <v>GV 30</v>
      </c>
      <c r="E4311" t="s">
        <v>123</v>
      </c>
      <c r="G4311" t="str">
        <f>_xlfn.CONCAT(Tabela9[[#This Row],[Coluna1]],Tabela9[[#This Row],[Coluna2]])</f>
        <v>20-Rota</v>
      </c>
    </row>
    <row r="4312" spans="1:7" x14ac:dyDescent="0.25">
      <c r="A4312">
        <v>32026</v>
      </c>
      <c r="B4312">
        <v>304</v>
      </c>
      <c r="C4312" s="1" t="str">
        <f>IF(Tabela8[[#This Row],[SETOR]]="","",IF(Tabela8[[#This Row],[SETOR]]&lt;200,"GV 10",IF(Tabela8[[#This Row],[SETOR]]&lt;300,"GV 20",IF(Tabela8[[#This Row],[SETOR]]&lt;400,"GV 30","S/GV"))))</f>
        <v>GV 30</v>
      </c>
      <c r="E4312" t="s">
        <v>123</v>
      </c>
      <c r="G4312" t="str">
        <f>_xlfn.CONCAT(Tabela9[[#This Row],[Coluna1]],Tabela9[[#This Row],[Coluna2]])</f>
        <v>20-Rota</v>
      </c>
    </row>
    <row r="4313" spans="1:7" x14ac:dyDescent="0.25">
      <c r="A4313">
        <v>32045</v>
      </c>
      <c r="B4313">
        <v>906</v>
      </c>
      <c r="C4313" s="1" t="str">
        <f>IF(Tabela8[[#This Row],[SETOR]]="","",IF(Tabela8[[#This Row],[SETOR]]&lt;200,"GV 10",IF(Tabela8[[#This Row],[SETOR]]&lt;300,"GV 20",IF(Tabela8[[#This Row],[SETOR]]&lt;400,"GV 30","S/GV"))))</f>
        <v>S/GV</v>
      </c>
      <c r="G4313" t="str">
        <f>_xlfn.CONCAT(Tabela9[[#This Row],[Coluna1]],Tabela9[[#This Row],[Coluna2]])</f>
        <v/>
      </c>
    </row>
    <row r="4314" spans="1:7" x14ac:dyDescent="0.25">
      <c r="A4314">
        <v>32051</v>
      </c>
      <c r="B4314">
        <v>306</v>
      </c>
      <c r="C4314" s="1" t="str">
        <f>IF(Tabela8[[#This Row],[SETOR]]="","",IF(Tabela8[[#This Row],[SETOR]]&lt;200,"GV 10",IF(Tabela8[[#This Row],[SETOR]]&lt;300,"GV 20",IF(Tabela8[[#This Row],[SETOR]]&lt;400,"GV 30","S/GV"))))</f>
        <v>GV 30</v>
      </c>
      <c r="E4314" t="s">
        <v>125</v>
      </c>
      <c r="G4314" t="str">
        <f>_xlfn.CONCAT(Tabela9[[#This Row],[Coluna1]],Tabela9[[#This Row],[Coluna2]])</f>
        <v>18-TRAD</v>
      </c>
    </row>
    <row r="4315" spans="1:7" x14ac:dyDescent="0.25">
      <c r="A4315">
        <v>32114</v>
      </c>
      <c r="B4315">
        <v>301</v>
      </c>
      <c r="C4315" s="1" t="str">
        <f>IF(Tabela8[[#This Row],[SETOR]]="","",IF(Tabela8[[#This Row],[SETOR]]&lt;200,"GV 10",IF(Tabela8[[#This Row],[SETOR]]&lt;300,"GV 20",IF(Tabela8[[#This Row],[SETOR]]&lt;400,"GV 30","S/GV"))))</f>
        <v>GV 30</v>
      </c>
      <c r="E4315" t="s">
        <v>123</v>
      </c>
      <c r="G4315" t="str">
        <f>_xlfn.CONCAT(Tabela9[[#This Row],[Coluna1]],Tabela9[[#This Row],[Coluna2]])</f>
        <v>20-Rota</v>
      </c>
    </row>
    <row r="4316" spans="1:7" x14ac:dyDescent="0.25">
      <c r="A4316">
        <v>32130</v>
      </c>
      <c r="B4316">
        <v>109</v>
      </c>
      <c r="C4316" s="1" t="str">
        <f>IF(Tabela8[[#This Row],[SETOR]]="","",IF(Tabela8[[#This Row],[SETOR]]&lt;200,"GV 10",IF(Tabela8[[#This Row],[SETOR]]&lt;300,"GV 20",IF(Tabela8[[#This Row],[SETOR]]&lt;400,"GV 30","S/GV"))))</f>
        <v>GV 10</v>
      </c>
      <c r="E4316" t="s">
        <v>123</v>
      </c>
      <c r="G4316" t="str">
        <f>_xlfn.CONCAT(Tabela9[[#This Row],[Coluna1]],Tabela9[[#This Row],[Coluna2]])</f>
        <v>20-Rota</v>
      </c>
    </row>
    <row r="4317" spans="1:7" x14ac:dyDescent="0.25">
      <c r="A4317">
        <v>32137</v>
      </c>
      <c r="B4317">
        <v>916</v>
      </c>
      <c r="C4317" s="1" t="str">
        <f>IF(Tabela8[[#This Row],[SETOR]]="","",IF(Tabela8[[#This Row],[SETOR]]&lt;200,"GV 10",IF(Tabela8[[#This Row],[SETOR]]&lt;300,"GV 20",IF(Tabela8[[#This Row],[SETOR]]&lt;400,"GV 30","S/GV"))))</f>
        <v>S/GV</v>
      </c>
      <c r="E4317" t="s">
        <v>123</v>
      </c>
      <c r="G4317" t="str">
        <f>_xlfn.CONCAT(Tabela9[[#This Row],[Coluna1]],Tabela9[[#This Row],[Coluna2]])</f>
        <v>20-Rota</v>
      </c>
    </row>
    <row r="4318" spans="1:7" x14ac:dyDescent="0.25">
      <c r="A4318">
        <v>32139</v>
      </c>
      <c r="B4318">
        <v>906</v>
      </c>
      <c r="C4318" s="1" t="str">
        <f>IF(Tabela8[[#This Row],[SETOR]]="","",IF(Tabela8[[#This Row],[SETOR]]&lt;200,"GV 10",IF(Tabela8[[#This Row],[SETOR]]&lt;300,"GV 20",IF(Tabela8[[#This Row],[SETOR]]&lt;400,"GV 30","S/GV"))))</f>
        <v>S/GV</v>
      </c>
      <c r="G4318" t="str">
        <f>_xlfn.CONCAT(Tabela9[[#This Row],[Coluna1]],Tabela9[[#This Row],[Coluna2]])</f>
        <v/>
      </c>
    </row>
    <row r="4319" spans="1:7" x14ac:dyDescent="0.25">
      <c r="A4319">
        <v>32169</v>
      </c>
      <c r="B4319">
        <v>912</v>
      </c>
      <c r="C4319" s="1" t="str">
        <f>IF(Tabela8[[#This Row],[SETOR]]="","",IF(Tabela8[[#This Row],[SETOR]]&lt;200,"GV 10",IF(Tabela8[[#This Row],[SETOR]]&lt;300,"GV 20",IF(Tabela8[[#This Row],[SETOR]]&lt;400,"GV 30","S/GV"))))</f>
        <v>S/GV</v>
      </c>
      <c r="G4319" t="str">
        <f>_xlfn.CONCAT(Tabela9[[#This Row],[Coluna1]],Tabela9[[#This Row],[Coluna2]])</f>
        <v/>
      </c>
    </row>
    <row r="4320" spans="1:7" x14ac:dyDescent="0.25">
      <c r="A4320">
        <v>32195</v>
      </c>
      <c r="B4320">
        <v>103</v>
      </c>
      <c r="C4320" s="1" t="str">
        <f>IF(Tabela8[[#This Row],[SETOR]]="","",IF(Tabela8[[#This Row],[SETOR]]&lt;200,"GV 10",IF(Tabela8[[#This Row],[SETOR]]&lt;300,"GV 20",IF(Tabela8[[#This Row],[SETOR]]&lt;400,"GV 30","S/GV"))))</f>
        <v>GV 10</v>
      </c>
      <c r="E4320" t="s">
        <v>123</v>
      </c>
      <c r="G4320" t="str">
        <f>_xlfn.CONCAT(Tabela9[[#This Row],[Coluna1]],Tabela9[[#This Row],[Coluna2]])</f>
        <v>20-Rota</v>
      </c>
    </row>
    <row r="4321" spans="1:7" x14ac:dyDescent="0.25">
      <c r="A4321">
        <v>32197</v>
      </c>
      <c r="B4321">
        <v>916</v>
      </c>
      <c r="C4321" s="1" t="str">
        <f>IF(Tabela8[[#This Row],[SETOR]]="","",IF(Tabela8[[#This Row],[SETOR]]&lt;200,"GV 10",IF(Tabela8[[#This Row],[SETOR]]&lt;300,"GV 20",IF(Tabela8[[#This Row],[SETOR]]&lt;400,"GV 30","S/GV"))))</f>
        <v>S/GV</v>
      </c>
      <c r="G4321" t="str">
        <f>_xlfn.CONCAT(Tabela9[[#This Row],[Coluna1]],Tabela9[[#This Row],[Coluna2]])</f>
        <v/>
      </c>
    </row>
    <row r="4322" spans="1:7" x14ac:dyDescent="0.25">
      <c r="A4322">
        <v>32198</v>
      </c>
      <c r="B4322">
        <v>916</v>
      </c>
      <c r="C4322" s="1" t="str">
        <f>IF(Tabela8[[#This Row],[SETOR]]="","",IF(Tabela8[[#This Row],[SETOR]]&lt;200,"GV 10",IF(Tabela8[[#This Row],[SETOR]]&lt;300,"GV 20",IF(Tabela8[[#This Row],[SETOR]]&lt;400,"GV 30","S/GV"))))</f>
        <v>S/GV</v>
      </c>
      <c r="G4322" t="str">
        <f>_xlfn.CONCAT(Tabela9[[#This Row],[Coluna1]],Tabela9[[#This Row],[Coluna2]])</f>
        <v/>
      </c>
    </row>
    <row r="4323" spans="1:7" x14ac:dyDescent="0.25">
      <c r="A4323">
        <v>32200</v>
      </c>
      <c r="B4323">
        <v>916</v>
      </c>
      <c r="C4323" s="1" t="str">
        <f>IF(Tabela8[[#This Row],[SETOR]]="","",IF(Tabela8[[#This Row],[SETOR]]&lt;200,"GV 10",IF(Tabela8[[#This Row],[SETOR]]&lt;300,"GV 20",IF(Tabela8[[#This Row],[SETOR]]&lt;400,"GV 30","S/GV"))))</f>
        <v>S/GV</v>
      </c>
      <c r="G4323" t="str">
        <f>_xlfn.CONCAT(Tabela9[[#This Row],[Coluna1]],Tabela9[[#This Row],[Coluna2]])</f>
        <v/>
      </c>
    </row>
    <row r="4324" spans="1:7" x14ac:dyDescent="0.25">
      <c r="A4324">
        <v>32201</v>
      </c>
      <c r="B4324">
        <v>916</v>
      </c>
      <c r="C4324" s="1" t="str">
        <f>IF(Tabela8[[#This Row],[SETOR]]="","",IF(Tabela8[[#This Row],[SETOR]]&lt;200,"GV 10",IF(Tabela8[[#This Row],[SETOR]]&lt;300,"GV 20",IF(Tabela8[[#This Row],[SETOR]]&lt;400,"GV 30","S/GV"))))</f>
        <v>S/GV</v>
      </c>
      <c r="G4324" t="str">
        <f>_xlfn.CONCAT(Tabela9[[#This Row],[Coluna1]],Tabela9[[#This Row],[Coluna2]])</f>
        <v/>
      </c>
    </row>
    <row r="4325" spans="1:7" x14ac:dyDescent="0.25">
      <c r="A4325">
        <v>32202</v>
      </c>
      <c r="B4325">
        <v>916</v>
      </c>
      <c r="C4325" s="1" t="str">
        <f>IF(Tabela8[[#This Row],[SETOR]]="","",IF(Tabela8[[#This Row],[SETOR]]&lt;200,"GV 10",IF(Tabela8[[#This Row],[SETOR]]&lt;300,"GV 20",IF(Tabela8[[#This Row],[SETOR]]&lt;400,"GV 30","S/GV"))))</f>
        <v>S/GV</v>
      </c>
      <c r="G4325" t="str">
        <f>_xlfn.CONCAT(Tabela9[[#This Row],[Coluna1]],Tabela9[[#This Row],[Coluna2]])</f>
        <v/>
      </c>
    </row>
    <row r="4326" spans="1:7" x14ac:dyDescent="0.25">
      <c r="A4326">
        <v>32204</v>
      </c>
      <c r="B4326">
        <v>916</v>
      </c>
      <c r="C4326" s="1" t="str">
        <f>IF(Tabela8[[#This Row],[SETOR]]="","",IF(Tabela8[[#This Row],[SETOR]]&lt;200,"GV 10",IF(Tabela8[[#This Row],[SETOR]]&lt;300,"GV 20",IF(Tabela8[[#This Row],[SETOR]]&lt;400,"GV 30","S/GV"))))</f>
        <v>S/GV</v>
      </c>
      <c r="E4326" t="s">
        <v>123</v>
      </c>
      <c r="G4326" t="str">
        <f>_xlfn.CONCAT(Tabela9[[#This Row],[Coluna1]],Tabela9[[#This Row],[Coluna2]])</f>
        <v>20-Rota</v>
      </c>
    </row>
    <row r="4327" spans="1:7" x14ac:dyDescent="0.25">
      <c r="A4327">
        <v>32205</v>
      </c>
      <c r="B4327">
        <v>916</v>
      </c>
      <c r="C4327" s="1" t="str">
        <f>IF(Tabela8[[#This Row],[SETOR]]="","",IF(Tabela8[[#This Row],[SETOR]]&lt;200,"GV 10",IF(Tabela8[[#This Row],[SETOR]]&lt;300,"GV 20",IF(Tabela8[[#This Row],[SETOR]]&lt;400,"GV 30","S/GV"))))</f>
        <v>S/GV</v>
      </c>
      <c r="G4327" t="str">
        <f>_xlfn.CONCAT(Tabela9[[#This Row],[Coluna1]],Tabela9[[#This Row],[Coluna2]])</f>
        <v/>
      </c>
    </row>
    <row r="4328" spans="1:7" x14ac:dyDescent="0.25">
      <c r="A4328">
        <v>32226</v>
      </c>
      <c r="B4328">
        <v>916</v>
      </c>
      <c r="C4328" s="1" t="str">
        <f>IF(Tabela8[[#This Row],[SETOR]]="","",IF(Tabela8[[#This Row],[SETOR]]&lt;200,"GV 10",IF(Tabela8[[#This Row],[SETOR]]&lt;300,"GV 20",IF(Tabela8[[#This Row],[SETOR]]&lt;400,"GV 30","S/GV"))))</f>
        <v>S/GV</v>
      </c>
      <c r="G4328" t="str">
        <f>_xlfn.CONCAT(Tabela9[[#This Row],[Coluna1]],Tabela9[[#This Row],[Coluna2]])</f>
        <v/>
      </c>
    </row>
    <row r="4329" spans="1:7" x14ac:dyDescent="0.25">
      <c r="A4329">
        <v>32228</v>
      </c>
      <c r="B4329">
        <v>916</v>
      </c>
      <c r="C4329" s="1" t="str">
        <f>IF(Tabela8[[#This Row],[SETOR]]="","",IF(Tabela8[[#This Row],[SETOR]]&lt;200,"GV 10",IF(Tabela8[[#This Row],[SETOR]]&lt;300,"GV 20",IF(Tabela8[[#This Row],[SETOR]]&lt;400,"GV 30","S/GV"))))</f>
        <v>S/GV</v>
      </c>
      <c r="G4329" t="str">
        <f>_xlfn.CONCAT(Tabela9[[#This Row],[Coluna1]],Tabela9[[#This Row],[Coluna2]])</f>
        <v/>
      </c>
    </row>
    <row r="4330" spans="1:7" x14ac:dyDescent="0.25">
      <c r="A4330">
        <v>32229</v>
      </c>
      <c r="B4330">
        <v>916</v>
      </c>
      <c r="C4330" s="1" t="str">
        <f>IF(Tabela8[[#This Row],[SETOR]]="","",IF(Tabela8[[#This Row],[SETOR]]&lt;200,"GV 10",IF(Tabela8[[#This Row],[SETOR]]&lt;300,"GV 20",IF(Tabela8[[#This Row],[SETOR]]&lt;400,"GV 30","S/GV"))))</f>
        <v>S/GV</v>
      </c>
      <c r="G4330" t="str">
        <f>_xlfn.CONCAT(Tabela9[[#This Row],[Coluna1]],Tabela9[[#This Row],[Coluna2]])</f>
        <v/>
      </c>
    </row>
    <row r="4331" spans="1:7" x14ac:dyDescent="0.25">
      <c r="A4331">
        <v>32241</v>
      </c>
      <c r="B4331">
        <v>916</v>
      </c>
      <c r="C4331" s="1" t="str">
        <f>IF(Tabela8[[#This Row],[SETOR]]="","",IF(Tabela8[[#This Row],[SETOR]]&lt;200,"GV 10",IF(Tabela8[[#This Row],[SETOR]]&lt;300,"GV 20",IF(Tabela8[[#This Row],[SETOR]]&lt;400,"GV 30","S/GV"))))</f>
        <v>S/GV</v>
      </c>
      <c r="G4331" t="str">
        <f>_xlfn.CONCAT(Tabela9[[#This Row],[Coluna1]],Tabela9[[#This Row],[Coluna2]])</f>
        <v/>
      </c>
    </row>
    <row r="4332" spans="1:7" x14ac:dyDescent="0.25">
      <c r="A4332">
        <v>32250</v>
      </c>
      <c r="B4332">
        <v>916</v>
      </c>
      <c r="C4332" s="1" t="str">
        <f>IF(Tabela8[[#This Row],[SETOR]]="","",IF(Tabela8[[#This Row],[SETOR]]&lt;200,"GV 10",IF(Tabela8[[#This Row],[SETOR]]&lt;300,"GV 20",IF(Tabela8[[#This Row],[SETOR]]&lt;400,"GV 30","S/GV"))))</f>
        <v>S/GV</v>
      </c>
      <c r="G4332" t="str">
        <f>_xlfn.CONCAT(Tabela9[[#This Row],[Coluna1]],Tabela9[[#This Row],[Coluna2]])</f>
        <v/>
      </c>
    </row>
    <row r="4333" spans="1:7" x14ac:dyDescent="0.25">
      <c r="A4333">
        <v>32259</v>
      </c>
      <c r="B4333">
        <v>916</v>
      </c>
      <c r="C4333" s="1" t="str">
        <f>IF(Tabela8[[#This Row],[SETOR]]="","",IF(Tabela8[[#This Row],[SETOR]]&lt;200,"GV 10",IF(Tabela8[[#This Row],[SETOR]]&lt;300,"GV 20",IF(Tabela8[[#This Row],[SETOR]]&lt;400,"GV 30","S/GV"))))</f>
        <v>S/GV</v>
      </c>
      <c r="G4333" t="str">
        <f>_xlfn.CONCAT(Tabela9[[#This Row],[Coluna1]],Tabela9[[#This Row],[Coluna2]])</f>
        <v/>
      </c>
    </row>
    <row r="4334" spans="1:7" x14ac:dyDescent="0.25">
      <c r="A4334">
        <v>32263</v>
      </c>
      <c r="B4334">
        <v>916</v>
      </c>
      <c r="C4334" s="1" t="str">
        <f>IF(Tabela8[[#This Row],[SETOR]]="","",IF(Tabela8[[#This Row],[SETOR]]&lt;200,"GV 10",IF(Tabela8[[#This Row],[SETOR]]&lt;300,"GV 20",IF(Tabela8[[#This Row],[SETOR]]&lt;400,"GV 30","S/GV"))))</f>
        <v>S/GV</v>
      </c>
      <c r="E4334" t="s">
        <v>123</v>
      </c>
      <c r="G4334" t="str">
        <f>_xlfn.CONCAT(Tabela9[[#This Row],[Coluna1]],Tabela9[[#This Row],[Coluna2]])</f>
        <v>20-Rota</v>
      </c>
    </row>
    <row r="4335" spans="1:7" x14ac:dyDescent="0.25">
      <c r="A4335">
        <v>32283</v>
      </c>
      <c r="B4335">
        <v>916</v>
      </c>
      <c r="C4335" s="1" t="str">
        <f>IF(Tabela8[[#This Row],[SETOR]]="","",IF(Tabela8[[#This Row],[SETOR]]&lt;200,"GV 10",IF(Tabela8[[#This Row],[SETOR]]&lt;300,"GV 20",IF(Tabela8[[#This Row],[SETOR]]&lt;400,"GV 30","S/GV"))))</f>
        <v>S/GV</v>
      </c>
      <c r="G4335" t="str">
        <f>_xlfn.CONCAT(Tabela9[[#This Row],[Coluna1]],Tabela9[[#This Row],[Coluna2]])</f>
        <v/>
      </c>
    </row>
    <row r="4336" spans="1:7" x14ac:dyDescent="0.25">
      <c r="A4336">
        <v>32291</v>
      </c>
      <c r="B4336">
        <v>916</v>
      </c>
      <c r="C4336" s="1" t="str">
        <f>IF(Tabela8[[#This Row],[SETOR]]="","",IF(Tabela8[[#This Row],[SETOR]]&lt;200,"GV 10",IF(Tabela8[[#This Row],[SETOR]]&lt;300,"GV 20",IF(Tabela8[[#This Row],[SETOR]]&lt;400,"GV 30","S/GV"))))</f>
        <v>S/GV</v>
      </c>
      <c r="G4336" t="str">
        <f>_xlfn.CONCAT(Tabela9[[#This Row],[Coluna1]],Tabela9[[#This Row],[Coluna2]])</f>
        <v/>
      </c>
    </row>
    <row r="4337" spans="1:7" x14ac:dyDescent="0.25">
      <c r="A4337">
        <v>32294</v>
      </c>
      <c r="B4337">
        <v>916</v>
      </c>
      <c r="C4337" s="1" t="str">
        <f>IF(Tabela8[[#This Row],[SETOR]]="","",IF(Tabela8[[#This Row],[SETOR]]&lt;200,"GV 10",IF(Tabela8[[#This Row],[SETOR]]&lt;300,"GV 20",IF(Tabela8[[#This Row],[SETOR]]&lt;400,"GV 30","S/GV"))))</f>
        <v>S/GV</v>
      </c>
      <c r="G4337" t="str">
        <f>_xlfn.CONCAT(Tabela9[[#This Row],[Coluna1]],Tabela9[[#This Row],[Coluna2]])</f>
        <v/>
      </c>
    </row>
    <row r="4338" spans="1:7" x14ac:dyDescent="0.25">
      <c r="A4338">
        <v>32319</v>
      </c>
      <c r="B4338">
        <v>907</v>
      </c>
      <c r="C4338" s="1" t="str">
        <f>IF(Tabela8[[#This Row],[SETOR]]="","",IF(Tabela8[[#This Row],[SETOR]]&lt;200,"GV 10",IF(Tabela8[[#This Row],[SETOR]]&lt;300,"GV 20",IF(Tabela8[[#This Row],[SETOR]]&lt;400,"GV 30","S/GV"))))</f>
        <v>S/GV</v>
      </c>
      <c r="G4338" t="str">
        <f>_xlfn.CONCAT(Tabela9[[#This Row],[Coluna1]],Tabela9[[#This Row],[Coluna2]])</f>
        <v/>
      </c>
    </row>
    <row r="4339" spans="1:7" x14ac:dyDescent="0.25">
      <c r="A4339">
        <v>32320</v>
      </c>
      <c r="B4339">
        <v>906</v>
      </c>
      <c r="C4339" s="1" t="str">
        <f>IF(Tabela8[[#This Row],[SETOR]]="","",IF(Tabela8[[#This Row],[SETOR]]&lt;200,"GV 10",IF(Tabela8[[#This Row],[SETOR]]&lt;300,"GV 20",IF(Tabela8[[#This Row],[SETOR]]&lt;400,"GV 30","S/GV"))))</f>
        <v>S/GV</v>
      </c>
      <c r="G4339" t="str">
        <f>_xlfn.CONCAT(Tabela9[[#This Row],[Coluna1]],Tabela9[[#This Row],[Coluna2]])</f>
        <v/>
      </c>
    </row>
    <row r="4340" spans="1:7" x14ac:dyDescent="0.25">
      <c r="A4340">
        <v>32335</v>
      </c>
      <c r="B4340">
        <v>205</v>
      </c>
      <c r="C4340" s="1" t="str">
        <f>IF(Tabela8[[#This Row],[SETOR]]="","",IF(Tabela8[[#This Row],[SETOR]]&lt;200,"GV 10",IF(Tabela8[[#This Row],[SETOR]]&lt;300,"GV 20",IF(Tabela8[[#This Row],[SETOR]]&lt;400,"GV 30","S/GV"))))</f>
        <v>GV 20</v>
      </c>
      <c r="E4340" t="s">
        <v>123</v>
      </c>
      <c r="G4340" t="str">
        <f>_xlfn.CONCAT(Tabela9[[#This Row],[Coluna1]],Tabela9[[#This Row],[Coluna2]])</f>
        <v>20-Rota</v>
      </c>
    </row>
    <row r="4341" spans="1:7" x14ac:dyDescent="0.25">
      <c r="A4341">
        <v>32336</v>
      </c>
      <c r="B4341">
        <v>303</v>
      </c>
      <c r="C4341" s="1" t="str">
        <f>IF(Tabela8[[#This Row],[SETOR]]="","",IF(Tabela8[[#This Row],[SETOR]]&lt;200,"GV 10",IF(Tabela8[[#This Row],[SETOR]]&lt;300,"GV 20",IF(Tabela8[[#This Row],[SETOR]]&lt;400,"GV 30","S/GV"))))</f>
        <v>GV 30</v>
      </c>
      <c r="E4341" t="s">
        <v>123</v>
      </c>
      <c r="G4341" t="str">
        <f>_xlfn.CONCAT(Tabela9[[#This Row],[Coluna1]],Tabela9[[#This Row],[Coluna2]])</f>
        <v>20-Rota</v>
      </c>
    </row>
    <row r="4342" spans="1:7" x14ac:dyDescent="0.25">
      <c r="A4342">
        <v>32346</v>
      </c>
      <c r="B4342">
        <v>907</v>
      </c>
      <c r="C4342" s="1" t="str">
        <f>IF(Tabela8[[#This Row],[SETOR]]="","",IF(Tabela8[[#This Row],[SETOR]]&lt;200,"GV 10",IF(Tabela8[[#This Row],[SETOR]]&lt;300,"GV 20",IF(Tabela8[[#This Row],[SETOR]]&lt;400,"GV 30","S/GV"))))</f>
        <v>S/GV</v>
      </c>
      <c r="E4342" t="s">
        <v>123</v>
      </c>
      <c r="G4342" t="str">
        <f>_xlfn.CONCAT(Tabela9[[#This Row],[Coluna1]],Tabela9[[#This Row],[Coluna2]])</f>
        <v>20-Rota</v>
      </c>
    </row>
    <row r="4343" spans="1:7" x14ac:dyDescent="0.25">
      <c r="A4343">
        <v>32364</v>
      </c>
      <c r="B4343">
        <v>102</v>
      </c>
      <c r="C4343" s="1" t="str">
        <f>IF(Tabela8[[#This Row],[SETOR]]="","",IF(Tabela8[[#This Row],[SETOR]]&lt;200,"GV 10",IF(Tabela8[[#This Row],[SETOR]]&lt;300,"GV 20",IF(Tabela8[[#This Row],[SETOR]]&lt;400,"GV 30","S/GV"))))</f>
        <v>GV 10</v>
      </c>
      <c r="E4343" t="s">
        <v>123</v>
      </c>
      <c r="G4343" t="str">
        <f>_xlfn.CONCAT(Tabela9[[#This Row],[Coluna1]],Tabela9[[#This Row],[Coluna2]])</f>
        <v>20-Rota</v>
      </c>
    </row>
    <row r="4344" spans="1:7" x14ac:dyDescent="0.25">
      <c r="A4344">
        <v>32398</v>
      </c>
      <c r="B4344">
        <v>202</v>
      </c>
      <c r="C4344" s="1" t="str">
        <f>IF(Tabela8[[#This Row],[SETOR]]="","",IF(Tabela8[[#This Row],[SETOR]]&lt;200,"GV 10",IF(Tabela8[[#This Row],[SETOR]]&lt;300,"GV 20",IF(Tabela8[[#This Row],[SETOR]]&lt;400,"GV 30","S/GV"))))</f>
        <v>GV 20</v>
      </c>
      <c r="E4344" t="s">
        <v>123</v>
      </c>
      <c r="G4344" t="str">
        <f>_xlfn.CONCAT(Tabela9[[#This Row],[Coluna1]],Tabela9[[#This Row],[Coluna2]])</f>
        <v>20-Rota</v>
      </c>
    </row>
    <row r="4345" spans="1:7" x14ac:dyDescent="0.25">
      <c r="A4345">
        <v>32403</v>
      </c>
      <c r="B4345">
        <v>308</v>
      </c>
      <c r="C4345" s="1" t="str">
        <f>IF(Tabela8[[#This Row],[SETOR]]="","",IF(Tabela8[[#This Row],[SETOR]]&lt;200,"GV 10",IF(Tabela8[[#This Row],[SETOR]]&lt;300,"GV 20",IF(Tabela8[[#This Row],[SETOR]]&lt;400,"GV 30","S/GV"))))</f>
        <v>GV 30</v>
      </c>
      <c r="E4345" t="s">
        <v>128</v>
      </c>
      <c r="F4345" t="s">
        <v>129</v>
      </c>
      <c r="G4345" t="str">
        <f>_xlfn.CONCAT(Tabela9[[#This Row],[Coluna1]],Tabela9[[#This Row],[Coluna2]])</f>
        <v>15-AS(1-4)</v>
      </c>
    </row>
    <row r="4346" spans="1:7" x14ac:dyDescent="0.25">
      <c r="A4346">
        <v>32434</v>
      </c>
      <c r="B4346">
        <v>204</v>
      </c>
      <c r="C4346" s="1" t="str">
        <f>IF(Tabela8[[#This Row],[SETOR]]="","",IF(Tabela8[[#This Row],[SETOR]]&lt;200,"GV 10",IF(Tabela8[[#This Row],[SETOR]]&lt;300,"GV 20",IF(Tabela8[[#This Row],[SETOR]]&lt;400,"GV 30","S/GV"))))</f>
        <v>GV 20</v>
      </c>
      <c r="E4346" t="s">
        <v>123</v>
      </c>
      <c r="G4346" t="str">
        <f>_xlfn.CONCAT(Tabela9[[#This Row],[Coluna1]],Tabela9[[#This Row],[Coluna2]])</f>
        <v>20-Rota</v>
      </c>
    </row>
    <row r="4347" spans="1:7" x14ac:dyDescent="0.25">
      <c r="A4347">
        <v>32446</v>
      </c>
      <c r="B4347">
        <v>208</v>
      </c>
      <c r="C4347" s="1" t="str">
        <f>IF(Tabela8[[#This Row],[SETOR]]="","",IF(Tabela8[[#This Row],[SETOR]]&lt;200,"GV 10",IF(Tabela8[[#This Row],[SETOR]]&lt;300,"GV 20",IF(Tabela8[[#This Row],[SETOR]]&lt;400,"GV 30","S/GV"))))</f>
        <v>GV 20</v>
      </c>
      <c r="E4347" t="s">
        <v>125</v>
      </c>
      <c r="G4347" t="str">
        <f>_xlfn.CONCAT(Tabela9[[#This Row],[Coluna1]],Tabela9[[#This Row],[Coluna2]])</f>
        <v>18-TRAD</v>
      </c>
    </row>
    <row r="4348" spans="1:7" x14ac:dyDescent="0.25">
      <c r="A4348">
        <v>32451</v>
      </c>
      <c r="B4348">
        <v>204</v>
      </c>
      <c r="C4348" s="1" t="str">
        <f>IF(Tabela8[[#This Row],[SETOR]]="","",IF(Tabela8[[#This Row],[SETOR]]&lt;200,"GV 10",IF(Tabela8[[#This Row],[SETOR]]&lt;300,"GV 20",IF(Tabela8[[#This Row],[SETOR]]&lt;400,"GV 30","S/GV"))))</f>
        <v>GV 20</v>
      </c>
      <c r="E4348" t="s">
        <v>123</v>
      </c>
      <c r="G4348" t="str">
        <f>_xlfn.CONCAT(Tabela9[[#This Row],[Coluna1]],Tabela9[[#This Row],[Coluna2]])</f>
        <v>20-Rota</v>
      </c>
    </row>
    <row r="4349" spans="1:7" x14ac:dyDescent="0.25">
      <c r="A4349">
        <v>32456</v>
      </c>
      <c r="B4349">
        <v>204</v>
      </c>
      <c r="C4349" s="1" t="str">
        <f>IF(Tabela8[[#This Row],[SETOR]]="","",IF(Tabela8[[#This Row],[SETOR]]&lt;200,"GV 10",IF(Tabela8[[#This Row],[SETOR]]&lt;300,"GV 20",IF(Tabela8[[#This Row],[SETOR]]&lt;400,"GV 30","S/GV"))))</f>
        <v>GV 20</v>
      </c>
      <c r="E4349" t="s">
        <v>125</v>
      </c>
      <c r="G4349" t="str">
        <f>_xlfn.CONCAT(Tabela9[[#This Row],[Coluna1]],Tabela9[[#This Row],[Coluna2]])</f>
        <v>18-TRAD</v>
      </c>
    </row>
    <row r="4350" spans="1:7" x14ac:dyDescent="0.25">
      <c r="A4350">
        <v>32458</v>
      </c>
      <c r="B4350">
        <v>203</v>
      </c>
      <c r="C4350" s="1" t="str">
        <f>IF(Tabela8[[#This Row],[SETOR]]="","",IF(Tabela8[[#This Row],[SETOR]]&lt;200,"GV 10",IF(Tabela8[[#This Row],[SETOR]]&lt;300,"GV 20",IF(Tabela8[[#This Row],[SETOR]]&lt;400,"GV 30","S/GV"))))</f>
        <v>GV 20</v>
      </c>
      <c r="E4350" t="s">
        <v>123</v>
      </c>
      <c r="G4350" t="str">
        <f>_xlfn.CONCAT(Tabela9[[#This Row],[Coluna1]],Tabela9[[#This Row],[Coluna2]])</f>
        <v>20-Rota</v>
      </c>
    </row>
    <row r="4351" spans="1:7" x14ac:dyDescent="0.25">
      <c r="A4351">
        <v>32461</v>
      </c>
      <c r="B4351">
        <v>203</v>
      </c>
      <c r="C4351" s="1" t="str">
        <f>IF(Tabela8[[#This Row],[SETOR]]="","",IF(Tabela8[[#This Row],[SETOR]]&lt;200,"GV 10",IF(Tabela8[[#This Row],[SETOR]]&lt;300,"GV 20",IF(Tabela8[[#This Row],[SETOR]]&lt;400,"GV 30","S/GV"))))</f>
        <v>GV 20</v>
      </c>
      <c r="E4351" t="s">
        <v>128</v>
      </c>
      <c r="F4351" t="s">
        <v>129</v>
      </c>
      <c r="G4351" t="str">
        <f>_xlfn.CONCAT(Tabela9[[#This Row],[Coluna1]],Tabela9[[#This Row],[Coluna2]])</f>
        <v>15-AS(1-4)</v>
      </c>
    </row>
    <row r="4352" spans="1:7" x14ac:dyDescent="0.25">
      <c r="A4352">
        <v>32464</v>
      </c>
      <c r="B4352">
        <v>203</v>
      </c>
      <c r="C4352" s="1" t="str">
        <f>IF(Tabela8[[#This Row],[SETOR]]="","",IF(Tabela8[[#This Row],[SETOR]]&lt;200,"GV 10",IF(Tabela8[[#This Row],[SETOR]]&lt;300,"GV 20",IF(Tabela8[[#This Row],[SETOR]]&lt;400,"GV 30","S/GV"))))</f>
        <v>GV 20</v>
      </c>
      <c r="E4352" t="s">
        <v>128</v>
      </c>
      <c r="F4352" t="s">
        <v>129</v>
      </c>
      <c r="G4352" t="str">
        <f>_xlfn.CONCAT(Tabela9[[#This Row],[Coluna1]],Tabela9[[#This Row],[Coluna2]])</f>
        <v>15-AS(1-4)</v>
      </c>
    </row>
    <row r="4353" spans="1:7" x14ac:dyDescent="0.25">
      <c r="A4353">
        <v>32466</v>
      </c>
      <c r="B4353">
        <v>203</v>
      </c>
      <c r="C4353" s="1" t="str">
        <f>IF(Tabela8[[#This Row],[SETOR]]="","",IF(Tabela8[[#This Row],[SETOR]]&lt;200,"GV 10",IF(Tabela8[[#This Row],[SETOR]]&lt;300,"GV 20",IF(Tabela8[[#This Row],[SETOR]]&lt;400,"GV 30","S/GV"))))</f>
        <v>GV 20</v>
      </c>
      <c r="E4353" t="s">
        <v>128</v>
      </c>
      <c r="F4353" t="s">
        <v>129</v>
      </c>
      <c r="G4353" t="str">
        <f>_xlfn.CONCAT(Tabela9[[#This Row],[Coluna1]],Tabela9[[#This Row],[Coluna2]])</f>
        <v>15-AS(1-4)</v>
      </c>
    </row>
    <row r="4354" spans="1:7" x14ac:dyDescent="0.25">
      <c r="A4354">
        <v>32467</v>
      </c>
      <c r="B4354">
        <v>203</v>
      </c>
      <c r="C4354" s="1" t="str">
        <f>IF(Tabela8[[#This Row],[SETOR]]="","",IF(Tabela8[[#This Row],[SETOR]]&lt;200,"GV 10",IF(Tabela8[[#This Row],[SETOR]]&lt;300,"GV 20",IF(Tabela8[[#This Row],[SETOR]]&lt;400,"GV 30","S/GV"))))</f>
        <v>GV 20</v>
      </c>
      <c r="E4354" t="s">
        <v>123</v>
      </c>
      <c r="G4354" t="str">
        <f>_xlfn.CONCAT(Tabela9[[#This Row],[Coluna1]],Tabela9[[#This Row],[Coluna2]])</f>
        <v>20-Rota</v>
      </c>
    </row>
    <row r="4355" spans="1:7" x14ac:dyDescent="0.25">
      <c r="A4355">
        <v>32471</v>
      </c>
      <c r="B4355">
        <v>201</v>
      </c>
      <c r="C4355" s="1" t="str">
        <f>IF(Tabela8[[#This Row],[SETOR]]="","",IF(Tabela8[[#This Row],[SETOR]]&lt;200,"GV 10",IF(Tabela8[[#This Row],[SETOR]]&lt;300,"GV 20",IF(Tabela8[[#This Row],[SETOR]]&lt;400,"GV 30","S/GV"))))</f>
        <v>GV 20</v>
      </c>
      <c r="E4355" t="s">
        <v>123</v>
      </c>
      <c r="G4355" t="str">
        <f>_xlfn.CONCAT(Tabela9[[#This Row],[Coluna1]],Tabela9[[#This Row],[Coluna2]])</f>
        <v>20-Rota</v>
      </c>
    </row>
    <row r="4356" spans="1:7" x14ac:dyDescent="0.25">
      <c r="A4356">
        <v>32474</v>
      </c>
      <c r="B4356">
        <v>201</v>
      </c>
      <c r="C4356" s="1" t="str">
        <f>IF(Tabela8[[#This Row],[SETOR]]="","",IF(Tabela8[[#This Row],[SETOR]]&lt;200,"GV 10",IF(Tabela8[[#This Row],[SETOR]]&lt;300,"GV 20",IF(Tabela8[[#This Row],[SETOR]]&lt;400,"GV 30","S/GV"))))</f>
        <v>GV 20</v>
      </c>
      <c r="E4356" t="s">
        <v>128</v>
      </c>
      <c r="F4356" t="s">
        <v>129</v>
      </c>
      <c r="G4356" t="str">
        <f>_xlfn.CONCAT(Tabela9[[#This Row],[Coluna1]],Tabela9[[#This Row],[Coluna2]])</f>
        <v>15-AS(1-4)</v>
      </c>
    </row>
    <row r="4357" spans="1:7" x14ac:dyDescent="0.25">
      <c r="A4357">
        <v>32480</v>
      </c>
      <c r="B4357">
        <v>203</v>
      </c>
      <c r="C4357" s="1" t="str">
        <f>IF(Tabela8[[#This Row],[SETOR]]="","",IF(Tabela8[[#This Row],[SETOR]]&lt;200,"GV 10",IF(Tabela8[[#This Row],[SETOR]]&lt;300,"GV 20",IF(Tabela8[[#This Row],[SETOR]]&lt;400,"GV 30","S/GV"))))</f>
        <v>GV 20</v>
      </c>
      <c r="E4357" t="s">
        <v>123</v>
      </c>
      <c r="G4357" t="str">
        <f>_xlfn.CONCAT(Tabela9[[#This Row],[Coluna1]],Tabela9[[#This Row],[Coluna2]])</f>
        <v>20-Rota</v>
      </c>
    </row>
    <row r="4358" spans="1:7" x14ac:dyDescent="0.25">
      <c r="A4358">
        <v>32482</v>
      </c>
      <c r="B4358">
        <v>204</v>
      </c>
      <c r="C4358" s="1" t="str">
        <f>IF(Tabela8[[#This Row],[SETOR]]="","",IF(Tabela8[[#This Row],[SETOR]]&lt;200,"GV 10",IF(Tabela8[[#This Row],[SETOR]]&lt;300,"GV 20",IF(Tabela8[[#This Row],[SETOR]]&lt;400,"GV 30","S/GV"))))</f>
        <v>GV 20</v>
      </c>
      <c r="E4358" t="s">
        <v>123</v>
      </c>
      <c r="G4358" t="str">
        <f>_xlfn.CONCAT(Tabela9[[#This Row],[Coluna1]],Tabela9[[#This Row],[Coluna2]])</f>
        <v>20-Rota</v>
      </c>
    </row>
    <row r="4359" spans="1:7" x14ac:dyDescent="0.25">
      <c r="A4359">
        <v>32509</v>
      </c>
      <c r="B4359">
        <v>916</v>
      </c>
      <c r="C4359" s="1" t="str">
        <f>IF(Tabela8[[#This Row],[SETOR]]="","",IF(Tabela8[[#This Row],[SETOR]]&lt;200,"GV 10",IF(Tabela8[[#This Row],[SETOR]]&lt;300,"GV 20",IF(Tabela8[[#This Row],[SETOR]]&lt;400,"GV 30","S/GV"))))</f>
        <v>S/GV</v>
      </c>
      <c r="G4359" t="str">
        <f>_xlfn.CONCAT(Tabela9[[#This Row],[Coluna1]],Tabela9[[#This Row],[Coluna2]])</f>
        <v/>
      </c>
    </row>
    <row r="4360" spans="1:7" x14ac:dyDescent="0.25">
      <c r="A4360">
        <v>32522</v>
      </c>
      <c r="B4360">
        <v>208</v>
      </c>
      <c r="C4360" s="1" t="str">
        <f>IF(Tabela8[[#This Row],[SETOR]]="","",IF(Tabela8[[#This Row],[SETOR]]&lt;200,"GV 10",IF(Tabela8[[#This Row],[SETOR]]&lt;300,"GV 20",IF(Tabela8[[#This Row],[SETOR]]&lt;400,"GV 30","S/GV"))))</f>
        <v>GV 20</v>
      </c>
      <c r="E4360" t="s">
        <v>128</v>
      </c>
      <c r="F4360" t="s">
        <v>129</v>
      </c>
      <c r="G4360" t="str">
        <f>_xlfn.CONCAT(Tabela9[[#This Row],[Coluna1]],Tabela9[[#This Row],[Coluna2]])</f>
        <v>15-AS(1-4)</v>
      </c>
    </row>
    <row r="4361" spans="1:7" x14ac:dyDescent="0.25">
      <c r="A4361">
        <v>32524</v>
      </c>
      <c r="B4361">
        <v>203</v>
      </c>
      <c r="C4361" s="1" t="str">
        <f>IF(Tabela8[[#This Row],[SETOR]]="","",IF(Tabela8[[#This Row],[SETOR]]&lt;200,"GV 10",IF(Tabela8[[#This Row],[SETOR]]&lt;300,"GV 20",IF(Tabela8[[#This Row],[SETOR]]&lt;400,"GV 30","S/GV"))))</f>
        <v>GV 20</v>
      </c>
      <c r="E4361" t="s">
        <v>123</v>
      </c>
      <c r="G4361" t="str">
        <f>_xlfn.CONCAT(Tabela9[[#This Row],[Coluna1]],Tabela9[[#This Row],[Coluna2]])</f>
        <v>20-Rota</v>
      </c>
    </row>
    <row r="4362" spans="1:7" x14ac:dyDescent="0.25">
      <c r="A4362">
        <v>32566</v>
      </c>
      <c r="B4362">
        <v>109</v>
      </c>
      <c r="C4362" s="1" t="str">
        <f>IF(Tabela8[[#This Row],[SETOR]]="","",IF(Tabela8[[#This Row],[SETOR]]&lt;200,"GV 10",IF(Tabela8[[#This Row],[SETOR]]&lt;300,"GV 20",IF(Tabela8[[#This Row],[SETOR]]&lt;400,"GV 30","S/GV"))))</f>
        <v>GV 10</v>
      </c>
      <c r="E4362" t="s">
        <v>123</v>
      </c>
      <c r="G4362" t="str">
        <f>_xlfn.CONCAT(Tabela9[[#This Row],[Coluna1]],Tabela9[[#This Row],[Coluna2]])</f>
        <v>20-Rota</v>
      </c>
    </row>
    <row r="4363" spans="1:7" x14ac:dyDescent="0.25">
      <c r="A4363">
        <v>32567</v>
      </c>
      <c r="B4363">
        <v>301</v>
      </c>
      <c r="C4363" s="1" t="str">
        <f>IF(Tabela8[[#This Row],[SETOR]]="","",IF(Tabela8[[#This Row],[SETOR]]&lt;200,"GV 10",IF(Tabela8[[#This Row],[SETOR]]&lt;300,"GV 20",IF(Tabela8[[#This Row],[SETOR]]&lt;400,"GV 30","S/GV"))))</f>
        <v>GV 30</v>
      </c>
      <c r="E4363" t="s">
        <v>123</v>
      </c>
      <c r="G4363" t="str">
        <f>_xlfn.CONCAT(Tabela9[[#This Row],[Coluna1]],Tabela9[[#This Row],[Coluna2]])</f>
        <v>20-Rota</v>
      </c>
    </row>
    <row r="4364" spans="1:7" x14ac:dyDescent="0.25">
      <c r="A4364">
        <v>32576</v>
      </c>
      <c r="B4364">
        <v>906</v>
      </c>
      <c r="C4364" s="1" t="str">
        <f>IF(Tabela8[[#This Row],[SETOR]]="","",IF(Tabela8[[#This Row],[SETOR]]&lt;200,"GV 10",IF(Tabela8[[#This Row],[SETOR]]&lt;300,"GV 20",IF(Tabela8[[#This Row],[SETOR]]&lt;400,"GV 30","S/GV"))))</f>
        <v>S/GV</v>
      </c>
      <c r="G4364" t="str">
        <f>_xlfn.CONCAT(Tabela9[[#This Row],[Coluna1]],Tabela9[[#This Row],[Coluna2]])</f>
        <v/>
      </c>
    </row>
    <row r="4365" spans="1:7" x14ac:dyDescent="0.25">
      <c r="A4365">
        <v>32577</v>
      </c>
      <c r="B4365">
        <v>202</v>
      </c>
      <c r="C4365" s="1" t="str">
        <f>IF(Tabela8[[#This Row],[SETOR]]="","",IF(Tabela8[[#This Row],[SETOR]]&lt;200,"GV 10",IF(Tabela8[[#This Row],[SETOR]]&lt;300,"GV 20",IF(Tabela8[[#This Row],[SETOR]]&lt;400,"GV 30","S/GV"))))</f>
        <v>GV 20</v>
      </c>
      <c r="E4365" t="s">
        <v>123</v>
      </c>
      <c r="G4365" t="str">
        <f>_xlfn.CONCAT(Tabela9[[#This Row],[Coluna1]],Tabela9[[#This Row],[Coluna2]])</f>
        <v>20-Rota</v>
      </c>
    </row>
    <row r="4366" spans="1:7" x14ac:dyDescent="0.25">
      <c r="A4366">
        <v>32585</v>
      </c>
      <c r="B4366">
        <v>103</v>
      </c>
      <c r="C4366" s="1" t="str">
        <f>IF(Tabela8[[#This Row],[SETOR]]="","",IF(Tabela8[[#This Row],[SETOR]]&lt;200,"GV 10",IF(Tabela8[[#This Row],[SETOR]]&lt;300,"GV 20",IF(Tabela8[[#This Row],[SETOR]]&lt;400,"GV 30","S/GV"))))</f>
        <v>GV 10</v>
      </c>
      <c r="E4366" t="s">
        <v>123</v>
      </c>
      <c r="G4366" t="str">
        <f>_xlfn.CONCAT(Tabela9[[#This Row],[Coluna1]],Tabela9[[#This Row],[Coluna2]])</f>
        <v>20-Rota</v>
      </c>
    </row>
    <row r="4367" spans="1:7" x14ac:dyDescent="0.25">
      <c r="A4367">
        <v>32586</v>
      </c>
      <c r="B4367">
        <v>906</v>
      </c>
      <c r="C4367" s="1" t="str">
        <f>IF(Tabela8[[#This Row],[SETOR]]="","",IF(Tabela8[[#This Row],[SETOR]]&lt;200,"GV 10",IF(Tabela8[[#This Row],[SETOR]]&lt;300,"GV 20",IF(Tabela8[[#This Row],[SETOR]]&lt;400,"GV 30","S/GV"))))</f>
        <v>S/GV</v>
      </c>
      <c r="G4367" t="str">
        <f>_xlfn.CONCAT(Tabela9[[#This Row],[Coluna1]],Tabela9[[#This Row],[Coluna2]])</f>
        <v/>
      </c>
    </row>
    <row r="4368" spans="1:7" x14ac:dyDescent="0.25">
      <c r="A4368">
        <v>32592</v>
      </c>
      <c r="B4368">
        <v>203</v>
      </c>
      <c r="C4368" s="1" t="str">
        <f>IF(Tabela8[[#This Row],[SETOR]]="","",IF(Tabela8[[#This Row],[SETOR]]&lt;200,"GV 10",IF(Tabela8[[#This Row],[SETOR]]&lt;300,"GV 20",IF(Tabela8[[#This Row],[SETOR]]&lt;400,"GV 30","S/GV"))))</f>
        <v>GV 20</v>
      </c>
      <c r="E4368" t="s">
        <v>125</v>
      </c>
      <c r="G4368" t="str">
        <f>_xlfn.CONCAT(Tabela9[[#This Row],[Coluna1]],Tabela9[[#This Row],[Coluna2]])</f>
        <v>18-TRAD</v>
      </c>
    </row>
    <row r="4369" spans="1:7" x14ac:dyDescent="0.25">
      <c r="A4369">
        <v>32595</v>
      </c>
      <c r="B4369">
        <v>202</v>
      </c>
      <c r="C4369" s="1" t="str">
        <f>IF(Tabela8[[#This Row],[SETOR]]="","",IF(Tabela8[[#This Row],[SETOR]]&lt;200,"GV 10",IF(Tabela8[[#This Row],[SETOR]]&lt;300,"GV 20",IF(Tabela8[[#This Row],[SETOR]]&lt;400,"GV 30","S/GV"))))</f>
        <v>GV 20</v>
      </c>
      <c r="E4369" t="s">
        <v>123</v>
      </c>
      <c r="G4369" t="str">
        <f>_xlfn.CONCAT(Tabela9[[#This Row],[Coluna1]],Tabela9[[#This Row],[Coluna2]])</f>
        <v>20-Rota</v>
      </c>
    </row>
    <row r="4370" spans="1:7" x14ac:dyDescent="0.25">
      <c r="A4370">
        <v>32606</v>
      </c>
      <c r="B4370">
        <v>109</v>
      </c>
      <c r="C4370" s="1" t="str">
        <f>IF(Tabela8[[#This Row],[SETOR]]="","",IF(Tabela8[[#This Row],[SETOR]]&lt;200,"GV 10",IF(Tabela8[[#This Row],[SETOR]]&lt;300,"GV 20",IF(Tabela8[[#This Row],[SETOR]]&lt;400,"GV 30","S/GV"))))</f>
        <v>GV 10</v>
      </c>
      <c r="E4370" t="s">
        <v>123</v>
      </c>
      <c r="G4370" t="str">
        <f>_xlfn.CONCAT(Tabela9[[#This Row],[Coluna1]],Tabela9[[#This Row],[Coluna2]])</f>
        <v>20-Rota</v>
      </c>
    </row>
    <row r="4371" spans="1:7" x14ac:dyDescent="0.25">
      <c r="A4371">
        <v>32644</v>
      </c>
      <c r="B4371">
        <v>301</v>
      </c>
      <c r="C4371" s="1" t="str">
        <f>IF(Tabela8[[#This Row],[SETOR]]="","",IF(Tabela8[[#This Row],[SETOR]]&lt;200,"GV 10",IF(Tabela8[[#This Row],[SETOR]]&lt;300,"GV 20",IF(Tabela8[[#This Row],[SETOR]]&lt;400,"GV 30","S/GV"))))</f>
        <v>GV 30</v>
      </c>
      <c r="E4371" t="s">
        <v>123</v>
      </c>
      <c r="G4371" t="str">
        <f>_xlfn.CONCAT(Tabela9[[#This Row],[Coluna1]],Tabela9[[#This Row],[Coluna2]])</f>
        <v>20-Rota</v>
      </c>
    </row>
    <row r="4372" spans="1:7" x14ac:dyDescent="0.25">
      <c r="A4372">
        <v>32652</v>
      </c>
      <c r="B4372">
        <v>303</v>
      </c>
      <c r="C4372" s="1" t="str">
        <f>IF(Tabela8[[#This Row],[SETOR]]="","",IF(Tabela8[[#This Row],[SETOR]]&lt;200,"GV 10",IF(Tabela8[[#This Row],[SETOR]]&lt;300,"GV 20",IF(Tabela8[[#This Row],[SETOR]]&lt;400,"GV 30","S/GV"))))</f>
        <v>GV 30</v>
      </c>
      <c r="E4372" t="s">
        <v>123</v>
      </c>
      <c r="G4372" t="str">
        <f>_xlfn.CONCAT(Tabela9[[#This Row],[Coluna1]],Tabela9[[#This Row],[Coluna2]])</f>
        <v>20-Rota</v>
      </c>
    </row>
    <row r="4373" spans="1:7" x14ac:dyDescent="0.25">
      <c r="A4373">
        <v>32660</v>
      </c>
      <c r="B4373">
        <v>208</v>
      </c>
      <c r="C4373" s="1" t="str">
        <f>IF(Tabela8[[#This Row],[SETOR]]="","",IF(Tabela8[[#This Row],[SETOR]]&lt;200,"GV 10",IF(Tabela8[[#This Row],[SETOR]]&lt;300,"GV 20",IF(Tabela8[[#This Row],[SETOR]]&lt;400,"GV 30","S/GV"))))</f>
        <v>GV 20</v>
      </c>
      <c r="E4373" t="s">
        <v>125</v>
      </c>
      <c r="G4373" t="str">
        <f>_xlfn.CONCAT(Tabela9[[#This Row],[Coluna1]],Tabela9[[#This Row],[Coluna2]])</f>
        <v>18-TRAD</v>
      </c>
    </row>
    <row r="4374" spans="1:7" x14ac:dyDescent="0.25">
      <c r="A4374">
        <v>32668</v>
      </c>
      <c r="B4374">
        <v>916</v>
      </c>
      <c r="C4374" s="1" t="str">
        <f>IF(Tabela8[[#This Row],[SETOR]]="","",IF(Tabela8[[#This Row],[SETOR]]&lt;200,"GV 10",IF(Tabela8[[#This Row],[SETOR]]&lt;300,"GV 20",IF(Tabela8[[#This Row],[SETOR]]&lt;400,"GV 30","S/GV"))))</f>
        <v>S/GV</v>
      </c>
      <c r="G4374" t="str">
        <f>_xlfn.CONCAT(Tabela9[[#This Row],[Coluna1]],Tabela9[[#This Row],[Coluna2]])</f>
        <v/>
      </c>
    </row>
    <row r="4375" spans="1:7" x14ac:dyDescent="0.25">
      <c r="A4375">
        <v>32705</v>
      </c>
      <c r="B4375">
        <v>304</v>
      </c>
      <c r="C4375" s="1" t="str">
        <f>IF(Tabela8[[#This Row],[SETOR]]="","",IF(Tabela8[[#This Row],[SETOR]]&lt;200,"GV 10",IF(Tabela8[[#This Row],[SETOR]]&lt;300,"GV 20",IF(Tabela8[[#This Row],[SETOR]]&lt;400,"GV 30","S/GV"))))</f>
        <v>GV 30</v>
      </c>
      <c r="E4375" t="s">
        <v>123</v>
      </c>
      <c r="G4375" t="str">
        <f>_xlfn.CONCAT(Tabela9[[#This Row],[Coluna1]],Tabela9[[#This Row],[Coluna2]])</f>
        <v>20-Rota</v>
      </c>
    </row>
    <row r="4376" spans="1:7" x14ac:dyDescent="0.25">
      <c r="A4376">
        <v>32706</v>
      </c>
      <c r="B4376">
        <v>306</v>
      </c>
      <c r="C4376" s="1" t="str">
        <f>IF(Tabela8[[#This Row],[SETOR]]="","",IF(Tabela8[[#This Row],[SETOR]]&lt;200,"GV 10",IF(Tabela8[[#This Row],[SETOR]]&lt;300,"GV 20",IF(Tabela8[[#This Row],[SETOR]]&lt;400,"GV 30","S/GV"))))</f>
        <v>GV 30</v>
      </c>
      <c r="E4376" t="s">
        <v>128</v>
      </c>
      <c r="F4376" t="s">
        <v>129</v>
      </c>
      <c r="G4376" t="str">
        <f>_xlfn.CONCAT(Tabela9[[#This Row],[Coluna1]],Tabela9[[#This Row],[Coluna2]])</f>
        <v>15-AS(1-4)</v>
      </c>
    </row>
    <row r="4377" spans="1:7" x14ac:dyDescent="0.25">
      <c r="A4377">
        <v>32731</v>
      </c>
      <c r="B4377">
        <v>109</v>
      </c>
      <c r="C4377" s="1" t="str">
        <f>IF(Tabela8[[#This Row],[SETOR]]="","",IF(Tabela8[[#This Row],[SETOR]]&lt;200,"GV 10",IF(Tabela8[[#This Row],[SETOR]]&lt;300,"GV 20",IF(Tabela8[[#This Row],[SETOR]]&lt;400,"GV 30","S/GV"))))</f>
        <v>GV 10</v>
      </c>
      <c r="E4377" t="s">
        <v>123</v>
      </c>
      <c r="G4377" t="str">
        <f>_xlfn.CONCAT(Tabela9[[#This Row],[Coluna1]],Tabela9[[#This Row],[Coluna2]])</f>
        <v>20-Rota</v>
      </c>
    </row>
    <row r="4378" spans="1:7" x14ac:dyDescent="0.25">
      <c r="A4378">
        <v>32778</v>
      </c>
      <c r="B4378">
        <v>304</v>
      </c>
      <c r="C4378" s="1" t="str">
        <f>IF(Tabela8[[#This Row],[SETOR]]="","",IF(Tabela8[[#This Row],[SETOR]]&lt;200,"GV 10",IF(Tabela8[[#This Row],[SETOR]]&lt;300,"GV 20",IF(Tabela8[[#This Row],[SETOR]]&lt;400,"GV 30","S/GV"))))</f>
        <v>GV 30</v>
      </c>
      <c r="E4378" t="s">
        <v>123</v>
      </c>
      <c r="G4378" t="str">
        <f>_xlfn.CONCAT(Tabela9[[#This Row],[Coluna1]],Tabela9[[#This Row],[Coluna2]])</f>
        <v>20-Rota</v>
      </c>
    </row>
    <row r="4379" spans="1:7" x14ac:dyDescent="0.25">
      <c r="A4379">
        <v>32851</v>
      </c>
      <c r="B4379">
        <v>103</v>
      </c>
      <c r="C4379" s="1" t="str">
        <f>IF(Tabela8[[#This Row],[SETOR]]="","",IF(Tabela8[[#This Row],[SETOR]]&lt;200,"GV 10",IF(Tabela8[[#This Row],[SETOR]]&lt;300,"GV 20",IF(Tabela8[[#This Row],[SETOR]]&lt;400,"GV 30","S/GV"))))</f>
        <v>GV 10</v>
      </c>
      <c r="E4379" t="s">
        <v>123</v>
      </c>
      <c r="G4379" t="str">
        <f>_xlfn.CONCAT(Tabela9[[#This Row],[Coluna1]],Tabela9[[#This Row],[Coluna2]])</f>
        <v>20-Rota</v>
      </c>
    </row>
    <row r="4380" spans="1:7" x14ac:dyDescent="0.25">
      <c r="A4380">
        <v>32853</v>
      </c>
      <c r="B4380">
        <v>204</v>
      </c>
      <c r="C4380" s="1" t="str">
        <f>IF(Tabela8[[#This Row],[SETOR]]="","",IF(Tabela8[[#This Row],[SETOR]]&lt;200,"GV 10",IF(Tabela8[[#This Row],[SETOR]]&lt;300,"GV 20",IF(Tabela8[[#This Row],[SETOR]]&lt;400,"GV 30","S/GV"))))</f>
        <v>GV 20</v>
      </c>
      <c r="E4380" t="s">
        <v>123</v>
      </c>
      <c r="G4380" t="str">
        <f>_xlfn.CONCAT(Tabela9[[#This Row],[Coluna1]],Tabela9[[#This Row],[Coluna2]])</f>
        <v>20-Rota</v>
      </c>
    </row>
    <row r="4381" spans="1:7" x14ac:dyDescent="0.25">
      <c r="A4381">
        <v>32875</v>
      </c>
      <c r="B4381">
        <v>309</v>
      </c>
      <c r="C4381" s="1" t="str">
        <f>IF(Tabela8[[#This Row],[SETOR]]="","",IF(Tabela8[[#This Row],[SETOR]]&lt;200,"GV 10",IF(Tabela8[[#This Row],[SETOR]]&lt;300,"GV 20",IF(Tabela8[[#This Row],[SETOR]]&lt;400,"GV 30","S/GV"))))</f>
        <v>GV 30</v>
      </c>
      <c r="E4381" t="s">
        <v>126</v>
      </c>
      <c r="F4381" t="s">
        <v>127</v>
      </c>
      <c r="G4381" t="str">
        <f>_xlfn.CONCAT(Tabela9[[#This Row],[Coluna1]],Tabela9[[#This Row],[Coluna2]])</f>
        <v>16-AS(5+)</v>
      </c>
    </row>
    <row r="4382" spans="1:7" x14ac:dyDescent="0.25">
      <c r="A4382">
        <v>32896</v>
      </c>
      <c r="B4382">
        <v>203</v>
      </c>
      <c r="C4382" s="1" t="str">
        <f>IF(Tabela8[[#This Row],[SETOR]]="","",IF(Tabela8[[#This Row],[SETOR]]&lt;200,"GV 10",IF(Tabela8[[#This Row],[SETOR]]&lt;300,"GV 20",IF(Tabela8[[#This Row],[SETOR]]&lt;400,"GV 30","S/GV"))))</f>
        <v>GV 20</v>
      </c>
      <c r="E4382" t="s">
        <v>123</v>
      </c>
      <c r="G4382" t="str">
        <f>_xlfn.CONCAT(Tabela9[[#This Row],[Coluna1]],Tabela9[[#This Row],[Coluna2]])</f>
        <v>20-Rota</v>
      </c>
    </row>
    <row r="4383" spans="1:7" x14ac:dyDescent="0.25">
      <c r="A4383">
        <v>32905</v>
      </c>
      <c r="B4383">
        <v>202</v>
      </c>
      <c r="C4383" s="1" t="str">
        <f>IF(Tabela8[[#This Row],[SETOR]]="","",IF(Tabela8[[#This Row],[SETOR]]&lt;200,"GV 10",IF(Tabela8[[#This Row],[SETOR]]&lt;300,"GV 20",IF(Tabela8[[#This Row],[SETOR]]&lt;400,"GV 30","S/GV"))))</f>
        <v>GV 20</v>
      </c>
      <c r="E4383" t="s">
        <v>123</v>
      </c>
      <c r="G4383" t="str">
        <f>_xlfn.CONCAT(Tabela9[[#This Row],[Coluna1]],Tabela9[[#This Row],[Coluna2]])</f>
        <v>20-Rota</v>
      </c>
    </row>
    <row r="4384" spans="1:7" x14ac:dyDescent="0.25">
      <c r="A4384">
        <v>32914</v>
      </c>
      <c r="B4384">
        <v>207</v>
      </c>
      <c r="C4384" s="1" t="str">
        <f>IF(Tabela8[[#This Row],[SETOR]]="","",IF(Tabela8[[#This Row],[SETOR]]&lt;200,"GV 10",IF(Tabela8[[#This Row],[SETOR]]&lt;300,"GV 20",IF(Tabela8[[#This Row],[SETOR]]&lt;400,"GV 30","S/GV"))))</f>
        <v>GV 20</v>
      </c>
      <c r="E4384" t="s">
        <v>125</v>
      </c>
      <c r="G4384" t="str">
        <f>_xlfn.CONCAT(Tabela9[[#This Row],[Coluna1]],Tabela9[[#This Row],[Coluna2]])</f>
        <v>18-TRAD</v>
      </c>
    </row>
    <row r="4385" spans="1:7" x14ac:dyDescent="0.25">
      <c r="A4385">
        <v>32915</v>
      </c>
      <c r="B4385">
        <v>308</v>
      </c>
      <c r="C4385" s="1" t="str">
        <f>IF(Tabela8[[#This Row],[SETOR]]="","",IF(Tabela8[[#This Row],[SETOR]]&lt;200,"GV 10",IF(Tabela8[[#This Row],[SETOR]]&lt;300,"GV 20",IF(Tabela8[[#This Row],[SETOR]]&lt;400,"GV 30","S/GV"))))</f>
        <v>GV 30</v>
      </c>
      <c r="E4385" t="s">
        <v>128</v>
      </c>
      <c r="F4385" t="s">
        <v>129</v>
      </c>
      <c r="G4385" t="str">
        <f>_xlfn.CONCAT(Tabela9[[#This Row],[Coluna1]],Tabela9[[#This Row],[Coluna2]])</f>
        <v>15-AS(1-4)</v>
      </c>
    </row>
    <row r="4386" spans="1:7" x14ac:dyDescent="0.25">
      <c r="A4386">
        <v>32933</v>
      </c>
      <c r="B4386">
        <v>104</v>
      </c>
      <c r="C4386" s="1" t="str">
        <f>IF(Tabela8[[#This Row],[SETOR]]="","",IF(Tabela8[[#This Row],[SETOR]]&lt;200,"GV 10",IF(Tabela8[[#This Row],[SETOR]]&lt;300,"GV 20",IF(Tabela8[[#This Row],[SETOR]]&lt;400,"GV 30","S/GV"))))</f>
        <v>GV 10</v>
      </c>
      <c r="E4386" t="s">
        <v>123</v>
      </c>
      <c r="G4386" t="str">
        <f>_xlfn.CONCAT(Tabela9[[#This Row],[Coluna1]],Tabela9[[#This Row],[Coluna2]])</f>
        <v>20-Rota</v>
      </c>
    </row>
    <row r="4387" spans="1:7" x14ac:dyDescent="0.25">
      <c r="A4387">
        <v>32936</v>
      </c>
      <c r="B4387">
        <v>109</v>
      </c>
      <c r="C4387" s="1" t="str">
        <f>IF(Tabela8[[#This Row],[SETOR]]="","",IF(Tabela8[[#This Row],[SETOR]]&lt;200,"GV 10",IF(Tabela8[[#This Row],[SETOR]]&lt;300,"GV 20",IF(Tabela8[[#This Row],[SETOR]]&lt;400,"GV 30","S/GV"))))</f>
        <v>GV 10</v>
      </c>
      <c r="E4387" t="s">
        <v>123</v>
      </c>
      <c r="G4387" t="str">
        <f>_xlfn.CONCAT(Tabela9[[#This Row],[Coluna1]],Tabela9[[#This Row],[Coluna2]])</f>
        <v>20-Rota</v>
      </c>
    </row>
    <row r="4388" spans="1:7" x14ac:dyDescent="0.25">
      <c r="A4388">
        <v>32940</v>
      </c>
      <c r="B4388">
        <v>208</v>
      </c>
      <c r="C4388" s="1" t="str">
        <f>IF(Tabela8[[#This Row],[SETOR]]="","",IF(Tabela8[[#This Row],[SETOR]]&lt;200,"GV 10",IF(Tabela8[[#This Row],[SETOR]]&lt;300,"GV 20",IF(Tabela8[[#This Row],[SETOR]]&lt;400,"GV 30","S/GV"))))</f>
        <v>GV 20</v>
      </c>
      <c r="E4388" t="s">
        <v>126</v>
      </c>
      <c r="F4388" t="s">
        <v>127</v>
      </c>
      <c r="G4388" t="str">
        <f>_xlfn.CONCAT(Tabela9[[#This Row],[Coluna1]],Tabela9[[#This Row],[Coluna2]])</f>
        <v>16-AS(5+)</v>
      </c>
    </row>
    <row r="4389" spans="1:7" x14ac:dyDescent="0.25">
      <c r="A4389">
        <v>32954</v>
      </c>
      <c r="B4389">
        <v>101</v>
      </c>
      <c r="C4389" s="1" t="str">
        <f>IF(Tabela8[[#This Row],[SETOR]]="","",IF(Tabela8[[#This Row],[SETOR]]&lt;200,"GV 10",IF(Tabela8[[#This Row],[SETOR]]&lt;300,"GV 20",IF(Tabela8[[#This Row],[SETOR]]&lt;400,"GV 30","S/GV"))))</f>
        <v>GV 10</v>
      </c>
      <c r="E4389" t="s">
        <v>123</v>
      </c>
      <c r="G4389" t="str">
        <f>_xlfn.CONCAT(Tabela9[[#This Row],[Coluna1]],Tabela9[[#This Row],[Coluna2]])</f>
        <v>20-Rota</v>
      </c>
    </row>
    <row r="4390" spans="1:7" x14ac:dyDescent="0.25">
      <c r="A4390">
        <v>32975</v>
      </c>
      <c r="B4390">
        <v>208</v>
      </c>
      <c r="C4390" s="1" t="str">
        <f>IF(Tabela8[[#This Row],[SETOR]]="","",IF(Tabela8[[#This Row],[SETOR]]&lt;200,"GV 10",IF(Tabela8[[#This Row],[SETOR]]&lt;300,"GV 20",IF(Tabela8[[#This Row],[SETOR]]&lt;400,"GV 30","S/GV"))))</f>
        <v>GV 20</v>
      </c>
      <c r="E4390" t="s">
        <v>125</v>
      </c>
      <c r="G4390" t="str">
        <f>_xlfn.CONCAT(Tabela9[[#This Row],[Coluna1]],Tabela9[[#This Row],[Coluna2]])</f>
        <v>18-TRAD</v>
      </c>
    </row>
    <row r="4391" spans="1:7" x14ac:dyDescent="0.25">
      <c r="A4391">
        <v>32998</v>
      </c>
      <c r="B4391">
        <v>916</v>
      </c>
      <c r="C4391" s="1" t="str">
        <f>IF(Tabela8[[#This Row],[SETOR]]="","",IF(Tabela8[[#This Row],[SETOR]]&lt;200,"GV 10",IF(Tabela8[[#This Row],[SETOR]]&lt;300,"GV 20",IF(Tabela8[[#This Row],[SETOR]]&lt;400,"GV 30","S/GV"))))</f>
        <v>S/GV</v>
      </c>
      <c r="G4391" t="str">
        <f>_xlfn.CONCAT(Tabela9[[#This Row],[Coluna1]],Tabela9[[#This Row],[Coluna2]])</f>
        <v/>
      </c>
    </row>
    <row r="4392" spans="1:7" x14ac:dyDescent="0.25">
      <c r="A4392">
        <v>32999</v>
      </c>
      <c r="B4392">
        <v>202</v>
      </c>
      <c r="C4392" s="1" t="str">
        <f>IF(Tabela8[[#This Row],[SETOR]]="","",IF(Tabela8[[#This Row],[SETOR]]&lt;200,"GV 10",IF(Tabela8[[#This Row],[SETOR]]&lt;300,"GV 20",IF(Tabela8[[#This Row],[SETOR]]&lt;400,"GV 30","S/GV"))))</f>
        <v>GV 20</v>
      </c>
      <c r="E4392" t="s">
        <v>123</v>
      </c>
      <c r="G4392" t="str">
        <f>_xlfn.CONCAT(Tabela9[[#This Row],[Coluna1]],Tabela9[[#This Row],[Coluna2]])</f>
        <v>20-Rota</v>
      </c>
    </row>
    <row r="4393" spans="1:7" x14ac:dyDescent="0.25">
      <c r="A4393">
        <v>33013</v>
      </c>
      <c r="B4393">
        <v>106</v>
      </c>
      <c r="C4393" s="1" t="str">
        <f>IF(Tabela8[[#This Row],[SETOR]]="","",IF(Tabela8[[#This Row],[SETOR]]&lt;200,"GV 10",IF(Tabela8[[#This Row],[SETOR]]&lt;300,"GV 20",IF(Tabela8[[#This Row],[SETOR]]&lt;400,"GV 30","S/GV"))))</f>
        <v>GV 10</v>
      </c>
      <c r="E4393" t="s">
        <v>123</v>
      </c>
      <c r="G4393" t="str">
        <f>_xlfn.CONCAT(Tabela9[[#This Row],[Coluna1]],Tabela9[[#This Row],[Coluna2]])</f>
        <v>20-Rota</v>
      </c>
    </row>
    <row r="4394" spans="1:7" x14ac:dyDescent="0.25">
      <c r="A4394">
        <v>33014</v>
      </c>
      <c r="B4394">
        <v>102</v>
      </c>
      <c r="C4394" s="1" t="str">
        <f>IF(Tabela8[[#This Row],[SETOR]]="","",IF(Tabela8[[#This Row],[SETOR]]&lt;200,"GV 10",IF(Tabela8[[#This Row],[SETOR]]&lt;300,"GV 20",IF(Tabela8[[#This Row],[SETOR]]&lt;400,"GV 30","S/GV"))))</f>
        <v>GV 10</v>
      </c>
      <c r="E4394" t="s">
        <v>125</v>
      </c>
      <c r="G4394" t="str">
        <f>_xlfn.CONCAT(Tabela9[[#This Row],[Coluna1]],Tabela9[[#This Row],[Coluna2]])</f>
        <v>18-TRAD</v>
      </c>
    </row>
    <row r="4395" spans="1:7" x14ac:dyDescent="0.25">
      <c r="A4395">
        <v>33026</v>
      </c>
      <c r="B4395">
        <v>916</v>
      </c>
      <c r="C4395" s="1" t="str">
        <f>IF(Tabela8[[#This Row],[SETOR]]="","",IF(Tabela8[[#This Row],[SETOR]]&lt;200,"GV 10",IF(Tabela8[[#This Row],[SETOR]]&lt;300,"GV 20",IF(Tabela8[[#This Row],[SETOR]]&lt;400,"GV 30","S/GV"))))</f>
        <v>S/GV</v>
      </c>
      <c r="G4395" t="str">
        <f>_xlfn.CONCAT(Tabela9[[#This Row],[Coluna1]],Tabela9[[#This Row],[Coluna2]])</f>
        <v/>
      </c>
    </row>
    <row r="4396" spans="1:7" x14ac:dyDescent="0.25">
      <c r="A4396">
        <v>33031</v>
      </c>
      <c r="B4396">
        <v>101</v>
      </c>
      <c r="C4396" s="1" t="str">
        <f>IF(Tabela8[[#This Row],[SETOR]]="","",IF(Tabela8[[#This Row],[SETOR]]&lt;200,"GV 10",IF(Tabela8[[#This Row],[SETOR]]&lt;300,"GV 20",IF(Tabela8[[#This Row],[SETOR]]&lt;400,"GV 30","S/GV"))))</f>
        <v>GV 10</v>
      </c>
      <c r="E4396" t="s">
        <v>123</v>
      </c>
      <c r="G4396" t="str">
        <f>_xlfn.CONCAT(Tabela9[[#This Row],[Coluna1]],Tabela9[[#This Row],[Coluna2]])</f>
        <v>20-Rota</v>
      </c>
    </row>
    <row r="4397" spans="1:7" x14ac:dyDescent="0.25">
      <c r="A4397">
        <v>33063</v>
      </c>
      <c r="B4397">
        <v>305</v>
      </c>
      <c r="C4397" s="1" t="str">
        <f>IF(Tabela8[[#This Row],[SETOR]]="","",IF(Tabela8[[#This Row],[SETOR]]&lt;200,"GV 10",IF(Tabela8[[#This Row],[SETOR]]&lt;300,"GV 20",IF(Tabela8[[#This Row],[SETOR]]&lt;400,"GV 30","S/GV"))))</f>
        <v>GV 30</v>
      </c>
      <c r="E4397" t="s">
        <v>123</v>
      </c>
      <c r="G4397" t="str">
        <f>_xlfn.CONCAT(Tabela9[[#This Row],[Coluna1]],Tabela9[[#This Row],[Coluna2]])</f>
        <v>20-Rota</v>
      </c>
    </row>
    <row r="4398" spans="1:7" x14ac:dyDescent="0.25">
      <c r="A4398">
        <v>33064</v>
      </c>
      <c r="B4398">
        <v>308</v>
      </c>
      <c r="C4398" s="1" t="str">
        <f>IF(Tabela8[[#This Row],[SETOR]]="","",IF(Tabela8[[#This Row],[SETOR]]&lt;200,"GV 10",IF(Tabela8[[#This Row],[SETOR]]&lt;300,"GV 20",IF(Tabela8[[#This Row],[SETOR]]&lt;400,"GV 30","S/GV"))))</f>
        <v>GV 30</v>
      </c>
      <c r="E4398" t="s">
        <v>128</v>
      </c>
      <c r="F4398" t="s">
        <v>129</v>
      </c>
      <c r="G4398" t="str">
        <f>_xlfn.CONCAT(Tabela9[[#This Row],[Coluna1]],Tabela9[[#This Row],[Coluna2]])</f>
        <v>15-AS(1-4)</v>
      </c>
    </row>
    <row r="4399" spans="1:7" x14ac:dyDescent="0.25">
      <c r="A4399">
        <v>33066</v>
      </c>
      <c r="B4399">
        <v>303</v>
      </c>
      <c r="C4399" s="1" t="str">
        <f>IF(Tabela8[[#This Row],[SETOR]]="","",IF(Tabela8[[#This Row],[SETOR]]&lt;200,"GV 10",IF(Tabela8[[#This Row],[SETOR]]&lt;300,"GV 20",IF(Tabela8[[#This Row],[SETOR]]&lt;400,"GV 30","S/GV"))))</f>
        <v>GV 30</v>
      </c>
      <c r="E4399" t="s">
        <v>123</v>
      </c>
      <c r="G4399" t="str">
        <f>_xlfn.CONCAT(Tabela9[[#This Row],[Coluna1]],Tabela9[[#This Row],[Coluna2]])</f>
        <v>20-Rota</v>
      </c>
    </row>
    <row r="4400" spans="1:7" x14ac:dyDescent="0.25">
      <c r="A4400">
        <v>33088</v>
      </c>
      <c r="B4400">
        <v>305</v>
      </c>
      <c r="C4400" s="1" t="str">
        <f>IF(Tabela8[[#This Row],[SETOR]]="","",IF(Tabela8[[#This Row],[SETOR]]&lt;200,"GV 10",IF(Tabela8[[#This Row],[SETOR]]&lt;300,"GV 20",IF(Tabela8[[#This Row],[SETOR]]&lt;400,"GV 30","S/GV"))))</f>
        <v>GV 30</v>
      </c>
      <c r="E4400" t="s">
        <v>123</v>
      </c>
      <c r="G4400" t="str">
        <f>_xlfn.CONCAT(Tabela9[[#This Row],[Coluna1]],Tabela9[[#This Row],[Coluna2]])</f>
        <v>20-Rota</v>
      </c>
    </row>
    <row r="4401" spans="1:7" x14ac:dyDescent="0.25">
      <c r="A4401">
        <v>33090</v>
      </c>
      <c r="B4401">
        <v>202</v>
      </c>
      <c r="C4401" s="1" t="str">
        <f>IF(Tabela8[[#This Row],[SETOR]]="","",IF(Tabela8[[#This Row],[SETOR]]&lt;200,"GV 10",IF(Tabela8[[#This Row],[SETOR]]&lt;300,"GV 20",IF(Tabela8[[#This Row],[SETOR]]&lt;400,"GV 30","S/GV"))))</f>
        <v>GV 20</v>
      </c>
      <c r="E4401" t="s">
        <v>123</v>
      </c>
      <c r="G4401" t="str">
        <f>_xlfn.CONCAT(Tabela9[[#This Row],[Coluna1]],Tabela9[[#This Row],[Coluna2]])</f>
        <v>20-Rota</v>
      </c>
    </row>
    <row r="4402" spans="1:7" x14ac:dyDescent="0.25">
      <c r="A4402">
        <v>96495</v>
      </c>
      <c r="B4402">
        <v>208</v>
      </c>
      <c r="C4402" s="1" t="str">
        <f>IF(Tabela8[[#This Row],[SETOR]]="","",IF(Tabela8[[#This Row],[SETOR]]&lt;200,"GV 10",IF(Tabela8[[#This Row],[SETOR]]&lt;300,"GV 20",IF(Tabela8[[#This Row],[SETOR]]&lt;400,"GV 30","S/GV"))))</f>
        <v>GV 20</v>
      </c>
      <c r="E4402" t="s">
        <v>131</v>
      </c>
      <c r="F4402" t="s">
        <v>132</v>
      </c>
      <c r="G4402" t="str">
        <f>_xlfn.CONCAT(Tabela9[[#This Row],[Coluna1]],Tabela9[[#This Row],[Coluna2]])</f>
        <v>14-Lj.Conveniência</v>
      </c>
    </row>
    <row r="4403" spans="1:7" x14ac:dyDescent="0.25">
      <c r="A4403">
        <v>96502</v>
      </c>
      <c r="B4403">
        <v>306</v>
      </c>
      <c r="C4403" s="1" t="str">
        <f>IF(Tabela8[[#This Row],[SETOR]]="","",IF(Tabela8[[#This Row],[SETOR]]&lt;200,"GV 10",IF(Tabela8[[#This Row],[SETOR]]&lt;300,"GV 20",IF(Tabela8[[#This Row],[SETOR]]&lt;400,"GV 30","S/GV"))))</f>
        <v>GV 30</v>
      </c>
      <c r="E4403" t="s">
        <v>125</v>
      </c>
      <c r="G4403" t="str">
        <f>_xlfn.CONCAT(Tabela9[[#This Row],[Coluna1]],Tabela9[[#This Row],[Coluna2]])</f>
        <v>18-TRAD</v>
      </c>
    </row>
    <row r="4404" spans="1:7" x14ac:dyDescent="0.25">
      <c r="A4404">
        <v>96512</v>
      </c>
      <c r="B4404">
        <v>308</v>
      </c>
      <c r="C4404" s="1" t="str">
        <f>IF(Tabela8[[#This Row],[SETOR]]="","",IF(Tabela8[[#This Row],[SETOR]]&lt;200,"GV 10",IF(Tabela8[[#This Row],[SETOR]]&lt;300,"GV 20",IF(Tabela8[[#This Row],[SETOR]]&lt;400,"GV 30","S/GV"))))</f>
        <v>GV 30</v>
      </c>
      <c r="E4404" t="s">
        <v>128</v>
      </c>
      <c r="F4404" t="s">
        <v>129</v>
      </c>
      <c r="G4404" t="str">
        <f>_xlfn.CONCAT(Tabela9[[#This Row],[Coluna1]],Tabela9[[#This Row],[Coluna2]])</f>
        <v>15-AS(1-4)</v>
      </c>
    </row>
    <row r="4405" spans="1:7" x14ac:dyDescent="0.25">
      <c r="A4405">
        <v>96513</v>
      </c>
      <c r="B4405">
        <v>301</v>
      </c>
      <c r="C4405" s="1" t="str">
        <f>IF(Tabela8[[#This Row],[SETOR]]="","",IF(Tabela8[[#This Row],[SETOR]]&lt;200,"GV 10",IF(Tabela8[[#This Row],[SETOR]]&lt;300,"GV 20",IF(Tabela8[[#This Row],[SETOR]]&lt;400,"GV 30","S/GV"))))</f>
        <v>GV 30</v>
      </c>
      <c r="E4405" t="s">
        <v>123</v>
      </c>
      <c r="G4405" t="str">
        <f>_xlfn.CONCAT(Tabela9[[#This Row],[Coluna1]],Tabela9[[#This Row],[Coluna2]])</f>
        <v>20-Rota</v>
      </c>
    </row>
    <row r="4406" spans="1:7" x14ac:dyDescent="0.25">
      <c r="A4406">
        <v>96514</v>
      </c>
      <c r="B4406">
        <v>204</v>
      </c>
      <c r="C4406" s="1" t="str">
        <f>IF(Tabela8[[#This Row],[SETOR]]="","",IF(Tabela8[[#This Row],[SETOR]]&lt;200,"GV 10",IF(Tabela8[[#This Row],[SETOR]]&lt;300,"GV 20",IF(Tabela8[[#This Row],[SETOR]]&lt;400,"GV 30","S/GV"))))</f>
        <v>GV 20</v>
      </c>
      <c r="E4406" t="s">
        <v>123</v>
      </c>
      <c r="G4406" t="str">
        <f>_xlfn.CONCAT(Tabela9[[#This Row],[Coluna1]],Tabela9[[#This Row],[Coluna2]])</f>
        <v>20-Rota</v>
      </c>
    </row>
    <row r="4407" spans="1:7" x14ac:dyDescent="0.25">
      <c r="A4407">
        <v>96515</v>
      </c>
      <c r="B4407">
        <v>105</v>
      </c>
      <c r="C4407" s="1" t="str">
        <f>IF(Tabela8[[#This Row],[SETOR]]="","",IF(Tabela8[[#This Row],[SETOR]]&lt;200,"GV 10",IF(Tabela8[[#This Row],[SETOR]]&lt;300,"GV 20",IF(Tabela8[[#This Row],[SETOR]]&lt;400,"GV 30","S/GV"))))</f>
        <v>GV 10</v>
      </c>
      <c r="E4407" t="s">
        <v>126</v>
      </c>
      <c r="F4407" t="s">
        <v>127</v>
      </c>
      <c r="G4407" t="str">
        <f>_xlfn.CONCAT(Tabela9[[#This Row],[Coluna1]],Tabela9[[#This Row],[Coluna2]])</f>
        <v>16-AS(5+)</v>
      </c>
    </row>
    <row r="4408" spans="1:7" x14ac:dyDescent="0.25">
      <c r="A4408">
        <v>96516</v>
      </c>
      <c r="B4408">
        <v>301</v>
      </c>
      <c r="C4408" s="1" t="str">
        <f>IF(Tabela8[[#This Row],[SETOR]]="","",IF(Tabela8[[#This Row],[SETOR]]&lt;200,"GV 10",IF(Tabela8[[#This Row],[SETOR]]&lt;300,"GV 20",IF(Tabela8[[#This Row],[SETOR]]&lt;400,"GV 30","S/GV"))))</f>
        <v>GV 30</v>
      </c>
      <c r="E4408" t="s">
        <v>123</v>
      </c>
      <c r="G4408" t="str">
        <f>_xlfn.CONCAT(Tabela9[[#This Row],[Coluna1]],Tabela9[[#This Row],[Coluna2]])</f>
        <v>20-Rota</v>
      </c>
    </row>
    <row r="4409" spans="1:7" x14ac:dyDescent="0.25">
      <c r="A4409">
        <v>96518</v>
      </c>
      <c r="B4409">
        <v>304</v>
      </c>
      <c r="C4409" s="1" t="str">
        <f>IF(Tabela8[[#This Row],[SETOR]]="","",IF(Tabela8[[#This Row],[SETOR]]&lt;200,"GV 10",IF(Tabela8[[#This Row],[SETOR]]&lt;300,"GV 20",IF(Tabela8[[#This Row],[SETOR]]&lt;400,"GV 30","S/GV"))))</f>
        <v>GV 30</v>
      </c>
      <c r="E4409" t="s">
        <v>124</v>
      </c>
      <c r="G4409" t="str">
        <f>_xlfn.CONCAT(Tabela9[[#This Row],[Coluna1]],Tabela9[[#This Row],[Coluna2]])</f>
        <v>19-VIP</v>
      </c>
    </row>
    <row r="4410" spans="1:7" x14ac:dyDescent="0.25">
      <c r="A4410">
        <v>96522</v>
      </c>
      <c r="B4410">
        <v>104</v>
      </c>
      <c r="C4410" s="1" t="str">
        <f>IF(Tabela8[[#This Row],[SETOR]]="","",IF(Tabela8[[#This Row],[SETOR]]&lt;200,"GV 10",IF(Tabela8[[#This Row],[SETOR]]&lt;300,"GV 20",IF(Tabela8[[#This Row],[SETOR]]&lt;400,"GV 30","S/GV"))))</f>
        <v>GV 10</v>
      </c>
      <c r="E4410" t="s">
        <v>123</v>
      </c>
      <c r="G4410" t="str">
        <f>_xlfn.CONCAT(Tabela9[[#This Row],[Coluna1]],Tabela9[[#This Row],[Coluna2]])</f>
        <v>20-Rota</v>
      </c>
    </row>
    <row r="4411" spans="1:7" x14ac:dyDescent="0.25">
      <c r="A4411">
        <v>96528</v>
      </c>
      <c r="B4411">
        <v>207</v>
      </c>
      <c r="C4411" s="1" t="str">
        <f>IF(Tabela8[[#This Row],[SETOR]]="","",IF(Tabela8[[#This Row],[SETOR]]&lt;200,"GV 10",IF(Tabela8[[#This Row],[SETOR]]&lt;300,"GV 20",IF(Tabela8[[#This Row],[SETOR]]&lt;400,"GV 30","S/GV"))))</f>
        <v>GV 20</v>
      </c>
      <c r="E4411" t="s">
        <v>130</v>
      </c>
      <c r="G4411" t="str">
        <f>_xlfn.CONCAT(Tabela9[[#This Row],[Coluna1]],Tabela9[[#This Row],[Coluna2]])</f>
        <v>21-SUB</v>
      </c>
    </row>
    <row r="4412" spans="1:7" x14ac:dyDescent="0.25">
      <c r="A4412">
        <v>96531</v>
      </c>
      <c r="B4412">
        <v>304</v>
      </c>
      <c r="C4412" s="1" t="str">
        <f>IF(Tabela8[[#This Row],[SETOR]]="","",IF(Tabela8[[#This Row],[SETOR]]&lt;200,"GV 10",IF(Tabela8[[#This Row],[SETOR]]&lt;300,"GV 20",IF(Tabela8[[#This Row],[SETOR]]&lt;400,"GV 30","S/GV"))))</f>
        <v>GV 30</v>
      </c>
      <c r="E4412" t="s">
        <v>123</v>
      </c>
      <c r="G4412" t="str">
        <f>_xlfn.CONCAT(Tabela9[[#This Row],[Coluna1]],Tabela9[[#This Row],[Coluna2]])</f>
        <v>20-Rota</v>
      </c>
    </row>
    <row r="4413" spans="1:7" x14ac:dyDescent="0.25">
      <c r="A4413">
        <v>96535</v>
      </c>
      <c r="B4413">
        <v>301</v>
      </c>
      <c r="C4413" s="1" t="str">
        <f>IF(Tabela8[[#This Row],[SETOR]]="","",IF(Tabela8[[#This Row],[SETOR]]&lt;200,"GV 10",IF(Tabela8[[#This Row],[SETOR]]&lt;300,"GV 20",IF(Tabela8[[#This Row],[SETOR]]&lt;400,"GV 30","S/GV"))))</f>
        <v>GV 30</v>
      </c>
      <c r="E4413" t="s">
        <v>123</v>
      </c>
      <c r="G4413" t="str">
        <f>_xlfn.CONCAT(Tabela9[[#This Row],[Coluna1]],Tabela9[[#This Row],[Coluna2]])</f>
        <v>20-Rota</v>
      </c>
    </row>
    <row r="4414" spans="1:7" x14ac:dyDescent="0.25">
      <c r="A4414">
        <v>96537</v>
      </c>
      <c r="B4414">
        <v>201</v>
      </c>
      <c r="C4414" s="1" t="str">
        <f>IF(Tabela8[[#This Row],[SETOR]]="","",IF(Tabela8[[#This Row],[SETOR]]&lt;200,"GV 10",IF(Tabela8[[#This Row],[SETOR]]&lt;300,"GV 20",IF(Tabela8[[#This Row],[SETOR]]&lt;400,"GV 30","S/GV"))))</f>
        <v>GV 20</v>
      </c>
      <c r="E4414" t="s">
        <v>123</v>
      </c>
      <c r="G4414" t="str">
        <f>_xlfn.CONCAT(Tabela9[[#This Row],[Coluna1]],Tabela9[[#This Row],[Coluna2]])</f>
        <v>20-Rota</v>
      </c>
    </row>
    <row r="4415" spans="1:7" x14ac:dyDescent="0.25">
      <c r="A4415">
        <v>96540</v>
      </c>
      <c r="B4415">
        <v>102</v>
      </c>
      <c r="C4415" s="1" t="str">
        <f>IF(Tabela8[[#This Row],[SETOR]]="","",IF(Tabela8[[#This Row],[SETOR]]&lt;200,"GV 10",IF(Tabela8[[#This Row],[SETOR]]&lt;300,"GV 20",IF(Tabela8[[#This Row],[SETOR]]&lt;400,"GV 30","S/GV"))))</f>
        <v>GV 10</v>
      </c>
      <c r="E4415" t="s">
        <v>123</v>
      </c>
      <c r="G4415" t="str">
        <f>_xlfn.CONCAT(Tabela9[[#This Row],[Coluna1]],Tabela9[[#This Row],[Coluna2]])</f>
        <v>20-Rota</v>
      </c>
    </row>
    <row r="4416" spans="1:7" x14ac:dyDescent="0.25">
      <c r="A4416">
        <v>96541</v>
      </c>
      <c r="B4416">
        <v>101</v>
      </c>
      <c r="C4416" s="1" t="str">
        <f>IF(Tabela8[[#This Row],[SETOR]]="","",IF(Tabela8[[#This Row],[SETOR]]&lt;200,"GV 10",IF(Tabela8[[#This Row],[SETOR]]&lt;300,"GV 20",IF(Tabela8[[#This Row],[SETOR]]&lt;400,"GV 30","S/GV"))))</f>
        <v>GV 10</v>
      </c>
      <c r="E4416" t="s">
        <v>123</v>
      </c>
      <c r="G4416" t="str">
        <f>_xlfn.CONCAT(Tabela9[[#This Row],[Coluna1]],Tabela9[[#This Row],[Coluna2]])</f>
        <v>20-Rota</v>
      </c>
    </row>
    <row r="4417" spans="1:7" x14ac:dyDescent="0.25">
      <c r="A4417">
        <v>96562</v>
      </c>
      <c r="B4417">
        <v>307</v>
      </c>
      <c r="C4417" s="1" t="str">
        <f>IF(Tabela8[[#This Row],[SETOR]]="","",IF(Tabela8[[#This Row],[SETOR]]&lt;200,"GV 10",IF(Tabela8[[#This Row],[SETOR]]&lt;300,"GV 20",IF(Tabela8[[#This Row],[SETOR]]&lt;400,"GV 30","S/GV"))))</f>
        <v>GV 30</v>
      </c>
      <c r="E4417" t="s">
        <v>130</v>
      </c>
      <c r="G4417" t="str">
        <f>_xlfn.CONCAT(Tabela9[[#This Row],[Coluna1]],Tabela9[[#This Row],[Coluna2]])</f>
        <v>21-SUB</v>
      </c>
    </row>
    <row r="4418" spans="1:7" x14ac:dyDescent="0.25">
      <c r="A4418">
        <v>96595</v>
      </c>
      <c r="B4418">
        <v>106</v>
      </c>
      <c r="C4418" s="1" t="str">
        <f>IF(Tabela8[[#This Row],[SETOR]]="","",IF(Tabela8[[#This Row],[SETOR]]&lt;200,"GV 10",IF(Tabela8[[#This Row],[SETOR]]&lt;300,"GV 20",IF(Tabela8[[#This Row],[SETOR]]&lt;400,"GV 30","S/GV"))))</f>
        <v>GV 10</v>
      </c>
      <c r="E4418" t="s">
        <v>130</v>
      </c>
      <c r="G4418" t="str">
        <f>_xlfn.CONCAT(Tabela9[[#This Row],[Coluna1]],Tabela9[[#This Row],[Coluna2]])</f>
        <v>21-SUB</v>
      </c>
    </row>
    <row r="4419" spans="1:7" x14ac:dyDescent="0.25">
      <c r="A4419">
        <v>96609</v>
      </c>
      <c r="B4419">
        <v>303</v>
      </c>
      <c r="C4419" s="1" t="str">
        <f>IF(Tabela8[[#This Row],[SETOR]]="","",IF(Tabela8[[#This Row],[SETOR]]&lt;200,"GV 10",IF(Tabela8[[#This Row],[SETOR]]&lt;300,"GV 20",IF(Tabela8[[#This Row],[SETOR]]&lt;400,"GV 30","S/GV"))))</f>
        <v>GV 30</v>
      </c>
      <c r="E4419" t="s">
        <v>123</v>
      </c>
      <c r="G4419" t="str">
        <f>_xlfn.CONCAT(Tabela9[[#This Row],[Coluna1]],Tabela9[[#This Row],[Coluna2]])</f>
        <v>20-Rota</v>
      </c>
    </row>
    <row r="4420" spans="1:7" x14ac:dyDescent="0.25">
      <c r="A4420">
        <v>96611</v>
      </c>
      <c r="B4420">
        <v>109</v>
      </c>
      <c r="C4420" s="1" t="str">
        <f>IF(Tabela8[[#This Row],[SETOR]]="","",IF(Tabela8[[#This Row],[SETOR]]&lt;200,"GV 10",IF(Tabela8[[#This Row],[SETOR]]&lt;300,"GV 20",IF(Tabela8[[#This Row],[SETOR]]&lt;400,"GV 30","S/GV"))))</f>
        <v>GV 10</v>
      </c>
      <c r="E4420" t="s">
        <v>123</v>
      </c>
      <c r="G4420" t="str">
        <f>_xlfn.CONCAT(Tabela9[[#This Row],[Coluna1]],Tabela9[[#This Row],[Coluna2]])</f>
        <v>20-Rota</v>
      </c>
    </row>
    <row r="4421" spans="1:7" x14ac:dyDescent="0.25">
      <c r="A4421">
        <v>96619</v>
      </c>
      <c r="B4421">
        <v>302</v>
      </c>
      <c r="C4421" s="1" t="str">
        <f>IF(Tabela8[[#This Row],[SETOR]]="","",IF(Tabela8[[#This Row],[SETOR]]&lt;200,"GV 10",IF(Tabela8[[#This Row],[SETOR]]&lt;300,"GV 20",IF(Tabela8[[#This Row],[SETOR]]&lt;400,"GV 30","S/GV"))))</f>
        <v>GV 30</v>
      </c>
      <c r="E4421" t="s">
        <v>123</v>
      </c>
      <c r="G4421" t="str">
        <f>_xlfn.CONCAT(Tabela9[[#This Row],[Coluna1]],Tabela9[[#This Row],[Coluna2]])</f>
        <v>20-Rota</v>
      </c>
    </row>
    <row r="4422" spans="1:7" x14ac:dyDescent="0.25">
      <c r="A4422">
        <v>96634</v>
      </c>
      <c r="B4422">
        <v>306</v>
      </c>
      <c r="C4422" s="1" t="str">
        <f>IF(Tabela8[[#This Row],[SETOR]]="","",IF(Tabela8[[#This Row],[SETOR]]&lt;200,"GV 10",IF(Tabela8[[#This Row],[SETOR]]&lt;300,"GV 20",IF(Tabela8[[#This Row],[SETOR]]&lt;400,"GV 30","S/GV"))))</f>
        <v>GV 30</v>
      </c>
      <c r="E4422" t="s">
        <v>125</v>
      </c>
      <c r="G4422" t="str">
        <f>_xlfn.CONCAT(Tabela9[[#This Row],[Coluna1]],Tabela9[[#This Row],[Coluna2]])</f>
        <v>18-TRAD</v>
      </c>
    </row>
    <row r="4423" spans="1:7" x14ac:dyDescent="0.25">
      <c r="A4423">
        <v>96685</v>
      </c>
      <c r="B4423">
        <v>105</v>
      </c>
      <c r="C4423" s="1" t="str">
        <f>IF(Tabela8[[#This Row],[SETOR]]="","",IF(Tabela8[[#This Row],[SETOR]]&lt;200,"GV 10",IF(Tabela8[[#This Row],[SETOR]]&lt;300,"GV 20",IF(Tabela8[[#This Row],[SETOR]]&lt;400,"GV 30","S/GV"))))</f>
        <v>GV 10</v>
      </c>
      <c r="E4423" t="s">
        <v>123</v>
      </c>
      <c r="G4423" t="str">
        <f>_xlfn.CONCAT(Tabela9[[#This Row],[Coluna1]],Tabela9[[#This Row],[Coluna2]])</f>
        <v>20-Rota</v>
      </c>
    </row>
    <row r="4424" spans="1:7" x14ac:dyDescent="0.25">
      <c r="A4424">
        <v>96703</v>
      </c>
      <c r="B4424">
        <v>302</v>
      </c>
      <c r="C4424" s="1" t="str">
        <f>IF(Tabela8[[#This Row],[SETOR]]="","",IF(Tabela8[[#This Row],[SETOR]]&lt;200,"GV 10",IF(Tabela8[[#This Row],[SETOR]]&lt;300,"GV 20",IF(Tabela8[[#This Row],[SETOR]]&lt;400,"GV 30","S/GV"))))</f>
        <v>GV 30</v>
      </c>
      <c r="E4424" t="s">
        <v>123</v>
      </c>
      <c r="G4424" t="str">
        <f>_xlfn.CONCAT(Tabela9[[#This Row],[Coluna1]],Tabela9[[#This Row],[Coluna2]])</f>
        <v>20-Rota</v>
      </c>
    </row>
    <row r="4425" spans="1:7" x14ac:dyDescent="0.25">
      <c r="A4425">
        <v>96721</v>
      </c>
      <c r="B4425">
        <v>203</v>
      </c>
      <c r="C4425" s="1" t="str">
        <f>IF(Tabela8[[#This Row],[SETOR]]="","",IF(Tabela8[[#This Row],[SETOR]]&lt;200,"GV 10",IF(Tabela8[[#This Row],[SETOR]]&lt;300,"GV 20",IF(Tabela8[[#This Row],[SETOR]]&lt;400,"GV 30","S/GV"))))</f>
        <v>GV 20</v>
      </c>
      <c r="E4425" t="s">
        <v>123</v>
      </c>
      <c r="G4425" t="str">
        <f>_xlfn.CONCAT(Tabela9[[#This Row],[Coluna1]],Tabela9[[#This Row],[Coluna2]])</f>
        <v>20-Rota</v>
      </c>
    </row>
    <row r="4426" spans="1:7" x14ac:dyDescent="0.25">
      <c r="A4426">
        <v>96723</v>
      </c>
      <c r="B4426">
        <v>207</v>
      </c>
      <c r="C4426" s="1" t="str">
        <f>IF(Tabela8[[#This Row],[SETOR]]="","",IF(Tabela8[[#This Row],[SETOR]]&lt;200,"GV 10",IF(Tabela8[[#This Row],[SETOR]]&lt;300,"GV 20",IF(Tabela8[[#This Row],[SETOR]]&lt;400,"GV 30","S/GV"))))</f>
        <v>GV 20</v>
      </c>
      <c r="E4426" t="s">
        <v>130</v>
      </c>
      <c r="G4426" t="str">
        <f>_xlfn.CONCAT(Tabela9[[#This Row],[Coluna1]],Tabela9[[#This Row],[Coluna2]])</f>
        <v>21-SUB</v>
      </c>
    </row>
    <row r="4427" spans="1:7" x14ac:dyDescent="0.25">
      <c r="A4427">
        <v>96734</v>
      </c>
      <c r="B4427">
        <v>308</v>
      </c>
      <c r="C4427" s="1" t="str">
        <f>IF(Tabela8[[#This Row],[SETOR]]="","",IF(Tabela8[[#This Row],[SETOR]]&lt;200,"GV 10",IF(Tabela8[[#This Row],[SETOR]]&lt;300,"GV 20",IF(Tabela8[[#This Row],[SETOR]]&lt;400,"GV 30","S/GV"))))</f>
        <v>GV 30</v>
      </c>
      <c r="E4427" t="s">
        <v>128</v>
      </c>
      <c r="F4427" t="s">
        <v>129</v>
      </c>
      <c r="G4427" t="str">
        <f>_xlfn.CONCAT(Tabela9[[#This Row],[Coluna1]],Tabela9[[#This Row],[Coluna2]])</f>
        <v>15-AS(1-4)</v>
      </c>
    </row>
    <row r="4428" spans="1:7" x14ac:dyDescent="0.25">
      <c r="A4428">
        <v>96761</v>
      </c>
      <c r="B4428">
        <v>207</v>
      </c>
      <c r="C4428" s="1" t="str">
        <f>IF(Tabela8[[#This Row],[SETOR]]="","",IF(Tabela8[[#This Row],[SETOR]]&lt;200,"GV 10",IF(Tabela8[[#This Row],[SETOR]]&lt;300,"GV 20",IF(Tabela8[[#This Row],[SETOR]]&lt;400,"GV 30","S/GV"))))</f>
        <v>GV 20</v>
      </c>
      <c r="E4428" t="s">
        <v>130</v>
      </c>
      <c r="G4428" t="str">
        <f>_xlfn.CONCAT(Tabela9[[#This Row],[Coluna1]],Tabela9[[#This Row],[Coluna2]])</f>
        <v>21-SUB</v>
      </c>
    </row>
    <row r="4429" spans="1:7" x14ac:dyDescent="0.25">
      <c r="A4429">
        <v>96765</v>
      </c>
      <c r="B4429">
        <v>107</v>
      </c>
      <c r="C4429" s="1" t="str">
        <f>IF(Tabela8[[#This Row],[SETOR]]="","",IF(Tabela8[[#This Row],[SETOR]]&lt;200,"GV 10",IF(Tabela8[[#This Row],[SETOR]]&lt;300,"GV 20",IF(Tabela8[[#This Row],[SETOR]]&lt;400,"GV 30","S/GV"))))</f>
        <v>GV 10</v>
      </c>
      <c r="E4429" t="s">
        <v>125</v>
      </c>
      <c r="G4429" t="str">
        <f>_xlfn.CONCAT(Tabela9[[#This Row],[Coluna1]],Tabela9[[#This Row],[Coluna2]])</f>
        <v>18-TRAD</v>
      </c>
    </row>
    <row r="4430" spans="1:7" x14ac:dyDescent="0.25">
      <c r="A4430">
        <v>96771</v>
      </c>
      <c r="B4430">
        <v>107</v>
      </c>
      <c r="C4430" s="1" t="str">
        <f>IF(Tabela8[[#This Row],[SETOR]]="","",IF(Tabela8[[#This Row],[SETOR]]&lt;200,"GV 10",IF(Tabela8[[#This Row],[SETOR]]&lt;300,"GV 20",IF(Tabela8[[#This Row],[SETOR]]&lt;400,"GV 30","S/GV"))))</f>
        <v>GV 10</v>
      </c>
      <c r="E4430" t="s">
        <v>130</v>
      </c>
      <c r="G4430" t="str">
        <f>_xlfn.CONCAT(Tabela9[[#This Row],[Coluna1]],Tabela9[[#This Row],[Coluna2]])</f>
        <v>21-SUB</v>
      </c>
    </row>
    <row r="4431" spans="1:7" x14ac:dyDescent="0.25">
      <c r="A4431">
        <v>96809</v>
      </c>
      <c r="B4431">
        <v>201</v>
      </c>
      <c r="C4431" s="1" t="str">
        <f>IF(Tabela8[[#This Row],[SETOR]]="","",IF(Tabela8[[#This Row],[SETOR]]&lt;200,"GV 10",IF(Tabela8[[#This Row],[SETOR]]&lt;300,"GV 20",IF(Tabela8[[#This Row],[SETOR]]&lt;400,"GV 30","S/GV"))))</f>
        <v>GV 20</v>
      </c>
      <c r="E4431" t="s">
        <v>123</v>
      </c>
      <c r="G4431" t="str">
        <f>_xlfn.CONCAT(Tabela9[[#This Row],[Coluna1]],Tabela9[[#This Row],[Coluna2]])</f>
        <v>20-Rota</v>
      </c>
    </row>
    <row r="4432" spans="1:7" x14ac:dyDescent="0.25">
      <c r="A4432">
        <v>96824</v>
      </c>
      <c r="B4432">
        <v>201</v>
      </c>
      <c r="C4432" s="1" t="str">
        <f>IF(Tabela8[[#This Row],[SETOR]]="","",IF(Tabela8[[#This Row],[SETOR]]&lt;200,"GV 10",IF(Tabela8[[#This Row],[SETOR]]&lt;300,"GV 20",IF(Tabela8[[#This Row],[SETOR]]&lt;400,"GV 30","S/GV"))))</f>
        <v>GV 20</v>
      </c>
      <c r="E4432" t="s">
        <v>123</v>
      </c>
      <c r="G4432" t="str">
        <f>_xlfn.CONCAT(Tabela9[[#This Row],[Coluna1]],Tabela9[[#This Row],[Coluna2]])</f>
        <v>20-Rota</v>
      </c>
    </row>
    <row r="4433" spans="1:7" x14ac:dyDescent="0.25">
      <c r="A4433">
        <v>96827</v>
      </c>
      <c r="B4433">
        <v>307</v>
      </c>
      <c r="C4433" s="1" t="str">
        <f>IF(Tabela8[[#This Row],[SETOR]]="","",IF(Tabela8[[#This Row],[SETOR]]&lt;200,"GV 10",IF(Tabela8[[#This Row],[SETOR]]&lt;300,"GV 20",IF(Tabela8[[#This Row],[SETOR]]&lt;400,"GV 30","S/GV"))))</f>
        <v>GV 30</v>
      </c>
      <c r="E4433" t="s">
        <v>130</v>
      </c>
      <c r="G4433" t="str">
        <f>_xlfn.CONCAT(Tabela9[[#This Row],[Coluna1]],Tabela9[[#This Row],[Coluna2]])</f>
        <v>21-SUB</v>
      </c>
    </row>
    <row r="4434" spans="1:7" x14ac:dyDescent="0.25">
      <c r="A4434">
        <v>96838</v>
      </c>
      <c r="B4434">
        <v>106</v>
      </c>
      <c r="C4434" s="1" t="str">
        <f>IF(Tabela8[[#This Row],[SETOR]]="","",IF(Tabela8[[#This Row],[SETOR]]&lt;200,"GV 10",IF(Tabela8[[#This Row],[SETOR]]&lt;300,"GV 20",IF(Tabela8[[#This Row],[SETOR]]&lt;400,"GV 30","S/GV"))))</f>
        <v>GV 10</v>
      </c>
      <c r="E4434" t="s">
        <v>123</v>
      </c>
      <c r="G4434" t="str">
        <f>_xlfn.CONCAT(Tabela9[[#This Row],[Coluna1]],Tabela9[[#This Row],[Coluna2]])</f>
        <v>20-Rota</v>
      </c>
    </row>
    <row r="4435" spans="1:7" x14ac:dyDescent="0.25">
      <c r="A4435">
        <v>96851</v>
      </c>
      <c r="B4435">
        <v>303</v>
      </c>
      <c r="C4435" s="1" t="str">
        <f>IF(Tabela8[[#This Row],[SETOR]]="","",IF(Tabela8[[#This Row],[SETOR]]&lt;200,"GV 10",IF(Tabela8[[#This Row],[SETOR]]&lt;300,"GV 20",IF(Tabela8[[#This Row],[SETOR]]&lt;400,"GV 30","S/GV"))))</f>
        <v>GV 30</v>
      </c>
      <c r="E4435" t="s">
        <v>123</v>
      </c>
      <c r="G4435" t="str">
        <f>_xlfn.CONCAT(Tabela9[[#This Row],[Coluna1]],Tabela9[[#This Row],[Coluna2]])</f>
        <v>20-Rota</v>
      </c>
    </row>
    <row r="4436" spans="1:7" x14ac:dyDescent="0.25">
      <c r="A4436">
        <v>96856</v>
      </c>
      <c r="B4436">
        <v>207</v>
      </c>
      <c r="C4436" s="1" t="str">
        <f>IF(Tabela8[[#This Row],[SETOR]]="","",IF(Tabela8[[#This Row],[SETOR]]&lt;200,"GV 10",IF(Tabela8[[#This Row],[SETOR]]&lt;300,"GV 20",IF(Tabela8[[#This Row],[SETOR]]&lt;400,"GV 30","S/GV"))))</f>
        <v>GV 20</v>
      </c>
      <c r="E4436" t="s">
        <v>130</v>
      </c>
      <c r="G4436" t="str">
        <f>_xlfn.CONCAT(Tabela9[[#This Row],[Coluna1]],Tabela9[[#This Row],[Coluna2]])</f>
        <v>21-SUB</v>
      </c>
    </row>
    <row r="4437" spans="1:7" x14ac:dyDescent="0.25">
      <c r="A4437">
        <v>96857</v>
      </c>
      <c r="B4437">
        <v>102</v>
      </c>
      <c r="C4437" s="1" t="str">
        <f>IF(Tabela8[[#This Row],[SETOR]]="","",IF(Tabela8[[#This Row],[SETOR]]&lt;200,"GV 10",IF(Tabela8[[#This Row],[SETOR]]&lt;300,"GV 20",IF(Tabela8[[#This Row],[SETOR]]&lt;400,"GV 30","S/GV"))))</f>
        <v>GV 10</v>
      </c>
      <c r="E4437" t="s">
        <v>123</v>
      </c>
      <c r="G4437" t="str">
        <f>_xlfn.CONCAT(Tabela9[[#This Row],[Coluna1]],Tabela9[[#This Row],[Coluna2]])</f>
        <v>20-Rota</v>
      </c>
    </row>
    <row r="4438" spans="1:7" x14ac:dyDescent="0.25">
      <c r="A4438">
        <v>96860</v>
      </c>
      <c r="B4438">
        <v>109</v>
      </c>
      <c r="C4438" s="1" t="str">
        <f>IF(Tabela8[[#This Row],[SETOR]]="","",IF(Tabela8[[#This Row],[SETOR]]&lt;200,"GV 10",IF(Tabela8[[#This Row],[SETOR]]&lt;300,"GV 20",IF(Tabela8[[#This Row],[SETOR]]&lt;400,"GV 30","S/GV"))))</f>
        <v>GV 10</v>
      </c>
      <c r="E4438" t="s">
        <v>123</v>
      </c>
      <c r="G4438" t="str">
        <f>_xlfn.CONCAT(Tabela9[[#This Row],[Coluna1]],Tabela9[[#This Row],[Coluna2]])</f>
        <v>20-Rota</v>
      </c>
    </row>
    <row r="4439" spans="1:7" x14ac:dyDescent="0.25">
      <c r="A4439">
        <v>96861</v>
      </c>
      <c r="B4439">
        <v>304</v>
      </c>
      <c r="C4439" s="1" t="str">
        <f>IF(Tabela8[[#This Row],[SETOR]]="","",IF(Tabela8[[#This Row],[SETOR]]&lt;200,"GV 10",IF(Tabela8[[#This Row],[SETOR]]&lt;300,"GV 20",IF(Tabela8[[#This Row],[SETOR]]&lt;400,"GV 30","S/GV"))))</f>
        <v>GV 30</v>
      </c>
      <c r="E4439" t="s">
        <v>130</v>
      </c>
      <c r="G4439" t="str">
        <f>_xlfn.CONCAT(Tabela9[[#This Row],[Coluna1]],Tabela9[[#This Row],[Coluna2]])</f>
        <v>21-SUB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2D1ED1B-FD90-4A03-99C2-57271F218B4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1</vt:i4>
      </vt:variant>
    </vt:vector>
  </HeadingPairs>
  <TitlesOfParts>
    <vt:vector size="11" baseType="lpstr">
      <vt:lpstr>Menu</vt:lpstr>
      <vt:lpstr>Pesquisa</vt:lpstr>
      <vt:lpstr>Base Completa</vt:lpstr>
      <vt:lpstr>Base de Clientes Extra</vt:lpstr>
      <vt:lpstr>base 804</vt:lpstr>
      <vt:lpstr>base 805</vt:lpstr>
      <vt:lpstr>Calculos</vt:lpstr>
      <vt:lpstr>base 806</vt:lpstr>
      <vt:lpstr>Calculos de Data</vt:lpstr>
      <vt:lpstr>Calc</vt:lpstr>
      <vt:lpstr>Clientes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Marcus Gabriel</dc:creator>
  <cp:lastModifiedBy>Marcus Gabriel</cp:lastModifiedBy>
  <dcterms:created xsi:type="dcterms:W3CDTF">2015-06-05T18:19:34Z</dcterms:created>
  <dcterms:modified xsi:type="dcterms:W3CDTF">2022-04-30T15:59:07Z</dcterms:modified>
</cp:coreProperties>
</file>